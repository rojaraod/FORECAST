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_master" sheetId="1" state="visible" r:id="rId1"/>
    <sheet xmlns:r="http://schemas.openxmlformats.org/officeDocument/2006/relationships" name="historical_emissions" sheetId="2" state="visible" r:id="rId2"/>
    <sheet xmlns:r="http://schemas.openxmlformats.org/officeDocument/2006/relationships" name="supplier_targets" sheetId="3" state="visible" r:id="rId3"/>
    <sheet xmlns:r="http://schemas.openxmlformats.org/officeDocument/2006/relationships" name="industry_haircut_pathway" sheetId="4" state="visible" r:id="rId4"/>
    <sheet xmlns:r="http://schemas.openxmlformats.org/officeDocument/2006/relationships" name="historical_emissions_enriched" sheetId="5" state="visible" r:id="rId5"/>
    <sheet xmlns:r="http://schemas.openxmlformats.org/officeDocument/2006/relationships" name="forecast_output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formul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Supplier_Industry</t>
        </is>
      </c>
      <c r="D1" t="inlineStr">
        <is>
          <t>Supplier_Country</t>
        </is>
      </c>
      <c r="E1" t="inlineStr">
        <is>
          <t>Preferred_Supplier_Flag</t>
        </is>
      </c>
      <c r="F1" t="inlineStr">
        <is>
          <t>Supplier_Status</t>
        </is>
      </c>
    </row>
    <row r="2">
      <c r="A2" t="inlineStr">
        <is>
          <t>SUP-0001</t>
        </is>
      </c>
      <c r="B2" t="inlineStr">
        <is>
          <t>Professional Supplier 001</t>
        </is>
      </c>
      <c r="C2" t="inlineStr">
        <is>
          <t>Professional Services</t>
        </is>
      </c>
      <c r="D2" t="inlineStr">
        <is>
          <t>CN</t>
        </is>
      </c>
      <c r="E2" t="b">
        <v>1</v>
      </c>
      <c r="F2" t="inlineStr">
        <is>
          <t>Active</t>
        </is>
      </c>
    </row>
    <row r="3">
      <c r="A3" t="inlineStr">
        <is>
          <t>SUP-0002</t>
        </is>
      </c>
      <c r="B3" t="inlineStr">
        <is>
          <t>Textiles Supplier 002</t>
        </is>
      </c>
      <c r="C3" t="inlineStr">
        <is>
          <t>Textiles</t>
        </is>
      </c>
      <c r="D3" t="inlineStr">
        <is>
          <t>CN</t>
        </is>
      </c>
      <c r="E3" t="b">
        <v>0</v>
      </c>
      <c r="F3" t="inlineStr">
        <is>
          <t>Active</t>
        </is>
      </c>
    </row>
    <row r="4">
      <c r="A4" t="inlineStr">
        <is>
          <t>SUP-0003</t>
        </is>
      </c>
      <c r="B4" t="inlineStr">
        <is>
          <t>Electronics Supplier 003</t>
        </is>
      </c>
      <c r="C4" t="inlineStr">
        <is>
          <t>Electronics</t>
        </is>
      </c>
      <c r="D4" t="inlineStr">
        <is>
          <t>IN</t>
        </is>
      </c>
      <c r="E4" t="b">
        <v>0</v>
      </c>
      <c r="F4" t="inlineStr">
        <is>
          <t>Strategic</t>
        </is>
      </c>
    </row>
    <row r="5">
      <c r="A5" t="inlineStr">
        <is>
          <t>SUP-0004</t>
        </is>
      </c>
      <c r="B5" t="inlineStr">
        <is>
          <t>Agriculture Supplier 004</t>
        </is>
      </c>
      <c r="C5" t="inlineStr">
        <is>
          <t>Agriculture</t>
        </is>
      </c>
      <c r="D5" t="inlineStr">
        <is>
          <t>CN</t>
        </is>
      </c>
      <c r="E5" t="b">
        <v>1</v>
      </c>
      <c r="F5" t="inlineStr">
        <is>
          <t>Active</t>
        </is>
      </c>
    </row>
    <row r="6">
      <c r="A6" t="inlineStr">
        <is>
          <t>SUP-0005</t>
        </is>
      </c>
      <c r="B6" t="inlineStr">
        <is>
          <t>Professional Supplier 005</t>
        </is>
      </c>
      <c r="C6" t="inlineStr">
        <is>
          <t>Professional Services</t>
        </is>
      </c>
      <c r="D6" t="inlineStr">
        <is>
          <t>DE</t>
        </is>
      </c>
      <c r="E6" t="b">
        <v>1</v>
      </c>
      <c r="F6" t="inlineStr">
        <is>
          <t>Active</t>
        </is>
      </c>
    </row>
    <row r="7">
      <c r="A7" t="inlineStr">
        <is>
          <t>SUP-0006</t>
        </is>
      </c>
      <c r="B7" t="inlineStr">
        <is>
          <t>Agriculture Supplier 006</t>
        </is>
      </c>
      <c r="C7" t="inlineStr">
        <is>
          <t>Agriculture</t>
        </is>
      </c>
      <c r="D7" t="inlineStr">
        <is>
          <t>UK</t>
        </is>
      </c>
      <c r="E7" t="b">
        <v>0</v>
      </c>
      <c r="F7" t="inlineStr">
        <is>
          <t>Active</t>
        </is>
      </c>
    </row>
    <row r="8">
      <c r="A8" t="inlineStr">
        <is>
          <t>SUP-0007</t>
        </is>
      </c>
      <c r="B8" t="inlineStr">
        <is>
          <t>Chemicals Supplier 007</t>
        </is>
      </c>
      <c r="C8" t="inlineStr">
        <is>
          <t>Chemicals</t>
        </is>
      </c>
      <c r="D8" t="inlineStr">
        <is>
          <t>UK</t>
        </is>
      </c>
      <c r="E8" t="b">
        <v>1</v>
      </c>
      <c r="F8" t="inlineStr">
        <is>
          <t>Active</t>
        </is>
      </c>
    </row>
    <row r="9">
      <c r="A9" t="inlineStr">
        <is>
          <t>SUP-0008</t>
        </is>
      </c>
      <c r="B9" t="inlineStr">
        <is>
          <t>Electronics Supplier 008</t>
        </is>
      </c>
      <c r="C9" t="inlineStr">
        <is>
          <t>Electronics</t>
        </is>
      </c>
      <c r="D9" t="inlineStr">
        <is>
          <t>DE</t>
        </is>
      </c>
      <c r="E9" t="b">
        <v>1</v>
      </c>
      <c r="F9" t="inlineStr">
        <is>
          <t>Active</t>
        </is>
      </c>
    </row>
    <row r="10">
      <c r="A10" t="inlineStr">
        <is>
          <t>SUP-0009</t>
        </is>
      </c>
      <c r="B10" t="inlineStr">
        <is>
          <t>Professional Supplier 009</t>
        </is>
      </c>
      <c r="C10" t="inlineStr">
        <is>
          <t>Professional Services</t>
        </is>
      </c>
      <c r="D10" t="inlineStr">
        <is>
          <t>CN</t>
        </is>
      </c>
      <c r="E10" t="b">
        <v>0</v>
      </c>
      <c r="F10" t="inlineStr">
        <is>
          <t>Strategic</t>
        </is>
      </c>
    </row>
    <row r="11">
      <c r="A11" t="inlineStr">
        <is>
          <t>SUP-0010</t>
        </is>
      </c>
      <c r="B11" t="inlineStr">
        <is>
          <t>Packaging Supplier 010</t>
        </is>
      </c>
      <c r="C11" t="inlineStr">
        <is>
          <t>Packaging</t>
        </is>
      </c>
      <c r="D11" t="inlineStr">
        <is>
          <t>MX</t>
        </is>
      </c>
      <c r="E11" t="b">
        <v>0</v>
      </c>
      <c r="F11" t="inlineStr">
        <is>
          <t>Active</t>
        </is>
      </c>
    </row>
    <row r="12">
      <c r="A12" t="inlineStr">
        <is>
          <t>SUP-0011</t>
        </is>
      </c>
      <c r="B12" t="inlineStr">
        <is>
          <t>Agriculture Supplier 011</t>
        </is>
      </c>
      <c r="C12" t="inlineStr">
        <is>
          <t>Agriculture</t>
        </is>
      </c>
      <c r="D12" t="inlineStr">
        <is>
          <t>IN</t>
        </is>
      </c>
      <c r="E12" t="b">
        <v>1</v>
      </c>
      <c r="F12" t="inlineStr">
        <is>
          <t>Active</t>
        </is>
      </c>
    </row>
    <row r="13">
      <c r="A13" t="inlineStr">
        <is>
          <t>SUP-0012</t>
        </is>
      </c>
      <c r="B13" t="inlineStr">
        <is>
          <t>Textiles Supplier 012</t>
        </is>
      </c>
      <c r="C13" t="inlineStr">
        <is>
          <t>Textiles</t>
        </is>
      </c>
      <c r="D13" t="inlineStr">
        <is>
          <t>DE</t>
        </is>
      </c>
      <c r="E13" t="b">
        <v>1</v>
      </c>
      <c r="F13" t="inlineStr">
        <is>
          <t>Strategic</t>
        </is>
      </c>
    </row>
    <row r="14">
      <c r="A14" t="inlineStr">
        <is>
          <t>SUP-0013</t>
        </is>
      </c>
      <c r="B14" t="inlineStr">
        <is>
          <t>Electronics Supplier 013</t>
        </is>
      </c>
      <c r="C14" t="inlineStr">
        <is>
          <t>Electronics</t>
        </is>
      </c>
      <c r="D14" t="inlineStr">
        <is>
          <t>DE</t>
        </is>
      </c>
      <c r="E14" t="b">
        <v>1</v>
      </c>
      <c r="F14" t="inlineStr">
        <is>
          <t>Active</t>
        </is>
      </c>
    </row>
    <row r="15">
      <c r="A15" t="inlineStr">
        <is>
          <t>SUP-0014</t>
        </is>
      </c>
      <c r="B15" t="inlineStr">
        <is>
          <t>Textiles Supplier 014</t>
        </is>
      </c>
      <c r="C15" t="inlineStr">
        <is>
          <t>Textiles</t>
        </is>
      </c>
      <c r="D15" t="inlineStr">
        <is>
          <t>IN</t>
        </is>
      </c>
      <c r="E15" t="b">
        <v>0</v>
      </c>
      <c r="F15" t="inlineStr">
        <is>
          <t>Active</t>
        </is>
      </c>
    </row>
    <row r="16">
      <c r="A16" t="inlineStr">
        <is>
          <t>SUP-0015</t>
        </is>
      </c>
      <c r="B16" t="inlineStr">
        <is>
          <t>Packaging Supplier 015</t>
        </is>
      </c>
      <c r="C16" t="inlineStr">
        <is>
          <t>Packaging</t>
        </is>
      </c>
      <c r="D16" t="inlineStr">
        <is>
          <t>UK</t>
        </is>
      </c>
      <c r="E16" t="b">
        <v>0</v>
      </c>
      <c r="F16" t="inlineStr">
        <is>
          <t>Active</t>
        </is>
      </c>
    </row>
    <row r="17">
      <c r="A17" t="inlineStr">
        <is>
          <t>SUP-0016</t>
        </is>
      </c>
      <c r="B17" t="inlineStr">
        <is>
          <t>Metals Supplier 016</t>
        </is>
      </c>
      <c r="C17" t="inlineStr">
        <is>
          <t>Metals</t>
        </is>
      </c>
      <c r="D17" t="inlineStr">
        <is>
          <t>UK</t>
        </is>
      </c>
      <c r="E17" t="b">
        <v>1</v>
      </c>
      <c r="F17" t="inlineStr">
        <is>
          <t>Active</t>
        </is>
      </c>
    </row>
    <row r="18">
      <c r="A18" t="inlineStr">
        <is>
          <t>SUP-0017</t>
        </is>
      </c>
      <c r="B18" t="inlineStr">
        <is>
          <t>Electronics Supplier 017</t>
        </is>
      </c>
      <c r="C18" t="inlineStr">
        <is>
          <t>Electronics</t>
        </is>
      </c>
      <c r="D18" t="inlineStr">
        <is>
          <t>US</t>
        </is>
      </c>
      <c r="E18" t="b">
        <v>0</v>
      </c>
      <c r="F18" t="inlineStr">
        <is>
          <t>Active</t>
        </is>
      </c>
    </row>
    <row r="19">
      <c r="A19" t="inlineStr">
        <is>
          <t>SUP-0018</t>
        </is>
      </c>
      <c r="B19" t="inlineStr">
        <is>
          <t>Professional Supplier 018</t>
        </is>
      </c>
      <c r="C19" t="inlineStr">
        <is>
          <t>Professional Services</t>
        </is>
      </c>
      <c r="D19" t="inlineStr">
        <is>
          <t>DE</t>
        </is>
      </c>
      <c r="E19" t="b">
        <v>1</v>
      </c>
      <c r="F19" t="inlineStr">
        <is>
          <t>Active</t>
        </is>
      </c>
    </row>
    <row r="20">
      <c r="A20" t="inlineStr">
        <is>
          <t>SUP-0019</t>
        </is>
      </c>
      <c r="B20" t="inlineStr">
        <is>
          <t>Metals Supplier 019</t>
        </is>
      </c>
      <c r="C20" t="inlineStr">
        <is>
          <t>Metals</t>
        </is>
      </c>
      <c r="D20" t="inlineStr">
        <is>
          <t>MX</t>
        </is>
      </c>
      <c r="E20" t="b">
        <v>1</v>
      </c>
      <c r="F20" t="inlineStr">
        <is>
          <t>Active</t>
        </is>
      </c>
    </row>
    <row r="21">
      <c r="A21" t="inlineStr">
        <is>
          <t>SUP-0020</t>
        </is>
      </c>
      <c r="B21" t="inlineStr">
        <is>
          <t>Logistics Supplier 020</t>
        </is>
      </c>
      <c r="C21" t="inlineStr">
        <is>
          <t>Logistics</t>
        </is>
      </c>
      <c r="D21" t="inlineStr">
        <is>
          <t>IN</t>
        </is>
      </c>
      <c r="E21" t="b">
        <v>0</v>
      </c>
      <c r="F21" t="inlineStr">
        <is>
          <t>Active</t>
        </is>
      </c>
    </row>
    <row r="22">
      <c r="A22" t="inlineStr">
        <is>
          <t>SUP-0021</t>
        </is>
      </c>
      <c r="B22" t="inlineStr">
        <is>
          <t>Textiles Supplier 021</t>
        </is>
      </c>
      <c r="C22" t="inlineStr">
        <is>
          <t>Textiles</t>
        </is>
      </c>
      <c r="D22" t="inlineStr">
        <is>
          <t>US</t>
        </is>
      </c>
      <c r="E22" t="b">
        <v>1</v>
      </c>
      <c r="F22" t="inlineStr">
        <is>
          <t>Watchlist</t>
        </is>
      </c>
    </row>
    <row r="23">
      <c r="A23" t="inlineStr">
        <is>
          <t>SUP-0022</t>
        </is>
      </c>
      <c r="B23" t="inlineStr">
        <is>
          <t>Chemicals Supplier 022</t>
        </is>
      </c>
      <c r="C23" t="inlineStr">
        <is>
          <t>Chemicals</t>
        </is>
      </c>
      <c r="D23" t="inlineStr">
        <is>
          <t>JP</t>
        </is>
      </c>
      <c r="E23" t="b">
        <v>0</v>
      </c>
      <c r="F23" t="inlineStr">
        <is>
          <t>Active</t>
        </is>
      </c>
    </row>
    <row r="24">
      <c r="A24" t="inlineStr">
        <is>
          <t>SUP-0023</t>
        </is>
      </c>
      <c r="B24" t="inlineStr">
        <is>
          <t>Agriculture Supplier 023</t>
        </is>
      </c>
      <c r="C24" t="inlineStr">
        <is>
          <t>Agriculture</t>
        </is>
      </c>
      <c r="D24" t="inlineStr">
        <is>
          <t>JP</t>
        </is>
      </c>
      <c r="E24" t="b">
        <v>0</v>
      </c>
      <c r="F24" t="inlineStr">
        <is>
          <t>Active</t>
        </is>
      </c>
    </row>
    <row r="25">
      <c r="A25" t="inlineStr">
        <is>
          <t>SUP-0024</t>
        </is>
      </c>
      <c r="B25" t="inlineStr">
        <is>
          <t>Agriculture Supplier 024</t>
        </is>
      </c>
      <c r="C25" t="inlineStr">
        <is>
          <t>Agriculture</t>
        </is>
      </c>
      <c r="D25" t="inlineStr">
        <is>
          <t>CN</t>
        </is>
      </c>
      <c r="E25" t="b">
        <v>1</v>
      </c>
      <c r="F25" t="inlineStr">
        <is>
          <t>Active</t>
        </is>
      </c>
    </row>
    <row r="26">
      <c r="A26" t="inlineStr">
        <is>
          <t>SUP-0025</t>
        </is>
      </c>
      <c r="B26" t="inlineStr">
        <is>
          <t>Metals Supplier 025</t>
        </is>
      </c>
      <c r="C26" t="inlineStr">
        <is>
          <t>Metals</t>
        </is>
      </c>
      <c r="D26" t="inlineStr">
        <is>
          <t>JP</t>
        </is>
      </c>
      <c r="E26" t="b">
        <v>1</v>
      </c>
      <c r="F26" t="inlineStr">
        <is>
          <t>Active</t>
        </is>
      </c>
    </row>
    <row r="27">
      <c r="A27" t="inlineStr">
        <is>
          <t>SUP-0026</t>
        </is>
      </c>
      <c r="B27" t="inlineStr">
        <is>
          <t>Professional Supplier 026</t>
        </is>
      </c>
      <c r="C27" t="inlineStr">
        <is>
          <t>Professional Services</t>
        </is>
      </c>
      <c r="D27" t="inlineStr">
        <is>
          <t>IN</t>
        </is>
      </c>
      <c r="E27" t="b">
        <v>0</v>
      </c>
      <c r="F27" t="inlineStr">
        <is>
          <t>Active</t>
        </is>
      </c>
    </row>
    <row r="28">
      <c r="A28" t="inlineStr">
        <is>
          <t>SUP-0027</t>
        </is>
      </c>
      <c r="B28" t="inlineStr">
        <is>
          <t>Metals Supplier 027</t>
        </is>
      </c>
      <c r="C28" t="inlineStr">
        <is>
          <t>Metals</t>
        </is>
      </c>
      <c r="D28" t="inlineStr">
        <is>
          <t>UK</t>
        </is>
      </c>
      <c r="E28" t="b">
        <v>0</v>
      </c>
      <c r="F28" t="inlineStr">
        <is>
          <t>Active</t>
        </is>
      </c>
    </row>
    <row r="29">
      <c r="A29" t="inlineStr">
        <is>
          <t>SUP-0028</t>
        </is>
      </c>
      <c r="B29" t="inlineStr">
        <is>
          <t>Professional Supplier 028</t>
        </is>
      </c>
      <c r="C29" t="inlineStr">
        <is>
          <t>Professional Services</t>
        </is>
      </c>
      <c r="D29" t="inlineStr">
        <is>
          <t>CN</t>
        </is>
      </c>
      <c r="E29" t="b">
        <v>0</v>
      </c>
      <c r="F29" t="inlineStr">
        <is>
          <t>Active</t>
        </is>
      </c>
    </row>
    <row r="30">
      <c r="A30" t="inlineStr">
        <is>
          <t>SUP-0029</t>
        </is>
      </c>
      <c r="B30" t="inlineStr">
        <is>
          <t>Electronics Supplier 029</t>
        </is>
      </c>
      <c r="C30" t="inlineStr">
        <is>
          <t>Electronics</t>
        </is>
      </c>
      <c r="D30" t="inlineStr">
        <is>
          <t>MX</t>
        </is>
      </c>
      <c r="E30" t="b">
        <v>1</v>
      </c>
      <c r="F30" t="inlineStr">
        <is>
          <t>Active</t>
        </is>
      </c>
    </row>
    <row r="31">
      <c r="A31" t="inlineStr">
        <is>
          <t>SUP-0030</t>
        </is>
      </c>
      <c r="B31" t="inlineStr">
        <is>
          <t>Agriculture Supplier 030</t>
        </is>
      </c>
      <c r="C31" t="inlineStr">
        <is>
          <t>Agriculture</t>
        </is>
      </c>
      <c r="D31" t="inlineStr">
        <is>
          <t>US</t>
        </is>
      </c>
      <c r="E31" t="b">
        <v>1</v>
      </c>
      <c r="F31" t="inlineStr">
        <is>
          <t>Active</t>
        </is>
      </c>
    </row>
    <row r="32">
      <c r="A32" t="inlineStr">
        <is>
          <t>SUP-0031</t>
        </is>
      </c>
      <c r="B32" t="inlineStr">
        <is>
          <t>Professional Supplier 031</t>
        </is>
      </c>
      <c r="C32" t="inlineStr">
        <is>
          <t>Professional Services</t>
        </is>
      </c>
      <c r="D32" t="inlineStr">
        <is>
          <t>DE</t>
        </is>
      </c>
      <c r="E32" t="b">
        <v>1</v>
      </c>
      <c r="F32" t="inlineStr">
        <is>
          <t>Active</t>
        </is>
      </c>
    </row>
    <row r="33">
      <c r="A33" t="inlineStr">
        <is>
          <t>SUP-0032</t>
        </is>
      </c>
      <c r="B33" t="inlineStr">
        <is>
          <t>Agriculture Supplier 032</t>
        </is>
      </c>
      <c r="C33" t="inlineStr">
        <is>
          <t>Agriculture</t>
        </is>
      </c>
      <c r="D33" t="inlineStr">
        <is>
          <t>DE</t>
        </is>
      </c>
      <c r="E33" t="b">
        <v>0</v>
      </c>
      <c r="F33" t="inlineStr">
        <is>
          <t>Active</t>
        </is>
      </c>
    </row>
    <row r="34">
      <c r="A34" t="inlineStr">
        <is>
          <t>SUP-0033</t>
        </is>
      </c>
      <c r="B34" t="inlineStr">
        <is>
          <t>Metals Supplier 033</t>
        </is>
      </c>
      <c r="C34" t="inlineStr">
        <is>
          <t>Metals</t>
        </is>
      </c>
      <c r="D34" t="inlineStr">
        <is>
          <t>IN</t>
        </is>
      </c>
      <c r="E34" t="b">
        <v>0</v>
      </c>
      <c r="F34" t="inlineStr">
        <is>
          <t>Active</t>
        </is>
      </c>
    </row>
    <row r="35">
      <c r="A35" t="inlineStr">
        <is>
          <t>SUP-0034</t>
        </is>
      </c>
      <c r="B35" t="inlineStr">
        <is>
          <t>Logistics Supplier 034</t>
        </is>
      </c>
      <c r="C35" t="inlineStr">
        <is>
          <t>Logistics</t>
        </is>
      </c>
      <c r="D35" t="inlineStr">
        <is>
          <t>JP</t>
        </is>
      </c>
      <c r="E35" t="b">
        <v>1</v>
      </c>
      <c r="F35" t="inlineStr">
        <is>
          <t>Strategic</t>
        </is>
      </c>
    </row>
    <row r="36">
      <c r="A36" t="inlineStr">
        <is>
          <t>SUP-0035</t>
        </is>
      </c>
      <c r="B36" t="inlineStr">
        <is>
          <t>Electronics Supplier 035</t>
        </is>
      </c>
      <c r="C36" t="inlineStr">
        <is>
          <t>Electronics</t>
        </is>
      </c>
      <c r="D36" t="inlineStr">
        <is>
          <t>US</t>
        </is>
      </c>
      <c r="E36" t="b">
        <v>1</v>
      </c>
      <c r="F36" t="inlineStr">
        <is>
          <t>Active</t>
        </is>
      </c>
    </row>
    <row r="37">
      <c r="A37" t="inlineStr">
        <is>
          <t>SUP-0036</t>
        </is>
      </c>
      <c r="B37" t="inlineStr">
        <is>
          <t>Metals Supplier 036</t>
        </is>
      </c>
      <c r="C37" t="inlineStr">
        <is>
          <t>Metals</t>
        </is>
      </c>
      <c r="D37" t="inlineStr">
        <is>
          <t>JP</t>
        </is>
      </c>
      <c r="E37" t="b">
        <v>0</v>
      </c>
      <c r="F37" t="inlineStr">
        <is>
          <t>Active</t>
        </is>
      </c>
    </row>
    <row r="38">
      <c r="A38" t="inlineStr">
        <is>
          <t>SUP-0037</t>
        </is>
      </c>
      <c r="B38" t="inlineStr">
        <is>
          <t>Agriculture Supplier 037</t>
        </is>
      </c>
      <c r="C38" t="inlineStr">
        <is>
          <t>Agriculture</t>
        </is>
      </c>
      <c r="D38" t="inlineStr">
        <is>
          <t>IN</t>
        </is>
      </c>
      <c r="E38" t="b">
        <v>1</v>
      </c>
      <c r="F38" t="inlineStr">
        <is>
          <t>Active</t>
        </is>
      </c>
    </row>
    <row r="39">
      <c r="A39" t="inlineStr">
        <is>
          <t>SUP-0038</t>
        </is>
      </c>
      <c r="B39" t="inlineStr">
        <is>
          <t>Agriculture Supplier 038</t>
        </is>
      </c>
      <c r="C39" t="inlineStr">
        <is>
          <t>Agriculture</t>
        </is>
      </c>
      <c r="D39" t="inlineStr">
        <is>
          <t>CN</t>
        </is>
      </c>
      <c r="E39" t="b">
        <v>1</v>
      </c>
      <c r="F39" t="inlineStr">
        <is>
          <t>Strategic</t>
        </is>
      </c>
    </row>
    <row r="40">
      <c r="A40" t="inlineStr">
        <is>
          <t>SUP-0039</t>
        </is>
      </c>
      <c r="B40" t="inlineStr">
        <is>
          <t>Electronics Supplier 039</t>
        </is>
      </c>
      <c r="C40" t="inlineStr">
        <is>
          <t>Electronics</t>
        </is>
      </c>
      <c r="D40" t="inlineStr">
        <is>
          <t>JP</t>
        </is>
      </c>
      <c r="E40" t="b">
        <v>1</v>
      </c>
      <c r="F40" t="inlineStr">
        <is>
          <t>Active</t>
        </is>
      </c>
    </row>
    <row r="41">
      <c r="A41" t="inlineStr">
        <is>
          <t>SUP-0040</t>
        </is>
      </c>
      <c r="B41" t="inlineStr">
        <is>
          <t>Chemicals Supplier 040</t>
        </is>
      </c>
      <c r="C41" t="inlineStr">
        <is>
          <t>Chemicals</t>
        </is>
      </c>
      <c r="D41" t="inlineStr">
        <is>
          <t>US</t>
        </is>
      </c>
      <c r="E41" t="b">
        <v>0</v>
      </c>
      <c r="F41" t="inlineStr">
        <is>
          <t>Active</t>
        </is>
      </c>
    </row>
    <row r="42">
      <c r="A42" t="inlineStr">
        <is>
          <t>SUP-0041</t>
        </is>
      </c>
      <c r="B42" t="inlineStr">
        <is>
          <t>Logistics Supplier 041</t>
        </is>
      </c>
      <c r="C42" t="inlineStr">
        <is>
          <t>Logistics</t>
        </is>
      </c>
      <c r="D42" t="inlineStr">
        <is>
          <t>MX</t>
        </is>
      </c>
      <c r="E42" t="b">
        <v>0</v>
      </c>
      <c r="F42" t="inlineStr">
        <is>
          <t>Strategic</t>
        </is>
      </c>
    </row>
    <row r="43">
      <c r="A43" t="inlineStr">
        <is>
          <t>SUP-0042</t>
        </is>
      </c>
      <c r="B43" t="inlineStr">
        <is>
          <t>Chemicals Supplier 042</t>
        </is>
      </c>
      <c r="C43" t="inlineStr">
        <is>
          <t>Chemicals</t>
        </is>
      </c>
      <c r="D43" t="inlineStr">
        <is>
          <t>US</t>
        </is>
      </c>
      <c r="E43" t="b">
        <v>0</v>
      </c>
      <c r="F43" t="inlineStr">
        <is>
          <t>Active</t>
        </is>
      </c>
    </row>
    <row r="44">
      <c r="A44" t="inlineStr">
        <is>
          <t>SUP-0043</t>
        </is>
      </c>
      <c r="B44" t="inlineStr">
        <is>
          <t>Logistics Supplier 043</t>
        </is>
      </c>
      <c r="C44" t="inlineStr">
        <is>
          <t>Logistics</t>
        </is>
      </c>
      <c r="D44" t="inlineStr">
        <is>
          <t>US</t>
        </is>
      </c>
      <c r="E44" t="b">
        <v>0</v>
      </c>
      <c r="F44" t="inlineStr">
        <is>
          <t>Active</t>
        </is>
      </c>
    </row>
    <row r="45">
      <c r="A45" t="inlineStr">
        <is>
          <t>SUP-0044</t>
        </is>
      </c>
      <c r="B45" t="inlineStr">
        <is>
          <t>Chemicals Supplier 044</t>
        </is>
      </c>
      <c r="C45" t="inlineStr">
        <is>
          <t>Chemicals</t>
        </is>
      </c>
      <c r="D45" t="inlineStr">
        <is>
          <t>UK</t>
        </is>
      </c>
      <c r="E45" t="b">
        <v>0</v>
      </c>
      <c r="F45" t="inlineStr">
        <is>
          <t>Active</t>
        </is>
      </c>
    </row>
    <row r="46">
      <c r="A46" t="inlineStr">
        <is>
          <t>SUP-0045</t>
        </is>
      </c>
      <c r="B46" t="inlineStr">
        <is>
          <t>Logistics Supplier 045</t>
        </is>
      </c>
      <c r="C46" t="inlineStr">
        <is>
          <t>Logistics</t>
        </is>
      </c>
      <c r="D46" t="inlineStr">
        <is>
          <t>JP</t>
        </is>
      </c>
      <c r="E46" t="b">
        <v>1</v>
      </c>
      <c r="F46" t="inlineStr">
        <is>
          <t>Active</t>
        </is>
      </c>
    </row>
    <row r="47">
      <c r="A47" t="inlineStr">
        <is>
          <t>SUP-0046</t>
        </is>
      </c>
      <c r="B47" t="inlineStr">
        <is>
          <t>Textiles Supplier 046</t>
        </is>
      </c>
      <c r="C47" t="inlineStr">
        <is>
          <t>Textiles</t>
        </is>
      </c>
      <c r="D47" t="inlineStr">
        <is>
          <t>IN</t>
        </is>
      </c>
      <c r="E47" t="b">
        <v>0</v>
      </c>
      <c r="F47" t="inlineStr">
        <is>
          <t>Active</t>
        </is>
      </c>
    </row>
    <row r="48">
      <c r="A48" t="inlineStr">
        <is>
          <t>SUP-0047</t>
        </is>
      </c>
      <c r="B48" t="inlineStr">
        <is>
          <t>Packaging Supplier 047</t>
        </is>
      </c>
      <c r="C48" t="inlineStr">
        <is>
          <t>Packaging</t>
        </is>
      </c>
      <c r="D48" t="inlineStr">
        <is>
          <t>US</t>
        </is>
      </c>
      <c r="E48" t="b">
        <v>1</v>
      </c>
      <c r="F48" t="inlineStr">
        <is>
          <t>Watchlist</t>
        </is>
      </c>
    </row>
    <row r="49">
      <c r="A49" t="inlineStr">
        <is>
          <t>SUP-0048</t>
        </is>
      </c>
      <c r="B49" t="inlineStr">
        <is>
          <t>Logistics Supplier 048</t>
        </is>
      </c>
      <c r="C49" t="inlineStr">
        <is>
          <t>Logistics</t>
        </is>
      </c>
      <c r="D49" t="inlineStr">
        <is>
          <t>JP</t>
        </is>
      </c>
      <c r="E49" t="b">
        <v>0</v>
      </c>
      <c r="F49" t="inlineStr">
        <is>
          <t>Strategic</t>
        </is>
      </c>
    </row>
    <row r="50">
      <c r="A50" t="inlineStr">
        <is>
          <t>SUP-0049</t>
        </is>
      </c>
      <c r="B50" t="inlineStr">
        <is>
          <t>Logistics Supplier 049</t>
        </is>
      </c>
      <c r="C50" t="inlineStr">
        <is>
          <t>Logistics</t>
        </is>
      </c>
      <c r="D50" t="inlineStr">
        <is>
          <t>JP</t>
        </is>
      </c>
      <c r="E50" t="b">
        <v>1</v>
      </c>
      <c r="F50" t="inlineStr">
        <is>
          <t>Active</t>
        </is>
      </c>
    </row>
    <row r="51">
      <c r="A51" t="inlineStr">
        <is>
          <t>SUP-0050</t>
        </is>
      </c>
      <c r="B51" t="inlineStr">
        <is>
          <t>Electronics Supplier 050</t>
        </is>
      </c>
      <c r="C51" t="inlineStr">
        <is>
          <t>Electronics</t>
        </is>
      </c>
      <c r="D51" t="inlineStr">
        <is>
          <t>UK</t>
        </is>
      </c>
      <c r="E51" t="b">
        <v>0</v>
      </c>
      <c r="F51" t="inlineStr">
        <is>
          <t>Active</t>
        </is>
      </c>
    </row>
    <row r="52">
      <c r="A52" t="inlineStr">
        <is>
          <t>SUP-0051</t>
        </is>
      </c>
      <c r="B52" t="inlineStr">
        <is>
          <t>Textiles Supplier 051</t>
        </is>
      </c>
      <c r="C52" t="inlineStr">
        <is>
          <t>Textiles</t>
        </is>
      </c>
      <c r="D52" t="inlineStr">
        <is>
          <t>US</t>
        </is>
      </c>
      <c r="E52" t="b">
        <v>0</v>
      </c>
      <c r="F52" t="inlineStr">
        <is>
          <t>Active</t>
        </is>
      </c>
    </row>
    <row r="53">
      <c r="A53" t="inlineStr">
        <is>
          <t>SUP-0052</t>
        </is>
      </c>
      <c r="B53" t="inlineStr">
        <is>
          <t>Electronics Supplier 052</t>
        </is>
      </c>
      <c r="C53" t="inlineStr">
        <is>
          <t>Electronics</t>
        </is>
      </c>
      <c r="D53" t="inlineStr">
        <is>
          <t>JP</t>
        </is>
      </c>
      <c r="E53" t="b">
        <v>1</v>
      </c>
      <c r="F53" t="inlineStr">
        <is>
          <t>Active</t>
        </is>
      </c>
    </row>
    <row r="54">
      <c r="A54" t="inlineStr">
        <is>
          <t>SUP-0053</t>
        </is>
      </c>
      <c r="B54" t="inlineStr">
        <is>
          <t>Electronics Supplier 053</t>
        </is>
      </c>
      <c r="C54" t="inlineStr">
        <is>
          <t>Electronics</t>
        </is>
      </c>
      <c r="D54" t="inlineStr">
        <is>
          <t>UK</t>
        </is>
      </c>
      <c r="E54" t="b">
        <v>1</v>
      </c>
      <c r="F54" t="inlineStr">
        <is>
          <t>Active</t>
        </is>
      </c>
    </row>
    <row r="55">
      <c r="A55" t="inlineStr">
        <is>
          <t>SUP-0054</t>
        </is>
      </c>
      <c r="B55" t="inlineStr">
        <is>
          <t>Chemicals Supplier 054</t>
        </is>
      </c>
      <c r="C55" t="inlineStr">
        <is>
          <t>Chemicals</t>
        </is>
      </c>
      <c r="D55" t="inlineStr">
        <is>
          <t>BR</t>
        </is>
      </c>
      <c r="E55" t="b">
        <v>0</v>
      </c>
      <c r="F55" t="inlineStr">
        <is>
          <t>Active</t>
        </is>
      </c>
    </row>
    <row r="56">
      <c r="A56" t="inlineStr">
        <is>
          <t>SUP-0055</t>
        </is>
      </c>
      <c r="B56" t="inlineStr">
        <is>
          <t>Chemicals Supplier 055</t>
        </is>
      </c>
      <c r="C56" t="inlineStr">
        <is>
          <t>Chemicals</t>
        </is>
      </c>
      <c r="D56" t="inlineStr">
        <is>
          <t>IN</t>
        </is>
      </c>
      <c r="E56" t="b">
        <v>0</v>
      </c>
      <c r="F56" t="inlineStr">
        <is>
          <t>Watchlist</t>
        </is>
      </c>
    </row>
    <row r="57">
      <c r="A57" t="inlineStr">
        <is>
          <t>SUP-0056</t>
        </is>
      </c>
      <c r="B57" t="inlineStr">
        <is>
          <t>Metals Supplier 056</t>
        </is>
      </c>
      <c r="C57" t="inlineStr">
        <is>
          <t>Metals</t>
        </is>
      </c>
      <c r="D57" t="inlineStr">
        <is>
          <t>BR</t>
        </is>
      </c>
      <c r="E57" t="b">
        <v>1</v>
      </c>
      <c r="F57" t="inlineStr">
        <is>
          <t>Active</t>
        </is>
      </c>
    </row>
    <row r="58">
      <c r="A58" t="inlineStr">
        <is>
          <t>SUP-0057</t>
        </is>
      </c>
      <c r="B58" t="inlineStr">
        <is>
          <t>Logistics Supplier 057</t>
        </is>
      </c>
      <c r="C58" t="inlineStr">
        <is>
          <t>Logistics</t>
        </is>
      </c>
      <c r="D58" t="inlineStr">
        <is>
          <t>DE</t>
        </is>
      </c>
      <c r="E58" t="b">
        <v>1</v>
      </c>
      <c r="F58" t="inlineStr">
        <is>
          <t>Active</t>
        </is>
      </c>
    </row>
    <row r="59">
      <c r="A59" t="inlineStr">
        <is>
          <t>SUP-0058</t>
        </is>
      </c>
      <c r="B59" t="inlineStr">
        <is>
          <t>Textiles Supplier 058</t>
        </is>
      </c>
      <c r="C59" t="inlineStr">
        <is>
          <t>Textiles</t>
        </is>
      </c>
      <c r="D59" t="inlineStr">
        <is>
          <t>US</t>
        </is>
      </c>
      <c r="E59" t="b">
        <v>1</v>
      </c>
      <c r="F59" t="inlineStr">
        <is>
          <t>Active</t>
        </is>
      </c>
    </row>
    <row r="60">
      <c r="A60" t="inlineStr">
        <is>
          <t>SUP-0059</t>
        </is>
      </c>
      <c r="B60" t="inlineStr">
        <is>
          <t>Agriculture Supplier 059</t>
        </is>
      </c>
      <c r="C60" t="inlineStr">
        <is>
          <t>Agriculture</t>
        </is>
      </c>
      <c r="D60" t="inlineStr">
        <is>
          <t>BR</t>
        </is>
      </c>
      <c r="E60" t="b">
        <v>1</v>
      </c>
      <c r="F60" t="inlineStr">
        <is>
          <t>Strategic</t>
        </is>
      </c>
    </row>
    <row r="61">
      <c r="A61" t="inlineStr">
        <is>
          <t>SUP-0060</t>
        </is>
      </c>
      <c r="B61" t="inlineStr">
        <is>
          <t>Electronics Supplier 060</t>
        </is>
      </c>
      <c r="C61" t="inlineStr">
        <is>
          <t>Electronics</t>
        </is>
      </c>
      <c r="D61" t="inlineStr">
        <is>
          <t>MX</t>
        </is>
      </c>
      <c r="E61" t="b">
        <v>0</v>
      </c>
      <c r="F61" t="inlineStr">
        <is>
          <t>Active</t>
        </is>
      </c>
    </row>
    <row r="62">
      <c r="A62" t="inlineStr">
        <is>
          <t>SUP-0061</t>
        </is>
      </c>
      <c r="B62" t="inlineStr">
        <is>
          <t>Metals Supplier 061</t>
        </is>
      </c>
      <c r="C62" t="inlineStr">
        <is>
          <t>Metals</t>
        </is>
      </c>
      <c r="D62" t="inlineStr">
        <is>
          <t>US</t>
        </is>
      </c>
      <c r="E62" t="b">
        <v>0</v>
      </c>
      <c r="F62" t="inlineStr">
        <is>
          <t>Active</t>
        </is>
      </c>
    </row>
    <row r="63">
      <c r="A63" t="inlineStr">
        <is>
          <t>SUP-0062</t>
        </is>
      </c>
      <c r="B63" t="inlineStr">
        <is>
          <t>Textiles Supplier 062</t>
        </is>
      </c>
      <c r="C63" t="inlineStr">
        <is>
          <t>Textiles</t>
        </is>
      </c>
      <c r="D63" t="inlineStr">
        <is>
          <t>IN</t>
        </is>
      </c>
      <c r="E63" t="b">
        <v>1</v>
      </c>
      <c r="F63" t="inlineStr">
        <is>
          <t>Active</t>
        </is>
      </c>
    </row>
    <row r="64">
      <c r="A64" t="inlineStr">
        <is>
          <t>SUP-0063</t>
        </is>
      </c>
      <c r="B64" t="inlineStr">
        <is>
          <t>Chemicals Supplier 063</t>
        </is>
      </c>
      <c r="C64" t="inlineStr">
        <is>
          <t>Chemicals</t>
        </is>
      </c>
      <c r="D64" t="inlineStr">
        <is>
          <t>JP</t>
        </is>
      </c>
      <c r="E64" t="b">
        <v>1</v>
      </c>
      <c r="F64" t="inlineStr">
        <is>
          <t>Strategic</t>
        </is>
      </c>
    </row>
    <row r="65">
      <c r="A65" t="inlineStr">
        <is>
          <t>SUP-0064</t>
        </is>
      </c>
      <c r="B65" t="inlineStr">
        <is>
          <t>Metals Supplier 064</t>
        </is>
      </c>
      <c r="C65" t="inlineStr">
        <is>
          <t>Metals</t>
        </is>
      </c>
      <c r="D65" t="inlineStr">
        <is>
          <t>US</t>
        </is>
      </c>
      <c r="E65" t="b">
        <v>0</v>
      </c>
      <c r="F65" t="inlineStr">
        <is>
          <t>Active</t>
        </is>
      </c>
    </row>
    <row r="66">
      <c r="A66" t="inlineStr">
        <is>
          <t>SUP-0065</t>
        </is>
      </c>
      <c r="B66" t="inlineStr">
        <is>
          <t>Agriculture Supplier 065</t>
        </is>
      </c>
      <c r="C66" t="inlineStr">
        <is>
          <t>Agriculture</t>
        </is>
      </c>
      <c r="D66" t="inlineStr">
        <is>
          <t>US</t>
        </is>
      </c>
      <c r="E66" t="b">
        <v>1</v>
      </c>
      <c r="F66" t="inlineStr">
        <is>
          <t>Active</t>
        </is>
      </c>
    </row>
    <row r="67">
      <c r="A67" t="inlineStr">
        <is>
          <t>SUP-0066</t>
        </is>
      </c>
      <c r="B67" t="inlineStr">
        <is>
          <t>Electronics Supplier 066</t>
        </is>
      </c>
      <c r="C67" t="inlineStr">
        <is>
          <t>Electronics</t>
        </is>
      </c>
      <c r="D67" t="inlineStr">
        <is>
          <t>JP</t>
        </is>
      </c>
      <c r="E67" t="b">
        <v>0</v>
      </c>
      <c r="F67" t="inlineStr">
        <is>
          <t>Watchlist</t>
        </is>
      </c>
    </row>
    <row r="68">
      <c r="A68" t="inlineStr">
        <is>
          <t>SUP-0067</t>
        </is>
      </c>
      <c r="B68" t="inlineStr">
        <is>
          <t>Professional Supplier 067</t>
        </is>
      </c>
      <c r="C68" t="inlineStr">
        <is>
          <t>Professional Services</t>
        </is>
      </c>
      <c r="D68" t="inlineStr">
        <is>
          <t>UK</t>
        </is>
      </c>
      <c r="E68" t="b">
        <v>1</v>
      </c>
      <c r="F68" t="inlineStr">
        <is>
          <t>Strategic</t>
        </is>
      </c>
    </row>
    <row r="69">
      <c r="A69" t="inlineStr">
        <is>
          <t>SUP-0068</t>
        </is>
      </c>
      <c r="B69" t="inlineStr">
        <is>
          <t>Agriculture Supplier 068</t>
        </is>
      </c>
      <c r="C69" t="inlineStr">
        <is>
          <t>Agriculture</t>
        </is>
      </c>
      <c r="D69" t="inlineStr">
        <is>
          <t>US</t>
        </is>
      </c>
      <c r="E69" t="b">
        <v>1</v>
      </c>
      <c r="F69" t="inlineStr">
        <is>
          <t>Strategic</t>
        </is>
      </c>
    </row>
    <row r="70">
      <c r="A70" t="inlineStr">
        <is>
          <t>SUP-0069</t>
        </is>
      </c>
      <c r="B70" t="inlineStr">
        <is>
          <t>Chemicals Supplier 069</t>
        </is>
      </c>
      <c r="C70" t="inlineStr">
        <is>
          <t>Chemicals</t>
        </is>
      </c>
      <c r="D70" t="inlineStr">
        <is>
          <t>UK</t>
        </is>
      </c>
      <c r="E70" t="b">
        <v>1</v>
      </c>
      <c r="F70" t="inlineStr">
        <is>
          <t>Active</t>
        </is>
      </c>
    </row>
    <row r="71">
      <c r="A71" t="inlineStr">
        <is>
          <t>SUP-0070</t>
        </is>
      </c>
      <c r="B71" t="inlineStr">
        <is>
          <t>Agriculture Supplier 070</t>
        </is>
      </c>
      <c r="C71" t="inlineStr">
        <is>
          <t>Agriculture</t>
        </is>
      </c>
      <c r="D71" t="inlineStr">
        <is>
          <t>BR</t>
        </is>
      </c>
      <c r="E71" t="b">
        <v>0</v>
      </c>
      <c r="F71" t="inlineStr">
        <is>
          <t>Active</t>
        </is>
      </c>
    </row>
    <row r="72">
      <c r="A72" t="inlineStr">
        <is>
          <t>SUP-0071</t>
        </is>
      </c>
      <c r="B72" t="inlineStr">
        <is>
          <t>Chemicals Supplier 071</t>
        </is>
      </c>
      <c r="C72" t="inlineStr">
        <is>
          <t>Chemicals</t>
        </is>
      </c>
      <c r="D72" t="inlineStr">
        <is>
          <t>CN</t>
        </is>
      </c>
      <c r="E72" t="b">
        <v>1</v>
      </c>
      <c r="F72" t="inlineStr">
        <is>
          <t>Active</t>
        </is>
      </c>
    </row>
    <row r="73">
      <c r="A73" t="inlineStr">
        <is>
          <t>SUP-0072</t>
        </is>
      </c>
      <c r="B73" t="inlineStr">
        <is>
          <t>Electronics Supplier 072</t>
        </is>
      </c>
      <c r="C73" t="inlineStr">
        <is>
          <t>Electronics</t>
        </is>
      </c>
      <c r="D73" t="inlineStr">
        <is>
          <t>MX</t>
        </is>
      </c>
      <c r="E73" t="b">
        <v>0</v>
      </c>
      <c r="F73" t="inlineStr">
        <is>
          <t>Active</t>
        </is>
      </c>
    </row>
    <row r="74">
      <c r="A74" t="inlineStr">
        <is>
          <t>SUP-0073</t>
        </is>
      </c>
      <c r="B74" t="inlineStr">
        <is>
          <t>Packaging Supplier 073</t>
        </is>
      </c>
      <c r="C74" t="inlineStr">
        <is>
          <t>Packaging</t>
        </is>
      </c>
      <c r="D74" t="inlineStr">
        <is>
          <t>DE</t>
        </is>
      </c>
      <c r="E74" t="b">
        <v>1</v>
      </c>
      <c r="F74" t="inlineStr">
        <is>
          <t>Active</t>
        </is>
      </c>
    </row>
    <row r="75">
      <c r="A75" t="inlineStr">
        <is>
          <t>SUP-0074</t>
        </is>
      </c>
      <c r="B75" t="inlineStr">
        <is>
          <t>Agriculture Supplier 074</t>
        </is>
      </c>
      <c r="C75" t="inlineStr">
        <is>
          <t>Agriculture</t>
        </is>
      </c>
      <c r="D75" t="inlineStr">
        <is>
          <t>UK</t>
        </is>
      </c>
      <c r="E75" t="b">
        <v>1</v>
      </c>
      <c r="F75" t="inlineStr">
        <is>
          <t>Active</t>
        </is>
      </c>
    </row>
    <row r="76">
      <c r="A76" t="inlineStr">
        <is>
          <t>SUP-0075</t>
        </is>
      </c>
      <c r="B76" t="inlineStr">
        <is>
          <t>Metals Supplier 075</t>
        </is>
      </c>
      <c r="C76" t="inlineStr">
        <is>
          <t>Metals</t>
        </is>
      </c>
      <c r="D76" t="inlineStr">
        <is>
          <t>BR</t>
        </is>
      </c>
      <c r="E76" t="b">
        <v>1</v>
      </c>
      <c r="F76" t="inlineStr">
        <is>
          <t>Strategic</t>
        </is>
      </c>
    </row>
    <row r="77">
      <c r="A77" t="inlineStr">
        <is>
          <t>SUP-0076</t>
        </is>
      </c>
      <c r="B77" t="inlineStr">
        <is>
          <t>Chemicals Supplier 076</t>
        </is>
      </c>
      <c r="C77" t="inlineStr">
        <is>
          <t>Chemicals</t>
        </is>
      </c>
      <c r="D77" t="inlineStr">
        <is>
          <t>IN</t>
        </is>
      </c>
      <c r="E77" t="b">
        <v>1</v>
      </c>
      <c r="F77" t="inlineStr">
        <is>
          <t>Strategic</t>
        </is>
      </c>
    </row>
    <row r="78">
      <c r="A78" t="inlineStr">
        <is>
          <t>SUP-0077</t>
        </is>
      </c>
      <c r="B78" t="inlineStr">
        <is>
          <t>Packaging Supplier 077</t>
        </is>
      </c>
      <c r="C78" t="inlineStr">
        <is>
          <t>Packaging</t>
        </is>
      </c>
      <c r="D78" t="inlineStr">
        <is>
          <t>DE</t>
        </is>
      </c>
      <c r="E78" t="b">
        <v>1</v>
      </c>
      <c r="F78" t="inlineStr">
        <is>
          <t>Active</t>
        </is>
      </c>
    </row>
    <row r="79">
      <c r="A79" t="inlineStr">
        <is>
          <t>SUP-0078</t>
        </is>
      </c>
      <c r="B79" t="inlineStr">
        <is>
          <t>Metals Supplier 078</t>
        </is>
      </c>
      <c r="C79" t="inlineStr">
        <is>
          <t>Metals</t>
        </is>
      </c>
      <c r="D79" t="inlineStr">
        <is>
          <t>US</t>
        </is>
      </c>
      <c r="E79" t="b">
        <v>1</v>
      </c>
      <c r="F79" t="inlineStr">
        <is>
          <t>Active</t>
        </is>
      </c>
    </row>
    <row r="80">
      <c r="A80" t="inlineStr">
        <is>
          <t>SUP-0079</t>
        </is>
      </c>
      <c r="B80" t="inlineStr">
        <is>
          <t>Logistics Supplier 079</t>
        </is>
      </c>
      <c r="C80" t="inlineStr">
        <is>
          <t>Logistics</t>
        </is>
      </c>
      <c r="D80" t="inlineStr">
        <is>
          <t>DE</t>
        </is>
      </c>
      <c r="E80" t="b">
        <v>1</v>
      </c>
      <c r="F80" t="inlineStr">
        <is>
          <t>Active</t>
        </is>
      </c>
    </row>
    <row r="81">
      <c r="A81" t="inlineStr">
        <is>
          <t>SUP-0080</t>
        </is>
      </c>
      <c r="B81" t="inlineStr">
        <is>
          <t>Packaging Supplier 080</t>
        </is>
      </c>
      <c r="C81" t="inlineStr">
        <is>
          <t>Packaging</t>
        </is>
      </c>
      <c r="D81" t="inlineStr">
        <is>
          <t>MX</t>
        </is>
      </c>
      <c r="E81" t="b">
        <v>1</v>
      </c>
      <c r="F81" t="inlineStr">
        <is>
          <t>Active</t>
        </is>
      </c>
    </row>
    <row r="82">
      <c r="A82" t="inlineStr">
        <is>
          <t>SUP-0081</t>
        </is>
      </c>
      <c r="B82" t="inlineStr">
        <is>
          <t>Textiles Supplier 081</t>
        </is>
      </c>
      <c r="C82" t="inlineStr">
        <is>
          <t>Textiles</t>
        </is>
      </c>
      <c r="D82" t="inlineStr">
        <is>
          <t>BR</t>
        </is>
      </c>
      <c r="E82" t="b">
        <v>0</v>
      </c>
      <c r="F82" t="inlineStr">
        <is>
          <t>Strategic</t>
        </is>
      </c>
    </row>
    <row r="83">
      <c r="A83" t="inlineStr">
        <is>
          <t>SUP-0082</t>
        </is>
      </c>
      <c r="B83" t="inlineStr">
        <is>
          <t>Packaging Supplier 082</t>
        </is>
      </c>
      <c r="C83" t="inlineStr">
        <is>
          <t>Packaging</t>
        </is>
      </c>
      <c r="D83" t="inlineStr">
        <is>
          <t>US</t>
        </is>
      </c>
      <c r="E83" t="b">
        <v>1</v>
      </c>
      <c r="F83" t="inlineStr">
        <is>
          <t>Active</t>
        </is>
      </c>
    </row>
    <row r="84">
      <c r="A84" t="inlineStr">
        <is>
          <t>SUP-0083</t>
        </is>
      </c>
      <c r="B84" t="inlineStr">
        <is>
          <t>Logistics Supplier 083</t>
        </is>
      </c>
      <c r="C84" t="inlineStr">
        <is>
          <t>Logistics</t>
        </is>
      </c>
      <c r="D84" t="inlineStr">
        <is>
          <t>DE</t>
        </is>
      </c>
      <c r="E84" t="b">
        <v>0</v>
      </c>
      <c r="F84" t="inlineStr">
        <is>
          <t>Active</t>
        </is>
      </c>
    </row>
    <row r="85">
      <c r="A85" t="inlineStr">
        <is>
          <t>SUP-0084</t>
        </is>
      </c>
      <c r="B85" t="inlineStr">
        <is>
          <t>Chemicals Supplier 084</t>
        </is>
      </c>
      <c r="C85" t="inlineStr">
        <is>
          <t>Chemicals</t>
        </is>
      </c>
      <c r="D85" t="inlineStr">
        <is>
          <t>US</t>
        </is>
      </c>
      <c r="E85" t="b">
        <v>1</v>
      </c>
      <c r="F85" t="inlineStr">
        <is>
          <t>Active</t>
        </is>
      </c>
    </row>
    <row r="86">
      <c r="A86" t="inlineStr">
        <is>
          <t>SUP-0085</t>
        </is>
      </c>
      <c r="B86" t="inlineStr">
        <is>
          <t>Textiles Supplier 085</t>
        </is>
      </c>
      <c r="C86" t="inlineStr">
        <is>
          <t>Textiles</t>
        </is>
      </c>
      <c r="D86" t="inlineStr">
        <is>
          <t>US</t>
        </is>
      </c>
      <c r="E86" t="b">
        <v>0</v>
      </c>
      <c r="F86" t="inlineStr">
        <is>
          <t>Active</t>
        </is>
      </c>
    </row>
    <row r="87">
      <c r="A87" t="inlineStr">
        <is>
          <t>SUP-0086</t>
        </is>
      </c>
      <c r="B87" t="inlineStr">
        <is>
          <t>Metals Supplier 086</t>
        </is>
      </c>
      <c r="C87" t="inlineStr">
        <is>
          <t>Metals</t>
        </is>
      </c>
      <c r="D87" t="inlineStr">
        <is>
          <t>JP</t>
        </is>
      </c>
      <c r="E87" t="b">
        <v>1</v>
      </c>
      <c r="F87" t="inlineStr">
        <is>
          <t>Strategic</t>
        </is>
      </c>
    </row>
    <row r="88">
      <c r="A88" t="inlineStr">
        <is>
          <t>SUP-0087</t>
        </is>
      </c>
      <c r="B88" t="inlineStr">
        <is>
          <t>Agriculture Supplier 087</t>
        </is>
      </c>
      <c r="C88" t="inlineStr">
        <is>
          <t>Agriculture</t>
        </is>
      </c>
      <c r="D88" t="inlineStr">
        <is>
          <t>JP</t>
        </is>
      </c>
      <c r="E88" t="b">
        <v>0</v>
      </c>
      <c r="F88" t="inlineStr">
        <is>
          <t>Strategic</t>
        </is>
      </c>
    </row>
    <row r="89">
      <c r="A89" t="inlineStr">
        <is>
          <t>SUP-0088</t>
        </is>
      </c>
      <c r="B89" t="inlineStr">
        <is>
          <t>Packaging Supplier 088</t>
        </is>
      </c>
      <c r="C89" t="inlineStr">
        <is>
          <t>Packaging</t>
        </is>
      </c>
      <c r="D89" t="inlineStr">
        <is>
          <t>UK</t>
        </is>
      </c>
      <c r="E89" t="b">
        <v>0</v>
      </c>
      <c r="F89" t="inlineStr">
        <is>
          <t>Strategic</t>
        </is>
      </c>
    </row>
    <row r="90">
      <c r="A90" t="inlineStr">
        <is>
          <t>SUP-0089</t>
        </is>
      </c>
      <c r="B90" t="inlineStr">
        <is>
          <t>Professional Supplier 089</t>
        </is>
      </c>
      <c r="C90" t="inlineStr">
        <is>
          <t>Professional Services</t>
        </is>
      </c>
      <c r="D90" t="inlineStr">
        <is>
          <t>DE</t>
        </is>
      </c>
      <c r="E90" t="b">
        <v>1</v>
      </c>
      <c r="F90" t="inlineStr">
        <is>
          <t>Active</t>
        </is>
      </c>
    </row>
    <row r="91">
      <c r="A91" t="inlineStr">
        <is>
          <t>SUP-0090</t>
        </is>
      </c>
      <c r="B91" t="inlineStr">
        <is>
          <t>Textiles Supplier 090</t>
        </is>
      </c>
      <c r="C91" t="inlineStr">
        <is>
          <t>Textiles</t>
        </is>
      </c>
      <c r="D91" t="inlineStr">
        <is>
          <t>UK</t>
        </is>
      </c>
      <c r="E91" t="b">
        <v>1</v>
      </c>
      <c r="F91" t="inlineStr">
        <is>
          <t>Active</t>
        </is>
      </c>
    </row>
    <row r="92">
      <c r="A92" t="inlineStr">
        <is>
          <t>SUP-0091</t>
        </is>
      </c>
      <c r="B92" t="inlineStr">
        <is>
          <t>Professional Supplier 091</t>
        </is>
      </c>
      <c r="C92" t="inlineStr">
        <is>
          <t>Professional Services</t>
        </is>
      </c>
      <c r="D92" t="inlineStr">
        <is>
          <t>MX</t>
        </is>
      </c>
      <c r="E92" t="b">
        <v>1</v>
      </c>
      <c r="F92" t="inlineStr">
        <is>
          <t>Active</t>
        </is>
      </c>
    </row>
    <row r="93">
      <c r="A93" t="inlineStr">
        <is>
          <t>SUP-0092</t>
        </is>
      </c>
      <c r="B93" t="inlineStr">
        <is>
          <t>Metals Supplier 092</t>
        </is>
      </c>
      <c r="C93" t="inlineStr">
        <is>
          <t>Metals</t>
        </is>
      </c>
      <c r="D93" t="inlineStr">
        <is>
          <t>CN</t>
        </is>
      </c>
      <c r="E93" t="b">
        <v>1</v>
      </c>
      <c r="F93" t="inlineStr">
        <is>
          <t>Active</t>
        </is>
      </c>
    </row>
    <row r="94">
      <c r="A94" t="inlineStr">
        <is>
          <t>SUP-0093</t>
        </is>
      </c>
      <c r="B94" t="inlineStr">
        <is>
          <t>Chemicals Supplier 093</t>
        </is>
      </c>
      <c r="C94" t="inlineStr">
        <is>
          <t>Chemicals</t>
        </is>
      </c>
      <c r="D94" t="inlineStr">
        <is>
          <t>IN</t>
        </is>
      </c>
      <c r="E94" t="b">
        <v>1</v>
      </c>
      <c r="F94" t="inlineStr">
        <is>
          <t>Active</t>
        </is>
      </c>
    </row>
    <row r="95">
      <c r="A95" t="inlineStr">
        <is>
          <t>SUP-0094</t>
        </is>
      </c>
      <c r="B95" t="inlineStr">
        <is>
          <t>Metals Supplier 094</t>
        </is>
      </c>
      <c r="C95" t="inlineStr">
        <is>
          <t>Metals</t>
        </is>
      </c>
      <c r="D95" t="inlineStr">
        <is>
          <t>CN</t>
        </is>
      </c>
      <c r="E95" t="b">
        <v>0</v>
      </c>
      <c r="F95" t="inlineStr">
        <is>
          <t>Active</t>
        </is>
      </c>
    </row>
    <row r="96">
      <c r="A96" t="inlineStr">
        <is>
          <t>SUP-0095</t>
        </is>
      </c>
      <c r="B96" t="inlineStr">
        <is>
          <t>Agriculture Supplier 095</t>
        </is>
      </c>
      <c r="C96" t="inlineStr">
        <is>
          <t>Agriculture</t>
        </is>
      </c>
      <c r="D96" t="inlineStr">
        <is>
          <t>JP</t>
        </is>
      </c>
      <c r="E96" t="b">
        <v>0</v>
      </c>
      <c r="F96" t="inlineStr">
        <is>
          <t>Active</t>
        </is>
      </c>
    </row>
    <row r="97">
      <c r="A97" t="inlineStr">
        <is>
          <t>SUP-0096</t>
        </is>
      </c>
      <c r="B97" t="inlineStr">
        <is>
          <t>Agriculture Supplier 096</t>
        </is>
      </c>
      <c r="C97" t="inlineStr">
        <is>
          <t>Agriculture</t>
        </is>
      </c>
      <c r="D97" t="inlineStr">
        <is>
          <t>IN</t>
        </is>
      </c>
      <c r="E97" t="b">
        <v>1</v>
      </c>
      <c r="F97" t="inlineStr">
        <is>
          <t>Strategic</t>
        </is>
      </c>
    </row>
    <row r="98">
      <c r="A98" t="inlineStr">
        <is>
          <t>SUP-0097</t>
        </is>
      </c>
      <c r="B98" t="inlineStr">
        <is>
          <t>Metals Supplier 097</t>
        </is>
      </c>
      <c r="C98" t="inlineStr">
        <is>
          <t>Metals</t>
        </is>
      </c>
      <c r="D98" t="inlineStr">
        <is>
          <t>MX</t>
        </is>
      </c>
      <c r="E98" t="b">
        <v>0</v>
      </c>
      <c r="F98" t="inlineStr">
        <is>
          <t>Active</t>
        </is>
      </c>
    </row>
    <row r="99">
      <c r="A99" t="inlineStr">
        <is>
          <t>SUP-0098</t>
        </is>
      </c>
      <c r="B99" t="inlineStr">
        <is>
          <t>Agriculture Supplier 098</t>
        </is>
      </c>
      <c r="C99" t="inlineStr">
        <is>
          <t>Agriculture</t>
        </is>
      </c>
      <c r="D99" t="inlineStr">
        <is>
          <t>MX</t>
        </is>
      </c>
      <c r="E99" t="b">
        <v>1</v>
      </c>
      <c r="F99" t="inlineStr">
        <is>
          <t>Active</t>
        </is>
      </c>
    </row>
    <row r="100">
      <c r="A100" t="inlineStr">
        <is>
          <t>SUP-0099</t>
        </is>
      </c>
      <c r="B100" t="inlineStr">
        <is>
          <t>Electronics Supplier 099</t>
        </is>
      </c>
      <c r="C100" t="inlineStr">
        <is>
          <t>Electronics</t>
        </is>
      </c>
      <c r="D100" t="inlineStr">
        <is>
          <t>DE</t>
        </is>
      </c>
      <c r="E100" t="b">
        <v>0</v>
      </c>
      <c r="F100" t="inlineStr">
        <is>
          <t>Strategic</t>
        </is>
      </c>
    </row>
    <row r="101">
      <c r="A101" t="inlineStr">
        <is>
          <t>SUP-0100</t>
        </is>
      </c>
      <c r="B101" t="inlineStr">
        <is>
          <t>Textiles Supplier 100</t>
        </is>
      </c>
      <c r="C101" t="inlineStr">
        <is>
          <t>Textiles</t>
        </is>
      </c>
      <c r="D101" t="inlineStr">
        <is>
          <t>DE</t>
        </is>
      </c>
      <c r="E101" t="b">
        <v>0</v>
      </c>
      <c r="F10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Supplier_Industry</t>
        </is>
      </c>
      <c r="D1" t="inlineStr">
        <is>
          <t>Supplier_Year</t>
        </is>
      </c>
      <c r="E1" t="inlineStr">
        <is>
          <t>Gross_Spend</t>
        </is>
      </c>
      <c r="F1" t="inlineStr">
        <is>
          <t>Revenue</t>
        </is>
      </c>
      <c r="G1" t="inlineStr">
        <is>
          <t>Reported_Emissions</t>
        </is>
      </c>
      <c r="H1" t="inlineStr">
        <is>
          <t>Total_Emission_Value</t>
        </is>
      </c>
      <c r="I1" t="inlineStr">
        <is>
          <t>Scope1_Emission</t>
        </is>
      </c>
      <c r="J1" t="inlineStr">
        <is>
          <t>Scope2_Emission</t>
        </is>
      </c>
      <c r="K1" t="inlineStr">
        <is>
          <t>Scope3_Emission</t>
        </is>
      </c>
      <c r="L1" t="inlineStr">
        <is>
          <t>Baseline_Year</t>
        </is>
      </c>
      <c r="M1" t="inlineStr">
        <is>
          <t>Target_Year</t>
        </is>
      </c>
      <c r="N1" t="inlineStr">
        <is>
          <t>Target_Reduction_Percentage</t>
        </is>
      </c>
      <c r="O1" t="inlineStr">
        <is>
          <t>Interim_Target_Reduction_Percentage</t>
        </is>
      </c>
      <c r="P1" t="inlineStr">
        <is>
          <t>Industry_Baseline_Year</t>
        </is>
      </c>
      <c r="Q1" t="inlineStr">
        <is>
          <t>Industry_Target_Year</t>
        </is>
      </c>
      <c r="R1" t="inlineStr">
        <is>
          <t>Industry_Reduction_Percentage</t>
        </is>
      </c>
      <c r="S1" t="inlineStr">
        <is>
          <t>Industry_Emission_Factor</t>
        </is>
      </c>
      <c r="T1" t="inlineStr">
        <is>
          <t>Spend_Based_Emission_Factor</t>
        </is>
      </c>
      <c r="U1" t="inlineStr">
        <is>
          <t>Revenue_Based_Emission_Intensity</t>
        </is>
      </c>
    </row>
    <row r="2">
      <c r="A2" t="inlineStr">
        <is>
          <t>SUP-0001</t>
        </is>
      </c>
      <c r="B2" t="inlineStr">
        <is>
          <t>Professional Supplier 001</t>
        </is>
      </c>
      <c r="C2" t="inlineStr">
        <is>
          <t>Professional Services</t>
        </is>
      </c>
      <c r="D2" t="n">
        <v>2015</v>
      </c>
      <c r="E2" t="n">
        <v>8929709.460000001</v>
      </c>
      <c r="F2" t="n">
        <v>14715731.77</v>
      </c>
      <c r="G2" t="n">
        <v>861.0205999999999</v>
      </c>
      <c r="H2" t="n">
        <v>861.0205999999999</v>
      </c>
      <c r="I2" t="n">
        <v>195.7142</v>
      </c>
      <c r="J2" t="n">
        <v>60.2963</v>
      </c>
      <c r="K2" t="n">
        <v>583.9106</v>
      </c>
      <c r="L2" t="n">
        <v>2021</v>
      </c>
      <c r="M2" t="n">
        <v>2040</v>
      </c>
      <c r="N2" t="n">
        <v>0.478</v>
      </c>
      <c r="O2" t="n">
        <v>0.2876</v>
      </c>
      <c r="P2" t="n">
        <v>2020</v>
      </c>
      <c r="Q2" t="inlineStr"/>
      <c r="R2" t="inlineStr"/>
      <c r="S2" t="n">
        <v>400.0326</v>
      </c>
      <c r="T2" t="n">
        <v>0.00012906</v>
      </c>
      <c r="U2" t="n">
        <v>0.00019658</v>
      </c>
    </row>
    <row r="3">
      <c r="A3" t="inlineStr">
        <is>
          <t>SUP-0001</t>
        </is>
      </c>
      <c r="B3" t="inlineStr">
        <is>
          <t>Professional Supplier 001</t>
        </is>
      </c>
      <c r="C3" t="inlineStr">
        <is>
          <t>Professional Services</t>
        </is>
      </c>
      <c r="D3" t="n">
        <v>2016</v>
      </c>
      <c r="E3" t="n">
        <v>8058644.32</v>
      </c>
      <c r="F3" t="n">
        <v>20293448.65</v>
      </c>
      <c r="G3" t="n">
        <v>625.7589</v>
      </c>
      <c r="H3" t="n">
        <v>625.7589</v>
      </c>
      <c r="I3" t="n">
        <v>132.5924</v>
      </c>
      <c r="J3" t="n">
        <v>103.3699</v>
      </c>
      <c r="K3" t="n">
        <v>357.3145</v>
      </c>
      <c r="L3" t="n">
        <v>2021</v>
      </c>
      <c r="M3" t="n">
        <v>2040</v>
      </c>
      <c r="N3" t="n">
        <v>0.478</v>
      </c>
      <c r="O3" t="n">
        <v>0.2876</v>
      </c>
      <c r="P3" t="n">
        <v>2020</v>
      </c>
      <c r="Q3" t="inlineStr"/>
      <c r="R3" t="inlineStr"/>
      <c r="S3" t="n">
        <v>400.0326</v>
      </c>
      <c r="T3" t="n">
        <v>0.00012906</v>
      </c>
      <c r="U3" t="n">
        <v>0.00019658</v>
      </c>
    </row>
    <row r="4">
      <c r="A4" t="inlineStr">
        <is>
          <t>SUP-0001</t>
        </is>
      </c>
      <c r="B4" t="inlineStr">
        <is>
          <t>Professional Supplier 001</t>
        </is>
      </c>
      <c r="C4" t="inlineStr">
        <is>
          <t>Professional Services</t>
        </is>
      </c>
      <c r="D4" t="n">
        <v>2017</v>
      </c>
      <c r="E4" t="n">
        <v>9417684.77</v>
      </c>
      <c r="F4" t="n">
        <v>23571903.73</v>
      </c>
      <c r="G4" t="n">
        <v>739.6495</v>
      </c>
      <c r="H4" t="n">
        <v>739.6495</v>
      </c>
      <c r="I4" t="n">
        <v>59.7084</v>
      </c>
      <c r="J4" t="n">
        <v>108.5578</v>
      </c>
      <c r="K4" t="n">
        <v>574.7995</v>
      </c>
      <c r="L4" t="n">
        <v>2021</v>
      </c>
      <c r="M4" t="n">
        <v>2040</v>
      </c>
      <c r="N4" t="n">
        <v>0.478</v>
      </c>
      <c r="O4" t="n">
        <v>0.2876</v>
      </c>
      <c r="P4" t="n">
        <v>2020</v>
      </c>
      <c r="Q4" t="inlineStr"/>
      <c r="R4" t="inlineStr"/>
      <c r="S4" t="n">
        <v>400.0326</v>
      </c>
      <c r="T4" t="n">
        <v>0.00012906</v>
      </c>
      <c r="U4" t="n">
        <v>0.00019658</v>
      </c>
    </row>
    <row r="5">
      <c r="A5" t="inlineStr">
        <is>
          <t>SUP-0001</t>
        </is>
      </c>
      <c r="B5" t="inlineStr">
        <is>
          <t>Professional Supplier 001</t>
        </is>
      </c>
      <c r="C5" t="inlineStr">
        <is>
          <t>Professional Services</t>
        </is>
      </c>
      <c r="D5" t="n">
        <v>2018</v>
      </c>
      <c r="E5" t="n">
        <v>9654240.4</v>
      </c>
      <c r="F5" t="n">
        <v>17715731.68</v>
      </c>
      <c r="G5" t="n">
        <v>942.8898</v>
      </c>
      <c r="H5" t="n">
        <v>942.8898</v>
      </c>
      <c r="I5" t="n">
        <v>224.324</v>
      </c>
      <c r="J5" t="n">
        <v>101.4968</v>
      </c>
      <c r="K5" t="n">
        <v>604.2606</v>
      </c>
      <c r="L5" t="n">
        <v>2021</v>
      </c>
      <c r="M5" t="n">
        <v>2040</v>
      </c>
      <c r="N5" t="n">
        <v>0.478</v>
      </c>
      <c r="O5" t="n">
        <v>0.2876</v>
      </c>
      <c r="P5" t="n">
        <v>2020</v>
      </c>
      <c r="Q5" t="inlineStr"/>
      <c r="R5" t="inlineStr"/>
      <c r="S5" t="n">
        <v>400.0326</v>
      </c>
      <c r="T5" t="n">
        <v>0.00012906</v>
      </c>
      <c r="U5" t="n">
        <v>0.00019658</v>
      </c>
    </row>
    <row r="6">
      <c r="A6" t="inlineStr">
        <is>
          <t>SUP-0001</t>
        </is>
      </c>
      <c r="B6" t="inlineStr">
        <is>
          <t>Professional Supplier 001</t>
        </is>
      </c>
      <c r="C6" t="inlineStr">
        <is>
          <t>Professional Services</t>
        </is>
      </c>
      <c r="D6" t="n">
        <v>2019</v>
      </c>
      <c r="E6" t="n">
        <v>11716475.76</v>
      </c>
      <c r="F6" t="n">
        <v>22734685.87</v>
      </c>
      <c r="G6" t="n">
        <v>794.7667</v>
      </c>
      <c r="H6" t="n">
        <v>794.7667</v>
      </c>
      <c r="I6" t="n">
        <v>188.2817</v>
      </c>
      <c r="J6" t="n">
        <v>168.7676</v>
      </c>
      <c r="K6" t="n">
        <v>416.0885</v>
      </c>
      <c r="L6" t="n">
        <v>2021</v>
      </c>
      <c r="M6" t="n">
        <v>2040</v>
      </c>
      <c r="N6" t="n">
        <v>0.478</v>
      </c>
      <c r="O6" t="n">
        <v>0.2876</v>
      </c>
      <c r="P6" t="n">
        <v>2020</v>
      </c>
      <c r="Q6" t="inlineStr"/>
      <c r="R6" t="inlineStr"/>
      <c r="S6" t="n">
        <v>400.0326</v>
      </c>
      <c r="T6" t="n">
        <v>0.00012906</v>
      </c>
      <c r="U6" t="n">
        <v>0.00019658</v>
      </c>
    </row>
    <row r="7">
      <c r="A7" t="inlineStr">
        <is>
          <t>SUP-0001</t>
        </is>
      </c>
      <c r="B7" t="inlineStr">
        <is>
          <t>Professional Supplier 001</t>
        </is>
      </c>
      <c r="C7" t="inlineStr">
        <is>
          <t>Professional Services</t>
        </is>
      </c>
      <c r="D7" t="n">
        <v>2020</v>
      </c>
      <c r="E7" t="n">
        <v>12062470.15</v>
      </c>
      <c r="F7" t="n">
        <v>20630532.84</v>
      </c>
      <c r="G7" t="n">
        <v>1122.4783</v>
      </c>
      <c r="H7" t="n">
        <v>1122.4783</v>
      </c>
      <c r="I7" t="n">
        <v>120.1681</v>
      </c>
      <c r="J7" t="n">
        <v>140.1851</v>
      </c>
      <c r="K7" t="n">
        <v>909.4936</v>
      </c>
      <c r="L7" t="n">
        <v>2021</v>
      </c>
      <c r="M7" t="n">
        <v>2040</v>
      </c>
      <c r="N7" t="n">
        <v>0.478</v>
      </c>
      <c r="O7" t="n">
        <v>0.2876</v>
      </c>
      <c r="P7" t="n">
        <v>2020</v>
      </c>
      <c r="Q7" t="inlineStr"/>
      <c r="R7" t="inlineStr"/>
      <c r="S7" t="n">
        <v>400.0326</v>
      </c>
      <c r="T7" t="n">
        <v>0.00012906</v>
      </c>
      <c r="U7" t="n">
        <v>0.00019658</v>
      </c>
    </row>
    <row r="8">
      <c r="A8" t="inlineStr">
        <is>
          <t>SUP-0001</t>
        </is>
      </c>
      <c r="B8" t="inlineStr">
        <is>
          <t>Professional Supplier 001</t>
        </is>
      </c>
      <c r="C8" t="inlineStr">
        <is>
          <t>Professional Services</t>
        </is>
      </c>
      <c r="D8" t="n">
        <v>2021</v>
      </c>
      <c r="E8" t="n">
        <v>13887283.88</v>
      </c>
      <c r="F8" t="n">
        <v>26196286.22</v>
      </c>
      <c r="G8" t="n">
        <v>799.0691</v>
      </c>
      <c r="H8" t="n">
        <v>799.0691</v>
      </c>
      <c r="I8" t="n">
        <v>194.798</v>
      </c>
      <c r="J8" t="n">
        <v>124.877</v>
      </c>
      <c r="K8" t="n">
        <v>505.039</v>
      </c>
      <c r="L8" t="n">
        <v>2021</v>
      </c>
      <c r="M8" t="n">
        <v>2040</v>
      </c>
      <c r="N8" t="n">
        <v>0.478</v>
      </c>
      <c r="O8" t="n">
        <v>0.2876</v>
      </c>
      <c r="P8" t="n">
        <v>2020</v>
      </c>
      <c r="Q8" t="inlineStr"/>
      <c r="R8" t="inlineStr"/>
      <c r="S8" t="n">
        <v>400.0326</v>
      </c>
      <c r="T8" t="n">
        <v>0.00012906</v>
      </c>
      <c r="U8" t="n">
        <v>0.00019658</v>
      </c>
    </row>
    <row r="9">
      <c r="A9" t="inlineStr">
        <is>
          <t>SUP-0001</t>
        </is>
      </c>
      <c r="B9" t="inlineStr">
        <is>
          <t>Professional Supplier 001</t>
        </is>
      </c>
      <c r="C9" t="inlineStr">
        <is>
          <t>Professional Services</t>
        </is>
      </c>
      <c r="D9" t="n">
        <v>2022</v>
      </c>
      <c r="E9" t="n">
        <v>12897527.16</v>
      </c>
      <c r="F9" t="n">
        <v>22352818.62</v>
      </c>
      <c r="G9" t="n">
        <v>1167.0447</v>
      </c>
      <c r="H9" t="n">
        <v>1167.0447</v>
      </c>
      <c r="I9" t="n">
        <v>215.6192</v>
      </c>
      <c r="J9" t="n">
        <v>117.8514</v>
      </c>
      <c r="K9" t="n">
        <v>733.6514</v>
      </c>
      <c r="L9" t="n">
        <v>2021</v>
      </c>
      <c r="M9" t="n">
        <v>2040</v>
      </c>
      <c r="N9" t="n">
        <v>0.478</v>
      </c>
      <c r="O9" t="n">
        <v>0.2876</v>
      </c>
      <c r="P9" t="n">
        <v>2020</v>
      </c>
      <c r="Q9" t="inlineStr"/>
      <c r="R9" t="inlineStr"/>
      <c r="S9" t="n">
        <v>400.0326</v>
      </c>
      <c r="T9" t="n">
        <v>0.00012906</v>
      </c>
      <c r="U9" t="n">
        <v>0.00019658</v>
      </c>
    </row>
    <row r="10">
      <c r="A10" t="inlineStr">
        <is>
          <t>SUP-0001</t>
        </is>
      </c>
      <c r="B10" t="inlineStr">
        <is>
          <t>Professional Supplier 001</t>
        </is>
      </c>
      <c r="C10" t="inlineStr">
        <is>
          <t>Professional Services</t>
        </is>
      </c>
      <c r="D10" t="n">
        <v>2023</v>
      </c>
      <c r="E10" t="n">
        <v>14756108.85</v>
      </c>
      <c r="F10" t="n">
        <v>31573987.56</v>
      </c>
      <c r="G10" t="n">
        <v>1234.4554</v>
      </c>
      <c r="H10" t="n">
        <v>1234.4554</v>
      </c>
      <c r="I10" t="n">
        <v>206.4269</v>
      </c>
      <c r="J10" t="n">
        <v>258.8131</v>
      </c>
      <c r="K10" t="n">
        <v>714.2435</v>
      </c>
      <c r="L10" t="n">
        <v>2021</v>
      </c>
      <c r="M10" t="n">
        <v>2040</v>
      </c>
      <c r="N10" t="n">
        <v>0.478</v>
      </c>
      <c r="O10" t="n">
        <v>0.2876</v>
      </c>
      <c r="P10" t="n">
        <v>2020</v>
      </c>
      <c r="Q10" t="inlineStr"/>
      <c r="R10" t="inlineStr"/>
      <c r="S10" t="n">
        <v>400.0326</v>
      </c>
      <c r="T10" t="n">
        <v>0.00012906</v>
      </c>
      <c r="U10" t="n">
        <v>0.00019658</v>
      </c>
    </row>
    <row r="11">
      <c r="A11" t="inlineStr">
        <is>
          <t>SUP-0001</t>
        </is>
      </c>
      <c r="B11" t="inlineStr">
        <is>
          <t>Professional Supplier 001</t>
        </is>
      </c>
      <c r="C11" t="inlineStr">
        <is>
          <t>Professional Services</t>
        </is>
      </c>
      <c r="D11" t="n">
        <v>2024</v>
      </c>
      <c r="E11" t="n">
        <v>14659284.07</v>
      </c>
      <c r="F11" t="n">
        <v>38852519.79</v>
      </c>
      <c r="G11" t="n">
        <v>996.923</v>
      </c>
      <c r="H11" t="n">
        <v>996.923</v>
      </c>
      <c r="I11" t="n">
        <v>170.7065</v>
      </c>
      <c r="J11" t="n">
        <v>70.4457</v>
      </c>
      <c r="K11" t="n">
        <v>823.8057</v>
      </c>
      <c r="L11" t="n">
        <v>2021</v>
      </c>
      <c r="M11" t="n">
        <v>2040</v>
      </c>
      <c r="N11" t="n">
        <v>0.478</v>
      </c>
      <c r="O11" t="n">
        <v>0.2876</v>
      </c>
      <c r="P11" t="n">
        <v>2020</v>
      </c>
      <c r="Q11" t="inlineStr"/>
      <c r="R11" t="inlineStr"/>
      <c r="S11" t="n">
        <v>400.0326</v>
      </c>
      <c r="T11" t="n">
        <v>0.00012906</v>
      </c>
      <c r="U11" t="n">
        <v>0.00019658</v>
      </c>
    </row>
    <row r="12">
      <c r="A12" t="inlineStr">
        <is>
          <t>SUP-0002</t>
        </is>
      </c>
      <c r="B12" t="inlineStr">
        <is>
          <t>Textiles Supplier 002</t>
        </is>
      </c>
      <c r="C12" t="inlineStr">
        <is>
          <t>Textiles</t>
        </is>
      </c>
      <c r="D12" t="n">
        <v>2015</v>
      </c>
      <c r="E12" t="n">
        <v>1770328.1</v>
      </c>
      <c r="F12" t="n">
        <v>8439368.800000001</v>
      </c>
      <c r="G12" t="n">
        <v>499.0619</v>
      </c>
      <c r="H12" t="n">
        <v>499.0619</v>
      </c>
      <c r="I12" t="n">
        <v>58.5424</v>
      </c>
      <c r="J12" t="n">
        <v>53.6096</v>
      </c>
      <c r="K12" t="n">
        <v>373.7621</v>
      </c>
      <c r="L12" t="n">
        <v>2021</v>
      </c>
      <c r="M12" t="n">
        <v>2040</v>
      </c>
      <c r="N12" t="n">
        <v>0.3164</v>
      </c>
      <c r="O12" t="n">
        <v>0.1385</v>
      </c>
      <c r="P12" t="n">
        <v>2019</v>
      </c>
      <c r="Q12" t="n">
        <v>2030</v>
      </c>
      <c r="R12" t="n">
        <v>0.3171</v>
      </c>
      <c r="S12" t="n">
        <v>401.7335</v>
      </c>
      <c r="T12" t="n">
        <v>0.00029221</v>
      </c>
      <c r="U12" t="n">
        <v>0.00017343</v>
      </c>
    </row>
    <row r="13">
      <c r="A13" t="inlineStr">
        <is>
          <t>SUP-0002</t>
        </is>
      </c>
      <c r="B13" t="inlineStr">
        <is>
          <t>Textiles Supplier 002</t>
        </is>
      </c>
      <c r="C13" t="inlineStr">
        <is>
          <t>Textiles</t>
        </is>
      </c>
      <c r="D13" t="n">
        <v>2016</v>
      </c>
      <c r="E13" t="n">
        <v>1790052.2</v>
      </c>
      <c r="F13" t="n">
        <v>7431301.54</v>
      </c>
      <c r="G13" t="n">
        <v>499.5827</v>
      </c>
      <c r="H13" t="n">
        <v>499.5827</v>
      </c>
      <c r="I13" t="n">
        <v>69.348</v>
      </c>
      <c r="J13" t="n">
        <v>59.7784</v>
      </c>
      <c r="K13" t="n">
        <v>345.2596</v>
      </c>
      <c r="L13" t="n">
        <v>2021</v>
      </c>
      <c r="M13" t="n">
        <v>2040</v>
      </c>
      <c r="N13" t="n">
        <v>0.3164</v>
      </c>
      <c r="O13" t="n">
        <v>0.1385</v>
      </c>
      <c r="P13" t="n">
        <v>2019</v>
      </c>
      <c r="Q13" t="n">
        <v>2030</v>
      </c>
      <c r="R13" t="n">
        <v>0.3171</v>
      </c>
      <c r="S13" t="n">
        <v>401.7335</v>
      </c>
      <c r="T13" t="n">
        <v>0.00029221</v>
      </c>
      <c r="U13" t="n">
        <v>0.00017343</v>
      </c>
    </row>
    <row r="14">
      <c r="A14" t="inlineStr">
        <is>
          <t>SUP-0002</t>
        </is>
      </c>
      <c r="B14" t="inlineStr">
        <is>
          <t>Textiles Supplier 002</t>
        </is>
      </c>
      <c r="C14" t="inlineStr">
        <is>
          <t>Textiles</t>
        </is>
      </c>
      <c r="D14" t="n">
        <v>2017</v>
      </c>
      <c r="E14" t="n">
        <v>1589094.76</v>
      </c>
      <c r="F14" t="n">
        <v>6542947.16</v>
      </c>
      <c r="G14" t="n">
        <v>589.2366</v>
      </c>
      <c r="H14" t="n">
        <v>589.2366</v>
      </c>
      <c r="I14" t="n">
        <v>82.97629999999999</v>
      </c>
      <c r="J14" t="n">
        <v>118.6589</v>
      </c>
      <c r="K14" t="n">
        <v>384.2626</v>
      </c>
      <c r="L14" t="n">
        <v>2021</v>
      </c>
      <c r="M14" t="n">
        <v>2040</v>
      </c>
      <c r="N14" t="n">
        <v>0.3164</v>
      </c>
      <c r="O14" t="n">
        <v>0.1385</v>
      </c>
      <c r="P14" t="n">
        <v>2019</v>
      </c>
      <c r="Q14" t="n">
        <v>2030</v>
      </c>
      <c r="R14" t="n">
        <v>0.3171</v>
      </c>
      <c r="S14" t="n">
        <v>401.7335</v>
      </c>
      <c r="T14" t="n">
        <v>0.00029221</v>
      </c>
      <c r="U14" t="n">
        <v>0.00017343</v>
      </c>
    </row>
    <row r="15">
      <c r="A15" t="inlineStr">
        <is>
          <t>SUP-0002</t>
        </is>
      </c>
      <c r="B15" t="inlineStr">
        <is>
          <t>Textiles Supplier 002</t>
        </is>
      </c>
      <c r="C15" t="inlineStr">
        <is>
          <t>Textiles</t>
        </is>
      </c>
      <c r="D15" t="n">
        <v>2018</v>
      </c>
      <c r="E15" t="n">
        <v>1791485.54</v>
      </c>
      <c r="F15" t="n">
        <v>8389559.220000001</v>
      </c>
      <c r="G15" t="n">
        <v>605.8899</v>
      </c>
      <c r="H15" t="n">
        <v>605.8899</v>
      </c>
      <c r="I15" t="n">
        <v>64.7509</v>
      </c>
      <c r="J15" t="n">
        <v>35.0649</v>
      </c>
      <c r="K15" t="n">
        <v>486.9595</v>
      </c>
      <c r="L15" t="n">
        <v>2021</v>
      </c>
      <c r="M15" t="n">
        <v>2040</v>
      </c>
      <c r="N15" t="n">
        <v>0.3164</v>
      </c>
      <c r="O15" t="n">
        <v>0.1385</v>
      </c>
      <c r="P15" t="n">
        <v>2019</v>
      </c>
      <c r="Q15" t="n">
        <v>2030</v>
      </c>
      <c r="R15" t="n">
        <v>0.3171</v>
      </c>
      <c r="S15" t="n">
        <v>401.7335</v>
      </c>
      <c r="T15" t="n">
        <v>0.00029221</v>
      </c>
      <c r="U15" t="n">
        <v>0.00017343</v>
      </c>
    </row>
    <row r="16">
      <c r="A16" t="inlineStr">
        <is>
          <t>SUP-0002</t>
        </is>
      </c>
      <c r="B16" t="inlineStr">
        <is>
          <t>Textiles Supplier 002</t>
        </is>
      </c>
      <c r="C16" t="inlineStr">
        <is>
          <t>Textiles</t>
        </is>
      </c>
      <c r="D16" t="n">
        <v>2019</v>
      </c>
      <c r="E16" t="n">
        <v>1559804.3</v>
      </c>
      <c r="F16" t="n">
        <v>7534341.52</v>
      </c>
      <c r="G16" t="n">
        <v>546.4897</v>
      </c>
      <c r="H16" t="n">
        <v>546.4897</v>
      </c>
      <c r="I16" t="n">
        <v>111.48</v>
      </c>
      <c r="J16" t="n">
        <v>46.314</v>
      </c>
      <c r="K16" t="n">
        <v>392.9195</v>
      </c>
      <c r="L16" t="n">
        <v>2021</v>
      </c>
      <c r="M16" t="n">
        <v>2040</v>
      </c>
      <c r="N16" t="n">
        <v>0.3164</v>
      </c>
      <c r="O16" t="n">
        <v>0.1385</v>
      </c>
      <c r="P16" t="n">
        <v>2019</v>
      </c>
      <c r="Q16" t="n">
        <v>2030</v>
      </c>
      <c r="R16" t="n">
        <v>0.3171</v>
      </c>
      <c r="S16" t="n">
        <v>401.7335</v>
      </c>
      <c r="T16" t="n">
        <v>0.00029221</v>
      </c>
      <c r="U16" t="n">
        <v>0.00017343</v>
      </c>
    </row>
    <row r="17">
      <c r="A17" t="inlineStr">
        <is>
          <t>SUP-0002</t>
        </is>
      </c>
      <c r="B17" t="inlineStr">
        <is>
          <t>Textiles Supplier 002</t>
        </is>
      </c>
      <c r="C17" t="inlineStr">
        <is>
          <t>Textiles</t>
        </is>
      </c>
      <c r="D17" t="n">
        <v>2020</v>
      </c>
      <c r="E17" t="n">
        <v>2148801.46</v>
      </c>
      <c r="F17" t="n">
        <v>8745123.380000001</v>
      </c>
      <c r="G17" t="n">
        <v>803.9844000000001</v>
      </c>
      <c r="H17" t="n">
        <v>803.9844000000001</v>
      </c>
      <c r="I17" t="n">
        <v>193.8878</v>
      </c>
      <c r="J17" t="n">
        <v>88.1413</v>
      </c>
      <c r="K17" t="n">
        <v>525.8351</v>
      </c>
      <c r="L17" t="n">
        <v>2021</v>
      </c>
      <c r="M17" t="n">
        <v>2040</v>
      </c>
      <c r="N17" t="n">
        <v>0.3164</v>
      </c>
      <c r="O17" t="n">
        <v>0.1385</v>
      </c>
      <c r="P17" t="n">
        <v>2019</v>
      </c>
      <c r="Q17" t="n">
        <v>2030</v>
      </c>
      <c r="R17" t="n">
        <v>0.3171</v>
      </c>
      <c r="S17" t="n">
        <v>401.7335</v>
      </c>
      <c r="T17" t="n">
        <v>0.00029221</v>
      </c>
      <c r="U17" t="n">
        <v>0.00017343</v>
      </c>
    </row>
    <row r="18">
      <c r="A18" t="inlineStr">
        <is>
          <t>SUP-0002</t>
        </is>
      </c>
      <c r="B18" t="inlineStr">
        <is>
          <t>Textiles Supplier 002</t>
        </is>
      </c>
      <c r="C18" t="inlineStr">
        <is>
          <t>Textiles</t>
        </is>
      </c>
      <c r="D18" t="n">
        <v>2021</v>
      </c>
      <c r="E18" t="n">
        <v>1954844.5</v>
      </c>
      <c r="F18" t="n">
        <v>9204133.109999999</v>
      </c>
      <c r="G18" t="n">
        <v>523.6636999999999</v>
      </c>
      <c r="H18" t="n">
        <v>523.6636999999999</v>
      </c>
      <c r="I18" t="n">
        <v>40.0254</v>
      </c>
      <c r="J18" t="n">
        <v>45.1173</v>
      </c>
      <c r="K18" t="n">
        <v>433.4619</v>
      </c>
      <c r="L18" t="n">
        <v>2021</v>
      </c>
      <c r="M18" t="n">
        <v>2040</v>
      </c>
      <c r="N18" t="n">
        <v>0.3164</v>
      </c>
      <c r="O18" t="n">
        <v>0.1385</v>
      </c>
      <c r="P18" t="n">
        <v>2019</v>
      </c>
      <c r="Q18" t="n">
        <v>2030</v>
      </c>
      <c r="R18" t="n">
        <v>0.3171</v>
      </c>
      <c r="S18" t="n">
        <v>401.7335</v>
      </c>
      <c r="T18" t="n">
        <v>0.00029221</v>
      </c>
      <c r="U18" t="n">
        <v>0.00017343</v>
      </c>
    </row>
    <row r="19">
      <c r="A19" t="inlineStr">
        <is>
          <t>SUP-0002</t>
        </is>
      </c>
      <c r="B19" t="inlineStr">
        <is>
          <t>Textiles Supplier 002</t>
        </is>
      </c>
      <c r="C19" t="inlineStr">
        <is>
          <t>Textiles</t>
        </is>
      </c>
      <c r="D19" t="n">
        <v>2022</v>
      </c>
      <c r="E19" t="n">
        <v>2076524.99</v>
      </c>
      <c r="F19" t="n">
        <v>8611039.42</v>
      </c>
      <c r="G19" t="n">
        <v>689.9704</v>
      </c>
      <c r="H19" t="n">
        <v>689.9704</v>
      </c>
      <c r="I19" t="n">
        <v>151.5974</v>
      </c>
      <c r="J19" t="n">
        <v>58.3124</v>
      </c>
      <c r="K19" t="n">
        <v>479.4331</v>
      </c>
      <c r="L19" t="n">
        <v>2021</v>
      </c>
      <c r="M19" t="n">
        <v>2040</v>
      </c>
      <c r="N19" t="n">
        <v>0.3164</v>
      </c>
      <c r="O19" t="n">
        <v>0.1385</v>
      </c>
      <c r="P19" t="n">
        <v>2019</v>
      </c>
      <c r="Q19" t="n">
        <v>2030</v>
      </c>
      <c r="R19" t="n">
        <v>0.3171</v>
      </c>
      <c r="S19" t="n">
        <v>401.7335</v>
      </c>
      <c r="T19" t="n">
        <v>0.00029221</v>
      </c>
      <c r="U19" t="n">
        <v>0.00017343</v>
      </c>
    </row>
    <row r="20">
      <c r="A20" t="inlineStr">
        <is>
          <t>SUP-0002</t>
        </is>
      </c>
      <c r="B20" t="inlineStr">
        <is>
          <t>Textiles Supplier 002</t>
        </is>
      </c>
      <c r="C20" t="inlineStr">
        <is>
          <t>Textiles</t>
        </is>
      </c>
      <c r="D20" t="n">
        <v>2023</v>
      </c>
      <c r="E20" t="n">
        <v>2023176.04</v>
      </c>
      <c r="F20" t="n">
        <v>10863173.79</v>
      </c>
      <c r="G20" t="n">
        <v>648.4259</v>
      </c>
      <c r="H20" t="n">
        <v>648.4259</v>
      </c>
      <c r="I20" t="n">
        <v>169.1121</v>
      </c>
      <c r="J20" t="n">
        <v>99.0613</v>
      </c>
      <c r="K20" t="n">
        <v>399.1243</v>
      </c>
      <c r="L20" t="n">
        <v>2021</v>
      </c>
      <c r="M20" t="n">
        <v>2040</v>
      </c>
      <c r="N20" t="n">
        <v>0.3164</v>
      </c>
      <c r="O20" t="n">
        <v>0.1385</v>
      </c>
      <c r="P20" t="n">
        <v>2019</v>
      </c>
      <c r="Q20" t="n">
        <v>2030</v>
      </c>
      <c r="R20" t="n">
        <v>0.3171</v>
      </c>
      <c r="S20" t="n">
        <v>401.7335</v>
      </c>
      <c r="T20" t="n">
        <v>0.00029221</v>
      </c>
      <c r="U20" t="n">
        <v>0.00017343</v>
      </c>
    </row>
    <row r="21">
      <c r="A21" t="inlineStr">
        <is>
          <t>SUP-0002</t>
        </is>
      </c>
      <c r="B21" t="inlineStr">
        <is>
          <t>Textiles Supplier 002</t>
        </is>
      </c>
      <c r="C21" t="inlineStr">
        <is>
          <t>Textiles</t>
        </is>
      </c>
      <c r="D21" t="n">
        <v>2024</v>
      </c>
      <c r="E21" t="n">
        <v>1961826.78</v>
      </c>
      <c r="F21" t="n">
        <v>7611105.33</v>
      </c>
      <c r="G21" t="n">
        <v>609.8191</v>
      </c>
      <c r="H21" t="n">
        <v>609.8191</v>
      </c>
      <c r="I21" t="n">
        <v>130.8505</v>
      </c>
      <c r="J21" t="n">
        <v>61.9081</v>
      </c>
      <c r="K21" t="n">
        <v>437.2972</v>
      </c>
      <c r="L21" t="n">
        <v>2021</v>
      </c>
      <c r="M21" t="n">
        <v>2040</v>
      </c>
      <c r="N21" t="n">
        <v>0.3164</v>
      </c>
      <c r="O21" t="n">
        <v>0.1385</v>
      </c>
      <c r="P21" t="n">
        <v>2019</v>
      </c>
      <c r="Q21" t="n">
        <v>2030</v>
      </c>
      <c r="R21" t="n">
        <v>0.3171</v>
      </c>
      <c r="S21" t="n">
        <v>401.7335</v>
      </c>
      <c r="T21" t="n">
        <v>0.00029221</v>
      </c>
      <c r="U21" t="n">
        <v>0.00017343</v>
      </c>
    </row>
    <row r="22">
      <c r="A22" t="inlineStr">
        <is>
          <t>SUP-0003</t>
        </is>
      </c>
      <c r="B22" t="inlineStr">
        <is>
          <t>Electronics Supplier 003</t>
        </is>
      </c>
      <c r="C22" t="inlineStr">
        <is>
          <t>Electronics</t>
        </is>
      </c>
      <c r="D22" t="n">
        <v>2015</v>
      </c>
      <c r="E22" t="n">
        <v>9739586.59</v>
      </c>
      <c r="F22" t="n">
        <v>59308624.42</v>
      </c>
      <c r="G22" t="n">
        <v>9908.0875</v>
      </c>
      <c r="H22" t="n">
        <v>9908.0875</v>
      </c>
      <c r="I22" t="n">
        <v>2372.3859</v>
      </c>
      <c r="J22" t="n">
        <v>1415.2186</v>
      </c>
      <c r="K22" t="n">
        <v>6276.9161</v>
      </c>
      <c r="L22" t="n">
        <v>2018</v>
      </c>
      <c r="M22" t="n">
        <v>2030</v>
      </c>
      <c r="N22" t="n">
        <v>0.4542</v>
      </c>
      <c r="O22" t="n">
        <v>0.214</v>
      </c>
      <c r="P22" t="n">
        <v>2018</v>
      </c>
      <c r="Q22" t="n">
        <v>2040</v>
      </c>
      <c r="R22" t="n">
        <v>0.3424</v>
      </c>
      <c r="S22" t="n">
        <v>635.1588</v>
      </c>
      <c r="T22" t="n">
        <v>0.00086105</v>
      </c>
      <c r="U22" t="n">
        <v>0.00013947</v>
      </c>
    </row>
    <row r="23">
      <c r="A23" t="inlineStr">
        <is>
          <t>SUP-0003</t>
        </is>
      </c>
      <c r="B23" t="inlineStr">
        <is>
          <t>Electronics Supplier 003</t>
        </is>
      </c>
      <c r="C23" t="inlineStr">
        <is>
          <t>Electronics</t>
        </is>
      </c>
      <c r="D23" t="n">
        <v>2016</v>
      </c>
      <c r="E23" t="n">
        <v>10601619.07</v>
      </c>
      <c r="F23" t="n">
        <v>53872838.97</v>
      </c>
      <c r="G23" t="n">
        <v>9411.6836</v>
      </c>
      <c r="H23" t="n">
        <v>9411.6836</v>
      </c>
      <c r="I23" t="n">
        <v>1230.989</v>
      </c>
      <c r="J23" t="n">
        <v>1937.7465</v>
      </c>
      <c r="K23" t="n">
        <v>6501.1085</v>
      </c>
      <c r="L23" t="n">
        <v>2018</v>
      </c>
      <c r="M23" t="n">
        <v>2030</v>
      </c>
      <c r="N23" t="n">
        <v>0.4542</v>
      </c>
      <c r="O23" t="n">
        <v>0.214</v>
      </c>
      <c r="P23" t="n">
        <v>2018</v>
      </c>
      <c r="Q23" t="n">
        <v>2040</v>
      </c>
      <c r="R23" t="n">
        <v>0.3424</v>
      </c>
      <c r="S23" t="n">
        <v>635.1588</v>
      </c>
      <c r="T23" t="n">
        <v>0.00086105</v>
      </c>
      <c r="U23" t="n">
        <v>0.00013947</v>
      </c>
    </row>
    <row r="24">
      <c r="A24" t="inlineStr">
        <is>
          <t>SUP-0003</t>
        </is>
      </c>
      <c r="B24" t="inlineStr">
        <is>
          <t>Electronics Supplier 003</t>
        </is>
      </c>
      <c r="C24" t="inlineStr">
        <is>
          <t>Electronics</t>
        </is>
      </c>
      <c r="D24" t="n">
        <v>2017</v>
      </c>
      <c r="E24" t="n">
        <v>10796082.02</v>
      </c>
      <c r="F24" t="n">
        <v>62471010.23</v>
      </c>
      <c r="G24" t="n">
        <v>11732.3983</v>
      </c>
      <c r="H24" t="n">
        <v>11732.3983</v>
      </c>
      <c r="I24" t="n">
        <v>2864.7932</v>
      </c>
      <c r="J24" t="n">
        <v>2165.3717</v>
      </c>
      <c r="K24" t="n">
        <v>7037.7831</v>
      </c>
      <c r="L24" t="n">
        <v>2018</v>
      </c>
      <c r="M24" t="n">
        <v>2030</v>
      </c>
      <c r="N24" t="n">
        <v>0.4542</v>
      </c>
      <c r="O24" t="n">
        <v>0.214</v>
      </c>
      <c r="P24" t="n">
        <v>2018</v>
      </c>
      <c r="Q24" t="n">
        <v>2040</v>
      </c>
      <c r="R24" t="n">
        <v>0.3424</v>
      </c>
      <c r="S24" t="n">
        <v>635.1588</v>
      </c>
      <c r="T24" t="n">
        <v>0.00086105</v>
      </c>
      <c r="U24" t="n">
        <v>0.00013947</v>
      </c>
    </row>
    <row r="25">
      <c r="A25" t="inlineStr">
        <is>
          <t>SUP-0003</t>
        </is>
      </c>
      <c r="B25" t="inlineStr">
        <is>
          <t>Electronics Supplier 003</t>
        </is>
      </c>
      <c r="C25" t="inlineStr">
        <is>
          <t>Electronics</t>
        </is>
      </c>
      <c r="D25" t="n">
        <v>2018</v>
      </c>
      <c r="E25" t="n">
        <v>10887250.84</v>
      </c>
      <c r="F25" t="n">
        <v>71839497.98</v>
      </c>
      <c r="G25" t="n">
        <v>12549.8807</v>
      </c>
      <c r="H25" t="n">
        <v>12549.8807</v>
      </c>
      <c r="I25" t="n">
        <v>1057.6605</v>
      </c>
      <c r="J25" t="n">
        <v>2847.3924</v>
      </c>
      <c r="K25" t="n">
        <v>8698.409299999999</v>
      </c>
      <c r="L25" t="n">
        <v>2018</v>
      </c>
      <c r="M25" t="n">
        <v>2030</v>
      </c>
      <c r="N25" t="n">
        <v>0.4542</v>
      </c>
      <c r="O25" t="n">
        <v>0.214</v>
      </c>
      <c r="P25" t="n">
        <v>2018</v>
      </c>
      <c r="Q25" t="n">
        <v>2040</v>
      </c>
      <c r="R25" t="n">
        <v>0.3424</v>
      </c>
      <c r="S25" t="n">
        <v>635.1588</v>
      </c>
      <c r="T25" t="n">
        <v>0.00086105</v>
      </c>
      <c r="U25" t="n">
        <v>0.00013947</v>
      </c>
    </row>
    <row r="26">
      <c r="A26" t="inlineStr">
        <is>
          <t>SUP-0003</t>
        </is>
      </c>
      <c r="B26" t="inlineStr">
        <is>
          <t>Electronics Supplier 003</t>
        </is>
      </c>
      <c r="C26" t="inlineStr">
        <is>
          <t>Electronics</t>
        </is>
      </c>
      <c r="D26" t="n">
        <v>2019</v>
      </c>
      <c r="E26" t="n">
        <v>14555246.06</v>
      </c>
      <c r="F26" t="n">
        <v>76450343.89</v>
      </c>
      <c r="G26" t="n">
        <v>12156.8405</v>
      </c>
      <c r="H26" t="n">
        <v>12156.8405</v>
      </c>
      <c r="I26" t="n">
        <v>2373.4495</v>
      </c>
      <c r="J26" t="n">
        <v>2589.4371</v>
      </c>
      <c r="K26" t="n">
        <v>7099.9158</v>
      </c>
      <c r="L26" t="n">
        <v>2018</v>
      </c>
      <c r="M26" t="n">
        <v>2030</v>
      </c>
      <c r="N26" t="n">
        <v>0.4542</v>
      </c>
      <c r="O26" t="n">
        <v>0.214</v>
      </c>
      <c r="P26" t="n">
        <v>2018</v>
      </c>
      <c r="Q26" t="n">
        <v>2040</v>
      </c>
      <c r="R26" t="n">
        <v>0.3424</v>
      </c>
      <c r="S26" t="n">
        <v>635.1588</v>
      </c>
      <c r="T26" t="n">
        <v>0.00086105</v>
      </c>
      <c r="U26" t="n">
        <v>0.00013947</v>
      </c>
    </row>
    <row r="27">
      <c r="A27" t="inlineStr">
        <is>
          <t>SUP-0003</t>
        </is>
      </c>
      <c r="B27" t="inlineStr">
        <is>
          <t>Electronics Supplier 003</t>
        </is>
      </c>
      <c r="C27" t="inlineStr">
        <is>
          <t>Electronics</t>
        </is>
      </c>
      <c r="D27" t="n">
        <v>2020</v>
      </c>
      <c r="E27" t="n">
        <v>12369884.6</v>
      </c>
      <c r="F27" t="n">
        <v>74795000.51000001</v>
      </c>
      <c r="G27" t="n">
        <v>8004.9401</v>
      </c>
      <c r="H27" t="n">
        <v>8004.9401</v>
      </c>
      <c r="I27" t="n">
        <v>2134.5305</v>
      </c>
      <c r="J27" t="n">
        <v>813.4703</v>
      </c>
      <c r="K27" t="n">
        <v>5200.4394</v>
      </c>
      <c r="L27" t="n">
        <v>2018</v>
      </c>
      <c r="M27" t="n">
        <v>2030</v>
      </c>
      <c r="N27" t="n">
        <v>0.4542</v>
      </c>
      <c r="O27" t="n">
        <v>0.214</v>
      </c>
      <c r="P27" t="n">
        <v>2018</v>
      </c>
      <c r="Q27" t="n">
        <v>2040</v>
      </c>
      <c r="R27" t="n">
        <v>0.3424</v>
      </c>
      <c r="S27" t="n">
        <v>635.1588</v>
      </c>
      <c r="T27" t="n">
        <v>0.00086105</v>
      </c>
      <c r="U27" t="n">
        <v>0.00013947</v>
      </c>
    </row>
    <row r="28">
      <c r="A28" t="inlineStr">
        <is>
          <t>SUP-0003</t>
        </is>
      </c>
      <c r="B28" t="inlineStr">
        <is>
          <t>Electronics Supplier 003</t>
        </is>
      </c>
      <c r="C28" t="inlineStr">
        <is>
          <t>Electronics</t>
        </is>
      </c>
      <c r="D28" t="n">
        <v>2021</v>
      </c>
      <c r="E28" t="n">
        <v>11161092.71</v>
      </c>
      <c r="F28" t="n">
        <v>78096888.22</v>
      </c>
      <c r="G28" t="n">
        <v>7991.1847</v>
      </c>
      <c r="H28" t="n">
        <v>7991.1847</v>
      </c>
      <c r="I28" t="n">
        <v>1105.7544</v>
      </c>
      <c r="J28" t="n">
        <v>593.8429</v>
      </c>
      <c r="K28" t="n">
        <v>6937.0956</v>
      </c>
      <c r="L28" t="n">
        <v>2018</v>
      </c>
      <c r="M28" t="n">
        <v>2030</v>
      </c>
      <c r="N28" t="n">
        <v>0.4542</v>
      </c>
      <c r="O28" t="n">
        <v>0.214</v>
      </c>
      <c r="P28" t="n">
        <v>2018</v>
      </c>
      <c r="Q28" t="n">
        <v>2040</v>
      </c>
      <c r="R28" t="n">
        <v>0.3424</v>
      </c>
      <c r="S28" t="n">
        <v>635.1588</v>
      </c>
      <c r="T28" t="n">
        <v>0.00086105</v>
      </c>
      <c r="U28" t="n">
        <v>0.00013947</v>
      </c>
    </row>
    <row r="29">
      <c r="A29" t="inlineStr">
        <is>
          <t>SUP-0003</t>
        </is>
      </c>
      <c r="B29" t="inlineStr">
        <is>
          <t>Electronics Supplier 003</t>
        </is>
      </c>
      <c r="C29" t="inlineStr">
        <is>
          <t>Electronics</t>
        </is>
      </c>
      <c r="D29" t="n">
        <v>2022</v>
      </c>
      <c r="E29" t="n">
        <v>12966415.32</v>
      </c>
      <c r="F29" t="n">
        <v>59928624.34</v>
      </c>
      <c r="G29" t="n">
        <v>9800.518700000001</v>
      </c>
      <c r="H29" t="n">
        <v>9800.518700000001</v>
      </c>
      <c r="I29" t="n">
        <v>2691.3298</v>
      </c>
      <c r="J29" t="n">
        <v>2023.6517</v>
      </c>
      <c r="K29" t="n">
        <v>5343.6376</v>
      </c>
      <c r="L29" t="n">
        <v>2018</v>
      </c>
      <c r="M29" t="n">
        <v>2030</v>
      </c>
      <c r="N29" t="n">
        <v>0.4542</v>
      </c>
      <c r="O29" t="n">
        <v>0.214</v>
      </c>
      <c r="P29" t="n">
        <v>2018</v>
      </c>
      <c r="Q29" t="n">
        <v>2040</v>
      </c>
      <c r="R29" t="n">
        <v>0.3424</v>
      </c>
      <c r="S29" t="n">
        <v>635.1588</v>
      </c>
      <c r="T29" t="n">
        <v>0.00086105</v>
      </c>
      <c r="U29" t="n">
        <v>0.00013947</v>
      </c>
    </row>
    <row r="30">
      <c r="A30" t="inlineStr">
        <is>
          <t>SUP-0003</t>
        </is>
      </c>
      <c r="B30" t="inlineStr">
        <is>
          <t>Electronics Supplier 003</t>
        </is>
      </c>
      <c r="C30" t="inlineStr">
        <is>
          <t>Electronics</t>
        </is>
      </c>
      <c r="D30" t="n">
        <v>2023</v>
      </c>
      <c r="E30" t="n">
        <v>14814677.09</v>
      </c>
      <c r="F30" t="n">
        <v>80965223.59999999</v>
      </c>
      <c r="G30" t="n">
        <v>7871.8427</v>
      </c>
      <c r="H30" t="n">
        <v>7871.8427</v>
      </c>
      <c r="I30" t="n">
        <v>1952.8787</v>
      </c>
      <c r="J30" t="n">
        <v>1249.3878</v>
      </c>
      <c r="K30" t="n">
        <v>4725.7116</v>
      </c>
      <c r="L30" t="n">
        <v>2018</v>
      </c>
      <c r="M30" t="n">
        <v>2030</v>
      </c>
      <c r="N30" t="n">
        <v>0.4542</v>
      </c>
      <c r="O30" t="n">
        <v>0.214</v>
      </c>
      <c r="P30" t="n">
        <v>2018</v>
      </c>
      <c r="Q30" t="n">
        <v>2040</v>
      </c>
      <c r="R30" t="n">
        <v>0.3424</v>
      </c>
      <c r="S30" t="n">
        <v>635.1588</v>
      </c>
      <c r="T30" t="n">
        <v>0.00086105</v>
      </c>
      <c r="U30" t="n">
        <v>0.00013947</v>
      </c>
    </row>
    <row r="31">
      <c r="A31" t="inlineStr">
        <is>
          <t>SUP-0003</t>
        </is>
      </c>
      <c r="B31" t="inlineStr">
        <is>
          <t>Electronics Supplier 003</t>
        </is>
      </c>
      <c r="C31" t="inlineStr">
        <is>
          <t>Electronics</t>
        </is>
      </c>
      <c r="D31" t="n">
        <v>2024</v>
      </c>
      <c r="E31" t="n">
        <v>13228903.84</v>
      </c>
      <c r="F31" t="n">
        <v>91085503.23</v>
      </c>
      <c r="G31" t="n">
        <v>10076.1724</v>
      </c>
      <c r="H31" t="n">
        <v>10076.1724</v>
      </c>
      <c r="I31" t="n">
        <v>1598.8289</v>
      </c>
      <c r="J31" t="n">
        <v>1283.6593</v>
      </c>
      <c r="K31" t="n">
        <v>7805.0472</v>
      </c>
      <c r="L31" t="n">
        <v>2018</v>
      </c>
      <c r="M31" t="n">
        <v>2030</v>
      </c>
      <c r="N31" t="n">
        <v>0.4542</v>
      </c>
      <c r="O31" t="n">
        <v>0.214</v>
      </c>
      <c r="P31" t="n">
        <v>2018</v>
      </c>
      <c r="Q31" t="n">
        <v>2040</v>
      </c>
      <c r="R31" t="n">
        <v>0.3424</v>
      </c>
      <c r="S31" t="n">
        <v>635.1588</v>
      </c>
      <c r="T31" t="n">
        <v>0.00086105</v>
      </c>
      <c r="U31" t="n">
        <v>0.00013947</v>
      </c>
    </row>
    <row r="32">
      <c r="A32" t="inlineStr">
        <is>
          <t>SUP-0004</t>
        </is>
      </c>
      <c r="B32" t="inlineStr">
        <is>
          <t>Agriculture Supplier 004</t>
        </is>
      </c>
      <c r="C32" t="inlineStr">
        <is>
          <t>Agriculture</t>
        </is>
      </c>
      <c r="D32" t="n">
        <v>2015</v>
      </c>
      <c r="E32" t="n">
        <v>3248283.06</v>
      </c>
      <c r="F32" t="n">
        <v>24238178.76</v>
      </c>
      <c r="G32" t="n">
        <v>1855.6969</v>
      </c>
      <c r="H32" t="n">
        <v>1855.6969</v>
      </c>
      <c r="I32" t="n">
        <v>464.7769</v>
      </c>
      <c r="J32" t="n">
        <v>399.9877</v>
      </c>
      <c r="K32" t="n">
        <v>1215.0983</v>
      </c>
      <c r="L32" t="n">
        <v>2020</v>
      </c>
      <c r="M32" t="n">
        <v>2040</v>
      </c>
      <c r="N32" t="n">
        <v>0.5872000000000001</v>
      </c>
      <c r="O32" t="n">
        <v>0.3238</v>
      </c>
      <c r="P32" t="n">
        <v>2018</v>
      </c>
      <c r="Q32" t="inlineStr"/>
      <c r="R32" t="inlineStr"/>
      <c r="S32" t="n">
        <v>529.8294</v>
      </c>
      <c r="T32" t="n">
        <v>0.00091413</v>
      </c>
      <c r="U32" t="n">
        <v>0.00096913</v>
      </c>
    </row>
    <row r="33">
      <c r="A33" t="inlineStr">
        <is>
          <t>SUP-0004</t>
        </is>
      </c>
      <c r="B33" t="inlineStr">
        <is>
          <t>Agriculture Supplier 004</t>
        </is>
      </c>
      <c r="C33" t="inlineStr">
        <is>
          <t>Agriculture</t>
        </is>
      </c>
      <c r="D33" t="n">
        <v>2016</v>
      </c>
      <c r="E33" t="n">
        <v>2935030.81</v>
      </c>
      <c r="F33" t="n">
        <v>23259957.01</v>
      </c>
      <c r="G33" t="n">
        <v>1748.1843</v>
      </c>
      <c r="H33" t="n">
        <v>1748.1843</v>
      </c>
      <c r="I33" t="n">
        <v>318.2508</v>
      </c>
      <c r="J33" t="n">
        <v>244.3842</v>
      </c>
      <c r="K33" t="n">
        <v>1173.4049</v>
      </c>
      <c r="L33" t="n">
        <v>2020</v>
      </c>
      <c r="M33" t="n">
        <v>2040</v>
      </c>
      <c r="N33" t="n">
        <v>0.5872000000000001</v>
      </c>
      <c r="O33" t="n">
        <v>0.3238</v>
      </c>
      <c r="P33" t="n">
        <v>2018</v>
      </c>
      <c r="Q33" t="inlineStr"/>
      <c r="R33" t="inlineStr"/>
      <c r="S33" t="n">
        <v>529.8294</v>
      </c>
      <c r="T33" t="n">
        <v>0.00091413</v>
      </c>
      <c r="U33" t="n">
        <v>0.00096913</v>
      </c>
    </row>
    <row r="34">
      <c r="A34" t="inlineStr">
        <is>
          <t>SUP-0004</t>
        </is>
      </c>
      <c r="B34" t="inlineStr">
        <is>
          <t>Agriculture Supplier 004</t>
        </is>
      </c>
      <c r="C34" t="inlineStr">
        <is>
          <t>Agriculture</t>
        </is>
      </c>
      <c r="D34" t="n">
        <v>2017</v>
      </c>
      <c r="E34" t="n">
        <v>3272591.36</v>
      </c>
      <c r="F34" t="n">
        <v>25990862.4</v>
      </c>
      <c r="G34" t="n">
        <v>2469.054</v>
      </c>
      <c r="H34" t="n">
        <v>2469.054</v>
      </c>
      <c r="I34" t="n">
        <v>259.6962</v>
      </c>
      <c r="J34" t="n">
        <v>353.9369</v>
      </c>
      <c r="K34" t="n">
        <v>1812.2557</v>
      </c>
      <c r="L34" t="n">
        <v>2020</v>
      </c>
      <c r="M34" t="n">
        <v>2040</v>
      </c>
      <c r="N34" t="n">
        <v>0.5872000000000001</v>
      </c>
      <c r="O34" t="n">
        <v>0.3238</v>
      </c>
      <c r="P34" t="n">
        <v>2018</v>
      </c>
      <c r="Q34" t="inlineStr"/>
      <c r="R34" t="inlineStr"/>
      <c r="S34" t="n">
        <v>529.8294</v>
      </c>
      <c r="T34" t="n">
        <v>0.00091413</v>
      </c>
      <c r="U34" t="n">
        <v>0.00096913</v>
      </c>
    </row>
    <row r="35">
      <c r="A35" t="inlineStr">
        <is>
          <t>SUP-0004</t>
        </is>
      </c>
      <c r="B35" t="inlineStr">
        <is>
          <t>Agriculture Supplier 004</t>
        </is>
      </c>
      <c r="C35" t="inlineStr">
        <is>
          <t>Agriculture</t>
        </is>
      </c>
      <c r="D35" t="n">
        <v>2018</v>
      </c>
      <c r="E35" t="n">
        <v>3389213.35</v>
      </c>
      <c r="F35" t="n">
        <v>24860123.58</v>
      </c>
      <c r="G35" t="n">
        <v>1925.4376</v>
      </c>
      <c r="H35" t="n">
        <v>1925.4376</v>
      </c>
      <c r="I35" t="n">
        <v>364.5507</v>
      </c>
      <c r="J35" t="n">
        <v>298.3637</v>
      </c>
      <c r="K35" t="n">
        <v>1584.3977</v>
      </c>
      <c r="L35" t="n">
        <v>2020</v>
      </c>
      <c r="M35" t="n">
        <v>2040</v>
      </c>
      <c r="N35" t="n">
        <v>0.5872000000000001</v>
      </c>
      <c r="O35" t="n">
        <v>0.3238</v>
      </c>
      <c r="P35" t="n">
        <v>2018</v>
      </c>
      <c r="Q35" t="inlineStr"/>
      <c r="R35" t="inlineStr"/>
      <c r="S35" t="n">
        <v>529.8294</v>
      </c>
      <c r="T35" t="n">
        <v>0.00091413</v>
      </c>
      <c r="U35" t="n">
        <v>0.00096913</v>
      </c>
    </row>
    <row r="36">
      <c r="A36" t="inlineStr">
        <is>
          <t>SUP-0004</t>
        </is>
      </c>
      <c r="B36" t="inlineStr">
        <is>
          <t>Agriculture Supplier 004</t>
        </is>
      </c>
      <c r="C36" t="inlineStr">
        <is>
          <t>Agriculture</t>
        </is>
      </c>
      <c r="D36" t="n">
        <v>2019</v>
      </c>
      <c r="E36" t="n">
        <v>3284894.83</v>
      </c>
      <c r="F36" t="n">
        <v>21806293.22</v>
      </c>
      <c r="G36" t="n">
        <v>1595.1515</v>
      </c>
      <c r="H36" t="n">
        <v>1595.1515</v>
      </c>
      <c r="I36" t="n">
        <v>139.2399</v>
      </c>
      <c r="J36" t="n">
        <v>192.2808</v>
      </c>
      <c r="K36" t="n">
        <v>1248.0126</v>
      </c>
      <c r="L36" t="n">
        <v>2020</v>
      </c>
      <c r="M36" t="n">
        <v>2040</v>
      </c>
      <c r="N36" t="n">
        <v>0.5872000000000001</v>
      </c>
      <c r="O36" t="n">
        <v>0.3238</v>
      </c>
      <c r="P36" t="n">
        <v>2018</v>
      </c>
      <c r="Q36" t="inlineStr"/>
      <c r="R36" t="inlineStr"/>
      <c r="S36" t="n">
        <v>529.8294</v>
      </c>
      <c r="T36" t="n">
        <v>0.00091413</v>
      </c>
      <c r="U36" t="n">
        <v>0.00096913</v>
      </c>
    </row>
    <row r="37">
      <c r="A37" t="inlineStr">
        <is>
          <t>SUP-0004</t>
        </is>
      </c>
      <c r="B37" t="inlineStr">
        <is>
          <t>Agriculture Supplier 004</t>
        </is>
      </c>
      <c r="C37" t="inlineStr">
        <is>
          <t>Agriculture</t>
        </is>
      </c>
      <c r="D37" t="n">
        <v>2020</v>
      </c>
      <c r="E37" t="n">
        <v>3209136.19</v>
      </c>
      <c r="F37" t="n">
        <v>24639303.36</v>
      </c>
      <c r="G37" t="n">
        <v>1681.5914</v>
      </c>
      <c r="H37" t="n">
        <v>1681.5914</v>
      </c>
      <c r="I37" t="n">
        <v>134.0797</v>
      </c>
      <c r="J37" t="n">
        <v>359.4707</v>
      </c>
      <c r="K37" t="n">
        <v>1209.118</v>
      </c>
      <c r="L37" t="n">
        <v>2020</v>
      </c>
      <c r="M37" t="n">
        <v>2040</v>
      </c>
      <c r="N37" t="n">
        <v>0.5872000000000001</v>
      </c>
      <c r="O37" t="n">
        <v>0.3238</v>
      </c>
      <c r="P37" t="n">
        <v>2018</v>
      </c>
      <c r="Q37" t="inlineStr"/>
      <c r="R37" t="inlineStr"/>
      <c r="S37" t="n">
        <v>529.8294</v>
      </c>
      <c r="T37" t="n">
        <v>0.00091413</v>
      </c>
      <c r="U37" t="n">
        <v>0.00096913</v>
      </c>
    </row>
    <row r="38">
      <c r="A38" t="inlineStr">
        <is>
          <t>SUP-0004</t>
        </is>
      </c>
      <c r="B38" t="inlineStr">
        <is>
          <t>Agriculture Supplier 004</t>
        </is>
      </c>
      <c r="C38" t="inlineStr">
        <is>
          <t>Agriculture</t>
        </is>
      </c>
      <c r="D38" t="n">
        <v>2021</v>
      </c>
      <c r="E38" t="n">
        <v>3154363.1</v>
      </c>
      <c r="F38" t="n">
        <v>23708763.23</v>
      </c>
      <c r="G38" t="n">
        <v>1746.0112</v>
      </c>
      <c r="H38" t="n">
        <v>1746.0112</v>
      </c>
      <c r="I38" t="n">
        <v>254.928</v>
      </c>
      <c r="J38" t="n">
        <v>298.5227</v>
      </c>
      <c r="K38" t="n">
        <v>1116.9592</v>
      </c>
      <c r="L38" t="n">
        <v>2020</v>
      </c>
      <c r="M38" t="n">
        <v>2040</v>
      </c>
      <c r="N38" t="n">
        <v>0.5872000000000001</v>
      </c>
      <c r="O38" t="n">
        <v>0.3238</v>
      </c>
      <c r="P38" t="n">
        <v>2018</v>
      </c>
      <c r="Q38" t="inlineStr"/>
      <c r="R38" t="inlineStr"/>
      <c r="S38" t="n">
        <v>529.8294</v>
      </c>
      <c r="T38" t="n">
        <v>0.00091413</v>
      </c>
      <c r="U38" t="n">
        <v>0.00096913</v>
      </c>
    </row>
    <row r="39">
      <c r="A39" t="inlineStr">
        <is>
          <t>SUP-0004</t>
        </is>
      </c>
      <c r="B39" t="inlineStr">
        <is>
          <t>Agriculture Supplier 004</t>
        </is>
      </c>
      <c r="C39" t="inlineStr">
        <is>
          <t>Agriculture</t>
        </is>
      </c>
      <c r="D39" t="n">
        <v>2022</v>
      </c>
      <c r="E39" t="n">
        <v>2796674.77</v>
      </c>
      <c r="F39" t="n">
        <v>26084925.33</v>
      </c>
      <c r="G39" t="n">
        <v>1443.3948</v>
      </c>
      <c r="H39" t="n">
        <v>1443.3948</v>
      </c>
      <c r="I39" t="n">
        <v>351.3276</v>
      </c>
      <c r="J39" t="n">
        <v>98.75960000000001</v>
      </c>
      <c r="K39" t="n">
        <v>998.1058</v>
      </c>
      <c r="L39" t="n">
        <v>2020</v>
      </c>
      <c r="M39" t="n">
        <v>2040</v>
      </c>
      <c r="N39" t="n">
        <v>0.5872000000000001</v>
      </c>
      <c r="O39" t="n">
        <v>0.3238</v>
      </c>
      <c r="P39" t="n">
        <v>2018</v>
      </c>
      <c r="Q39" t="inlineStr"/>
      <c r="R39" t="inlineStr"/>
      <c r="S39" t="n">
        <v>529.8294</v>
      </c>
      <c r="T39" t="n">
        <v>0.00091413</v>
      </c>
      <c r="U39" t="n">
        <v>0.00096913</v>
      </c>
    </row>
    <row r="40">
      <c r="A40" t="inlineStr">
        <is>
          <t>SUP-0004</t>
        </is>
      </c>
      <c r="B40" t="inlineStr">
        <is>
          <t>Agriculture Supplier 004</t>
        </is>
      </c>
      <c r="C40" t="inlineStr">
        <is>
          <t>Agriculture</t>
        </is>
      </c>
      <c r="D40" t="n">
        <v>2023</v>
      </c>
      <c r="E40" t="n">
        <v>3570305.46</v>
      </c>
      <c r="F40" t="n">
        <v>32337727.18</v>
      </c>
      <c r="G40" t="n">
        <v>1971.8728</v>
      </c>
      <c r="H40" t="n">
        <v>1971.8728</v>
      </c>
      <c r="I40" t="n">
        <v>313.6885</v>
      </c>
      <c r="J40" t="n">
        <v>287.178</v>
      </c>
      <c r="K40" t="n">
        <v>1321.3631</v>
      </c>
      <c r="L40" t="n">
        <v>2020</v>
      </c>
      <c r="M40" t="n">
        <v>2040</v>
      </c>
      <c r="N40" t="n">
        <v>0.5872000000000001</v>
      </c>
      <c r="O40" t="n">
        <v>0.3238</v>
      </c>
      <c r="P40" t="n">
        <v>2018</v>
      </c>
      <c r="Q40" t="inlineStr"/>
      <c r="R40" t="inlineStr"/>
      <c r="S40" t="n">
        <v>529.8294</v>
      </c>
      <c r="T40" t="n">
        <v>0.00091413</v>
      </c>
      <c r="U40" t="n">
        <v>0.00096913</v>
      </c>
    </row>
    <row r="41">
      <c r="A41" t="inlineStr">
        <is>
          <t>SUP-0004</t>
        </is>
      </c>
      <c r="B41" t="inlineStr">
        <is>
          <t>Agriculture Supplier 004</t>
        </is>
      </c>
      <c r="C41" t="inlineStr">
        <is>
          <t>Agriculture</t>
        </is>
      </c>
      <c r="D41" t="n">
        <v>2024</v>
      </c>
      <c r="E41" t="n">
        <v>3011484.28</v>
      </c>
      <c r="F41" t="n">
        <v>23161310.55</v>
      </c>
      <c r="G41" t="n">
        <v>1450.8271</v>
      </c>
      <c r="H41" t="n">
        <v>1450.8271</v>
      </c>
      <c r="I41" t="n">
        <v>153.3148</v>
      </c>
      <c r="J41" t="n">
        <v>105.5242</v>
      </c>
      <c r="K41" t="n">
        <v>1198.7452</v>
      </c>
      <c r="L41" t="n">
        <v>2020</v>
      </c>
      <c r="M41" t="n">
        <v>2040</v>
      </c>
      <c r="N41" t="n">
        <v>0.5872000000000001</v>
      </c>
      <c r="O41" t="n">
        <v>0.3238</v>
      </c>
      <c r="P41" t="n">
        <v>2018</v>
      </c>
      <c r="Q41" t="inlineStr"/>
      <c r="R41" t="inlineStr"/>
      <c r="S41" t="n">
        <v>529.8294</v>
      </c>
      <c r="T41" t="n">
        <v>0.00091413</v>
      </c>
      <c r="U41" t="n">
        <v>0.00096913</v>
      </c>
    </row>
    <row r="42">
      <c r="A42" t="inlineStr">
        <is>
          <t>SUP-0005</t>
        </is>
      </c>
      <c r="B42" t="inlineStr">
        <is>
          <t>Professional Supplier 005</t>
        </is>
      </c>
      <c r="C42" t="inlineStr">
        <is>
          <t>Professional Services</t>
        </is>
      </c>
      <c r="D42" t="n">
        <v>2015</v>
      </c>
      <c r="E42" t="n">
        <v>8299184.74</v>
      </c>
      <c r="F42" t="n">
        <v>20458486.28</v>
      </c>
      <c r="G42" t="n">
        <v>1197.6171</v>
      </c>
      <c r="H42" t="n">
        <v>1197.6171</v>
      </c>
      <c r="I42" t="n">
        <v>180.4901</v>
      </c>
      <c r="J42" t="n">
        <v>222.3723</v>
      </c>
      <c r="K42" t="n">
        <v>926.24</v>
      </c>
      <c r="L42" t="inlineStr"/>
      <c r="M42" t="inlineStr"/>
      <c r="N42" t="inlineStr"/>
      <c r="O42" t="inlineStr"/>
      <c r="P42" t="n">
        <v>2020</v>
      </c>
      <c r="Q42" t="inlineStr"/>
      <c r="R42" t="inlineStr"/>
      <c r="S42" t="n">
        <v>400.0326</v>
      </c>
      <c r="T42" t="n">
        <v>0.00012906</v>
      </c>
      <c r="U42" t="n">
        <v>0.00019658</v>
      </c>
    </row>
    <row r="43">
      <c r="A43" t="inlineStr">
        <is>
          <t>SUP-0005</t>
        </is>
      </c>
      <c r="B43" t="inlineStr">
        <is>
          <t>Professional Supplier 005</t>
        </is>
      </c>
      <c r="C43" t="inlineStr">
        <is>
          <t>Professional Services</t>
        </is>
      </c>
      <c r="D43" t="n">
        <v>2016</v>
      </c>
      <c r="E43" t="n">
        <v>7323161.93</v>
      </c>
      <c r="F43" t="n">
        <v>22624314</v>
      </c>
      <c r="G43" t="n">
        <v>1169.5428</v>
      </c>
      <c r="H43" t="n">
        <v>1169.5428</v>
      </c>
      <c r="I43" t="n">
        <v>173.2119</v>
      </c>
      <c r="J43" t="n">
        <v>254.4095</v>
      </c>
      <c r="K43" t="n">
        <v>775.4459000000001</v>
      </c>
      <c r="L43" t="inlineStr"/>
      <c r="M43" t="inlineStr"/>
      <c r="N43" t="inlineStr"/>
      <c r="O43" t="inlineStr"/>
      <c r="P43" t="n">
        <v>2020</v>
      </c>
      <c r="Q43" t="inlineStr"/>
      <c r="R43" t="inlineStr"/>
      <c r="S43" t="n">
        <v>400.0326</v>
      </c>
      <c r="T43" t="n">
        <v>0.00012906</v>
      </c>
      <c r="U43" t="n">
        <v>0.00019658</v>
      </c>
    </row>
    <row r="44">
      <c r="A44" t="inlineStr">
        <is>
          <t>SUP-0005</t>
        </is>
      </c>
      <c r="B44" t="inlineStr">
        <is>
          <t>Professional Supplier 005</t>
        </is>
      </c>
      <c r="C44" t="inlineStr">
        <is>
          <t>Professional Services</t>
        </is>
      </c>
      <c r="D44" t="n">
        <v>2017</v>
      </c>
      <c r="E44" t="n">
        <v>10271328.08</v>
      </c>
      <c r="F44" t="n">
        <v>23091198.31</v>
      </c>
      <c r="G44" t="n">
        <v>1771.975</v>
      </c>
      <c r="H44" t="n">
        <v>1771.975</v>
      </c>
      <c r="I44" t="n">
        <v>471.7758</v>
      </c>
      <c r="J44" t="n">
        <v>208.1619</v>
      </c>
      <c r="K44" t="n">
        <v>1168.9986</v>
      </c>
      <c r="L44" t="inlineStr"/>
      <c r="M44" t="inlineStr"/>
      <c r="N44" t="inlineStr"/>
      <c r="O44" t="inlineStr"/>
      <c r="P44" t="n">
        <v>2020</v>
      </c>
      <c r="Q44" t="inlineStr"/>
      <c r="R44" t="inlineStr"/>
      <c r="S44" t="n">
        <v>400.0326</v>
      </c>
      <c r="T44" t="n">
        <v>0.00012906</v>
      </c>
      <c r="U44" t="n">
        <v>0.00019658</v>
      </c>
    </row>
    <row r="45">
      <c r="A45" t="inlineStr">
        <is>
          <t>SUP-0005</t>
        </is>
      </c>
      <c r="B45" t="inlineStr">
        <is>
          <t>Professional Supplier 005</t>
        </is>
      </c>
      <c r="C45" t="inlineStr">
        <is>
          <t>Professional Services</t>
        </is>
      </c>
      <c r="D45" t="n">
        <v>2018</v>
      </c>
      <c r="E45" t="n">
        <v>9778368.060000001</v>
      </c>
      <c r="F45" t="n">
        <v>26622380.12</v>
      </c>
      <c r="G45" t="n">
        <v>1319.2567</v>
      </c>
      <c r="H45" t="n">
        <v>1319.2567</v>
      </c>
      <c r="I45" t="n">
        <v>382.4871</v>
      </c>
      <c r="J45" t="n">
        <v>251.0158</v>
      </c>
      <c r="K45" t="n">
        <v>816.9723</v>
      </c>
      <c r="L45" t="inlineStr"/>
      <c r="M45" t="inlineStr"/>
      <c r="N45" t="inlineStr"/>
      <c r="O45" t="inlineStr"/>
      <c r="P45" t="n">
        <v>2020</v>
      </c>
      <c r="Q45" t="inlineStr"/>
      <c r="R45" t="inlineStr"/>
      <c r="S45" t="n">
        <v>400.0326</v>
      </c>
      <c r="T45" t="n">
        <v>0.00012906</v>
      </c>
      <c r="U45" t="n">
        <v>0.00019658</v>
      </c>
    </row>
    <row r="46">
      <c r="A46" t="inlineStr">
        <is>
          <t>SUP-0005</t>
        </is>
      </c>
      <c r="B46" t="inlineStr">
        <is>
          <t>Professional Supplier 005</t>
        </is>
      </c>
      <c r="C46" t="inlineStr">
        <is>
          <t>Professional Services</t>
        </is>
      </c>
      <c r="D46" t="n">
        <v>2019</v>
      </c>
      <c r="E46" t="n">
        <v>11098051.17</v>
      </c>
      <c r="F46" t="n">
        <v>32622907.78</v>
      </c>
      <c r="G46" t="n">
        <v>1757.8138</v>
      </c>
      <c r="H46" t="n">
        <v>1757.8138</v>
      </c>
      <c r="I46" t="n">
        <v>371.3183</v>
      </c>
      <c r="J46" t="n">
        <v>223.5141</v>
      </c>
      <c r="K46" t="n">
        <v>1263.4087</v>
      </c>
      <c r="L46" t="inlineStr"/>
      <c r="M46" t="inlineStr"/>
      <c r="N46" t="inlineStr"/>
      <c r="O46" t="inlineStr"/>
      <c r="P46" t="n">
        <v>2020</v>
      </c>
      <c r="Q46" t="inlineStr"/>
      <c r="R46" t="inlineStr"/>
      <c r="S46" t="n">
        <v>400.0326</v>
      </c>
      <c r="T46" t="n">
        <v>0.00012906</v>
      </c>
      <c r="U46" t="n">
        <v>0.00019658</v>
      </c>
    </row>
    <row r="47">
      <c r="A47" t="inlineStr">
        <is>
          <t>SUP-0005</t>
        </is>
      </c>
      <c r="B47" t="inlineStr">
        <is>
          <t>Professional Supplier 005</t>
        </is>
      </c>
      <c r="C47" t="inlineStr">
        <is>
          <t>Professional Services</t>
        </is>
      </c>
      <c r="D47" t="n">
        <v>2020</v>
      </c>
      <c r="E47" t="n">
        <v>10760799.46</v>
      </c>
      <c r="F47" t="n">
        <v>31894910.8</v>
      </c>
      <c r="G47" t="n">
        <v>1938.4515</v>
      </c>
      <c r="H47" t="n">
        <v>1938.4515</v>
      </c>
      <c r="I47" t="n">
        <v>209.3714</v>
      </c>
      <c r="J47" t="n">
        <v>367.4339</v>
      </c>
      <c r="K47" t="n">
        <v>1357.2159</v>
      </c>
      <c r="L47" t="inlineStr"/>
      <c r="M47" t="inlineStr"/>
      <c r="N47" t="inlineStr"/>
      <c r="O47" t="inlineStr"/>
      <c r="P47" t="n">
        <v>2020</v>
      </c>
      <c r="Q47" t="inlineStr"/>
      <c r="R47" t="inlineStr"/>
      <c r="S47" t="n">
        <v>400.0326</v>
      </c>
      <c r="T47" t="n">
        <v>0.00012906</v>
      </c>
      <c r="U47" t="n">
        <v>0.00019658</v>
      </c>
    </row>
    <row r="48">
      <c r="A48" t="inlineStr">
        <is>
          <t>SUP-0005</t>
        </is>
      </c>
      <c r="B48" t="inlineStr">
        <is>
          <t>Professional Supplier 005</t>
        </is>
      </c>
      <c r="C48" t="inlineStr">
        <is>
          <t>Professional Services</t>
        </is>
      </c>
      <c r="D48" t="n">
        <v>2021</v>
      </c>
      <c r="E48" t="n">
        <v>13965651.18</v>
      </c>
      <c r="F48" t="n">
        <v>43319160.51</v>
      </c>
      <c r="G48" t="n">
        <v>2065.1932</v>
      </c>
      <c r="H48" t="n">
        <v>2065.1932</v>
      </c>
      <c r="I48" t="n">
        <v>565.2486</v>
      </c>
      <c r="J48" t="n">
        <v>148.1754</v>
      </c>
      <c r="K48" t="n">
        <v>1344.5044</v>
      </c>
      <c r="L48" t="inlineStr"/>
      <c r="M48" t="inlineStr"/>
      <c r="N48" t="inlineStr"/>
      <c r="O48" t="inlineStr"/>
      <c r="P48" t="n">
        <v>2020</v>
      </c>
      <c r="Q48" t="inlineStr"/>
      <c r="R48" t="inlineStr"/>
      <c r="S48" t="n">
        <v>400.0326</v>
      </c>
      <c r="T48" t="n">
        <v>0.00012906</v>
      </c>
      <c r="U48" t="n">
        <v>0.00019658</v>
      </c>
    </row>
    <row r="49">
      <c r="A49" t="inlineStr">
        <is>
          <t>SUP-0005</t>
        </is>
      </c>
      <c r="B49" t="inlineStr">
        <is>
          <t>Professional Supplier 005</t>
        </is>
      </c>
      <c r="C49" t="inlineStr">
        <is>
          <t>Professional Services</t>
        </is>
      </c>
      <c r="D49" t="n">
        <v>2022</v>
      </c>
      <c r="E49" t="n">
        <v>12041826.56</v>
      </c>
      <c r="F49" t="n">
        <v>28736377.98</v>
      </c>
      <c r="G49" t="n">
        <v>1990.5615</v>
      </c>
      <c r="H49" t="n">
        <v>1990.5615</v>
      </c>
      <c r="I49" t="n">
        <v>336.7648</v>
      </c>
      <c r="J49" t="n">
        <v>310.4892</v>
      </c>
      <c r="K49" t="n">
        <v>1411.8684</v>
      </c>
      <c r="L49" t="inlineStr"/>
      <c r="M49" t="inlineStr"/>
      <c r="N49" t="inlineStr"/>
      <c r="O49" t="inlineStr"/>
      <c r="P49" t="n">
        <v>2020</v>
      </c>
      <c r="Q49" t="inlineStr"/>
      <c r="R49" t="inlineStr"/>
      <c r="S49" t="n">
        <v>400.0326</v>
      </c>
      <c r="T49" t="n">
        <v>0.00012906</v>
      </c>
      <c r="U49" t="n">
        <v>0.00019658</v>
      </c>
    </row>
    <row r="50">
      <c r="A50" t="inlineStr">
        <is>
          <t>SUP-0005</t>
        </is>
      </c>
      <c r="B50" t="inlineStr">
        <is>
          <t>Professional Supplier 005</t>
        </is>
      </c>
      <c r="C50" t="inlineStr">
        <is>
          <t>Professional Services</t>
        </is>
      </c>
      <c r="D50" t="n">
        <v>2023</v>
      </c>
      <c r="E50" t="n">
        <v>16390199.55</v>
      </c>
      <c r="F50" t="n">
        <v>47439491.98</v>
      </c>
      <c r="G50" t="n">
        <v>2738.4791</v>
      </c>
      <c r="H50" t="n">
        <v>2738.4791</v>
      </c>
      <c r="I50" t="n">
        <v>419.0667</v>
      </c>
      <c r="J50" t="n">
        <v>390.0898</v>
      </c>
      <c r="K50" t="n">
        <v>2101.7651</v>
      </c>
      <c r="L50" t="inlineStr"/>
      <c r="M50" t="inlineStr"/>
      <c r="N50" t="inlineStr"/>
      <c r="O50" t="inlineStr"/>
      <c r="P50" t="n">
        <v>2020</v>
      </c>
      <c r="Q50" t="inlineStr"/>
      <c r="R50" t="inlineStr"/>
      <c r="S50" t="n">
        <v>400.0326</v>
      </c>
      <c r="T50" t="n">
        <v>0.00012906</v>
      </c>
      <c r="U50" t="n">
        <v>0.00019658</v>
      </c>
    </row>
    <row r="51">
      <c r="A51" t="inlineStr">
        <is>
          <t>SUP-0005</t>
        </is>
      </c>
      <c r="B51" t="inlineStr">
        <is>
          <t>Professional Supplier 005</t>
        </is>
      </c>
      <c r="C51" t="inlineStr">
        <is>
          <t>Professional Services</t>
        </is>
      </c>
      <c r="D51" t="n">
        <v>2024</v>
      </c>
      <c r="E51" t="n">
        <v>13924074.52</v>
      </c>
      <c r="F51" t="n">
        <v>42364209.75</v>
      </c>
      <c r="G51" t="n">
        <v>2514.5094</v>
      </c>
      <c r="H51" t="n">
        <v>2514.5094</v>
      </c>
      <c r="I51" t="n">
        <v>358.4463</v>
      </c>
      <c r="J51" t="n">
        <v>434.7338</v>
      </c>
      <c r="K51" t="n">
        <v>1680.3886</v>
      </c>
      <c r="L51" t="inlineStr"/>
      <c r="M51" t="inlineStr"/>
      <c r="N51" t="inlineStr"/>
      <c r="O51" t="inlineStr"/>
      <c r="P51" t="n">
        <v>2020</v>
      </c>
      <c r="Q51" t="inlineStr"/>
      <c r="R51" t="inlineStr"/>
      <c r="S51" t="n">
        <v>400.0326</v>
      </c>
      <c r="T51" t="n">
        <v>0.00012906</v>
      </c>
      <c r="U51" t="n">
        <v>0.00019658</v>
      </c>
    </row>
    <row r="52">
      <c r="A52" t="inlineStr">
        <is>
          <t>SUP-0006</t>
        </is>
      </c>
      <c r="B52" t="inlineStr">
        <is>
          <t>Agriculture Supplier 006</t>
        </is>
      </c>
      <c r="C52" t="inlineStr">
        <is>
          <t>Agriculture</t>
        </is>
      </c>
      <c r="D52" t="n">
        <v>2015</v>
      </c>
      <c r="E52" t="n">
        <v>22000328.94</v>
      </c>
      <c r="F52" t="n">
        <v>37709605.66</v>
      </c>
      <c r="G52" t="n">
        <v>13835.4074</v>
      </c>
      <c r="H52" t="n">
        <v>13835.4074</v>
      </c>
      <c r="I52" t="n">
        <v>1383.2229</v>
      </c>
      <c r="J52" t="n">
        <v>2474.9302</v>
      </c>
      <c r="K52" t="n">
        <v>11224.0567</v>
      </c>
      <c r="L52" t="inlineStr"/>
      <c r="M52" t="inlineStr"/>
      <c r="N52" t="inlineStr"/>
      <c r="O52" t="inlineStr"/>
      <c r="P52" t="n">
        <v>2018</v>
      </c>
      <c r="Q52" t="inlineStr"/>
      <c r="R52" t="inlineStr"/>
      <c r="S52" t="n">
        <v>529.8294</v>
      </c>
      <c r="T52" t="n">
        <v>0.00091413</v>
      </c>
      <c r="U52" t="n">
        <v>0.00096913</v>
      </c>
    </row>
    <row r="53">
      <c r="A53" t="inlineStr">
        <is>
          <t>SUP-0006</t>
        </is>
      </c>
      <c r="B53" t="inlineStr">
        <is>
          <t>Agriculture Supplier 006</t>
        </is>
      </c>
      <c r="C53" t="inlineStr">
        <is>
          <t>Agriculture</t>
        </is>
      </c>
      <c r="D53" t="n">
        <v>2016</v>
      </c>
      <c r="E53" t="n">
        <v>22265353.89</v>
      </c>
      <c r="F53" t="n">
        <v>38842341.44</v>
      </c>
      <c r="G53" t="n">
        <v>18443.2783</v>
      </c>
      <c r="H53" t="n">
        <v>18443.2783</v>
      </c>
      <c r="I53" t="n">
        <v>2935.5479</v>
      </c>
      <c r="J53" t="n">
        <v>3286.9499</v>
      </c>
      <c r="K53" t="n">
        <v>12194.4996</v>
      </c>
      <c r="L53" t="inlineStr"/>
      <c r="M53" t="inlineStr"/>
      <c r="N53" t="inlineStr"/>
      <c r="O53" t="inlineStr"/>
      <c r="P53" t="n">
        <v>2018</v>
      </c>
      <c r="Q53" t="inlineStr"/>
      <c r="R53" t="inlineStr"/>
      <c r="S53" t="n">
        <v>529.8294</v>
      </c>
      <c r="T53" t="n">
        <v>0.00091413</v>
      </c>
      <c r="U53" t="n">
        <v>0.00096913</v>
      </c>
    </row>
    <row r="54">
      <c r="A54" t="inlineStr">
        <is>
          <t>SUP-0006</t>
        </is>
      </c>
      <c r="B54" t="inlineStr">
        <is>
          <t>Agriculture Supplier 006</t>
        </is>
      </c>
      <c r="C54" t="inlineStr">
        <is>
          <t>Agriculture</t>
        </is>
      </c>
      <c r="D54" t="n">
        <v>2017</v>
      </c>
      <c r="E54" t="n">
        <v>19154362.77</v>
      </c>
      <c r="F54" t="n">
        <v>37331410.04</v>
      </c>
      <c r="G54" t="n">
        <v>13319.2487</v>
      </c>
      <c r="H54" t="n">
        <v>13319.2487</v>
      </c>
      <c r="I54" t="n">
        <v>2987.8117</v>
      </c>
      <c r="J54" t="n">
        <v>999.2521</v>
      </c>
      <c r="K54" t="n">
        <v>9105.312099999999</v>
      </c>
      <c r="L54" t="inlineStr"/>
      <c r="M54" t="inlineStr"/>
      <c r="N54" t="inlineStr"/>
      <c r="O54" t="inlineStr"/>
      <c r="P54" t="n">
        <v>2018</v>
      </c>
      <c r="Q54" t="inlineStr"/>
      <c r="R54" t="inlineStr"/>
      <c r="S54" t="n">
        <v>529.8294</v>
      </c>
      <c r="T54" t="n">
        <v>0.00091413</v>
      </c>
      <c r="U54" t="n">
        <v>0.00096913</v>
      </c>
    </row>
    <row r="55">
      <c r="A55" t="inlineStr">
        <is>
          <t>SUP-0006</t>
        </is>
      </c>
      <c r="B55" t="inlineStr">
        <is>
          <t>Agriculture Supplier 006</t>
        </is>
      </c>
      <c r="C55" t="inlineStr">
        <is>
          <t>Agriculture</t>
        </is>
      </c>
      <c r="D55" t="n">
        <v>2018</v>
      </c>
      <c r="E55" t="n">
        <v>26192695.78</v>
      </c>
      <c r="F55" t="n">
        <v>47430128.29</v>
      </c>
      <c r="G55" t="n">
        <v>16554.2419</v>
      </c>
      <c r="H55" t="n">
        <v>16554.2419</v>
      </c>
      <c r="I55" t="n">
        <v>2979.0625</v>
      </c>
      <c r="J55" t="n">
        <v>2251.5248</v>
      </c>
      <c r="K55" t="n">
        <v>11501.4661</v>
      </c>
      <c r="L55" t="inlineStr"/>
      <c r="M55" t="inlineStr"/>
      <c r="N55" t="inlineStr"/>
      <c r="O55" t="inlineStr"/>
      <c r="P55" t="n">
        <v>2018</v>
      </c>
      <c r="Q55" t="inlineStr"/>
      <c r="R55" t="inlineStr"/>
      <c r="S55" t="n">
        <v>529.8294</v>
      </c>
      <c r="T55" t="n">
        <v>0.00091413</v>
      </c>
      <c r="U55" t="n">
        <v>0.00096913</v>
      </c>
    </row>
    <row r="56">
      <c r="A56" t="inlineStr">
        <is>
          <t>SUP-0006</t>
        </is>
      </c>
      <c r="B56" t="inlineStr">
        <is>
          <t>Agriculture Supplier 006</t>
        </is>
      </c>
      <c r="C56" t="inlineStr">
        <is>
          <t>Agriculture</t>
        </is>
      </c>
      <c r="D56" t="n">
        <v>2019</v>
      </c>
      <c r="E56" t="n">
        <v>24417292.17</v>
      </c>
      <c r="F56" t="n">
        <v>42615624.82</v>
      </c>
      <c r="G56" t="n">
        <v>14239.3504</v>
      </c>
      <c r="H56" t="n">
        <v>14239.3504</v>
      </c>
      <c r="I56" t="n">
        <v>2998.755</v>
      </c>
      <c r="J56" t="n">
        <v>2256.3318</v>
      </c>
      <c r="K56" t="n">
        <v>9398.4638</v>
      </c>
      <c r="L56" t="inlineStr"/>
      <c r="M56" t="inlineStr"/>
      <c r="N56" t="inlineStr"/>
      <c r="O56" t="inlineStr"/>
      <c r="P56" t="n">
        <v>2018</v>
      </c>
      <c r="Q56" t="inlineStr"/>
      <c r="R56" t="inlineStr"/>
      <c r="S56" t="n">
        <v>529.8294</v>
      </c>
      <c r="T56" t="n">
        <v>0.00091413</v>
      </c>
      <c r="U56" t="n">
        <v>0.00096913</v>
      </c>
    </row>
    <row r="57">
      <c r="A57" t="inlineStr">
        <is>
          <t>SUP-0006</t>
        </is>
      </c>
      <c r="B57" t="inlineStr">
        <is>
          <t>Agriculture Supplier 006</t>
        </is>
      </c>
      <c r="C57" t="inlineStr">
        <is>
          <t>Agriculture</t>
        </is>
      </c>
      <c r="D57" t="n">
        <v>2020</v>
      </c>
      <c r="E57" t="n">
        <v>22035056.84</v>
      </c>
      <c r="F57" t="n">
        <v>44130055.91</v>
      </c>
      <c r="G57" t="n">
        <v>14326.947</v>
      </c>
      <c r="H57" t="n">
        <v>14326.947</v>
      </c>
      <c r="I57" t="n">
        <v>3188.7712</v>
      </c>
      <c r="J57" t="n">
        <v>2721.3067</v>
      </c>
      <c r="K57" t="n">
        <v>8208.2345</v>
      </c>
      <c r="L57" t="inlineStr"/>
      <c r="M57" t="inlineStr"/>
      <c r="N57" t="inlineStr"/>
      <c r="O57" t="inlineStr"/>
      <c r="P57" t="n">
        <v>2018</v>
      </c>
      <c r="Q57" t="inlineStr"/>
      <c r="R57" t="inlineStr"/>
      <c r="S57" t="n">
        <v>529.8294</v>
      </c>
      <c r="T57" t="n">
        <v>0.00091413</v>
      </c>
      <c r="U57" t="n">
        <v>0.00096913</v>
      </c>
    </row>
    <row r="58">
      <c r="A58" t="inlineStr">
        <is>
          <t>SUP-0006</t>
        </is>
      </c>
      <c r="B58" t="inlineStr">
        <is>
          <t>Agriculture Supplier 006</t>
        </is>
      </c>
      <c r="C58" t="inlineStr">
        <is>
          <t>Agriculture</t>
        </is>
      </c>
      <c r="D58" t="n">
        <v>2021</v>
      </c>
      <c r="E58" t="n">
        <v>28729052.19</v>
      </c>
      <c r="F58" t="n">
        <v>41079496.59</v>
      </c>
      <c r="G58" t="n">
        <v>22455.4527</v>
      </c>
      <c r="H58" t="n">
        <v>22455.4527</v>
      </c>
      <c r="I58" t="n">
        <v>1794.2627</v>
      </c>
      <c r="J58" t="n">
        <v>2145.2376</v>
      </c>
      <c r="K58" t="n">
        <v>18992.3269</v>
      </c>
      <c r="L58" t="inlineStr"/>
      <c r="M58" t="inlineStr"/>
      <c r="N58" t="inlineStr"/>
      <c r="O58" t="inlineStr"/>
      <c r="P58" t="n">
        <v>2018</v>
      </c>
      <c r="Q58" t="inlineStr"/>
      <c r="R58" t="inlineStr"/>
      <c r="S58" t="n">
        <v>529.8294</v>
      </c>
      <c r="T58" t="n">
        <v>0.00091413</v>
      </c>
      <c r="U58" t="n">
        <v>0.00096913</v>
      </c>
    </row>
    <row r="59">
      <c r="A59" t="inlineStr">
        <is>
          <t>SUP-0006</t>
        </is>
      </c>
      <c r="B59" t="inlineStr">
        <is>
          <t>Agriculture Supplier 006</t>
        </is>
      </c>
      <c r="C59" t="inlineStr">
        <is>
          <t>Agriculture</t>
        </is>
      </c>
      <c r="D59" t="n">
        <v>2022</v>
      </c>
      <c r="E59" t="n">
        <v>30047547.05</v>
      </c>
      <c r="F59" t="n">
        <v>62389889.68</v>
      </c>
      <c r="G59" t="n">
        <v>23043.8068</v>
      </c>
      <c r="H59" t="n">
        <v>23043.8068</v>
      </c>
      <c r="I59" t="n">
        <v>2851.4669</v>
      </c>
      <c r="J59" t="n">
        <v>3596.1378</v>
      </c>
      <c r="K59" t="n">
        <v>18178.1685</v>
      </c>
      <c r="L59" t="inlineStr"/>
      <c r="M59" t="inlineStr"/>
      <c r="N59" t="inlineStr"/>
      <c r="O59" t="inlineStr"/>
      <c r="P59" t="n">
        <v>2018</v>
      </c>
      <c r="Q59" t="inlineStr"/>
      <c r="R59" t="inlineStr"/>
      <c r="S59" t="n">
        <v>529.8294</v>
      </c>
      <c r="T59" t="n">
        <v>0.00091413</v>
      </c>
      <c r="U59" t="n">
        <v>0.00096913</v>
      </c>
    </row>
    <row r="60">
      <c r="A60" t="inlineStr">
        <is>
          <t>SUP-0006</t>
        </is>
      </c>
      <c r="B60" t="inlineStr">
        <is>
          <t>Agriculture Supplier 006</t>
        </is>
      </c>
      <c r="C60" t="inlineStr">
        <is>
          <t>Agriculture</t>
        </is>
      </c>
      <c r="D60" t="n">
        <v>2023</v>
      </c>
      <c r="E60" t="n">
        <v>27635058.41</v>
      </c>
      <c r="F60" t="n">
        <v>47949045.65</v>
      </c>
      <c r="G60" t="n">
        <v>20405.9294</v>
      </c>
      <c r="H60" t="n">
        <v>20405.9294</v>
      </c>
      <c r="I60" t="n">
        <v>4974.3319</v>
      </c>
      <c r="J60" t="n">
        <v>2184.5332</v>
      </c>
      <c r="K60" t="n">
        <v>13718.0898</v>
      </c>
      <c r="L60" t="inlineStr"/>
      <c r="M60" t="inlineStr"/>
      <c r="N60" t="inlineStr"/>
      <c r="O60" t="inlineStr"/>
      <c r="P60" t="n">
        <v>2018</v>
      </c>
      <c r="Q60" t="inlineStr"/>
      <c r="R60" t="inlineStr"/>
      <c r="S60" t="n">
        <v>529.8294</v>
      </c>
      <c r="T60" t="n">
        <v>0.00091413</v>
      </c>
      <c r="U60" t="n">
        <v>0.00096913</v>
      </c>
    </row>
    <row r="61">
      <c r="A61" t="inlineStr">
        <is>
          <t>SUP-0006</t>
        </is>
      </c>
      <c r="B61" t="inlineStr">
        <is>
          <t>Agriculture Supplier 006</t>
        </is>
      </c>
      <c r="C61" t="inlineStr">
        <is>
          <t>Agriculture</t>
        </is>
      </c>
      <c r="D61" t="n">
        <v>2024</v>
      </c>
      <c r="E61" t="n">
        <v>28569472.27</v>
      </c>
      <c r="F61" t="n">
        <v>64789530</v>
      </c>
      <c r="G61" t="n">
        <v>20436.7272</v>
      </c>
      <c r="H61" t="n">
        <v>20436.7272</v>
      </c>
      <c r="I61" t="n">
        <v>1834.7707</v>
      </c>
      <c r="J61" t="n">
        <v>1396.9006</v>
      </c>
      <c r="K61" t="n">
        <v>15397.2718</v>
      </c>
      <c r="L61" t="inlineStr"/>
      <c r="M61" t="inlineStr"/>
      <c r="N61" t="inlineStr"/>
      <c r="O61" t="inlineStr"/>
      <c r="P61" t="n">
        <v>2018</v>
      </c>
      <c r="Q61" t="inlineStr"/>
      <c r="R61" t="inlineStr"/>
      <c r="S61" t="n">
        <v>529.8294</v>
      </c>
      <c r="T61" t="n">
        <v>0.00091413</v>
      </c>
      <c r="U61" t="n">
        <v>0.00096913</v>
      </c>
    </row>
    <row r="62">
      <c r="A62" t="inlineStr">
        <is>
          <t>SUP-0007</t>
        </is>
      </c>
      <c r="B62" t="inlineStr">
        <is>
          <t>Chemicals Supplier 007</t>
        </is>
      </c>
      <c r="C62" t="inlineStr">
        <is>
          <t>Chemicals</t>
        </is>
      </c>
      <c r="D62" t="n">
        <v>2015</v>
      </c>
      <c r="E62" t="n">
        <v>19995092.71</v>
      </c>
      <c r="F62" t="n">
        <v>120617779.88</v>
      </c>
      <c r="G62" t="n">
        <v>23182.7697</v>
      </c>
      <c r="H62" t="n">
        <v>23182.7697</v>
      </c>
      <c r="I62" t="n">
        <v>5334.4184</v>
      </c>
      <c r="J62" t="n">
        <v>1925.7557</v>
      </c>
      <c r="K62" t="n">
        <v>15406.277</v>
      </c>
      <c r="L62" t="n">
        <v>2019</v>
      </c>
      <c r="M62" t="n">
        <v>2030</v>
      </c>
      <c r="N62" t="n">
        <v>0.5673</v>
      </c>
      <c r="O62" t="n">
        <v>0.2314</v>
      </c>
      <c r="P62" t="n">
        <v>2019</v>
      </c>
      <c r="Q62" t="n">
        <v>2035</v>
      </c>
      <c r="R62" t="n">
        <v>0.5229</v>
      </c>
      <c r="S62" t="n">
        <v>506.3191</v>
      </c>
      <c r="T62" t="n">
        <v>0.00100149</v>
      </c>
      <c r="U62" t="n">
        <v>0.00047124</v>
      </c>
    </row>
    <row r="63">
      <c r="A63" t="inlineStr">
        <is>
          <t>SUP-0007</t>
        </is>
      </c>
      <c r="B63" t="inlineStr">
        <is>
          <t>Chemicals Supplier 007</t>
        </is>
      </c>
      <c r="C63" t="inlineStr">
        <is>
          <t>Chemicals</t>
        </is>
      </c>
      <c r="D63" t="n">
        <v>2016</v>
      </c>
      <c r="E63" t="n">
        <v>20630325.86</v>
      </c>
      <c r="F63" t="n">
        <v>146171163.57</v>
      </c>
      <c r="G63" t="n">
        <v>24935.9606</v>
      </c>
      <c r="H63" t="n">
        <v>24935.9606</v>
      </c>
      <c r="I63" t="n">
        <v>2336.9043</v>
      </c>
      <c r="J63" t="n">
        <v>4993.2744</v>
      </c>
      <c r="K63" t="n">
        <v>16505.9142</v>
      </c>
      <c r="L63" t="n">
        <v>2019</v>
      </c>
      <c r="M63" t="n">
        <v>2030</v>
      </c>
      <c r="N63" t="n">
        <v>0.5673</v>
      </c>
      <c r="O63" t="n">
        <v>0.2314</v>
      </c>
      <c r="P63" t="n">
        <v>2019</v>
      </c>
      <c r="Q63" t="n">
        <v>2035</v>
      </c>
      <c r="R63" t="n">
        <v>0.5229</v>
      </c>
      <c r="S63" t="n">
        <v>506.3191</v>
      </c>
      <c r="T63" t="n">
        <v>0.00100149</v>
      </c>
      <c r="U63" t="n">
        <v>0.00047124</v>
      </c>
    </row>
    <row r="64">
      <c r="A64" t="inlineStr">
        <is>
          <t>SUP-0007</t>
        </is>
      </c>
      <c r="B64" t="inlineStr">
        <is>
          <t>Chemicals Supplier 007</t>
        </is>
      </c>
      <c r="C64" t="inlineStr">
        <is>
          <t>Chemicals</t>
        </is>
      </c>
      <c r="D64" t="n">
        <v>2017</v>
      </c>
      <c r="E64" t="n">
        <v>21691524.2</v>
      </c>
      <c r="F64" t="n">
        <v>125919887.15</v>
      </c>
      <c r="G64" t="n">
        <v>22439.4559</v>
      </c>
      <c r="H64" t="n">
        <v>22439.4559</v>
      </c>
      <c r="I64" t="n">
        <v>3524.0297</v>
      </c>
      <c r="J64" t="n">
        <v>2981.3683</v>
      </c>
      <c r="K64" t="n">
        <v>16836.1163</v>
      </c>
      <c r="L64" t="n">
        <v>2019</v>
      </c>
      <c r="M64" t="n">
        <v>2030</v>
      </c>
      <c r="N64" t="n">
        <v>0.5673</v>
      </c>
      <c r="O64" t="n">
        <v>0.2314</v>
      </c>
      <c r="P64" t="n">
        <v>2019</v>
      </c>
      <c r="Q64" t="n">
        <v>2035</v>
      </c>
      <c r="R64" t="n">
        <v>0.5229</v>
      </c>
      <c r="S64" t="n">
        <v>506.3191</v>
      </c>
      <c r="T64" t="n">
        <v>0.00100149</v>
      </c>
      <c r="U64" t="n">
        <v>0.00047124</v>
      </c>
    </row>
    <row r="65">
      <c r="A65" t="inlineStr">
        <is>
          <t>SUP-0007</t>
        </is>
      </c>
      <c r="B65" t="inlineStr">
        <is>
          <t>Chemicals Supplier 007</t>
        </is>
      </c>
      <c r="C65" t="inlineStr">
        <is>
          <t>Chemicals</t>
        </is>
      </c>
      <c r="D65" t="n">
        <v>2018</v>
      </c>
      <c r="E65" t="n">
        <v>25955331.66</v>
      </c>
      <c r="F65" t="n">
        <v>162091933.12</v>
      </c>
      <c r="G65" t="n">
        <v>34303.111</v>
      </c>
      <c r="H65" t="n">
        <v>34303.111</v>
      </c>
      <c r="I65" t="n">
        <v>3902.6275</v>
      </c>
      <c r="J65" t="n">
        <v>6183.1368</v>
      </c>
      <c r="K65" t="n">
        <v>24113.155</v>
      </c>
      <c r="L65" t="n">
        <v>2019</v>
      </c>
      <c r="M65" t="n">
        <v>2030</v>
      </c>
      <c r="N65" t="n">
        <v>0.5673</v>
      </c>
      <c r="O65" t="n">
        <v>0.2314</v>
      </c>
      <c r="P65" t="n">
        <v>2019</v>
      </c>
      <c r="Q65" t="n">
        <v>2035</v>
      </c>
      <c r="R65" t="n">
        <v>0.5229</v>
      </c>
      <c r="S65" t="n">
        <v>506.3191</v>
      </c>
      <c r="T65" t="n">
        <v>0.00100149</v>
      </c>
      <c r="U65" t="n">
        <v>0.00047124</v>
      </c>
    </row>
    <row r="66">
      <c r="A66" t="inlineStr">
        <is>
          <t>SUP-0007</t>
        </is>
      </c>
      <c r="B66" t="inlineStr">
        <is>
          <t>Chemicals Supplier 007</t>
        </is>
      </c>
      <c r="C66" t="inlineStr">
        <is>
          <t>Chemicals</t>
        </is>
      </c>
      <c r="D66" t="n">
        <v>2019</v>
      </c>
      <c r="E66" t="n">
        <v>24849723.88</v>
      </c>
      <c r="F66" t="n">
        <v>194432607.95</v>
      </c>
      <c r="G66" t="n">
        <v>28820.1528</v>
      </c>
      <c r="H66" t="n">
        <v>28820.1528</v>
      </c>
      <c r="I66" t="n">
        <v>6593.8254</v>
      </c>
      <c r="J66" t="n">
        <v>1999.3427</v>
      </c>
      <c r="K66" t="n">
        <v>21453.7198</v>
      </c>
      <c r="L66" t="n">
        <v>2019</v>
      </c>
      <c r="M66" t="n">
        <v>2030</v>
      </c>
      <c r="N66" t="n">
        <v>0.5673</v>
      </c>
      <c r="O66" t="n">
        <v>0.2314</v>
      </c>
      <c r="P66" t="n">
        <v>2019</v>
      </c>
      <c r="Q66" t="n">
        <v>2035</v>
      </c>
      <c r="R66" t="n">
        <v>0.5229</v>
      </c>
      <c r="S66" t="n">
        <v>506.3191</v>
      </c>
      <c r="T66" t="n">
        <v>0.00100149</v>
      </c>
      <c r="U66" t="n">
        <v>0.00047124</v>
      </c>
    </row>
    <row r="67">
      <c r="A67" t="inlineStr">
        <is>
          <t>SUP-0007</t>
        </is>
      </c>
      <c r="B67" t="inlineStr">
        <is>
          <t>Chemicals Supplier 007</t>
        </is>
      </c>
      <c r="C67" t="inlineStr">
        <is>
          <t>Chemicals</t>
        </is>
      </c>
      <c r="D67" t="n">
        <v>2020</v>
      </c>
      <c r="E67" t="n">
        <v>27624847.37</v>
      </c>
      <c r="F67" t="n">
        <v>234168347.25</v>
      </c>
      <c r="G67" t="n">
        <v>32114.4623</v>
      </c>
      <c r="H67" t="n">
        <v>32114.4623</v>
      </c>
      <c r="I67" t="n">
        <v>2554.9954</v>
      </c>
      <c r="J67" t="n">
        <v>5386.718</v>
      </c>
      <c r="K67" t="n">
        <v>24133.6386</v>
      </c>
      <c r="L67" t="n">
        <v>2019</v>
      </c>
      <c r="M67" t="n">
        <v>2030</v>
      </c>
      <c r="N67" t="n">
        <v>0.5673</v>
      </c>
      <c r="O67" t="n">
        <v>0.2314</v>
      </c>
      <c r="P67" t="n">
        <v>2019</v>
      </c>
      <c r="Q67" t="n">
        <v>2035</v>
      </c>
      <c r="R67" t="n">
        <v>0.5229</v>
      </c>
      <c r="S67" t="n">
        <v>506.3191</v>
      </c>
      <c r="T67" t="n">
        <v>0.00100149</v>
      </c>
      <c r="U67" t="n">
        <v>0.00047124</v>
      </c>
    </row>
    <row r="68">
      <c r="A68" t="inlineStr">
        <is>
          <t>SUP-0007</t>
        </is>
      </c>
      <c r="B68" t="inlineStr">
        <is>
          <t>Chemicals Supplier 007</t>
        </is>
      </c>
      <c r="C68" t="inlineStr">
        <is>
          <t>Chemicals</t>
        </is>
      </c>
      <c r="D68" t="n">
        <v>2021</v>
      </c>
      <c r="E68" t="n">
        <v>28262114.56</v>
      </c>
      <c r="F68" t="n">
        <v>225133941.84</v>
      </c>
      <c r="G68" t="n">
        <v>39637.9162</v>
      </c>
      <c r="H68" t="n">
        <v>39637.9162</v>
      </c>
      <c r="I68" t="n">
        <v>7472.9496</v>
      </c>
      <c r="J68" t="n">
        <v>4003.0989</v>
      </c>
      <c r="K68" t="n">
        <v>25846.239</v>
      </c>
      <c r="L68" t="n">
        <v>2019</v>
      </c>
      <c r="M68" t="n">
        <v>2030</v>
      </c>
      <c r="N68" t="n">
        <v>0.5673</v>
      </c>
      <c r="O68" t="n">
        <v>0.2314</v>
      </c>
      <c r="P68" t="n">
        <v>2019</v>
      </c>
      <c r="Q68" t="n">
        <v>2035</v>
      </c>
      <c r="R68" t="n">
        <v>0.5229</v>
      </c>
      <c r="S68" t="n">
        <v>506.3191</v>
      </c>
      <c r="T68" t="n">
        <v>0.00100149</v>
      </c>
      <c r="U68" t="n">
        <v>0.00047124</v>
      </c>
    </row>
    <row r="69">
      <c r="A69" t="inlineStr">
        <is>
          <t>SUP-0007</t>
        </is>
      </c>
      <c r="B69" t="inlineStr">
        <is>
          <t>Chemicals Supplier 007</t>
        </is>
      </c>
      <c r="C69" t="inlineStr">
        <is>
          <t>Chemicals</t>
        </is>
      </c>
      <c r="D69" t="n">
        <v>2022</v>
      </c>
      <c r="E69" t="n">
        <v>30107576.95</v>
      </c>
      <c r="F69" t="n">
        <v>247887481.19</v>
      </c>
      <c r="G69" t="n">
        <v>28927.8767</v>
      </c>
      <c r="H69" t="n">
        <v>28927.8767</v>
      </c>
      <c r="I69" t="n">
        <v>5447.4423</v>
      </c>
      <c r="J69" t="n">
        <v>5966.9615</v>
      </c>
      <c r="K69" t="n">
        <v>17948.5245</v>
      </c>
      <c r="L69" t="n">
        <v>2019</v>
      </c>
      <c r="M69" t="n">
        <v>2030</v>
      </c>
      <c r="N69" t="n">
        <v>0.5673</v>
      </c>
      <c r="O69" t="n">
        <v>0.2314</v>
      </c>
      <c r="P69" t="n">
        <v>2019</v>
      </c>
      <c r="Q69" t="n">
        <v>2035</v>
      </c>
      <c r="R69" t="n">
        <v>0.5229</v>
      </c>
      <c r="S69" t="n">
        <v>506.3191</v>
      </c>
      <c r="T69" t="n">
        <v>0.00100149</v>
      </c>
      <c r="U69" t="n">
        <v>0.00047124</v>
      </c>
    </row>
    <row r="70">
      <c r="A70" t="inlineStr">
        <is>
          <t>SUP-0007</t>
        </is>
      </c>
      <c r="B70" t="inlineStr">
        <is>
          <t>Chemicals Supplier 007</t>
        </is>
      </c>
      <c r="C70" t="inlineStr">
        <is>
          <t>Chemicals</t>
        </is>
      </c>
      <c r="D70" t="n">
        <v>2023</v>
      </c>
      <c r="E70" t="n">
        <v>34544558.59</v>
      </c>
      <c r="F70" t="n">
        <v>212344917.76</v>
      </c>
      <c r="G70" t="n">
        <v>26732.4761</v>
      </c>
      <c r="H70" t="n">
        <v>26732.4761</v>
      </c>
      <c r="I70" t="n">
        <v>4377.8896</v>
      </c>
      <c r="J70" t="n">
        <v>2021.8906</v>
      </c>
      <c r="K70" t="n">
        <v>20042.7884</v>
      </c>
      <c r="L70" t="n">
        <v>2019</v>
      </c>
      <c r="M70" t="n">
        <v>2030</v>
      </c>
      <c r="N70" t="n">
        <v>0.5673</v>
      </c>
      <c r="O70" t="n">
        <v>0.2314</v>
      </c>
      <c r="P70" t="n">
        <v>2019</v>
      </c>
      <c r="Q70" t="n">
        <v>2035</v>
      </c>
      <c r="R70" t="n">
        <v>0.5229</v>
      </c>
      <c r="S70" t="n">
        <v>506.3191</v>
      </c>
      <c r="T70" t="n">
        <v>0.00100149</v>
      </c>
      <c r="U70" t="n">
        <v>0.00047124</v>
      </c>
    </row>
    <row r="71">
      <c r="A71" t="inlineStr">
        <is>
          <t>SUP-0007</t>
        </is>
      </c>
      <c r="B71" t="inlineStr">
        <is>
          <t>Chemicals Supplier 007</t>
        </is>
      </c>
      <c r="C71" t="inlineStr">
        <is>
          <t>Chemicals</t>
        </is>
      </c>
      <c r="D71" t="n">
        <v>2024</v>
      </c>
      <c r="E71" t="n">
        <v>40236055.73</v>
      </c>
      <c r="F71" t="n">
        <v>391577893.99</v>
      </c>
      <c r="G71" t="n">
        <v>38148.1199</v>
      </c>
      <c r="H71" t="n">
        <v>38148.1199</v>
      </c>
      <c r="I71" t="n">
        <v>8103.1886</v>
      </c>
      <c r="J71" t="n">
        <v>3254.2091</v>
      </c>
      <c r="K71" t="n">
        <v>25070.6768</v>
      </c>
      <c r="L71" t="n">
        <v>2019</v>
      </c>
      <c r="M71" t="n">
        <v>2030</v>
      </c>
      <c r="N71" t="n">
        <v>0.5673</v>
      </c>
      <c r="O71" t="n">
        <v>0.2314</v>
      </c>
      <c r="P71" t="n">
        <v>2019</v>
      </c>
      <c r="Q71" t="n">
        <v>2035</v>
      </c>
      <c r="R71" t="n">
        <v>0.5229</v>
      </c>
      <c r="S71" t="n">
        <v>506.3191</v>
      </c>
      <c r="T71" t="n">
        <v>0.00100149</v>
      </c>
      <c r="U71" t="n">
        <v>0.00047124</v>
      </c>
    </row>
    <row r="72">
      <c r="A72" t="inlineStr">
        <is>
          <t>SUP-0008</t>
        </is>
      </c>
      <c r="B72" t="inlineStr">
        <is>
          <t>Electronics Supplier 008</t>
        </is>
      </c>
      <c r="C72" t="inlineStr">
        <is>
          <t>Electronics</t>
        </is>
      </c>
      <c r="D72" t="n">
        <v>2015</v>
      </c>
      <c r="E72" t="n">
        <v>10624481.24</v>
      </c>
      <c r="F72" t="n">
        <v>60069851.45</v>
      </c>
      <c r="G72" t="n">
        <v>7692.1155</v>
      </c>
      <c r="H72" t="n">
        <v>7692.1155</v>
      </c>
      <c r="I72" t="n">
        <v>1902.3197</v>
      </c>
      <c r="J72" t="n">
        <v>1708.1663</v>
      </c>
      <c r="K72" t="n">
        <v>4549.5684</v>
      </c>
      <c r="L72" t="inlineStr"/>
      <c r="M72" t="inlineStr"/>
      <c r="N72" t="inlineStr"/>
      <c r="O72" t="inlineStr"/>
      <c r="P72" t="n">
        <v>2018</v>
      </c>
      <c r="Q72" t="n">
        <v>2040</v>
      </c>
      <c r="R72" t="n">
        <v>0.3424</v>
      </c>
      <c r="S72" t="n">
        <v>635.1588</v>
      </c>
      <c r="T72" t="n">
        <v>0.00086105</v>
      </c>
      <c r="U72" t="n">
        <v>0.00013947</v>
      </c>
    </row>
    <row r="73">
      <c r="A73" t="inlineStr">
        <is>
          <t>SUP-0008</t>
        </is>
      </c>
      <c r="B73" t="inlineStr">
        <is>
          <t>Electronics Supplier 008</t>
        </is>
      </c>
      <c r="C73" t="inlineStr">
        <is>
          <t>Electronics</t>
        </is>
      </c>
      <c r="D73" t="n">
        <v>2016</v>
      </c>
      <c r="E73" t="n">
        <v>11862504.75</v>
      </c>
      <c r="F73" t="n">
        <v>56349929.7</v>
      </c>
      <c r="G73" t="n">
        <v>7808.3116</v>
      </c>
      <c r="H73" t="n">
        <v>7808.3116</v>
      </c>
      <c r="I73" t="n">
        <v>2207.2186</v>
      </c>
      <c r="J73" t="n">
        <v>1636.7816</v>
      </c>
      <c r="K73" t="n">
        <v>4092.6678</v>
      </c>
      <c r="L73" t="inlineStr"/>
      <c r="M73" t="inlineStr"/>
      <c r="N73" t="inlineStr"/>
      <c r="O73" t="inlineStr"/>
      <c r="P73" t="n">
        <v>2018</v>
      </c>
      <c r="Q73" t="n">
        <v>2040</v>
      </c>
      <c r="R73" t="n">
        <v>0.3424</v>
      </c>
      <c r="S73" t="n">
        <v>635.1588</v>
      </c>
      <c r="T73" t="n">
        <v>0.00086105</v>
      </c>
      <c r="U73" t="n">
        <v>0.00013947</v>
      </c>
    </row>
    <row r="74">
      <c r="A74" t="inlineStr">
        <is>
          <t>SUP-0008</t>
        </is>
      </c>
      <c r="B74" t="inlineStr">
        <is>
          <t>Electronics Supplier 008</t>
        </is>
      </c>
      <c r="C74" t="inlineStr">
        <is>
          <t>Electronics</t>
        </is>
      </c>
      <c r="D74" t="n">
        <v>2017</v>
      </c>
      <c r="E74" t="n">
        <v>11827144.76</v>
      </c>
      <c r="F74" t="n">
        <v>46870852.57</v>
      </c>
      <c r="G74" t="n">
        <v>8592.168799999999</v>
      </c>
      <c r="H74" t="n">
        <v>8592.168799999999</v>
      </c>
      <c r="I74" t="n">
        <v>2119.3457</v>
      </c>
      <c r="J74" t="n">
        <v>725.9315</v>
      </c>
      <c r="K74" t="n">
        <v>5728.2689</v>
      </c>
      <c r="L74" t="inlineStr"/>
      <c r="M74" t="inlineStr"/>
      <c r="N74" t="inlineStr"/>
      <c r="O74" t="inlineStr"/>
      <c r="P74" t="n">
        <v>2018</v>
      </c>
      <c r="Q74" t="n">
        <v>2040</v>
      </c>
      <c r="R74" t="n">
        <v>0.3424</v>
      </c>
      <c r="S74" t="n">
        <v>635.1588</v>
      </c>
      <c r="T74" t="n">
        <v>0.00086105</v>
      </c>
      <c r="U74" t="n">
        <v>0.00013947</v>
      </c>
    </row>
    <row r="75">
      <c r="A75" t="inlineStr">
        <is>
          <t>SUP-0008</t>
        </is>
      </c>
      <c r="B75" t="inlineStr">
        <is>
          <t>Electronics Supplier 008</t>
        </is>
      </c>
      <c r="C75" t="inlineStr">
        <is>
          <t>Electronics</t>
        </is>
      </c>
      <c r="D75" t="n">
        <v>2018</v>
      </c>
      <c r="E75" t="n">
        <v>11986808.2</v>
      </c>
      <c r="F75" t="n">
        <v>43626550.43</v>
      </c>
      <c r="G75" t="n">
        <v>9649.1625</v>
      </c>
      <c r="H75" t="n">
        <v>9649.1625</v>
      </c>
      <c r="I75" t="n">
        <v>1058.2974</v>
      </c>
      <c r="J75" t="n">
        <v>1022.0185</v>
      </c>
      <c r="K75" t="n">
        <v>7483.9018</v>
      </c>
      <c r="L75" t="inlineStr"/>
      <c r="M75" t="inlineStr"/>
      <c r="N75" t="inlineStr"/>
      <c r="O75" t="inlineStr"/>
      <c r="P75" t="n">
        <v>2018</v>
      </c>
      <c r="Q75" t="n">
        <v>2040</v>
      </c>
      <c r="R75" t="n">
        <v>0.3424</v>
      </c>
      <c r="S75" t="n">
        <v>635.1588</v>
      </c>
      <c r="T75" t="n">
        <v>0.00086105</v>
      </c>
      <c r="U75" t="n">
        <v>0.00013947</v>
      </c>
    </row>
    <row r="76">
      <c r="A76" t="inlineStr">
        <is>
          <t>SUP-0008</t>
        </is>
      </c>
      <c r="B76" t="inlineStr">
        <is>
          <t>Electronics Supplier 008</t>
        </is>
      </c>
      <c r="C76" t="inlineStr">
        <is>
          <t>Electronics</t>
        </is>
      </c>
      <c r="D76" t="n">
        <v>2019</v>
      </c>
      <c r="E76" t="n">
        <v>11751172.52</v>
      </c>
      <c r="F76" t="n">
        <v>49726885.47</v>
      </c>
      <c r="G76" t="n">
        <v>7042.4943</v>
      </c>
      <c r="H76" t="n">
        <v>7042.4943</v>
      </c>
      <c r="I76" t="n">
        <v>712.5672</v>
      </c>
      <c r="J76" t="n">
        <v>1252.4349</v>
      </c>
      <c r="K76" t="n">
        <v>4744.897</v>
      </c>
      <c r="L76" t="inlineStr"/>
      <c r="M76" t="inlineStr"/>
      <c r="N76" t="inlineStr"/>
      <c r="O76" t="inlineStr"/>
      <c r="P76" t="n">
        <v>2018</v>
      </c>
      <c r="Q76" t="n">
        <v>2040</v>
      </c>
      <c r="R76" t="n">
        <v>0.3424</v>
      </c>
      <c r="S76" t="n">
        <v>635.1588</v>
      </c>
      <c r="T76" t="n">
        <v>0.00086105</v>
      </c>
      <c r="U76" t="n">
        <v>0.00013947</v>
      </c>
    </row>
    <row r="77">
      <c r="A77" t="inlineStr">
        <is>
          <t>SUP-0008</t>
        </is>
      </c>
      <c r="B77" t="inlineStr">
        <is>
          <t>Electronics Supplier 008</t>
        </is>
      </c>
      <c r="C77" t="inlineStr">
        <is>
          <t>Electronics</t>
        </is>
      </c>
      <c r="D77" t="n">
        <v>2020</v>
      </c>
      <c r="E77" t="n">
        <v>8380077.54</v>
      </c>
      <c r="F77" t="n">
        <v>57275326.51</v>
      </c>
      <c r="G77" t="n">
        <v>5534.716</v>
      </c>
      <c r="H77" t="n">
        <v>5534.716</v>
      </c>
      <c r="I77" t="n">
        <v>907.8883</v>
      </c>
      <c r="J77" t="n">
        <v>681.6273</v>
      </c>
      <c r="K77" t="n">
        <v>4207.5174</v>
      </c>
      <c r="L77" t="inlineStr"/>
      <c r="M77" t="inlineStr"/>
      <c r="N77" t="inlineStr"/>
      <c r="O77" t="inlineStr"/>
      <c r="P77" t="n">
        <v>2018</v>
      </c>
      <c r="Q77" t="n">
        <v>2040</v>
      </c>
      <c r="R77" t="n">
        <v>0.3424</v>
      </c>
      <c r="S77" t="n">
        <v>635.1588</v>
      </c>
      <c r="T77" t="n">
        <v>0.00086105</v>
      </c>
      <c r="U77" t="n">
        <v>0.00013947</v>
      </c>
    </row>
    <row r="78">
      <c r="A78" t="inlineStr">
        <is>
          <t>SUP-0008</t>
        </is>
      </c>
      <c r="B78" t="inlineStr">
        <is>
          <t>Electronics Supplier 008</t>
        </is>
      </c>
      <c r="C78" t="inlineStr">
        <is>
          <t>Electronics</t>
        </is>
      </c>
      <c r="D78" t="n">
        <v>2021</v>
      </c>
      <c r="E78" t="n">
        <v>11998429.8</v>
      </c>
      <c r="F78" t="n">
        <v>46173492.57</v>
      </c>
      <c r="G78" t="n">
        <v>8338.796</v>
      </c>
      <c r="H78" t="n">
        <v>8338.796</v>
      </c>
      <c r="I78" t="n">
        <v>1090.1023</v>
      </c>
      <c r="J78" t="n">
        <v>1899.408</v>
      </c>
      <c r="K78" t="n">
        <v>5957.6603</v>
      </c>
      <c r="L78" t="inlineStr"/>
      <c r="M78" t="inlineStr"/>
      <c r="N78" t="inlineStr"/>
      <c r="O78" t="inlineStr"/>
      <c r="P78" t="n">
        <v>2018</v>
      </c>
      <c r="Q78" t="n">
        <v>2040</v>
      </c>
      <c r="R78" t="n">
        <v>0.3424</v>
      </c>
      <c r="S78" t="n">
        <v>635.1588</v>
      </c>
      <c r="T78" t="n">
        <v>0.00086105</v>
      </c>
      <c r="U78" t="n">
        <v>0.00013947</v>
      </c>
    </row>
    <row r="79">
      <c r="A79" t="inlineStr">
        <is>
          <t>SUP-0008</t>
        </is>
      </c>
      <c r="B79" t="inlineStr">
        <is>
          <t>Electronics Supplier 008</t>
        </is>
      </c>
      <c r="C79" t="inlineStr">
        <is>
          <t>Electronics</t>
        </is>
      </c>
      <c r="D79" t="n">
        <v>2022</v>
      </c>
      <c r="E79" t="n">
        <v>10313656.57</v>
      </c>
      <c r="F79" t="n">
        <v>59237767.14</v>
      </c>
      <c r="G79" t="n">
        <v>6895.9299</v>
      </c>
      <c r="H79" t="n">
        <v>6895.9299</v>
      </c>
      <c r="I79" t="n">
        <v>810.4514</v>
      </c>
      <c r="J79" t="n">
        <v>1040.0913</v>
      </c>
      <c r="K79" t="n">
        <v>4931.4945</v>
      </c>
      <c r="L79" t="inlineStr"/>
      <c r="M79" t="inlineStr"/>
      <c r="N79" t="inlineStr"/>
      <c r="O79" t="inlineStr"/>
      <c r="P79" t="n">
        <v>2018</v>
      </c>
      <c r="Q79" t="n">
        <v>2040</v>
      </c>
      <c r="R79" t="n">
        <v>0.3424</v>
      </c>
      <c r="S79" t="n">
        <v>635.1588</v>
      </c>
      <c r="T79" t="n">
        <v>0.00086105</v>
      </c>
      <c r="U79" t="n">
        <v>0.00013947</v>
      </c>
    </row>
    <row r="80">
      <c r="A80" t="inlineStr">
        <is>
          <t>SUP-0008</t>
        </is>
      </c>
      <c r="B80" t="inlineStr">
        <is>
          <t>Electronics Supplier 008</t>
        </is>
      </c>
      <c r="C80" t="inlineStr">
        <is>
          <t>Electronics</t>
        </is>
      </c>
      <c r="D80" t="n">
        <v>2023</v>
      </c>
      <c r="E80" t="n">
        <v>12311517.55</v>
      </c>
      <c r="F80" t="n">
        <v>41003568.29</v>
      </c>
      <c r="G80" t="n">
        <v>9857.748</v>
      </c>
      <c r="H80" t="n">
        <v>9857.748</v>
      </c>
      <c r="I80" t="n">
        <v>1571.3756</v>
      </c>
      <c r="J80" t="n">
        <v>755.4136</v>
      </c>
      <c r="K80" t="n">
        <v>7862.9255</v>
      </c>
      <c r="L80" t="inlineStr"/>
      <c r="M80" t="inlineStr"/>
      <c r="N80" t="inlineStr"/>
      <c r="O80" t="inlineStr"/>
      <c r="P80" t="n">
        <v>2018</v>
      </c>
      <c r="Q80" t="n">
        <v>2040</v>
      </c>
      <c r="R80" t="n">
        <v>0.3424</v>
      </c>
      <c r="S80" t="n">
        <v>635.1588</v>
      </c>
      <c r="T80" t="n">
        <v>0.00086105</v>
      </c>
      <c r="U80" t="n">
        <v>0.00013947</v>
      </c>
    </row>
    <row r="81">
      <c r="A81" t="inlineStr">
        <is>
          <t>SUP-0008</t>
        </is>
      </c>
      <c r="B81" t="inlineStr">
        <is>
          <t>Electronics Supplier 008</t>
        </is>
      </c>
      <c r="C81" t="inlineStr">
        <is>
          <t>Electronics</t>
        </is>
      </c>
      <c r="D81" t="n">
        <v>2024</v>
      </c>
      <c r="E81" t="n">
        <v>10136751.16</v>
      </c>
      <c r="F81" t="n">
        <v>51404567.9</v>
      </c>
      <c r="G81" t="n">
        <v>8452.0805</v>
      </c>
      <c r="H81" t="n">
        <v>8452.0805</v>
      </c>
      <c r="I81" t="n">
        <v>1771.538</v>
      </c>
      <c r="J81" t="n">
        <v>1414.0394</v>
      </c>
      <c r="K81" t="n">
        <v>5202.7566</v>
      </c>
      <c r="L81" t="inlineStr"/>
      <c r="M81" t="inlineStr"/>
      <c r="N81" t="inlineStr"/>
      <c r="O81" t="inlineStr"/>
      <c r="P81" t="n">
        <v>2018</v>
      </c>
      <c r="Q81" t="n">
        <v>2040</v>
      </c>
      <c r="R81" t="n">
        <v>0.3424</v>
      </c>
      <c r="S81" t="n">
        <v>635.1588</v>
      </c>
      <c r="T81" t="n">
        <v>0.00086105</v>
      </c>
      <c r="U81" t="n">
        <v>0.00013947</v>
      </c>
    </row>
    <row r="82">
      <c r="A82" t="inlineStr">
        <is>
          <t>SUP-0009</t>
        </is>
      </c>
      <c r="B82" t="inlineStr">
        <is>
          <t>Professional Supplier 009</t>
        </is>
      </c>
      <c r="C82" t="inlineStr">
        <is>
          <t>Professional Services</t>
        </is>
      </c>
      <c r="D82" t="n">
        <v>2015</v>
      </c>
      <c r="E82" t="n">
        <v>22601661.17</v>
      </c>
      <c r="F82" t="n">
        <v>40888573.8</v>
      </c>
      <c r="G82" t="n">
        <v>1814.6604</v>
      </c>
      <c r="H82" t="n">
        <v>1814.6604</v>
      </c>
      <c r="I82" t="n">
        <v>323.9482</v>
      </c>
      <c r="J82" t="n">
        <v>222.9706</v>
      </c>
      <c r="K82" t="n">
        <v>1326.9178</v>
      </c>
      <c r="L82" t="inlineStr"/>
      <c r="M82" t="inlineStr"/>
      <c r="N82" t="inlineStr"/>
      <c r="O82" t="inlineStr"/>
      <c r="P82" t="n">
        <v>2020</v>
      </c>
      <c r="Q82" t="inlineStr"/>
      <c r="R82" t="inlineStr"/>
      <c r="S82" t="n">
        <v>400.0326</v>
      </c>
      <c r="T82" t="n">
        <v>0.00012906</v>
      </c>
      <c r="U82" t="n">
        <v>0.00019658</v>
      </c>
    </row>
    <row r="83">
      <c r="A83" t="inlineStr">
        <is>
          <t>SUP-0009</t>
        </is>
      </c>
      <c r="B83" t="inlineStr">
        <is>
          <t>Professional Supplier 009</t>
        </is>
      </c>
      <c r="C83" t="inlineStr">
        <is>
          <t>Professional Services</t>
        </is>
      </c>
      <c r="D83" t="n">
        <v>2016</v>
      </c>
      <c r="E83" t="n">
        <v>28610690.73</v>
      </c>
      <c r="F83" t="n">
        <v>69516036.77</v>
      </c>
      <c r="G83" t="n">
        <v>2704.8967</v>
      </c>
      <c r="H83" t="n">
        <v>2704.8967</v>
      </c>
      <c r="I83" t="n">
        <v>454.2475</v>
      </c>
      <c r="J83" t="n">
        <v>177.3982</v>
      </c>
      <c r="K83" t="n">
        <v>1906.7101</v>
      </c>
      <c r="L83" t="inlineStr"/>
      <c r="M83" t="inlineStr"/>
      <c r="N83" t="inlineStr"/>
      <c r="O83" t="inlineStr"/>
      <c r="P83" t="n">
        <v>2020</v>
      </c>
      <c r="Q83" t="inlineStr"/>
      <c r="R83" t="inlineStr"/>
      <c r="S83" t="n">
        <v>400.0326</v>
      </c>
      <c r="T83" t="n">
        <v>0.00012906</v>
      </c>
      <c r="U83" t="n">
        <v>0.00019658</v>
      </c>
    </row>
    <row r="84">
      <c r="A84" t="inlineStr">
        <is>
          <t>SUP-0009</t>
        </is>
      </c>
      <c r="B84" t="inlineStr">
        <is>
          <t>Professional Supplier 009</t>
        </is>
      </c>
      <c r="C84" t="inlineStr">
        <is>
          <t>Professional Services</t>
        </is>
      </c>
      <c r="D84" t="n">
        <v>2017</v>
      </c>
      <c r="E84" t="n">
        <v>29408890.7</v>
      </c>
      <c r="F84" t="n">
        <v>62459512.22</v>
      </c>
      <c r="G84" t="n">
        <v>3359.7671</v>
      </c>
      <c r="H84" t="n">
        <v>3359.7671</v>
      </c>
      <c r="I84" t="n">
        <v>671.8822</v>
      </c>
      <c r="J84" t="n">
        <v>527.4786</v>
      </c>
      <c r="K84" t="n">
        <v>2031.4469</v>
      </c>
      <c r="L84" t="inlineStr"/>
      <c r="M84" t="inlineStr"/>
      <c r="N84" t="inlineStr"/>
      <c r="O84" t="inlineStr"/>
      <c r="P84" t="n">
        <v>2020</v>
      </c>
      <c r="Q84" t="inlineStr"/>
      <c r="R84" t="inlineStr"/>
      <c r="S84" t="n">
        <v>400.0326</v>
      </c>
      <c r="T84" t="n">
        <v>0.00012906</v>
      </c>
      <c r="U84" t="n">
        <v>0.00019658</v>
      </c>
    </row>
    <row r="85">
      <c r="A85" t="inlineStr">
        <is>
          <t>SUP-0009</t>
        </is>
      </c>
      <c r="B85" t="inlineStr">
        <is>
          <t>Professional Supplier 009</t>
        </is>
      </c>
      <c r="C85" t="inlineStr">
        <is>
          <t>Professional Services</t>
        </is>
      </c>
      <c r="D85" t="n">
        <v>2018</v>
      </c>
      <c r="E85" t="n">
        <v>22945234.08</v>
      </c>
      <c r="F85" t="n">
        <v>55672103.47</v>
      </c>
      <c r="G85" t="n">
        <v>1667.3336</v>
      </c>
      <c r="H85" t="n">
        <v>1667.3336</v>
      </c>
      <c r="I85" t="n">
        <v>397.8121</v>
      </c>
      <c r="J85" t="n">
        <v>136.0122</v>
      </c>
      <c r="K85" t="n">
        <v>1080.6507</v>
      </c>
      <c r="L85" t="inlineStr"/>
      <c r="M85" t="inlineStr"/>
      <c r="N85" t="inlineStr"/>
      <c r="O85" t="inlineStr"/>
      <c r="P85" t="n">
        <v>2020</v>
      </c>
      <c r="Q85" t="inlineStr"/>
      <c r="R85" t="inlineStr"/>
      <c r="S85" t="n">
        <v>400.0326</v>
      </c>
      <c r="T85" t="n">
        <v>0.00012906</v>
      </c>
      <c r="U85" t="n">
        <v>0.00019658</v>
      </c>
    </row>
    <row r="86">
      <c r="A86" t="inlineStr">
        <is>
          <t>SUP-0009</t>
        </is>
      </c>
      <c r="B86" t="inlineStr">
        <is>
          <t>Professional Supplier 009</t>
        </is>
      </c>
      <c r="C86" t="inlineStr">
        <is>
          <t>Professional Services</t>
        </is>
      </c>
      <c r="D86" t="n">
        <v>2019</v>
      </c>
      <c r="E86" t="n">
        <v>30753827.91</v>
      </c>
      <c r="F86" t="n">
        <v>56198314.86</v>
      </c>
      <c r="G86" t="n">
        <v>2606.9758</v>
      </c>
      <c r="H86" t="n">
        <v>2606.9758</v>
      </c>
      <c r="I86" t="n">
        <v>307.3276</v>
      </c>
      <c r="J86" t="n">
        <v>270.4791</v>
      </c>
      <c r="K86" t="n">
        <v>1975.9274</v>
      </c>
      <c r="L86" t="inlineStr"/>
      <c r="M86" t="inlineStr"/>
      <c r="N86" t="inlineStr"/>
      <c r="O86" t="inlineStr"/>
      <c r="P86" t="n">
        <v>2020</v>
      </c>
      <c r="Q86" t="inlineStr"/>
      <c r="R86" t="inlineStr"/>
      <c r="S86" t="n">
        <v>400.0326</v>
      </c>
      <c r="T86" t="n">
        <v>0.00012906</v>
      </c>
      <c r="U86" t="n">
        <v>0.00019658</v>
      </c>
    </row>
    <row r="87">
      <c r="A87" t="inlineStr">
        <is>
          <t>SUP-0009</t>
        </is>
      </c>
      <c r="B87" t="inlineStr">
        <is>
          <t>Professional Supplier 009</t>
        </is>
      </c>
      <c r="C87" t="inlineStr">
        <is>
          <t>Professional Services</t>
        </is>
      </c>
      <c r="D87" t="n">
        <v>2020</v>
      </c>
      <c r="E87" t="n">
        <v>29025295.09</v>
      </c>
      <c r="F87" t="n">
        <v>55326408.88</v>
      </c>
      <c r="G87" t="n">
        <v>2504.4614</v>
      </c>
      <c r="H87" t="n">
        <v>2504.4614</v>
      </c>
      <c r="I87" t="n">
        <v>341.9225</v>
      </c>
      <c r="J87" t="n">
        <v>272.5624</v>
      </c>
      <c r="K87" t="n">
        <v>1858.7434</v>
      </c>
      <c r="L87" t="inlineStr"/>
      <c r="M87" t="inlineStr"/>
      <c r="N87" t="inlineStr"/>
      <c r="O87" t="inlineStr"/>
      <c r="P87" t="n">
        <v>2020</v>
      </c>
      <c r="Q87" t="inlineStr"/>
      <c r="R87" t="inlineStr"/>
      <c r="S87" t="n">
        <v>400.0326</v>
      </c>
      <c r="T87" t="n">
        <v>0.00012906</v>
      </c>
      <c r="U87" t="n">
        <v>0.00019658</v>
      </c>
    </row>
    <row r="88">
      <c r="A88" t="inlineStr">
        <is>
          <t>SUP-0009</t>
        </is>
      </c>
      <c r="B88" t="inlineStr">
        <is>
          <t>Professional Supplier 009</t>
        </is>
      </c>
      <c r="C88" t="inlineStr">
        <is>
          <t>Professional Services</t>
        </is>
      </c>
      <c r="D88" t="n">
        <v>2021</v>
      </c>
      <c r="E88" t="n">
        <v>28647354.44</v>
      </c>
      <c r="F88" t="n">
        <v>56117572.08</v>
      </c>
      <c r="G88" t="n">
        <v>2534.4705</v>
      </c>
      <c r="H88" t="n">
        <v>2534.4705</v>
      </c>
      <c r="I88" t="n">
        <v>425.5152</v>
      </c>
      <c r="J88" t="n">
        <v>508.396</v>
      </c>
      <c r="K88" t="n">
        <v>1649.7066</v>
      </c>
      <c r="L88" t="inlineStr"/>
      <c r="M88" t="inlineStr"/>
      <c r="N88" t="inlineStr"/>
      <c r="O88" t="inlineStr"/>
      <c r="P88" t="n">
        <v>2020</v>
      </c>
      <c r="Q88" t="inlineStr"/>
      <c r="R88" t="inlineStr"/>
      <c r="S88" t="n">
        <v>400.0326</v>
      </c>
      <c r="T88" t="n">
        <v>0.00012906</v>
      </c>
      <c r="U88" t="n">
        <v>0.00019658</v>
      </c>
    </row>
    <row r="89">
      <c r="A89" t="inlineStr">
        <is>
          <t>SUP-0009</t>
        </is>
      </c>
      <c r="B89" t="inlineStr">
        <is>
          <t>Professional Supplier 009</t>
        </is>
      </c>
      <c r="C89" t="inlineStr">
        <is>
          <t>Professional Services</t>
        </is>
      </c>
      <c r="D89" t="n">
        <v>2022</v>
      </c>
      <c r="E89" t="n">
        <v>23908526.8</v>
      </c>
      <c r="F89" t="n">
        <v>77964350.72</v>
      </c>
      <c r="G89" t="n">
        <v>2218.4973</v>
      </c>
      <c r="H89" t="n">
        <v>2218.4973</v>
      </c>
      <c r="I89" t="n">
        <v>325.3238</v>
      </c>
      <c r="J89" t="n">
        <v>197.6991</v>
      </c>
      <c r="K89" t="n">
        <v>1754.1542</v>
      </c>
      <c r="L89" t="inlineStr"/>
      <c r="M89" t="inlineStr"/>
      <c r="N89" t="inlineStr"/>
      <c r="O89" t="inlineStr"/>
      <c r="P89" t="n">
        <v>2020</v>
      </c>
      <c r="Q89" t="inlineStr"/>
      <c r="R89" t="inlineStr"/>
      <c r="S89" t="n">
        <v>400.0326</v>
      </c>
      <c r="T89" t="n">
        <v>0.00012906</v>
      </c>
      <c r="U89" t="n">
        <v>0.00019658</v>
      </c>
    </row>
    <row r="90">
      <c r="A90" t="inlineStr">
        <is>
          <t>SUP-0009</t>
        </is>
      </c>
      <c r="B90" t="inlineStr">
        <is>
          <t>Professional Supplier 009</t>
        </is>
      </c>
      <c r="C90" t="inlineStr">
        <is>
          <t>Professional Services</t>
        </is>
      </c>
      <c r="D90" t="n">
        <v>2023</v>
      </c>
      <c r="E90" t="n">
        <v>27917225.26</v>
      </c>
      <c r="F90" t="n">
        <v>88830358.73999999</v>
      </c>
      <c r="G90" t="n">
        <v>2068.6484</v>
      </c>
      <c r="H90" t="n">
        <v>2068.6484</v>
      </c>
      <c r="I90" t="n">
        <v>489.3279</v>
      </c>
      <c r="J90" t="n">
        <v>459.32</v>
      </c>
      <c r="K90" t="n">
        <v>1102.2222</v>
      </c>
      <c r="L90" t="inlineStr"/>
      <c r="M90" t="inlineStr"/>
      <c r="N90" t="inlineStr"/>
      <c r="O90" t="inlineStr"/>
      <c r="P90" t="n">
        <v>2020</v>
      </c>
      <c r="Q90" t="inlineStr"/>
      <c r="R90" t="inlineStr"/>
      <c r="S90" t="n">
        <v>400.0326</v>
      </c>
      <c r="T90" t="n">
        <v>0.00012906</v>
      </c>
      <c r="U90" t="n">
        <v>0.00019658</v>
      </c>
    </row>
    <row r="91">
      <c r="A91" t="inlineStr">
        <is>
          <t>SUP-0009</t>
        </is>
      </c>
      <c r="B91" t="inlineStr">
        <is>
          <t>Professional Supplier 009</t>
        </is>
      </c>
      <c r="C91" t="inlineStr">
        <is>
          <t>Professional Services</t>
        </is>
      </c>
      <c r="D91" t="n">
        <v>2024</v>
      </c>
      <c r="E91" t="n">
        <v>33414113.72</v>
      </c>
      <c r="F91" t="n">
        <v>91700354.56999999</v>
      </c>
      <c r="G91" t="n">
        <v>2053.6172</v>
      </c>
      <c r="H91" t="n">
        <v>2053.6172</v>
      </c>
      <c r="I91" t="n">
        <v>343.1529</v>
      </c>
      <c r="J91" t="n">
        <v>244.9547</v>
      </c>
      <c r="K91" t="n">
        <v>1276.7057</v>
      </c>
      <c r="L91" t="inlineStr"/>
      <c r="M91" t="inlineStr"/>
      <c r="N91" t="inlineStr"/>
      <c r="O91" t="inlineStr"/>
      <c r="P91" t="n">
        <v>2020</v>
      </c>
      <c r="Q91" t="inlineStr"/>
      <c r="R91" t="inlineStr"/>
      <c r="S91" t="n">
        <v>400.0326</v>
      </c>
      <c r="T91" t="n">
        <v>0.00012906</v>
      </c>
      <c r="U91" t="n">
        <v>0.00019658</v>
      </c>
    </row>
    <row r="92">
      <c r="A92" t="inlineStr">
        <is>
          <t>SUP-0010</t>
        </is>
      </c>
      <c r="B92" t="inlineStr">
        <is>
          <t>Packaging Supplier 010</t>
        </is>
      </c>
      <c r="C92" t="inlineStr">
        <is>
          <t>Packaging</t>
        </is>
      </c>
      <c r="D92" t="n">
        <v>2015</v>
      </c>
      <c r="E92" t="n">
        <v>6131738.12</v>
      </c>
      <c r="F92" t="n">
        <v>38775454.14</v>
      </c>
      <c r="G92" t="n">
        <v>8825.237800000001</v>
      </c>
      <c r="H92" t="n">
        <v>8825.237800000001</v>
      </c>
      <c r="I92" t="n">
        <v>1655.0955</v>
      </c>
      <c r="J92" t="n">
        <v>1782.2437</v>
      </c>
      <c r="K92" t="n">
        <v>5197.5862</v>
      </c>
      <c r="L92" t="n">
        <v>2018</v>
      </c>
      <c r="M92" t="n">
        <v>2035</v>
      </c>
      <c r="N92" t="n">
        <v>0.3963</v>
      </c>
      <c r="O92" t="n">
        <v>0.1482</v>
      </c>
      <c r="P92" t="n">
        <v>2018</v>
      </c>
      <c r="Q92" t="n">
        <v>2040</v>
      </c>
      <c r="R92" t="n">
        <v>0.3112</v>
      </c>
      <c r="S92" t="n">
        <v>702.4188</v>
      </c>
      <c r="T92" t="n">
        <v>0.0010803</v>
      </c>
      <c r="U92" t="n">
        <v>0.00078946</v>
      </c>
    </row>
    <row r="93">
      <c r="A93" t="inlineStr">
        <is>
          <t>SUP-0010</t>
        </is>
      </c>
      <c r="B93" t="inlineStr">
        <is>
          <t>Packaging Supplier 010</t>
        </is>
      </c>
      <c r="C93" t="inlineStr">
        <is>
          <t>Packaging</t>
        </is>
      </c>
      <c r="D93" t="n">
        <v>2016</v>
      </c>
      <c r="E93" t="n">
        <v>5896501.51</v>
      </c>
      <c r="F93" t="n">
        <v>38035123.64</v>
      </c>
      <c r="G93" t="n">
        <v>7666.8935</v>
      </c>
      <c r="H93" t="n">
        <v>7666.8935</v>
      </c>
      <c r="I93" t="n">
        <v>1861.8698</v>
      </c>
      <c r="J93" t="n">
        <v>1333.5731</v>
      </c>
      <c r="K93" t="n">
        <v>4614.3438</v>
      </c>
      <c r="L93" t="n">
        <v>2018</v>
      </c>
      <c r="M93" t="n">
        <v>2035</v>
      </c>
      <c r="N93" t="n">
        <v>0.3963</v>
      </c>
      <c r="O93" t="n">
        <v>0.1482</v>
      </c>
      <c r="P93" t="n">
        <v>2018</v>
      </c>
      <c r="Q93" t="n">
        <v>2040</v>
      </c>
      <c r="R93" t="n">
        <v>0.3112</v>
      </c>
      <c r="S93" t="n">
        <v>702.4188</v>
      </c>
      <c r="T93" t="n">
        <v>0.0010803</v>
      </c>
      <c r="U93" t="n">
        <v>0.00078946</v>
      </c>
    </row>
    <row r="94">
      <c r="A94" t="inlineStr">
        <is>
          <t>SUP-0010</t>
        </is>
      </c>
      <c r="B94" t="inlineStr">
        <is>
          <t>Packaging Supplier 010</t>
        </is>
      </c>
      <c r="C94" t="inlineStr">
        <is>
          <t>Packaging</t>
        </is>
      </c>
      <c r="D94" t="n">
        <v>2017</v>
      </c>
      <c r="E94" t="n">
        <v>6894974.82</v>
      </c>
      <c r="F94" t="n">
        <v>41125127.98</v>
      </c>
      <c r="G94" t="n">
        <v>7261.0702</v>
      </c>
      <c r="H94" t="n">
        <v>7261.0702</v>
      </c>
      <c r="I94" t="n">
        <v>950.6811</v>
      </c>
      <c r="J94" t="n">
        <v>811.7663</v>
      </c>
      <c r="K94" t="n">
        <v>6090.8575</v>
      </c>
      <c r="L94" t="n">
        <v>2018</v>
      </c>
      <c r="M94" t="n">
        <v>2035</v>
      </c>
      <c r="N94" t="n">
        <v>0.3963</v>
      </c>
      <c r="O94" t="n">
        <v>0.1482</v>
      </c>
      <c r="P94" t="n">
        <v>2018</v>
      </c>
      <c r="Q94" t="n">
        <v>2040</v>
      </c>
      <c r="R94" t="n">
        <v>0.3112</v>
      </c>
      <c r="S94" t="n">
        <v>702.4188</v>
      </c>
      <c r="T94" t="n">
        <v>0.0010803</v>
      </c>
      <c r="U94" t="n">
        <v>0.00078946</v>
      </c>
    </row>
    <row r="95">
      <c r="A95" t="inlineStr">
        <is>
          <t>SUP-0010</t>
        </is>
      </c>
      <c r="B95" t="inlineStr">
        <is>
          <t>Packaging Supplier 010</t>
        </is>
      </c>
      <c r="C95" t="inlineStr">
        <is>
          <t>Packaging</t>
        </is>
      </c>
      <c r="D95" t="n">
        <v>2018</v>
      </c>
      <c r="E95" t="n">
        <v>7297394.25</v>
      </c>
      <c r="F95" t="n">
        <v>51405727.03</v>
      </c>
      <c r="G95" t="n">
        <v>9181.706</v>
      </c>
      <c r="H95" t="n">
        <v>9181.706</v>
      </c>
      <c r="I95" t="n">
        <v>2239.1491</v>
      </c>
      <c r="J95" t="n">
        <v>878.4407</v>
      </c>
      <c r="K95" t="n">
        <v>5570.777</v>
      </c>
      <c r="L95" t="n">
        <v>2018</v>
      </c>
      <c r="M95" t="n">
        <v>2035</v>
      </c>
      <c r="N95" t="n">
        <v>0.3963</v>
      </c>
      <c r="O95" t="n">
        <v>0.1482</v>
      </c>
      <c r="P95" t="n">
        <v>2018</v>
      </c>
      <c r="Q95" t="n">
        <v>2040</v>
      </c>
      <c r="R95" t="n">
        <v>0.3112</v>
      </c>
      <c r="S95" t="n">
        <v>702.4188</v>
      </c>
      <c r="T95" t="n">
        <v>0.0010803</v>
      </c>
      <c r="U95" t="n">
        <v>0.00078946</v>
      </c>
    </row>
    <row r="96">
      <c r="A96" t="inlineStr">
        <is>
          <t>SUP-0010</t>
        </is>
      </c>
      <c r="B96" t="inlineStr">
        <is>
          <t>Packaging Supplier 010</t>
        </is>
      </c>
      <c r="C96" t="inlineStr">
        <is>
          <t>Packaging</t>
        </is>
      </c>
      <c r="D96" t="n">
        <v>2019</v>
      </c>
      <c r="E96" t="n">
        <v>7992942.19</v>
      </c>
      <c r="F96" t="n">
        <v>61941256.25</v>
      </c>
      <c r="G96" t="n">
        <v>8513.704</v>
      </c>
      <c r="H96" t="n">
        <v>8513.704</v>
      </c>
      <c r="I96" t="n">
        <v>1282.209</v>
      </c>
      <c r="J96" t="n">
        <v>1600.8833</v>
      </c>
      <c r="K96" t="n">
        <v>5566.1645</v>
      </c>
      <c r="L96" t="n">
        <v>2018</v>
      </c>
      <c r="M96" t="n">
        <v>2035</v>
      </c>
      <c r="N96" t="n">
        <v>0.3963</v>
      </c>
      <c r="O96" t="n">
        <v>0.1482</v>
      </c>
      <c r="P96" t="n">
        <v>2018</v>
      </c>
      <c r="Q96" t="n">
        <v>2040</v>
      </c>
      <c r="R96" t="n">
        <v>0.3112</v>
      </c>
      <c r="S96" t="n">
        <v>702.4188</v>
      </c>
      <c r="T96" t="n">
        <v>0.0010803</v>
      </c>
      <c r="U96" t="n">
        <v>0.00078946</v>
      </c>
    </row>
    <row r="97">
      <c r="A97" t="inlineStr">
        <is>
          <t>SUP-0010</t>
        </is>
      </c>
      <c r="B97" t="inlineStr">
        <is>
          <t>Packaging Supplier 010</t>
        </is>
      </c>
      <c r="C97" t="inlineStr">
        <is>
          <t>Packaging</t>
        </is>
      </c>
      <c r="D97" t="n">
        <v>2020</v>
      </c>
      <c r="E97" t="n">
        <v>7820919.72</v>
      </c>
      <c r="F97" t="n">
        <v>52061599.26</v>
      </c>
      <c r="G97" t="n">
        <v>7716.1857</v>
      </c>
      <c r="H97" t="n">
        <v>7716.1857</v>
      </c>
      <c r="I97" t="n">
        <v>2250.9444</v>
      </c>
      <c r="J97" t="n">
        <v>1022.0267</v>
      </c>
      <c r="K97" t="n">
        <v>5044.1102</v>
      </c>
      <c r="L97" t="n">
        <v>2018</v>
      </c>
      <c r="M97" t="n">
        <v>2035</v>
      </c>
      <c r="N97" t="n">
        <v>0.3963</v>
      </c>
      <c r="O97" t="n">
        <v>0.1482</v>
      </c>
      <c r="P97" t="n">
        <v>2018</v>
      </c>
      <c r="Q97" t="n">
        <v>2040</v>
      </c>
      <c r="R97" t="n">
        <v>0.3112</v>
      </c>
      <c r="S97" t="n">
        <v>702.4188</v>
      </c>
      <c r="T97" t="n">
        <v>0.0010803</v>
      </c>
      <c r="U97" t="n">
        <v>0.00078946</v>
      </c>
    </row>
    <row r="98">
      <c r="A98" t="inlineStr">
        <is>
          <t>SUP-0010</t>
        </is>
      </c>
      <c r="B98" t="inlineStr">
        <is>
          <t>Packaging Supplier 010</t>
        </is>
      </c>
      <c r="C98" t="inlineStr">
        <is>
          <t>Packaging</t>
        </is>
      </c>
      <c r="D98" t="n">
        <v>2021</v>
      </c>
      <c r="E98" t="n">
        <v>10473349.84</v>
      </c>
      <c r="F98" t="n">
        <v>72903823.84</v>
      </c>
      <c r="G98" t="n">
        <v>9209.2719</v>
      </c>
      <c r="H98" t="n">
        <v>9209.2719</v>
      </c>
      <c r="I98" t="n">
        <v>1111.6765</v>
      </c>
      <c r="J98" t="n">
        <v>1262.6236</v>
      </c>
      <c r="K98" t="n">
        <v>6956.8699</v>
      </c>
      <c r="L98" t="n">
        <v>2018</v>
      </c>
      <c r="M98" t="n">
        <v>2035</v>
      </c>
      <c r="N98" t="n">
        <v>0.3963</v>
      </c>
      <c r="O98" t="n">
        <v>0.1482</v>
      </c>
      <c r="P98" t="n">
        <v>2018</v>
      </c>
      <c r="Q98" t="n">
        <v>2040</v>
      </c>
      <c r="R98" t="n">
        <v>0.3112</v>
      </c>
      <c r="S98" t="n">
        <v>702.4188</v>
      </c>
      <c r="T98" t="n">
        <v>0.0010803</v>
      </c>
      <c r="U98" t="n">
        <v>0.00078946</v>
      </c>
    </row>
    <row r="99">
      <c r="A99" t="inlineStr">
        <is>
          <t>SUP-0010</t>
        </is>
      </c>
      <c r="B99" t="inlineStr">
        <is>
          <t>Packaging Supplier 010</t>
        </is>
      </c>
      <c r="C99" t="inlineStr">
        <is>
          <t>Packaging</t>
        </is>
      </c>
      <c r="D99" t="n">
        <v>2022</v>
      </c>
      <c r="E99" t="n">
        <v>10250261.15</v>
      </c>
      <c r="F99" t="n">
        <v>73296701.68000001</v>
      </c>
      <c r="G99" t="n">
        <v>10297.0682</v>
      </c>
      <c r="H99" t="n">
        <v>10297.0682</v>
      </c>
      <c r="I99" t="n">
        <v>3103.7643</v>
      </c>
      <c r="J99" t="n">
        <v>1249.9714</v>
      </c>
      <c r="K99" t="n">
        <v>6508.0625</v>
      </c>
      <c r="L99" t="n">
        <v>2018</v>
      </c>
      <c r="M99" t="n">
        <v>2035</v>
      </c>
      <c r="N99" t="n">
        <v>0.3963</v>
      </c>
      <c r="O99" t="n">
        <v>0.1482</v>
      </c>
      <c r="P99" t="n">
        <v>2018</v>
      </c>
      <c r="Q99" t="n">
        <v>2040</v>
      </c>
      <c r="R99" t="n">
        <v>0.3112</v>
      </c>
      <c r="S99" t="n">
        <v>702.4188</v>
      </c>
      <c r="T99" t="n">
        <v>0.0010803</v>
      </c>
      <c r="U99" t="n">
        <v>0.00078946</v>
      </c>
    </row>
    <row r="100">
      <c r="A100" t="inlineStr">
        <is>
          <t>SUP-0010</t>
        </is>
      </c>
      <c r="B100" t="inlineStr">
        <is>
          <t>Packaging Supplier 010</t>
        </is>
      </c>
      <c r="C100" t="inlineStr">
        <is>
          <t>Packaging</t>
        </is>
      </c>
      <c r="D100" t="n">
        <v>2023</v>
      </c>
      <c r="E100" t="n">
        <v>11438960.5</v>
      </c>
      <c r="F100" t="n">
        <v>90459661.25</v>
      </c>
      <c r="G100" t="n">
        <v>13321.4396</v>
      </c>
      <c r="H100" t="n">
        <v>13321.4396</v>
      </c>
      <c r="I100" t="n">
        <v>3128.2036</v>
      </c>
      <c r="J100" t="n">
        <v>2624.6506</v>
      </c>
      <c r="K100" t="n">
        <v>6978.5164</v>
      </c>
      <c r="L100" t="n">
        <v>2018</v>
      </c>
      <c r="M100" t="n">
        <v>2035</v>
      </c>
      <c r="N100" t="n">
        <v>0.3963</v>
      </c>
      <c r="O100" t="n">
        <v>0.1482</v>
      </c>
      <c r="P100" t="n">
        <v>2018</v>
      </c>
      <c r="Q100" t="n">
        <v>2040</v>
      </c>
      <c r="R100" t="n">
        <v>0.3112</v>
      </c>
      <c r="S100" t="n">
        <v>702.4188</v>
      </c>
      <c r="T100" t="n">
        <v>0.0010803</v>
      </c>
      <c r="U100" t="n">
        <v>0.00078946</v>
      </c>
    </row>
    <row r="101">
      <c r="A101" t="inlineStr">
        <is>
          <t>SUP-0010</t>
        </is>
      </c>
      <c r="B101" t="inlineStr">
        <is>
          <t>Packaging Supplier 010</t>
        </is>
      </c>
      <c r="C101" t="inlineStr">
        <is>
          <t>Packaging</t>
        </is>
      </c>
      <c r="D101" t="n">
        <v>2024</v>
      </c>
      <c r="E101" t="n">
        <v>11589992.26</v>
      </c>
      <c r="F101" t="n">
        <v>72105203.11</v>
      </c>
      <c r="G101" t="n">
        <v>10699.7983</v>
      </c>
      <c r="H101" t="n">
        <v>10699.7983</v>
      </c>
      <c r="I101" t="n">
        <v>2412.7953</v>
      </c>
      <c r="J101" t="n">
        <v>2333.4039</v>
      </c>
      <c r="K101" t="n">
        <v>5974.333</v>
      </c>
      <c r="L101" t="n">
        <v>2018</v>
      </c>
      <c r="M101" t="n">
        <v>2035</v>
      </c>
      <c r="N101" t="n">
        <v>0.3963</v>
      </c>
      <c r="O101" t="n">
        <v>0.1482</v>
      </c>
      <c r="P101" t="n">
        <v>2018</v>
      </c>
      <c r="Q101" t="n">
        <v>2040</v>
      </c>
      <c r="R101" t="n">
        <v>0.3112</v>
      </c>
      <c r="S101" t="n">
        <v>702.4188</v>
      </c>
      <c r="T101" t="n">
        <v>0.0010803</v>
      </c>
      <c r="U101" t="n">
        <v>0.00078946</v>
      </c>
    </row>
    <row r="102">
      <c r="A102" t="inlineStr">
        <is>
          <t>SUP-0011</t>
        </is>
      </c>
      <c r="B102" t="inlineStr">
        <is>
          <t>Agriculture Supplier 011</t>
        </is>
      </c>
      <c r="C102" t="inlineStr">
        <is>
          <t>Agriculture</t>
        </is>
      </c>
      <c r="D102" t="n">
        <v>2015</v>
      </c>
      <c r="E102" t="n">
        <v>18737349.08</v>
      </c>
      <c r="F102" t="n">
        <v>124980459.4</v>
      </c>
      <c r="G102" t="n">
        <v>24028.7419</v>
      </c>
      <c r="H102" t="n">
        <v>24028.7419</v>
      </c>
      <c r="I102" t="n">
        <v>3821.9408</v>
      </c>
      <c r="J102" t="n">
        <v>4710.2418</v>
      </c>
      <c r="K102" t="n">
        <v>16244.5014</v>
      </c>
      <c r="L102" t="n">
        <v>2020</v>
      </c>
      <c r="M102" t="n">
        <v>2040</v>
      </c>
      <c r="N102" t="n">
        <v>0.3477</v>
      </c>
      <c r="O102" t="n">
        <v>0.1695</v>
      </c>
      <c r="P102" t="n">
        <v>2018</v>
      </c>
      <c r="Q102" t="inlineStr"/>
      <c r="R102" t="inlineStr"/>
      <c r="S102" t="n">
        <v>529.8294</v>
      </c>
      <c r="T102" t="n">
        <v>0.00091413</v>
      </c>
      <c r="U102" t="n">
        <v>0.00096913</v>
      </c>
    </row>
    <row r="103">
      <c r="A103" t="inlineStr">
        <is>
          <t>SUP-0011</t>
        </is>
      </c>
      <c r="B103" t="inlineStr">
        <is>
          <t>Agriculture Supplier 011</t>
        </is>
      </c>
      <c r="C103" t="inlineStr">
        <is>
          <t>Agriculture</t>
        </is>
      </c>
      <c r="D103" t="n">
        <v>2016</v>
      </c>
      <c r="E103" t="n">
        <v>16392509.45</v>
      </c>
      <c r="F103" t="n">
        <v>132096185.17</v>
      </c>
      <c r="G103" t="n">
        <v>15868.8242</v>
      </c>
      <c r="H103" t="n">
        <v>15868.8242</v>
      </c>
      <c r="I103" t="n">
        <v>3559.372</v>
      </c>
      <c r="J103" t="n">
        <v>2961.2416</v>
      </c>
      <c r="K103" t="n">
        <v>8394.1878</v>
      </c>
      <c r="L103" t="n">
        <v>2020</v>
      </c>
      <c r="M103" t="n">
        <v>2040</v>
      </c>
      <c r="N103" t="n">
        <v>0.3477</v>
      </c>
      <c r="O103" t="n">
        <v>0.1695</v>
      </c>
      <c r="P103" t="n">
        <v>2018</v>
      </c>
      <c r="Q103" t="inlineStr"/>
      <c r="R103" t="inlineStr"/>
      <c r="S103" t="n">
        <v>529.8294</v>
      </c>
      <c r="T103" t="n">
        <v>0.00091413</v>
      </c>
      <c r="U103" t="n">
        <v>0.00096913</v>
      </c>
    </row>
    <row r="104">
      <c r="A104" t="inlineStr">
        <is>
          <t>SUP-0011</t>
        </is>
      </c>
      <c r="B104" t="inlineStr">
        <is>
          <t>Agriculture Supplier 011</t>
        </is>
      </c>
      <c r="C104" t="inlineStr">
        <is>
          <t>Agriculture</t>
        </is>
      </c>
      <c r="D104" t="n">
        <v>2017</v>
      </c>
      <c r="E104" t="n">
        <v>17778817.86</v>
      </c>
      <c r="F104" t="n">
        <v>137459569.12</v>
      </c>
      <c r="G104" t="n">
        <v>20774.162</v>
      </c>
      <c r="H104" t="n">
        <v>20774.162</v>
      </c>
      <c r="I104" t="n">
        <v>2784.3816</v>
      </c>
      <c r="J104" t="n">
        <v>3614.609</v>
      </c>
      <c r="K104" t="n">
        <v>13874.3499</v>
      </c>
      <c r="L104" t="n">
        <v>2020</v>
      </c>
      <c r="M104" t="n">
        <v>2040</v>
      </c>
      <c r="N104" t="n">
        <v>0.3477</v>
      </c>
      <c r="O104" t="n">
        <v>0.1695</v>
      </c>
      <c r="P104" t="n">
        <v>2018</v>
      </c>
      <c r="Q104" t="inlineStr"/>
      <c r="R104" t="inlineStr"/>
      <c r="S104" t="n">
        <v>529.8294</v>
      </c>
      <c r="T104" t="n">
        <v>0.00091413</v>
      </c>
      <c r="U104" t="n">
        <v>0.00096913</v>
      </c>
    </row>
    <row r="105">
      <c r="A105" t="inlineStr">
        <is>
          <t>SUP-0011</t>
        </is>
      </c>
      <c r="B105" t="inlineStr">
        <is>
          <t>Agriculture Supplier 011</t>
        </is>
      </c>
      <c r="C105" t="inlineStr">
        <is>
          <t>Agriculture</t>
        </is>
      </c>
      <c r="D105" t="n">
        <v>2018</v>
      </c>
      <c r="E105" t="n">
        <v>16469341.57</v>
      </c>
      <c r="F105" t="n">
        <v>141276034.42</v>
      </c>
      <c r="G105" t="n">
        <v>20743.6603</v>
      </c>
      <c r="H105" t="n">
        <v>20743.6603</v>
      </c>
      <c r="I105" t="n">
        <v>4643.4388</v>
      </c>
      <c r="J105" t="n">
        <v>1224.8048</v>
      </c>
      <c r="K105" t="n">
        <v>13425.9298</v>
      </c>
      <c r="L105" t="n">
        <v>2020</v>
      </c>
      <c r="M105" t="n">
        <v>2040</v>
      </c>
      <c r="N105" t="n">
        <v>0.3477</v>
      </c>
      <c r="O105" t="n">
        <v>0.1695</v>
      </c>
      <c r="P105" t="n">
        <v>2018</v>
      </c>
      <c r="Q105" t="inlineStr"/>
      <c r="R105" t="inlineStr"/>
      <c r="S105" t="n">
        <v>529.8294</v>
      </c>
      <c r="T105" t="n">
        <v>0.00091413</v>
      </c>
      <c r="U105" t="n">
        <v>0.00096913</v>
      </c>
    </row>
    <row r="106">
      <c r="A106" t="inlineStr">
        <is>
          <t>SUP-0011</t>
        </is>
      </c>
      <c r="B106" t="inlineStr">
        <is>
          <t>Agriculture Supplier 011</t>
        </is>
      </c>
      <c r="C106" t="inlineStr">
        <is>
          <t>Agriculture</t>
        </is>
      </c>
      <c r="D106" t="n">
        <v>2019</v>
      </c>
      <c r="E106" t="n">
        <v>19971956.58</v>
      </c>
      <c r="F106" t="n">
        <v>118739196.4</v>
      </c>
      <c r="G106" t="n">
        <v>23206.689</v>
      </c>
      <c r="H106" t="n">
        <v>23206.689</v>
      </c>
      <c r="I106" t="n">
        <v>3716.2856</v>
      </c>
      <c r="J106" t="n">
        <v>4772.0831</v>
      </c>
      <c r="K106" t="n">
        <v>14307.101</v>
      </c>
      <c r="L106" t="n">
        <v>2020</v>
      </c>
      <c r="M106" t="n">
        <v>2040</v>
      </c>
      <c r="N106" t="n">
        <v>0.3477</v>
      </c>
      <c r="O106" t="n">
        <v>0.1695</v>
      </c>
      <c r="P106" t="n">
        <v>2018</v>
      </c>
      <c r="Q106" t="inlineStr"/>
      <c r="R106" t="inlineStr"/>
      <c r="S106" t="n">
        <v>529.8294</v>
      </c>
      <c r="T106" t="n">
        <v>0.00091413</v>
      </c>
      <c r="U106" t="n">
        <v>0.00096913</v>
      </c>
    </row>
    <row r="107">
      <c r="A107" t="inlineStr">
        <is>
          <t>SUP-0011</t>
        </is>
      </c>
      <c r="B107" t="inlineStr">
        <is>
          <t>Agriculture Supplier 011</t>
        </is>
      </c>
      <c r="C107" t="inlineStr">
        <is>
          <t>Agriculture</t>
        </is>
      </c>
      <c r="D107" t="n">
        <v>2020</v>
      </c>
      <c r="E107" t="n">
        <v>19711510.84</v>
      </c>
      <c r="F107" t="n">
        <v>112992865.51</v>
      </c>
      <c r="G107" t="n">
        <v>26547.3363</v>
      </c>
      <c r="H107" t="n">
        <v>26547.3363</v>
      </c>
      <c r="I107" t="n">
        <v>3567.4277</v>
      </c>
      <c r="J107" t="n">
        <v>1855.6114</v>
      </c>
      <c r="K107" t="n">
        <v>23794.5294</v>
      </c>
      <c r="L107" t="n">
        <v>2020</v>
      </c>
      <c r="M107" t="n">
        <v>2040</v>
      </c>
      <c r="N107" t="n">
        <v>0.3477</v>
      </c>
      <c r="O107" t="n">
        <v>0.1695</v>
      </c>
      <c r="P107" t="n">
        <v>2018</v>
      </c>
      <c r="Q107" t="inlineStr"/>
      <c r="R107" t="inlineStr"/>
      <c r="S107" t="n">
        <v>529.8294</v>
      </c>
      <c r="T107" t="n">
        <v>0.00091413</v>
      </c>
      <c r="U107" t="n">
        <v>0.00096913</v>
      </c>
    </row>
    <row r="108">
      <c r="A108" t="inlineStr">
        <is>
          <t>SUP-0011</t>
        </is>
      </c>
      <c r="B108" t="inlineStr">
        <is>
          <t>Agriculture Supplier 011</t>
        </is>
      </c>
      <c r="C108" t="inlineStr">
        <is>
          <t>Agriculture</t>
        </is>
      </c>
      <c r="D108" t="n">
        <v>2021</v>
      </c>
      <c r="E108" t="n">
        <v>22090475.36</v>
      </c>
      <c r="F108" t="n">
        <v>131106240.77</v>
      </c>
      <c r="G108" t="n">
        <v>26266.1654</v>
      </c>
      <c r="H108" t="n">
        <v>26266.1654</v>
      </c>
      <c r="I108" t="n">
        <v>3119.0474</v>
      </c>
      <c r="J108" t="n">
        <v>4968.2071</v>
      </c>
      <c r="K108" t="n">
        <v>18222.7899</v>
      </c>
      <c r="L108" t="n">
        <v>2020</v>
      </c>
      <c r="M108" t="n">
        <v>2040</v>
      </c>
      <c r="N108" t="n">
        <v>0.3477</v>
      </c>
      <c r="O108" t="n">
        <v>0.1695</v>
      </c>
      <c r="P108" t="n">
        <v>2018</v>
      </c>
      <c r="Q108" t="inlineStr"/>
      <c r="R108" t="inlineStr"/>
      <c r="S108" t="n">
        <v>529.8294</v>
      </c>
      <c r="T108" t="n">
        <v>0.00091413</v>
      </c>
      <c r="U108" t="n">
        <v>0.00096913</v>
      </c>
    </row>
    <row r="109">
      <c r="A109" t="inlineStr">
        <is>
          <t>SUP-0011</t>
        </is>
      </c>
      <c r="B109" t="inlineStr">
        <is>
          <t>Agriculture Supplier 011</t>
        </is>
      </c>
      <c r="C109" t="inlineStr">
        <is>
          <t>Agriculture</t>
        </is>
      </c>
      <c r="D109" t="n">
        <v>2022</v>
      </c>
      <c r="E109" t="n">
        <v>19454028.72</v>
      </c>
      <c r="F109" t="n">
        <v>112049353.2</v>
      </c>
      <c r="G109" t="n">
        <v>22781.644</v>
      </c>
      <c r="H109" t="n">
        <v>22781.644</v>
      </c>
      <c r="I109" t="n">
        <v>2483.607</v>
      </c>
      <c r="J109" t="n">
        <v>1902.7816</v>
      </c>
      <c r="K109" t="n">
        <v>16427.262</v>
      </c>
      <c r="L109" t="n">
        <v>2020</v>
      </c>
      <c r="M109" t="n">
        <v>2040</v>
      </c>
      <c r="N109" t="n">
        <v>0.3477</v>
      </c>
      <c r="O109" t="n">
        <v>0.1695</v>
      </c>
      <c r="P109" t="n">
        <v>2018</v>
      </c>
      <c r="Q109" t="inlineStr"/>
      <c r="R109" t="inlineStr"/>
      <c r="S109" t="n">
        <v>529.8294</v>
      </c>
      <c r="T109" t="n">
        <v>0.00091413</v>
      </c>
      <c r="U109" t="n">
        <v>0.00096913</v>
      </c>
    </row>
    <row r="110">
      <c r="A110" t="inlineStr">
        <is>
          <t>SUP-0011</t>
        </is>
      </c>
      <c r="B110" t="inlineStr">
        <is>
          <t>Agriculture Supplier 011</t>
        </is>
      </c>
      <c r="C110" t="inlineStr">
        <is>
          <t>Agriculture</t>
        </is>
      </c>
      <c r="D110" t="n">
        <v>2023</v>
      </c>
      <c r="E110" t="n">
        <v>19497527.78</v>
      </c>
      <c r="F110" t="n">
        <v>144974794.64</v>
      </c>
      <c r="G110" t="n">
        <v>20023.4691</v>
      </c>
      <c r="H110" t="n">
        <v>20023.4691</v>
      </c>
      <c r="I110" t="n">
        <v>4977.4552</v>
      </c>
      <c r="J110" t="n">
        <v>3416.7924</v>
      </c>
      <c r="K110" t="n">
        <v>12755.5168</v>
      </c>
      <c r="L110" t="n">
        <v>2020</v>
      </c>
      <c r="M110" t="n">
        <v>2040</v>
      </c>
      <c r="N110" t="n">
        <v>0.3477</v>
      </c>
      <c r="O110" t="n">
        <v>0.1695</v>
      </c>
      <c r="P110" t="n">
        <v>2018</v>
      </c>
      <c r="Q110" t="inlineStr"/>
      <c r="R110" t="inlineStr"/>
      <c r="S110" t="n">
        <v>529.8294</v>
      </c>
      <c r="T110" t="n">
        <v>0.00091413</v>
      </c>
      <c r="U110" t="n">
        <v>0.00096913</v>
      </c>
    </row>
    <row r="111">
      <c r="A111" t="inlineStr">
        <is>
          <t>SUP-0011</t>
        </is>
      </c>
      <c r="B111" t="inlineStr">
        <is>
          <t>Agriculture Supplier 011</t>
        </is>
      </c>
      <c r="C111" t="inlineStr">
        <is>
          <t>Agriculture</t>
        </is>
      </c>
      <c r="D111" t="n">
        <v>2024</v>
      </c>
      <c r="E111" t="n">
        <v>20856357.09</v>
      </c>
      <c r="F111" t="n">
        <v>109421404.1</v>
      </c>
      <c r="G111" t="n">
        <v>22527.4382</v>
      </c>
      <c r="H111" t="n">
        <v>22527.4382</v>
      </c>
      <c r="I111" t="n">
        <v>5623.3532</v>
      </c>
      <c r="J111" t="n">
        <v>2525.3928</v>
      </c>
      <c r="K111" t="n">
        <v>15905.1585</v>
      </c>
      <c r="L111" t="n">
        <v>2020</v>
      </c>
      <c r="M111" t="n">
        <v>2040</v>
      </c>
      <c r="N111" t="n">
        <v>0.3477</v>
      </c>
      <c r="O111" t="n">
        <v>0.1695</v>
      </c>
      <c r="P111" t="n">
        <v>2018</v>
      </c>
      <c r="Q111" t="inlineStr"/>
      <c r="R111" t="inlineStr"/>
      <c r="S111" t="n">
        <v>529.8294</v>
      </c>
      <c r="T111" t="n">
        <v>0.00091413</v>
      </c>
      <c r="U111" t="n">
        <v>0.00096913</v>
      </c>
    </row>
    <row r="112">
      <c r="A112" t="inlineStr">
        <is>
          <t>SUP-0012</t>
        </is>
      </c>
      <c r="B112" t="inlineStr">
        <is>
          <t>Textiles Supplier 012</t>
        </is>
      </c>
      <c r="C112" t="inlineStr">
        <is>
          <t>Textiles</t>
        </is>
      </c>
      <c r="D112" t="n">
        <v>2015</v>
      </c>
      <c r="E112" t="n">
        <v>16132716.31</v>
      </c>
      <c r="F112" t="n">
        <v>113317502.67</v>
      </c>
      <c r="G112" t="n">
        <v>2965.4297</v>
      </c>
      <c r="H112" t="n">
        <v>2965.4297</v>
      </c>
      <c r="I112" t="n">
        <v>610.6158</v>
      </c>
      <c r="J112" t="n">
        <v>345.8851</v>
      </c>
      <c r="K112" t="n">
        <v>2311.8881</v>
      </c>
      <c r="L112" t="inlineStr"/>
      <c r="M112" t="inlineStr"/>
      <c r="N112" t="inlineStr"/>
      <c r="O112" t="inlineStr"/>
      <c r="P112" t="n">
        <v>2019</v>
      </c>
      <c r="Q112" t="n">
        <v>2030</v>
      </c>
      <c r="R112" t="n">
        <v>0.3171</v>
      </c>
      <c r="S112" t="n">
        <v>401.7335</v>
      </c>
      <c r="T112" t="n">
        <v>0.00029221</v>
      </c>
      <c r="U112" t="n">
        <v>0.00017343</v>
      </c>
    </row>
    <row r="113">
      <c r="A113" t="inlineStr">
        <is>
          <t>SUP-0012</t>
        </is>
      </c>
      <c r="B113" t="inlineStr">
        <is>
          <t>Textiles Supplier 012</t>
        </is>
      </c>
      <c r="C113" t="inlineStr">
        <is>
          <t>Textiles</t>
        </is>
      </c>
      <c r="D113" t="n">
        <v>2016</v>
      </c>
      <c r="E113" t="n">
        <v>16542936.23</v>
      </c>
      <c r="F113" t="n">
        <v>118984110.76</v>
      </c>
      <c r="G113" t="n">
        <v>3034.9761</v>
      </c>
      <c r="H113" t="n">
        <v>3034.9761</v>
      </c>
      <c r="I113" t="n">
        <v>297.4317</v>
      </c>
      <c r="J113" t="n">
        <v>399.1682</v>
      </c>
      <c r="K113" t="n">
        <v>2499.2047</v>
      </c>
      <c r="L113" t="inlineStr"/>
      <c r="M113" t="inlineStr"/>
      <c r="N113" t="inlineStr"/>
      <c r="O113" t="inlineStr"/>
      <c r="P113" t="n">
        <v>2019</v>
      </c>
      <c r="Q113" t="n">
        <v>2030</v>
      </c>
      <c r="R113" t="n">
        <v>0.3171</v>
      </c>
      <c r="S113" t="n">
        <v>401.7335</v>
      </c>
      <c r="T113" t="n">
        <v>0.00029221</v>
      </c>
      <c r="U113" t="n">
        <v>0.00017343</v>
      </c>
    </row>
    <row r="114">
      <c r="A114" t="inlineStr">
        <is>
          <t>SUP-0012</t>
        </is>
      </c>
      <c r="B114" t="inlineStr">
        <is>
          <t>Textiles Supplier 012</t>
        </is>
      </c>
      <c r="C114" t="inlineStr">
        <is>
          <t>Textiles</t>
        </is>
      </c>
      <c r="D114" t="n">
        <v>2017</v>
      </c>
      <c r="E114" t="n">
        <v>18689663.55</v>
      </c>
      <c r="F114" t="n">
        <v>151900741.93</v>
      </c>
      <c r="G114" t="n">
        <v>3075.149</v>
      </c>
      <c r="H114" t="n">
        <v>3075.149</v>
      </c>
      <c r="I114" t="n">
        <v>584.1612</v>
      </c>
      <c r="J114" t="n">
        <v>491.7075</v>
      </c>
      <c r="K114" t="n">
        <v>2141.6052</v>
      </c>
      <c r="L114" t="inlineStr"/>
      <c r="M114" t="inlineStr"/>
      <c r="N114" t="inlineStr"/>
      <c r="O114" t="inlineStr"/>
      <c r="P114" t="n">
        <v>2019</v>
      </c>
      <c r="Q114" t="n">
        <v>2030</v>
      </c>
      <c r="R114" t="n">
        <v>0.3171</v>
      </c>
      <c r="S114" t="n">
        <v>401.7335</v>
      </c>
      <c r="T114" t="n">
        <v>0.00029221</v>
      </c>
      <c r="U114" t="n">
        <v>0.00017343</v>
      </c>
    </row>
    <row r="115">
      <c r="A115" t="inlineStr">
        <is>
          <t>SUP-0012</t>
        </is>
      </c>
      <c r="B115" t="inlineStr">
        <is>
          <t>Textiles Supplier 012</t>
        </is>
      </c>
      <c r="C115" t="inlineStr">
        <is>
          <t>Textiles</t>
        </is>
      </c>
      <c r="D115" t="n">
        <v>2018</v>
      </c>
      <c r="E115" t="n">
        <v>21920983.47</v>
      </c>
      <c r="F115" t="n">
        <v>159287047.01</v>
      </c>
      <c r="G115" t="n">
        <v>3170.1424</v>
      </c>
      <c r="H115" t="n">
        <v>3170.1424</v>
      </c>
      <c r="I115" t="n">
        <v>858.1265</v>
      </c>
      <c r="J115" t="n">
        <v>449.7598</v>
      </c>
      <c r="K115" t="n">
        <v>1779.8168</v>
      </c>
      <c r="L115" t="inlineStr"/>
      <c r="M115" t="inlineStr"/>
      <c r="N115" t="inlineStr"/>
      <c r="O115" t="inlineStr"/>
      <c r="P115" t="n">
        <v>2019</v>
      </c>
      <c r="Q115" t="n">
        <v>2030</v>
      </c>
      <c r="R115" t="n">
        <v>0.3171</v>
      </c>
      <c r="S115" t="n">
        <v>401.7335</v>
      </c>
      <c r="T115" t="n">
        <v>0.00029221</v>
      </c>
      <c r="U115" t="n">
        <v>0.00017343</v>
      </c>
    </row>
    <row r="116">
      <c r="A116" t="inlineStr">
        <is>
          <t>SUP-0012</t>
        </is>
      </c>
      <c r="B116" t="inlineStr">
        <is>
          <t>Textiles Supplier 012</t>
        </is>
      </c>
      <c r="C116" t="inlineStr">
        <is>
          <t>Textiles</t>
        </is>
      </c>
      <c r="D116" t="n">
        <v>2019</v>
      </c>
      <c r="E116" t="n">
        <v>18960427.94</v>
      </c>
      <c r="F116" t="n">
        <v>167321797.34</v>
      </c>
      <c r="G116" t="n">
        <v>3826.7301</v>
      </c>
      <c r="H116" t="n">
        <v>3826.7301</v>
      </c>
      <c r="I116" t="n">
        <v>906.5643</v>
      </c>
      <c r="J116" t="n">
        <v>687.5201</v>
      </c>
      <c r="K116" t="n">
        <v>2294.8817</v>
      </c>
      <c r="L116" t="inlineStr"/>
      <c r="M116" t="inlineStr"/>
      <c r="N116" t="inlineStr"/>
      <c r="O116" t="inlineStr"/>
      <c r="P116" t="n">
        <v>2019</v>
      </c>
      <c r="Q116" t="n">
        <v>2030</v>
      </c>
      <c r="R116" t="n">
        <v>0.3171</v>
      </c>
      <c r="S116" t="n">
        <v>401.7335</v>
      </c>
      <c r="T116" t="n">
        <v>0.00029221</v>
      </c>
      <c r="U116" t="n">
        <v>0.00017343</v>
      </c>
    </row>
    <row r="117">
      <c r="A117" t="inlineStr">
        <is>
          <t>SUP-0012</t>
        </is>
      </c>
      <c r="B117" t="inlineStr">
        <is>
          <t>Textiles Supplier 012</t>
        </is>
      </c>
      <c r="C117" t="inlineStr">
        <is>
          <t>Textiles</t>
        </is>
      </c>
      <c r="D117" t="n">
        <v>2020</v>
      </c>
      <c r="E117" t="n">
        <v>23137923.07</v>
      </c>
      <c r="F117" t="n">
        <v>167871326.95</v>
      </c>
      <c r="G117" t="n">
        <v>4419.0129</v>
      </c>
      <c r="H117" t="n">
        <v>4419.0129</v>
      </c>
      <c r="I117" t="n">
        <v>675.4344</v>
      </c>
      <c r="J117" t="n">
        <v>812.4313</v>
      </c>
      <c r="K117" t="n">
        <v>2894.252</v>
      </c>
      <c r="L117" t="inlineStr"/>
      <c r="M117" t="inlineStr"/>
      <c r="N117" t="inlineStr"/>
      <c r="O117" t="inlineStr"/>
      <c r="P117" t="n">
        <v>2019</v>
      </c>
      <c r="Q117" t="n">
        <v>2030</v>
      </c>
      <c r="R117" t="n">
        <v>0.3171</v>
      </c>
      <c r="S117" t="n">
        <v>401.7335</v>
      </c>
      <c r="T117" t="n">
        <v>0.00029221</v>
      </c>
      <c r="U117" t="n">
        <v>0.00017343</v>
      </c>
    </row>
    <row r="118">
      <c r="A118" t="inlineStr">
        <is>
          <t>SUP-0012</t>
        </is>
      </c>
      <c r="B118" t="inlineStr">
        <is>
          <t>Textiles Supplier 012</t>
        </is>
      </c>
      <c r="C118" t="inlineStr">
        <is>
          <t>Textiles</t>
        </is>
      </c>
      <c r="D118" t="n">
        <v>2021</v>
      </c>
      <c r="E118" t="n">
        <v>20795844.13</v>
      </c>
      <c r="F118" t="n">
        <v>157383910.73</v>
      </c>
      <c r="G118" t="n">
        <v>4289.9676</v>
      </c>
      <c r="H118" t="n">
        <v>4289.9676</v>
      </c>
      <c r="I118" t="n">
        <v>539.8788</v>
      </c>
      <c r="J118" t="n">
        <v>438.077</v>
      </c>
      <c r="K118" t="n">
        <v>3321.9238</v>
      </c>
      <c r="L118" t="inlineStr"/>
      <c r="M118" t="inlineStr"/>
      <c r="N118" t="inlineStr"/>
      <c r="O118" t="inlineStr"/>
      <c r="P118" t="n">
        <v>2019</v>
      </c>
      <c r="Q118" t="n">
        <v>2030</v>
      </c>
      <c r="R118" t="n">
        <v>0.3171</v>
      </c>
      <c r="S118" t="n">
        <v>401.7335</v>
      </c>
      <c r="T118" t="n">
        <v>0.00029221</v>
      </c>
      <c r="U118" t="n">
        <v>0.00017343</v>
      </c>
    </row>
    <row r="119">
      <c r="A119" t="inlineStr">
        <is>
          <t>SUP-0012</t>
        </is>
      </c>
      <c r="B119" t="inlineStr">
        <is>
          <t>Textiles Supplier 012</t>
        </is>
      </c>
      <c r="C119" t="inlineStr">
        <is>
          <t>Textiles</t>
        </is>
      </c>
      <c r="D119" t="n">
        <v>2022</v>
      </c>
      <c r="E119" t="n">
        <v>21756851.6</v>
      </c>
      <c r="F119" t="n">
        <v>198340358.72</v>
      </c>
      <c r="G119" t="n">
        <v>4669.4346</v>
      </c>
      <c r="H119" t="n">
        <v>4669.4346</v>
      </c>
      <c r="I119" t="n">
        <v>916.8105</v>
      </c>
      <c r="J119" t="n">
        <v>959.3006</v>
      </c>
      <c r="K119" t="n">
        <v>3145.748</v>
      </c>
      <c r="L119" t="inlineStr"/>
      <c r="M119" t="inlineStr"/>
      <c r="N119" t="inlineStr"/>
      <c r="O119" t="inlineStr"/>
      <c r="P119" t="n">
        <v>2019</v>
      </c>
      <c r="Q119" t="n">
        <v>2030</v>
      </c>
      <c r="R119" t="n">
        <v>0.3171</v>
      </c>
      <c r="S119" t="n">
        <v>401.7335</v>
      </c>
      <c r="T119" t="n">
        <v>0.00029221</v>
      </c>
      <c r="U119" t="n">
        <v>0.00017343</v>
      </c>
    </row>
    <row r="120">
      <c r="A120" t="inlineStr">
        <is>
          <t>SUP-0012</t>
        </is>
      </c>
      <c r="B120" t="inlineStr">
        <is>
          <t>Textiles Supplier 012</t>
        </is>
      </c>
      <c r="C120" t="inlineStr">
        <is>
          <t>Textiles</t>
        </is>
      </c>
      <c r="D120" t="n">
        <v>2023</v>
      </c>
      <c r="E120" t="n">
        <v>29447898.31</v>
      </c>
      <c r="F120" t="n">
        <v>197653463.47</v>
      </c>
      <c r="G120" t="n">
        <v>5186.3794</v>
      </c>
      <c r="H120" t="n">
        <v>5186.3794</v>
      </c>
      <c r="I120" t="n">
        <v>930.1838</v>
      </c>
      <c r="J120" t="n">
        <v>738.0038</v>
      </c>
      <c r="K120" t="n">
        <v>3210.8004</v>
      </c>
      <c r="L120" t="inlineStr"/>
      <c r="M120" t="inlineStr"/>
      <c r="N120" t="inlineStr"/>
      <c r="O120" t="inlineStr"/>
      <c r="P120" t="n">
        <v>2019</v>
      </c>
      <c r="Q120" t="n">
        <v>2030</v>
      </c>
      <c r="R120" t="n">
        <v>0.3171</v>
      </c>
      <c r="S120" t="n">
        <v>401.7335</v>
      </c>
      <c r="T120" t="n">
        <v>0.00029221</v>
      </c>
      <c r="U120" t="n">
        <v>0.00017343</v>
      </c>
    </row>
    <row r="121">
      <c r="A121" t="inlineStr">
        <is>
          <t>SUP-0012</t>
        </is>
      </c>
      <c r="B121" t="inlineStr">
        <is>
          <t>Textiles Supplier 012</t>
        </is>
      </c>
      <c r="C121" t="inlineStr">
        <is>
          <t>Textiles</t>
        </is>
      </c>
      <c r="D121" t="n">
        <v>2024</v>
      </c>
      <c r="E121" t="n">
        <v>28117792.16</v>
      </c>
      <c r="F121" t="n">
        <v>188548606.72</v>
      </c>
      <c r="G121" t="n">
        <v>5818.5637</v>
      </c>
      <c r="H121" t="n">
        <v>5818.5637</v>
      </c>
      <c r="I121" t="n">
        <v>1387.6296</v>
      </c>
      <c r="J121" t="n">
        <v>777.2957</v>
      </c>
      <c r="K121" t="n">
        <v>3532.3272</v>
      </c>
      <c r="L121" t="inlineStr"/>
      <c r="M121" t="inlineStr"/>
      <c r="N121" t="inlineStr"/>
      <c r="O121" t="inlineStr"/>
      <c r="P121" t="n">
        <v>2019</v>
      </c>
      <c r="Q121" t="n">
        <v>2030</v>
      </c>
      <c r="R121" t="n">
        <v>0.3171</v>
      </c>
      <c r="S121" t="n">
        <v>401.7335</v>
      </c>
      <c r="T121" t="n">
        <v>0.00029221</v>
      </c>
      <c r="U121" t="n">
        <v>0.00017343</v>
      </c>
    </row>
    <row r="122">
      <c r="A122" t="inlineStr">
        <is>
          <t>SUP-0013</t>
        </is>
      </c>
      <c r="B122" t="inlineStr">
        <is>
          <t>Electronics Supplier 013</t>
        </is>
      </c>
      <c r="C122" t="inlineStr">
        <is>
          <t>Electronics</t>
        </is>
      </c>
      <c r="D122" t="n">
        <v>2015</v>
      </c>
      <c r="E122" t="n">
        <v>7568103.52</v>
      </c>
      <c r="F122" t="n">
        <v>18931948</v>
      </c>
      <c r="G122" t="n">
        <v>8966.5666</v>
      </c>
      <c r="H122" t="n">
        <v>8966.5666</v>
      </c>
      <c r="I122" t="n">
        <v>975.6255</v>
      </c>
      <c r="J122" t="n">
        <v>1308.7717</v>
      </c>
      <c r="K122" t="n">
        <v>6571.2586</v>
      </c>
      <c r="L122" t="inlineStr"/>
      <c r="M122" t="inlineStr"/>
      <c r="N122" t="inlineStr"/>
      <c r="O122" t="inlineStr"/>
      <c r="P122" t="n">
        <v>2018</v>
      </c>
      <c r="Q122" t="n">
        <v>2040</v>
      </c>
      <c r="R122" t="n">
        <v>0.3424</v>
      </c>
      <c r="S122" t="n">
        <v>635.1588</v>
      </c>
      <c r="T122" t="n">
        <v>0.00086105</v>
      </c>
      <c r="U122" t="n">
        <v>0.00013947</v>
      </c>
    </row>
    <row r="123">
      <c r="A123" t="inlineStr">
        <is>
          <t>SUP-0013</t>
        </is>
      </c>
      <c r="B123" t="inlineStr">
        <is>
          <t>Electronics Supplier 013</t>
        </is>
      </c>
      <c r="C123" t="inlineStr">
        <is>
          <t>Electronics</t>
        </is>
      </c>
      <c r="D123" t="n">
        <v>2016</v>
      </c>
      <c r="E123" t="n">
        <v>8136724.21</v>
      </c>
      <c r="F123" t="n">
        <v>19103472.14</v>
      </c>
      <c r="G123" t="n">
        <v>8523.970499999999</v>
      </c>
      <c r="H123" t="n">
        <v>8523.970499999999</v>
      </c>
      <c r="I123" t="n">
        <v>1744.3695</v>
      </c>
      <c r="J123" t="n">
        <v>739.3194999999999</v>
      </c>
      <c r="K123" t="n">
        <v>6379.5815</v>
      </c>
      <c r="L123" t="inlineStr"/>
      <c r="M123" t="inlineStr"/>
      <c r="N123" t="inlineStr"/>
      <c r="O123" t="inlineStr"/>
      <c r="P123" t="n">
        <v>2018</v>
      </c>
      <c r="Q123" t="n">
        <v>2040</v>
      </c>
      <c r="R123" t="n">
        <v>0.3424</v>
      </c>
      <c r="S123" t="n">
        <v>635.1588</v>
      </c>
      <c r="T123" t="n">
        <v>0.00086105</v>
      </c>
      <c r="U123" t="n">
        <v>0.00013947</v>
      </c>
    </row>
    <row r="124">
      <c r="A124" t="inlineStr">
        <is>
          <t>SUP-0013</t>
        </is>
      </c>
      <c r="B124" t="inlineStr">
        <is>
          <t>Electronics Supplier 013</t>
        </is>
      </c>
      <c r="C124" t="inlineStr">
        <is>
          <t>Electronics</t>
        </is>
      </c>
      <c r="D124" t="n">
        <v>2017</v>
      </c>
      <c r="E124" t="n">
        <v>6880866.02</v>
      </c>
      <c r="F124" t="n">
        <v>20203652.56</v>
      </c>
      <c r="G124" t="n">
        <v>8603.5303</v>
      </c>
      <c r="H124" t="n">
        <v>8603.5303</v>
      </c>
      <c r="I124" t="n">
        <v>1330.1897</v>
      </c>
      <c r="J124" t="n">
        <v>856.8607</v>
      </c>
      <c r="K124" t="n">
        <v>6356.7543</v>
      </c>
      <c r="L124" t="inlineStr"/>
      <c r="M124" t="inlineStr"/>
      <c r="N124" t="inlineStr"/>
      <c r="O124" t="inlineStr"/>
      <c r="P124" t="n">
        <v>2018</v>
      </c>
      <c r="Q124" t="n">
        <v>2040</v>
      </c>
      <c r="R124" t="n">
        <v>0.3424</v>
      </c>
      <c r="S124" t="n">
        <v>635.1588</v>
      </c>
      <c r="T124" t="n">
        <v>0.00086105</v>
      </c>
      <c r="U124" t="n">
        <v>0.00013947</v>
      </c>
    </row>
    <row r="125">
      <c r="A125" t="inlineStr">
        <is>
          <t>SUP-0013</t>
        </is>
      </c>
      <c r="B125" t="inlineStr">
        <is>
          <t>Electronics Supplier 013</t>
        </is>
      </c>
      <c r="C125" t="inlineStr">
        <is>
          <t>Electronics</t>
        </is>
      </c>
      <c r="D125" t="n">
        <v>2018</v>
      </c>
      <c r="E125" t="n">
        <v>8256496.51</v>
      </c>
      <c r="F125" t="n">
        <v>15796472.47</v>
      </c>
      <c r="G125" t="n">
        <v>7950.0633</v>
      </c>
      <c r="H125" t="n">
        <v>7950.0633</v>
      </c>
      <c r="I125" t="n">
        <v>2171.1405</v>
      </c>
      <c r="J125" t="n">
        <v>1477.2199</v>
      </c>
      <c r="K125" t="n">
        <v>4907.9218</v>
      </c>
      <c r="L125" t="inlineStr"/>
      <c r="M125" t="inlineStr"/>
      <c r="N125" t="inlineStr"/>
      <c r="O125" t="inlineStr"/>
      <c r="P125" t="n">
        <v>2018</v>
      </c>
      <c r="Q125" t="n">
        <v>2040</v>
      </c>
      <c r="R125" t="n">
        <v>0.3424</v>
      </c>
      <c r="S125" t="n">
        <v>635.1588</v>
      </c>
      <c r="T125" t="n">
        <v>0.00086105</v>
      </c>
      <c r="U125" t="n">
        <v>0.00013947</v>
      </c>
    </row>
    <row r="126">
      <c r="A126" t="inlineStr">
        <is>
          <t>SUP-0013</t>
        </is>
      </c>
      <c r="B126" t="inlineStr">
        <is>
          <t>Electronics Supplier 013</t>
        </is>
      </c>
      <c r="C126" t="inlineStr">
        <is>
          <t>Electronics</t>
        </is>
      </c>
      <c r="D126" t="n">
        <v>2019</v>
      </c>
      <c r="E126" t="n">
        <v>7731017.25</v>
      </c>
      <c r="F126" t="n">
        <v>16479763.28</v>
      </c>
      <c r="G126" t="n">
        <v>8393.166499999999</v>
      </c>
      <c r="H126" t="n">
        <v>8393.166499999999</v>
      </c>
      <c r="I126" t="n">
        <v>956.8842</v>
      </c>
      <c r="J126" t="n">
        <v>1671.1615</v>
      </c>
      <c r="K126" t="n">
        <v>5950.5726</v>
      </c>
      <c r="L126" t="inlineStr"/>
      <c r="M126" t="inlineStr"/>
      <c r="N126" t="inlineStr"/>
      <c r="O126" t="inlineStr"/>
      <c r="P126" t="n">
        <v>2018</v>
      </c>
      <c r="Q126" t="n">
        <v>2040</v>
      </c>
      <c r="R126" t="n">
        <v>0.3424</v>
      </c>
      <c r="S126" t="n">
        <v>635.1588</v>
      </c>
      <c r="T126" t="n">
        <v>0.00086105</v>
      </c>
      <c r="U126" t="n">
        <v>0.00013947</v>
      </c>
    </row>
    <row r="127">
      <c r="A127" t="inlineStr">
        <is>
          <t>SUP-0013</t>
        </is>
      </c>
      <c r="B127" t="inlineStr">
        <is>
          <t>Electronics Supplier 013</t>
        </is>
      </c>
      <c r="C127" t="inlineStr">
        <is>
          <t>Electronics</t>
        </is>
      </c>
      <c r="D127" t="n">
        <v>2020</v>
      </c>
      <c r="E127" t="n">
        <v>7377328.76</v>
      </c>
      <c r="F127" t="n">
        <v>21240817.67</v>
      </c>
      <c r="G127" t="n">
        <v>6903.8459</v>
      </c>
      <c r="H127" t="n">
        <v>6903.8459</v>
      </c>
      <c r="I127" t="n">
        <v>2091.7104</v>
      </c>
      <c r="J127" t="n">
        <v>1626.3133</v>
      </c>
      <c r="K127" t="n">
        <v>4139.5953</v>
      </c>
      <c r="L127" t="inlineStr"/>
      <c r="M127" t="inlineStr"/>
      <c r="N127" t="inlineStr"/>
      <c r="O127" t="inlineStr"/>
      <c r="P127" t="n">
        <v>2018</v>
      </c>
      <c r="Q127" t="n">
        <v>2040</v>
      </c>
      <c r="R127" t="n">
        <v>0.3424</v>
      </c>
      <c r="S127" t="n">
        <v>635.1588</v>
      </c>
      <c r="T127" t="n">
        <v>0.00086105</v>
      </c>
      <c r="U127" t="n">
        <v>0.00013947</v>
      </c>
    </row>
    <row r="128">
      <c r="A128" t="inlineStr">
        <is>
          <t>SUP-0013</t>
        </is>
      </c>
      <c r="B128" t="inlineStr">
        <is>
          <t>Electronics Supplier 013</t>
        </is>
      </c>
      <c r="C128" t="inlineStr">
        <is>
          <t>Electronics</t>
        </is>
      </c>
      <c r="D128" t="n">
        <v>2021</v>
      </c>
      <c r="E128" t="n">
        <v>6168281.02</v>
      </c>
      <c r="F128" t="n">
        <v>21505370.08</v>
      </c>
      <c r="G128" t="n">
        <v>7580.7361</v>
      </c>
      <c r="H128" t="n">
        <v>7580.7361</v>
      </c>
      <c r="I128" t="n">
        <v>776.6937</v>
      </c>
      <c r="J128" t="n">
        <v>1333.5566</v>
      </c>
      <c r="K128" t="n">
        <v>4859.1966</v>
      </c>
      <c r="L128" t="inlineStr"/>
      <c r="M128" t="inlineStr"/>
      <c r="N128" t="inlineStr"/>
      <c r="O128" t="inlineStr"/>
      <c r="P128" t="n">
        <v>2018</v>
      </c>
      <c r="Q128" t="n">
        <v>2040</v>
      </c>
      <c r="R128" t="n">
        <v>0.3424</v>
      </c>
      <c r="S128" t="n">
        <v>635.1588</v>
      </c>
      <c r="T128" t="n">
        <v>0.00086105</v>
      </c>
      <c r="U128" t="n">
        <v>0.00013947</v>
      </c>
    </row>
    <row r="129">
      <c r="A129" t="inlineStr">
        <is>
          <t>SUP-0013</t>
        </is>
      </c>
      <c r="B129" t="inlineStr">
        <is>
          <t>Electronics Supplier 013</t>
        </is>
      </c>
      <c r="C129" t="inlineStr">
        <is>
          <t>Electronics</t>
        </is>
      </c>
      <c r="D129" t="n">
        <v>2022</v>
      </c>
      <c r="E129" t="n">
        <v>7401107.6</v>
      </c>
      <c r="F129" t="n">
        <v>19042837.71</v>
      </c>
      <c r="G129" t="n">
        <v>7196.7714</v>
      </c>
      <c r="H129" t="n">
        <v>7196.7714</v>
      </c>
      <c r="I129" t="n">
        <v>998.1185</v>
      </c>
      <c r="J129" t="n">
        <v>594.6608</v>
      </c>
      <c r="K129" t="n">
        <v>5054.0253</v>
      </c>
      <c r="L129" t="inlineStr"/>
      <c r="M129" t="inlineStr"/>
      <c r="N129" t="inlineStr"/>
      <c r="O129" t="inlineStr"/>
      <c r="P129" t="n">
        <v>2018</v>
      </c>
      <c r="Q129" t="n">
        <v>2040</v>
      </c>
      <c r="R129" t="n">
        <v>0.3424</v>
      </c>
      <c r="S129" t="n">
        <v>635.1588</v>
      </c>
      <c r="T129" t="n">
        <v>0.00086105</v>
      </c>
      <c r="U129" t="n">
        <v>0.00013947</v>
      </c>
    </row>
    <row r="130">
      <c r="A130" t="inlineStr">
        <is>
          <t>SUP-0013</t>
        </is>
      </c>
      <c r="B130" t="inlineStr">
        <is>
          <t>Electronics Supplier 013</t>
        </is>
      </c>
      <c r="C130" t="inlineStr">
        <is>
          <t>Electronics</t>
        </is>
      </c>
      <c r="D130" t="n">
        <v>2023</v>
      </c>
      <c r="E130" t="n">
        <v>9259296.720000001</v>
      </c>
      <c r="F130" t="n">
        <v>16828370.46</v>
      </c>
      <c r="G130" t="n">
        <v>7703.8025</v>
      </c>
      <c r="H130" t="n">
        <v>7703.8025</v>
      </c>
      <c r="I130" t="n">
        <v>1041.755</v>
      </c>
      <c r="J130" t="n">
        <v>1345.6381</v>
      </c>
      <c r="K130" t="n">
        <v>5793.3158</v>
      </c>
      <c r="L130" t="inlineStr"/>
      <c r="M130" t="inlineStr"/>
      <c r="N130" t="inlineStr"/>
      <c r="O130" t="inlineStr"/>
      <c r="P130" t="n">
        <v>2018</v>
      </c>
      <c r="Q130" t="n">
        <v>2040</v>
      </c>
      <c r="R130" t="n">
        <v>0.3424</v>
      </c>
      <c r="S130" t="n">
        <v>635.1588</v>
      </c>
      <c r="T130" t="n">
        <v>0.00086105</v>
      </c>
      <c r="U130" t="n">
        <v>0.00013947</v>
      </c>
    </row>
    <row r="131">
      <c r="A131" t="inlineStr">
        <is>
          <t>SUP-0013</t>
        </is>
      </c>
      <c r="B131" t="inlineStr">
        <is>
          <t>Electronics Supplier 013</t>
        </is>
      </c>
      <c r="C131" t="inlineStr">
        <is>
          <t>Electronics</t>
        </is>
      </c>
      <c r="D131" t="n">
        <v>2024</v>
      </c>
      <c r="E131" t="n">
        <v>7043670.44</v>
      </c>
      <c r="F131" t="n">
        <v>17996629.42</v>
      </c>
      <c r="G131" t="n">
        <v>6510.22</v>
      </c>
      <c r="H131" t="n">
        <v>6510.22</v>
      </c>
      <c r="I131" t="n">
        <v>631.1288</v>
      </c>
      <c r="J131" t="n">
        <v>916.1944</v>
      </c>
      <c r="K131" t="n">
        <v>4871.3148</v>
      </c>
      <c r="L131" t="inlineStr"/>
      <c r="M131" t="inlineStr"/>
      <c r="N131" t="inlineStr"/>
      <c r="O131" t="inlineStr"/>
      <c r="P131" t="n">
        <v>2018</v>
      </c>
      <c r="Q131" t="n">
        <v>2040</v>
      </c>
      <c r="R131" t="n">
        <v>0.3424</v>
      </c>
      <c r="S131" t="n">
        <v>635.1588</v>
      </c>
      <c r="T131" t="n">
        <v>0.00086105</v>
      </c>
      <c r="U131" t="n">
        <v>0.00013947</v>
      </c>
    </row>
    <row r="132">
      <c r="A132" t="inlineStr">
        <is>
          <t>SUP-0014</t>
        </is>
      </c>
      <c r="B132" t="inlineStr">
        <is>
          <t>Textiles Supplier 014</t>
        </is>
      </c>
      <c r="C132" t="inlineStr">
        <is>
          <t>Textiles</t>
        </is>
      </c>
      <c r="D132" t="n">
        <v>2015</v>
      </c>
      <c r="E132" t="n">
        <v>13245650.48</v>
      </c>
      <c r="F132" t="n">
        <v>84805483.06999999</v>
      </c>
      <c r="G132" t="n">
        <v>3706.3867</v>
      </c>
      <c r="H132" t="n">
        <v>3706.3867</v>
      </c>
      <c r="I132" t="n">
        <v>422.9413</v>
      </c>
      <c r="J132" t="n">
        <v>645.7306</v>
      </c>
      <c r="K132" t="n">
        <v>2706.0896</v>
      </c>
      <c r="L132" t="inlineStr"/>
      <c r="M132" t="inlineStr"/>
      <c r="N132" t="inlineStr"/>
      <c r="O132" t="inlineStr"/>
      <c r="P132" t="n">
        <v>2019</v>
      </c>
      <c r="Q132" t="n">
        <v>2030</v>
      </c>
      <c r="R132" t="n">
        <v>0.3171</v>
      </c>
      <c r="S132" t="n">
        <v>401.7335</v>
      </c>
      <c r="T132" t="n">
        <v>0.00029221</v>
      </c>
      <c r="U132" t="n">
        <v>0.00017343</v>
      </c>
    </row>
    <row r="133">
      <c r="A133" t="inlineStr">
        <is>
          <t>SUP-0014</t>
        </is>
      </c>
      <c r="B133" t="inlineStr">
        <is>
          <t>Textiles Supplier 014</t>
        </is>
      </c>
      <c r="C133" t="inlineStr">
        <is>
          <t>Textiles</t>
        </is>
      </c>
      <c r="D133" t="n">
        <v>2016</v>
      </c>
      <c r="E133" t="n">
        <v>13909185.51</v>
      </c>
      <c r="F133" t="n">
        <v>96937451.90000001</v>
      </c>
      <c r="G133" t="n">
        <v>4263.5461</v>
      </c>
      <c r="H133" t="n">
        <v>4263.5461</v>
      </c>
      <c r="I133" t="n">
        <v>832.5032</v>
      </c>
      <c r="J133" t="n">
        <v>453.1903</v>
      </c>
      <c r="K133" t="n">
        <v>2734.3678</v>
      </c>
      <c r="L133" t="inlineStr"/>
      <c r="M133" t="inlineStr"/>
      <c r="N133" t="inlineStr"/>
      <c r="O133" t="inlineStr"/>
      <c r="P133" t="n">
        <v>2019</v>
      </c>
      <c r="Q133" t="n">
        <v>2030</v>
      </c>
      <c r="R133" t="n">
        <v>0.3171</v>
      </c>
      <c r="S133" t="n">
        <v>401.7335</v>
      </c>
      <c r="T133" t="n">
        <v>0.00029221</v>
      </c>
      <c r="U133" t="n">
        <v>0.00017343</v>
      </c>
    </row>
    <row r="134">
      <c r="A134" t="inlineStr">
        <is>
          <t>SUP-0014</t>
        </is>
      </c>
      <c r="B134" t="inlineStr">
        <is>
          <t>Textiles Supplier 014</t>
        </is>
      </c>
      <c r="C134" t="inlineStr">
        <is>
          <t>Textiles</t>
        </is>
      </c>
      <c r="D134" t="n">
        <v>2017</v>
      </c>
      <c r="E134" t="n">
        <v>15582388.34</v>
      </c>
      <c r="F134" t="n">
        <v>103144929.93</v>
      </c>
      <c r="G134" t="n">
        <v>4171.2319</v>
      </c>
      <c r="H134" t="n">
        <v>4171.2319</v>
      </c>
      <c r="I134" t="n">
        <v>795.1103000000001</v>
      </c>
      <c r="J134" t="n">
        <v>671.9011</v>
      </c>
      <c r="K134" t="n">
        <v>2774.8591</v>
      </c>
      <c r="L134" t="inlineStr"/>
      <c r="M134" t="inlineStr"/>
      <c r="N134" t="inlineStr"/>
      <c r="O134" t="inlineStr"/>
      <c r="P134" t="n">
        <v>2019</v>
      </c>
      <c r="Q134" t="n">
        <v>2030</v>
      </c>
      <c r="R134" t="n">
        <v>0.3171</v>
      </c>
      <c r="S134" t="n">
        <v>401.7335</v>
      </c>
      <c r="T134" t="n">
        <v>0.00029221</v>
      </c>
      <c r="U134" t="n">
        <v>0.00017343</v>
      </c>
    </row>
    <row r="135">
      <c r="A135" t="inlineStr">
        <is>
          <t>SUP-0014</t>
        </is>
      </c>
      <c r="B135" t="inlineStr">
        <is>
          <t>Textiles Supplier 014</t>
        </is>
      </c>
      <c r="C135" t="inlineStr">
        <is>
          <t>Textiles</t>
        </is>
      </c>
      <c r="D135" t="n">
        <v>2018</v>
      </c>
      <c r="E135" t="n">
        <v>17190385.76</v>
      </c>
      <c r="F135" t="n">
        <v>115378190.53</v>
      </c>
      <c r="G135" t="n">
        <v>4611.7523</v>
      </c>
      <c r="H135" t="n">
        <v>4611.7523</v>
      </c>
      <c r="I135" t="n">
        <v>954.7508</v>
      </c>
      <c r="J135" t="n">
        <v>866.3863</v>
      </c>
      <c r="K135" t="n">
        <v>2901.5935</v>
      </c>
      <c r="L135" t="inlineStr"/>
      <c r="M135" t="inlineStr"/>
      <c r="N135" t="inlineStr"/>
      <c r="O135" t="inlineStr"/>
      <c r="P135" t="n">
        <v>2019</v>
      </c>
      <c r="Q135" t="n">
        <v>2030</v>
      </c>
      <c r="R135" t="n">
        <v>0.3171</v>
      </c>
      <c r="S135" t="n">
        <v>401.7335</v>
      </c>
      <c r="T135" t="n">
        <v>0.00029221</v>
      </c>
      <c r="U135" t="n">
        <v>0.00017343</v>
      </c>
    </row>
    <row r="136">
      <c r="A136" t="inlineStr">
        <is>
          <t>SUP-0014</t>
        </is>
      </c>
      <c r="B136" t="inlineStr">
        <is>
          <t>Textiles Supplier 014</t>
        </is>
      </c>
      <c r="C136" t="inlineStr">
        <is>
          <t>Textiles</t>
        </is>
      </c>
      <c r="D136" t="n">
        <v>2019</v>
      </c>
      <c r="E136" t="n">
        <v>17421971.51</v>
      </c>
      <c r="F136" t="n">
        <v>137513675.12</v>
      </c>
      <c r="G136" t="n">
        <v>4955.1243</v>
      </c>
      <c r="H136" t="n">
        <v>4955.1243</v>
      </c>
      <c r="I136" t="n">
        <v>534.6615</v>
      </c>
      <c r="J136" t="n">
        <v>536.8022999999999</v>
      </c>
      <c r="K136" t="n">
        <v>3552.1649</v>
      </c>
      <c r="L136" t="inlineStr"/>
      <c r="M136" t="inlineStr"/>
      <c r="N136" t="inlineStr"/>
      <c r="O136" t="inlineStr"/>
      <c r="P136" t="n">
        <v>2019</v>
      </c>
      <c r="Q136" t="n">
        <v>2030</v>
      </c>
      <c r="R136" t="n">
        <v>0.3171</v>
      </c>
      <c r="S136" t="n">
        <v>401.7335</v>
      </c>
      <c r="T136" t="n">
        <v>0.00029221</v>
      </c>
      <c r="U136" t="n">
        <v>0.00017343</v>
      </c>
    </row>
    <row r="137">
      <c r="A137" t="inlineStr">
        <is>
          <t>SUP-0014</t>
        </is>
      </c>
      <c r="B137" t="inlineStr">
        <is>
          <t>Textiles Supplier 014</t>
        </is>
      </c>
      <c r="C137" t="inlineStr">
        <is>
          <t>Textiles</t>
        </is>
      </c>
      <c r="D137" t="n">
        <v>2020</v>
      </c>
      <c r="E137" t="n">
        <v>17617474.41</v>
      </c>
      <c r="F137" t="n">
        <v>172344577.58</v>
      </c>
      <c r="G137" t="n">
        <v>4622.058</v>
      </c>
      <c r="H137" t="n">
        <v>4622.058</v>
      </c>
      <c r="I137" t="n">
        <v>528.1532999999999</v>
      </c>
      <c r="J137" t="n">
        <v>325.6831</v>
      </c>
      <c r="K137" t="n">
        <v>3915.9074</v>
      </c>
      <c r="L137" t="inlineStr"/>
      <c r="M137" t="inlineStr"/>
      <c r="N137" t="inlineStr"/>
      <c r="O137" t="inlineStr"/>
      <c r="P137" t="n">
        <v>2019</v>
      </c>
      <c r="Q137" t="n">
        <v>2030</v>
      </c>
      <c r="R137" t="n">
        <v>0.3171</v>
      </c>
      <c r="S137" t="n">
        <v>401.7335</v>
      </c>
      <c r="T137" t="n">
        <v>0.00029221</v>
      </c>
      <c r="U137" t="n">
        <v>0.00017343</v>
      </c>
    </row>
    <row r="138">
      <c r="A138" t="inlineStr">
        <is>
          <t>SUP-0014</t>
        </is>
      </c>
      <c r="B138" t="inlineStr">
        <is>
          <t>Textiles Supplier 014</t>
        </is>
      </c>
      <c r="C138" t="inlineStr">
        <is>
          <t>Textiles</t>
        </is>
      </c>
      <c r="D138" t="n">
        <v>2021</v>
      </c>
      <c r="E138" t="n">
        <v>22064098.15</v>
      </c>
      <c r="F138" t="n">
        <v>160606105.73</v>
      </c>
      <c r="G138" t="n">
        <v>4324.2977</v>
      </c>
      <c r="H138" t="n">
        <v>4324.2977</v>
      </c>
      <c r="I138" t="n">
        <v>610.5491</v>
      </c>
      <c r="J138" t="n">
        <v>649.2472</v>
      </c>
      <c r="K138" t="n">
        <v>3570.9364</v>
      </c>
      <c r="L138" t="inlineStr"/>
      <c r="M138" t="inlineStr"/>
      <c r="N138" t="inlineStr"/>
      <c r="O138" t="inlineStr"/>
      <c r="P138" t="n">
        <v>2019</v>
      </c>
      <c r="Q138" t="n">
        <v>2030</v>
      </c>
      <c r="R138" t="n">
        <v>0.3171</v>
      </c>
      <c r="S138" t="n">
        <v>401.7335</v>
      </c>
      <c r="T138" t="n">
        <v>0.00029221</v>
      </c>
      <c r="U138" t="n">
        <v>0.00017343</v>
      </c>
    </row>
    <row r="139">
      <c r="A139" t="inlineStr">
        <is>
          <t>SUP-0014</t>
        </is>
      </c>
      <c r="B139" t="inlineStr">
        <is>
          <t>Textiles Supplier 014</t>
        </is>
      </c>
      <c r="C139" t="inlineStr">
        <is>
          <t>Textiles</t>
        </is>
      </c>
      <c r="D139" t="n">
        <v>2022</v>
      </c>
      <c r="E139" t="n">
        <v>22165175.89</v>
      </c>
      <c r="F139" t="n">
        <v>191011078.27</v>
      </c>
      <c r="G139" t="n">
        <v>5070.9519</v>
      </c>
      <c r="H139" t="n">
        <v>5070.9519</v>
      </c>
      <c r="I139" t="n">
        <v>686.4191</v>
      </c>
      <c r="J139" t="n">
        <v>323.8394</v>
      </c>
      <c r="K139" t="n">
        <v>3821.86</v>
      </c>
      <c r="L139" t="inlineStr"/>
      <c r="M139" t="inlineStr"/>
      <c r="N139" t="inlineStr"/>
      <c r="O139" t="inlineStr"/>
      <c r="P139" t="n">
        <v>2019</v>
      </c>
      <c r="Q139" t="n">
        <v>2030</v>
      </c>
      <c r="R139" t="n">
        <v>0.3171</v>
      </c>
      <c r="S139" t="n">
        <v>401.7335</v>
      </c>
      <c r="T139" t="n">
        <v>0.00029221</v>
      </c>
      <c r="U139" t="n">
        <v>0.00017343</v>
      </c>
    </row>
    <row r="140">
      <c r="A140" t="inlineStr">
        <is>
          <t>SUP-0014</t>
        </is>
      </c>
      <c r="B140" t="inlineStr">
        <is>
          <t>Textiles Supplier 014</t>
        </is>
      </c>
      <c r="C140" t="inlineStr">
        <is>
          <t>Textiles</t>
        </is>
      </c>
      <c r="D140" t="n">
        <v>2023</v>
      </c>
      <c r="E140" t="n">
        <v>25579745.77</v>
      </c>
      <c r="F140" t="n">
        <v>171925399.42</v>
      </c>
      <c r="G140" t="n">
        <v>6371.7312</v>
      </c>
      <c r="H140" t="n">
        <v>6371.7312</v>
      </c>
      <c r="I140" t="n">
        <v>1337.6062</v>
      </c>
      <c r="J140" t="n">
        <v>816.0549</v>
      </c>
      <c r="K140" t="n">
        <v>4090.2878</v>
      </c>
      <c r="L140" t="inlineStr"/>
      <c r="M140" t="inlineStr"/>
      <c r="N140" t="inlineStr"/>
      <c r="O140" t="inlineStr"/>
      <c r="P140" t="n">
        <v>2019</v>
      </c>
      <c r="Q140" t="n">
        <v>2030</v>
      </c>
      <c r="R140" t="n">
        <v>0.3171</v>
      </c>
      <c r="S140" t="n">
        <v>401.7335</v>
      </c>
      <c r="T140" t="n">
        <v>0.00029221</v>
      </c>
      <c r="U140" t="n">
        <v>0.00017343</v>
      </c>
    </row>
    <row r="141">
      <c r="A141" t="inlineStr">
        <is>
          <t>SUP-0014</t>
        </is>
      </c>
      <c r="B141" t="inlineStr">
        <is>
          <t>Textiles Supplier 014</t>
        </is>
      </c>
      <c r="C141" t="inlineStr">
        <is>
          <t>Textiles</t>
        </is>
      </c>
      <c r="D141" t="n">
        <v>2024</v>
      </c>
      <c r="E141" t="n">
        <v>24664450.64</v>
      </c>
      <c r="F141" t="n">
        <v>213988750.54</v>
      </c>
      <c r="G141" t="n">
        <v>4273.9353</v>
      </c>
      <c r="H141" t="n">
        <v>4273.9353</v>
      </c>
      <c r="I141" t="n">
        <v>488.1233</v>
      </c>
      <c r="J141" t="n">
        <v>460.1649</v>
      </c>
      <c r="K141" t="n">
        <v>3618.1924</v>
      </c>
      <c r="L141" t="inlineStr"/>
      <c r="M141" t="inlineStr"/>
      <c r="N141" t="inlineStr"/>
      <c r="O141" t="inlineStr"/>
      <c r="P141" t="n">
        <v>2019</v>
      </c>
      <c r="Q141" t="n">
        <v>2030</v>
      </c>
      <c r="R141" t="n">
        <v>0.3171</v>
      </c>
      <c r="S141" t="n">
        <v>401.7335</v>
      </c>
      <c r="T141" t="n">
        <v>0.00029221</v>
      </c>
      <c r="U141" t="n">
        <v>0.00017343</v>
      </c>
    </row>
    <row r="142">
      <c r="A142" t="inlineStr">
        <is>
          <t>SUP-0015</t>
        </is>
      </c>
      <c r="B142" t="inlineStr">
        <is>
          <t>Packaging Supplier 015</t>
        </is>
      </c>
      <c r="C142" t="inlineStr">
        <is>
          <t>Packaging</t>
        </is>
      </c>
      <c r="D142" t="n">
        <v>2015</v>
      </c>
      <c r="E142" t="n">
        <v>17362318.1</v>
      </c>
      <c r="F142" t="n">
        <v>105884568.27</v>
      </c>
      <c r="G142" t="n">
        <v>27833.4162</v>
      </c>
      <c r="H142" t="n">
        <v>27833.4162</v>
      </c>
      <c r="I142" t="n">
        <v>2488.6204</v>
      </c>
      <c r="J142" t="n">
        <v>6234.9318</v>
      </c>
      <c r="K142" t="n">
        <v>20517.3902</v>
      </c>
      <c r="L142" t="n">
        <v>2019</v>
      </c>
      <c r="M142" t="n">
        <v>2040</v>
      </c>
      <c r="N142" t="n">
        <v>0.2525</v>
      </c>
      <c r="O142" t="n">
        <v>0.1186</v>
      </c>
      <c r="P142" t="n">
        <v>2018</v>
      </c>
      <c r="Q142" t="n">
        <v>2040</v>
      </c>
      <c r="R142" t="n">
        <v>0.3112</v>
      </c>
      <c r="S142" t="n">
        <v>702.4188</v>
      </c>
      <c r="T142" t="n">
        <v>0.0010803</v>
      </c>
      <c r="U142" t="n">
        <v>0.00078946</v>
      </c>
    </row>
    <row r="143">
      <c r="A143" t="inlineStr">
        <is>
          <t>SUP-0015</t>
        </is>
      </c>
      <c r="B143" t="inlineStr">
        <is>
          <t>Packaging Supplier 015</t>
        </is>
      </c>
      <c r="C143" t="inlineStr">
        <is>
          <t>Packaging</t>
        </is>
      </c>
      <c r="D143" t="n">
        <v>2016</v>
      </c>
      <c r="E143" t="n">
        <v>18079324.4</v>
      </c>
      <c r="F143" t="n">
        <v>94948257.06999999</v>
      </c>
      <c r="G143" t="n">
        <v>26779.0078</v>
      </c>
      <c r="H143" t="n">
        <v>26779.0078</v>
      </c>
      <c r="I143" t="n">
        <v>4287.6146</v>
      </c>
      <c r="J143" t="n">
        <v>3246.4592</v>
      </c>
      <c r="K143" t="n">
        <v>20696.204</v>
      </c>
      <c r="L143" t="n">
        <v>2019</v>
      </c>
      <c r="M143" t="n">
        <v>2040</v>
      </c>
      <c r="N143" t="n">
        <v>0.2525</v>
      </c>
      <c r="O143" t="n">
        <v>0.1186</v>
      </c>
      <c r="P143" t="n">
        <v>2018</v>
      </c>
      <c r="Q143" t="n">
        <v>2040</v>
      </c>
      <c r="R143" t="n">
        <v>0.3112</v>
      </c>
      <c r="S143" t="n">
        <v>702.4188</v>
      </c>
      <c r="T143" t="n">
        <v>0.0010803</v>
      </c>
      <c r="U143" t="n">
        <v>0.00078946</v>
      </c>
    </row>
    <row r="144">
      <c r="A144" t="inlineStr">
        <is>
          <t>SUP-0015</t>
        </is>
      </c>
      <c r="B144" t="inlineStr">
        <is>
          <t>Packaging Supplier 015</t>
        </is>
      </c>
      <c r="C144" t="inlineStr">
        <is>
          <t>Packaging</t>
        </is>
      </c>
      <c r="D144" t="n">
        <v>2017</v>
      </c>
      <c r="E144" t="n">
        <v>19683950.21</v>
      </c>
      <c r="F144" t="n">
        <v>120535774.72</v>
      </c>
      <c r="G144" t="n">
        <v>30484.5268</v>
      </c>
      <c r="H144" t="n">
        <v>30484.5268</v>
      </c>
      <c r="I144" t="n">
        <v>5730.7464</v>
      </c>
      <c r="J144" t="n">
        <v>3365.3853</v>
      </c>
      <c r="K144" t="n">
        <v>21730.0387</v>
      </c>
      <c r="L144" t="n">
        <v>2019</v>
      </c>
      <c r="M144" t="n">
        <v>2040</v>
      </c>
      <c r="N144" t="n">
        <v>0.2525</v>
      </c>
      <c r="O144" t="n">
        <v>0.1186</v>
      </c>
      <c r="P144" t="n">
        <v>2018</v>
      </c>
      <c r="Q144" t="n">
        <v>2040</v>
      </c>
      <c r="R144" t="n">
        <v>0.3112</v>
      </c>
      <c r="S144" t="n">
        <v>702.4188</v>
      </c>
      <c r="T144" t="n">
        <v>0.0010803</v>
      </c>
      <c r="U144" t="n">
        <v>0.00078946</v>
      </c>
    </row>
    <row r="145">
      <c r="A145" t="inlineStr">
        <is>
          <t>SUP-0015</t>
        </is>
      </c>
      <c r="B145" t="inlineStr">
        <is>
          <t>Packaging Supplier 015</t>
        </is>
      </c>
      <c r="C145" t="inlineStr">
        <is>
          <t>Packaging</t>
        </is>
      </c>
      <c r="D145" t="n">
        <v>2018</v>
      </c>
      <c r="E145" t="n">
        <v>18534757.37</v>
      </c>
      <c r="F145" t="n">
        <v>127244406.88</v>
      </c>
      <c r="G145" t="n">
        <v>30973.7441</v>
      </c>
      <c r="H145" t="n">
        <v>30973.7441</v>
      </c>
      <c r="I145" t="n">
        <v>8868.840399999999</v>
      </c>
      <c r="J145" t="n">
        <v>2412.7626</v>
      </c>
      <c r="K145" t="n">
        <v>19932.6345</v>
      </c>
      <c r="L145" t="n">
        <v>2019</v>
      </c>
      <c r="M145" t="n">
        <v>2040</v>
      </c>
      <c r="N145" t="n">
        <v>0.2525</v>
      </c>
      <c r="O145" t="n">
        <v>0.1186</v>
      </c>
      <c r="P145" t="n">
        <v>2018</v>
      </c>
      <c r="Q145" t="n">
        <v>2040</v>
      </c>
      <c r="R145" t="n">
        <v>0.3112</v>
      </c>
      <c r="S145" t="n">
        <v>702.4188</v>
      </c>
      <c r="T145" t="n">
        <v>0.0010803</v>
      </c>
      <c r="U145" t="n">
        <v>0.00078946</v>
      </c>
    </row>
    <row r="146">
      <c r="A146" t="inlineStr">
        <is>
          <t>SUP-0015</t>
        </is>
      </c>
      <c r="B146" t="inlineStr">
        <is>
          <t>Packaging Supplier 015</t>
        </is>
      </c>
      <c r="C146" t="inlineStr">
        <is>
          <t>Packaging</t>
        </is>
      </c>
      <c r="D146" t="n">
        <v>2019</v>
      </c>
      <c r="E146" t="n">
        <v>18181512.6</v>
      </c>
      <c r="F146" t="n">
        <v>115006281.01</v>
      </c>
      <c r="G146" t="n">
        <v>34263.2294</v>
      </c>
      <c r="H146" t="n">
        <v>34263.2294</v>
      </c>
      <c r="I146" t="n">
        <v>8362.6245</v>
      </c>
      <c r="J146" t="n">
        <v>2530.5312</v>
      </c>
      <c r="K146" t="n">
        <v>22578.3783</v>
      </c>
      <c r="L146" t="n">
        <v>2019</v>
      </c>
      <c r="M146" t="n">
        <v>2040</v>
      </c>
      <c r="N146" t="n">
        <v>0.2525</v>
      </c>
      <c r="O146" t="n">
        <v>0.1186</v>
      </c>
      <c r="P146" t="n">
        <v>2018</v>
      </c>
      <c r="Q146" t="n">
        <v>2040</v>
      </c>
      <c r="R146" t="n">
        <v>0.3112</v>
      </c>
      <c r="S146" t="n">
        <v>702.4188</v>
      </c>
      <c r="T146" t="n">
        <v>0.0010803</v>
      </c>
      <c r="U146" t="n">
        <v>0.00078946</v>
      </c>
    </row>
    <row r="147">
      <c r="A147" t="inlineStr">
        <is>
          <t>SUP-0015</t>
        </is>
      </c>
      <c r="B147" t="inlineStr">
        <is>
          <t>Packaging Supplier 015</t>
        </is>
      </c>
      <c r="C147" t="inlineStr">
        <is>
          <t>Packaging</t>
        </is>
      </c>
      <c r="D147" t="n">
        <v>2020</v>
      </c>
      <c r="E147" t="n">
        <v>19538013.74</v>
      </c>
      <c r="F147" t="n">
        <v>115627745.49</v>
      </c>
      <c r="G147" t="n">
        <v>29631.9875</v>
      </c>
      <c r="H147" t="n">
        <v>29631.9875</v>
      </c>
      <c r="I147" t="n">
        <v>4200.7363</v>
      </c>
      <c r="J147" t="n">
        <v>6319.9879</v>
      </c>
      <c r="K147" t="n">
        <v>20327.9939</v>
      </c>
      <c r="L147" t="n">
        <v>2019</v>
      </c>
      <c r="M147" t="n">
        <v>2040</v>
      </c>
      <c r="N147" t="n">
        <v>0.2525</v>
      </c>
      <c r="O147" t="n">
        <v>0.1186</v>
      </c>
      <c r="P147" t="n">
        <v>2018</v>
      </c>
      <c r="Q147" t="n">
        <v>2040</v>
      </c>
      <c r="R147" t="n">
        <v>0.3112</v>
      </c>
      <c r="S147" t="n">
        <v>702.4188</v>
      </c>
      <c r="T147" t="n">
        <v>0.0010803</v>
      </c>
      <c r="U147" t="n">
        <v>0.00078946</v>
      </c>
    </row>
    <row r="148">
      <c r="A148" t="inlineStr">
        <is>
          <t>SUP-0015</t>
        </is>
      </c>
      <c r="B148" t="inlineStr">
        <is>
          <t>Packaging Supplier 015</t>
        </is>
      </c>
      <c r="C148" t="inlineStr">
        <is>
          <t>Packaging</t>
        </is>
      </c>
      <c r="D148" t="n">
        <v>2021</v>
      </c>
      <c r="E148" t="n">
        <v>18965830.99</v>
      </c>
      <c r="F148" t="n">
        <v>121663620.68</v>
      </c>
      <c r="G148" t="n">
        <v>36730.7344</v>
      </c>
      <c r="H148" t="n">
        <v>36730.7344</v>
      </c>
      <c r="I148" t="n">
        <v>7434.6777</v>
      </c>
      <c r="J148" t="n">
        <v>4718.3821</v>
      </c>
      <c r="K148" t="n">
        <v>27166.8511</v>
      </c>
      <c r="L148" t="n">
        <v>2019</v>
      </c>
      <c r="M148" t="n">
        <v>2040</v>
      </c>
      <c r="N148" t="n">
        <v>0.2525</v>
      </c>
      <c r="O148" t="n">
        <v>0.1186</v>
      </c>
      <c r="P148" t="n">
        <v>2018</v>
      </c>
      <c r="Q148" t="n">
        <v>2040</v>
      </c>
      <c r="R148" t="n">
        <v>0.3112</v>
      </c>
      <c r="S148" t="n">
        <v>702.4188</v>
      </c>
      <c r="T148" t="n">
        <v>0.0010803</v>
      </c>
      <c r="U148" t="n">
        <v>0.00078946</v>
      </c>
    </row>
    <row r="149">
      <c r="A149" t="inlineStr">
        <is>
          <t>SUP-0015</t>
        </is>
      </c>
      <c r="B149" t="inlineStr">
        <is>
          <t>Packaging Supplier 015</t>
        </is>
      </c>
      <c r="C149" t="inlineStr">
        <is>
          <t>Packaging</t>
        </is>
      </c>
      <c r="D149" t="n">
        <v>2022</v>
      </c>
      <c r="E149" t="n">
        <v>17989169.72</v>
      </c>
      <c r="F149" t="n">
        <v>120914987.05</v>
      </c>
      <c r="G149" t="n">
        <v>31900.7786</v>
      </c>
      <c r="H149" t="n">
        <v>31900.7786</v>
      </c>
      <c r="I149" t="n">
        <v>3405.5722</v>
      </c>
      <c r="J149" t="n">
        <v>5480.2854</v>
      </c>
      <c r="K149" t="n">
        <v>19810.2206</v>
      </c>
      <c r="L149" t="n">
        <v>2019</v>
      </c>
      <c r="M149" t="n">
        <v>2040</v>
      </c>
      <c r="N149" t="n">
        <v>0.2525</v>
      </c>
      <c r="O149" t="n">
        <v>0.1186</v>
      </c>
      <c r="P149" t="n">
        <v>2018</v>
      </c>
      <c r="Q149" t="n">
        <v>2040</v>
      </c>
      <c r="R149" t="n">
        <v>0.3112</v>
      </c>
      <c r="S149" t="n">
        <v>702.4188</v>
      </c>
      <c r="T149" t="n">
        <v>0.0010803</v>
      </c>
      <c r="U149" t="n">
        <v>0.00078946</v>
      </c>
    </row>
    <row r="150">
      <c r="A150" t="inlineStr">
        <is>
          <t>SUP-0015</t>
        </is>
      </c>
      <c r="B150" t="inlineStr">
        <is>
          <t>Packaging Supplier 015</t>
        </is>
      </c>
      <c r="C150" t="inlineStr">
        <is>
          <t>Packaging</t>
        </is>
      </c>
      <c r="D150" t="n">
        <v>2023</v>
      </c>
      <c r="E150" t="n">
        <v>18310064.34</v>
      </c>
      <c r="F150" t="n">
        <v>120347331.67</v>
      </c>
      <c r="G150" t="n">
        <v>24363.5093</v>
      </c>
      <c r="H150" t="n">
        <v>24363.5093</v>
      </c>
      <c r="I150" t="n">
        <v>6155.8592</v>
      </c>
      <c r="J150" t="n">
        <v>1782.1161</v>
      </c>
      <c r="K150" t="n">
        <v>17679.3158</v>
      </c>
      <c r="L150" t="n">
        <v>2019</v>
      </c>
      <c r="M150" t="n">
        <v>2040</v>
      </c>
      <c r="N150" t="n">
        <v>0.2525</v>
      </c>
      <c r="O150" t="n">
        <v>0.1186</v>
      </c>
      <c r="P150" t="n">
        <v>2018</v>
      </c>
      <c r="Q150" t="n">
        <v>2040</v>
      </c>
      <c r="R150" t="n">
        <v>0.3112</v>
      </c>
      <c r="S150" t="n">
        <v>702.4188</v>
      </c>
      <c r="T150" t="n">
        <v>0.0010803</v>
      </c>
      <c r="U150" t="n">
        <v>0.00078946</v>
      </c>
    </row>
    <row r="151">
      <c r="A151" t="inlineStr">
        <is>
          <t>SUP-0015</t>
        </is>
      </c>
      <c r="B151" t="inlineStr">
        <is>
          <t>Packaging Supplier 015</t>
        </is>
      </c>
      <c r="C151" t="inlineStr">
        <is>
          <t>Packaging</t>
        </is>
      </c>
      <c r="D151" t="n">
        <v>2024</v>
      </c>
      <c r="E151" t="n">
        <v>19994189.82</v>
      </c>
      <c r="F151" t="n">
        <v>110798630.88</v>
      </c>
      <c r="G151" t="n">
        <v>33949.0529</v>
      </c>
      <c r="H151" t="n">
        <v>33949.0529</v>
      </c>
      <c r="I151" t="n">
        <v>6231.8621</v>
      </c>
      <c r="J151" t="n">
        <v>5555.3183</v>
      </c>
      <c r="K151" t="n">
        <v>19678.3135</v>
      </c>
      <c r="L151" t="n">
        <v>2019</v>
      </c>
      <c r="M151" t="n">
        <v>2040</v>
      </c>
      <c r="N151" t="n">
        <v>0.2525</v>
      </c>
      <c r="O151" t="n">
        <v>0.1186</v>
      </c>
      <c r="P151" t="n">
        <v>2018</v>
      </c>
      <c r="Q151" t="n">
        <v>2040</v>
      </c>
      <c r="R151" t="n">
        <v>0.3112</v>
      </c>
      <c r="S151" t="n">
        <v>702.4188</v>
      </c>
      <c r="T151" t="n">
        <v>0.0010803</v>
      </c>
      <c r="U151" t="n">
        <v>0.00078946</v>
      </c>
    </row>
    <row r="152">
      <c r="A152" t="inlineStr">
        <is>
          <t>SUP-0016</t>
        </is>
      </c>
      <c r="B152" t="inlineStr">
        <is>
          <t>Metals Supplier 016</t>
        </is>
      </c>
      <c r="C152" t="inlineStr">
        <is>
          <t>Metals</t>
        </is>
      </c>
      <c r="D152" t="n">
        <v>2015</v>
      </c>
      <c r="E152" t="n">
        <v>11538760.2</v>
      </c>
      <c r="F152" t="n">
        <v>82972433.14</v>
      </c>
      <c r="G152" t="n">
        <v>7433.9568</v>
      </c>
      <c r="H152" t="n">
        <v>7433.9568</v>
      </c>
      <c r="I152" t="n">
        <v>1201.2624</v>
      </c>
      <c r="J152" t="n">
        <v>659.7274</v>
      </c>
      <c r="K152" t="n">
        <v>5516.4453</v>
      </c>
      <c r="L152" t="n">
        <v>2018</v>
      </c>
      <c r="M152" t="n">
        <v>2040</v>
      </c>
      <c r="N152" t="n">
        <v>0.2599</v>
      </c>
      <c r="O152" t="n">
        <v>0.1001</v>
      </c>
      <c r="P152" t="n">
        <v>2019</v>
      </c>
      <c r="Q152" t="n">
        <v>2030</v>
      </c>
      <c r="R152" t="n">
        <v>0.3852</v>
      </c>
      <c r="S152" t="n">
        <v>158.2904</v>
      </c>
      <c r="T152" t="n">
        <v>0.00100695</v>
      </c>
      <c r="U152" t="n">
        <v>0.00065008</v>
      </c>
    </row>
    <row r="153">
      <c r="A153" t="inlineStr">
        <is>
          <t>SUP-0016</t>
        </is>
      </c>
      <c r="B153" t="inlineStr">
        <is>
          <t>Metals Supplier 016</t>
        </is>
      </c>
      <c r="C153" t="inlineStr">
        <is>
          <t>Metals</t>
        </is>
      </c>
      <c r="D153" t="n">
        <v>2016</v>
      </c>
      <c r="E153" t="n">
        <v>11582344.91</v>
      </c>
      <c r="F153" t="n">
        <v>109873725.67</v>
      </c>
      <c r="G153" t="n">
        <v>8046.8331</v>
      </c>
      <c r="H153" t="n">
        <v>8046.8331</v>
      </c>
      <c r="I153" t="n">
        <v>767.9358999999999</v>
      </c>
      <c r="J153" t="n">
        <v>1739.212</v>
      </c>
      <c r="K153" t="n">
        <v>5631.282</v>
      </c>
      <c r="L153" t="n">
        <v>2018</v>
      </c>
      <c r="M153" t="n">
        <v>2040</v>
      </c>
      <c r="N153" t="n">
        <v>0.2599</v>
      </c>
      <c r="O153" t="n">
        <v>0.1001</v>
      </c>
      <c r="P153" t="n">
        <v>2019</v>
      </c>
      <c r="Q153" t="n">
        <v>2030</v>
      </c>
      <c r="R153" t="n">
        <v>0.3852</v>
      </c>
      <c r="S153" t="n">
        <v>158.2904</v>
      </c>
      <c r="T153" t="n">
        <v>0.00100695</v>
      </c>
      <c r="U153" t="n">
        <v>0.00065008</v>
      </c>
    </row>
    <row r="154">
      <c r="A154" t="inlineStr">
        <is>
          <t>SUP-0016</t>
        </is>
      </c>
      <c r="B154" t="inlineStr">
        <is>
          <t>Metals Supplier 016</t>
        </is>
      </c>
      <c r="C154" t="inlineStr">
        <is>
          <t>Metals</t>
        </is>
      </c>
      <c r="D154" t="n">
        <v>2017</v>
      </c>
      <c r="E154" t="n">
        <v>12259966.42</v>
      </c>
      <c r="F154" t="n">
        <v>102173572.13</v>
      </c>
      <c r="G154" t="n">
        <v>7125.2866</v>
      </c>
      <c r="H154" t="n">
        <v>7125.2866</v>
      </c>
      <c r="I154" t="n">
        <v>1100.7631</v>
      </c>
      <c r="J154" t="n">
        <v>677.3647</v>
      </c>
      <c r="K154" t="n">
        <v>5280.1706</v>
      </c>
      <c r="L154" t="n">
        <v>2018</v>
      </c>
      <c r="M154" t="n">
        <v>2040</v>
      </c>
      <c r="N154" t="n">
        <v>0.2599</v>
      </c>
      <c r="O154" t="n">
        <v>0.1001</v>
      </c>
      <c r="P154" t="n">
        <v>2019</v>
      </c>
      <c r="Q154" t="n">
        <v>2030</v>
      </c>
      <c r="R154" t="n">
        <v>0.3852</v>
      </c>
      <c r="S154" t="n">
        <v>158.2904</v>
      </c>
      <c r="T154" t="n">
        <v>0.00100695</v>
      </c>
      <c r="U154" t="n">
        <v>0.00065008</v>
      </c>
    </row>
    <row r="155">
      <c r="A155" t="inlineStr">
        <is>
          <t>SUP-0016</t>
        </is>
      </c>
      <c r="B155" t="inlineStr">
        <is>
          <t>Metals Supplier 016</t>
        </is>
      </c>
      <c r="C155" t="inlineStr">
        <is>
          <t>Metals</t>
        </is>
      </c>
      <c r="D155" t="n">
        <v>2018</v>
      </c>
      <c r="E155" t="n">
        <v>10800802.23</v>
      </c>
      <c r="F155" t="n">
        <v>81944716.14</v>
      </c>
      <c r="G155" t="n">
        <v>6679.2649</v>
      </c>
      <c r="H155" t="n">
        <v>6679.2649</v>
      </c>
      <c r="I155" t="n">
        <v>1055.709</v>
      </c>
      <c r="J155" t="n">
        <v>1002.0031</v>
      </c>
      <c r="K155" t="n">
        <v>4468.8623</v>
      </c>
      <c r="L155" t="n">
        <v>2018</v>
      </c>
      <c r="M155" t="n">
        <v>2040</v>
      </c>
      <c r="N155" t="n">
        <v>0.2599</v>
      </c>
      <c r="O155" t="n">
        <v>0.1001</v>
      </c>
      <c r="P155" t="n">
        <v>2019</v>
      </c>
      <c r="Q155" t="n">
        <v>2030</v>
      </c>
      <c r="R155" t="n">
        <v>0.3852</v>
      </c>
      <c r="S155" t="n">
        <v>158.2904</v>
      </c>
      <c r="T155" t="n">
        <v>0.00100695</v>
      </c>
      <c r="U155" t="n">
        <v>0.00065008</v>
      </c>
    </row>
    <row r="156">
      <c r="A156" t="inlineStr">
        <is>
          <t>SUP-0016</t>
        </is>
      </c>
      <c r="B156" t="inlineStr">
        <is>
          <t>Metals Supplier 016</t>
        </is>
      </c>
      <c r="C156" t="inlineStr">
        <is>
          <t>Metals</t>
        </is>
      </c>
      <c r="D156" t="n">
        <v>2019</v>
      </c>
      <c r="E156" t="n">
        <v>10969288.09</v>
      </c>
      <c r="F156" t="n">
        <v>97730159.45999999</v>
      </c>
      <c r="G156" t="n">
        <v>7199.7775</v>
      </c>
      <c r="H156" t="n">
        <v>7199.7775</v>
      </c>
      <c r="I156" t="n">
        <v>1208.6378</v>
      </c>
      <c r="J156" t="n">
        <v>541.22</v>
      </c>
      <c r="K156" t="n">
        <v>5448.0896</v>
      </c>
      <c r="L156" t="n">
        <v>2018</v>
      </c>
      <c r="M156" t="n">
        <v>2040</v>
      </c>
      <c r="N156" t="n">
        <v>0.2599</v>
      </c>
      <c r="O156" t="n">
        <v>0.1001</v>
      </c>
      <c r="P156" t="n">
        <v>2019</v>
      </c>
      <c r="Q156" t="n">
        <v>2030</v>
      </c>
      <c r="R156" t="n">
        <v>0.3852</v>
      </c>
      <c r="S156" t="n">
        <v>158.2904</v>
      </c>
      <c r="T156" t="n">
        <v>0.00100695</v>
      </c>
      <c r="U156" t="n">
        <v>0.00065008</v>
      </c>
    </row>
    <row r="157">
      <c r="A157" t="inlineStr">
        <is>
          <t>SUP-0016</t>
        </is>
      </c>
      <c r="B157" t="inlineStr">
        <is>
          <t>Metals Supplier 016</t>
        </is>
      </c>
      <c r="C157" t="inlineStr">
        <is>
          <t>Metals</t>
        </is>
      </c>
      <c r="D157" t="n">
        <v>2020</v>
      </c>
      <c r="E157" t="n">
        <v>9850074.99</v>
      </c>
      <c r="F157" t="n">
        <v>81474384.67</v>
      </c>
      <c r="G157" t="n">
        <v>5122.5498</v>
      </c>
      <c r="H157" t="n">
        <v>5122.5498</v>
      </c>
      <c r="I157" t="n">
        <v>1117.9421</v>
      </c>
      <c r="J157" t="n">
        <v>982.0932</v>
      </c>
      <c r="K157" t="n">
        <v>2888.2406</v>
      </c>
      <c r="L157" t="n">
        <v>2018</v>
      </c>
      <c r="M157" t="n">
        <v>2040</v>
      </c>
      <c r="N157" t="n">
        <v>0.2599</v>
      </c>
      <c r="O157" t="n">
        <v>0.1001</v>
      </c>
      <c r="P157" t="n">
        <v>2019</v>
      </c>
      <c r="Q157" t="n">
        <v>2030</v>
      </c>
      <c r="R157" t="n">
        <v>0.3852</v>
      </c>
      <c r="S157" t="n">
        <v>158.2904</v>
      </c>
      <c r="T157" t="n">
        <v>0.00100695</v>
      </c>
      <c r="U157" t="n">
        <v>0.00065008</v>
      </c>
    </row>
    <row r="158">
      <c r="A158" t="inlineStr">
        <is>
          <t>SUP-0016</t>
        </is>
      </c>
      <c r="B158" t="inlineStr">
        <is>
          <t>Metals Supplier 016</t>
        </is>
      </c>
      <c r="C158" t="inlineStr">
        <is>
          <t>Metals</t>
        </is>
      </c>
      <c r="D158" t="n">
        <v>2021</v>
      </c>
      <c r="E158" t="n">
        <v>11240115.88</v>
      </c>
      <c r="F158" t="n">
        <v>112241313.53</v>
      </c>
      <c r="G158" t="n">
        <v>5184.4682</v>
      </c>
      <c r="H158" t="n">
        <v>5184.4682</v>
      </c>
      <c r="I158" t="n">
        <v>747.7569999999999</v>
      </c>
      <c r="J158" t="n">
        <v>869.9752</v>
      </c>
      <c r="K158" t="n">
        <v>3531.9265</v>
      </c>
      <c r="L158" t="n">
        <v>2018</v>
      </c>
      <c r="M158" t="n">
        <v>2040</v>
      </c>
      <c r="N158" t="n">
        <v>0.2599</v>
      </c>
      <c r="O158" t="n">
        <v>0.1001</v>
      </c>
      <c r="P158" t="n">
        <v>2019</v>
      </c>
      <c r="Q158" t="n">
        <v>2030</v>
      </c>
      <c r="R158" t="n">
        <v>0.3852</v>
      </c>
      <c r="S158" t="n">
        <v>158.2904</v>
      </c>
      <c r="T158" t="n">
        <v>0.00100695</v>
      </c>
      <c r="U158" t="n">
        <v>0.00065008</v>
      </c>
    </row>
    <row r="159">
      <c r="A159" t="inlineStr">
        <is>
          <t>SUP-0016</t>
        </is>
      </c>
      <c r="B159" t="inlineStr">
        <is>
          <t>Metals Supplier 016</t>
        </is>
      </c>
      <c r="C159" t="inlineStr">
        <is>
          <t>Metals</t>
        </is>
      </c>
      <c r="D159" t="n">
        <v>2022</v>
      </c>
      <c r="E159" t="n">
        <v>10552847.67</v>
      </c>
      <c r="F159" t="n">
        <v>83741002.12</v>
      </c>
      <c r="G159" t="n">
        <v>4669.038</v>
      </c>
      <c r="H159" t="n">
        <v>4669.038</v>
      </c>
      <c r="I159" t="n">
        <v>986.9663</v>
      </c>
      <c r="J159" t="n">
        <v>515.8257</v>
      </c>
      <c r="K159" t="n">
        <v>3156.8553</v>
      </c>
      <c r="L159" t="n">
        <v>2018</v>
      </c>
      <c r="M159" t="n">
        <v>2040</v>
      </c>
      <c r="N159" t="n">
        <v>0.2599</v>
      </c>
      <c r="O159" t="n">
        <v>0.1001</v>
      </c>
      <c r="P159" t="n">
        <v>2019</v>
      </c>
      <c r="Q159" t="n">
        <v>2030</v>
      </c>
      <c r="R159" t="n">
        <v>0.3852</v>
      </c>
      <c r="S159" t="n">
        <v>158.2904</v>
      </c>
      <c r="T159" t="n">
        <v>0.00100695</v>
      </c>
      <c r="U159" t="n">
        <v>0.00065008</v>
      </c>
    </row>
    <row r="160">
      <c r="A160" t="inlineStr">
        <is>
          <t>SUP-0016</t>
        </is>
      </c>
      <c r="B160" t="inlineStr">
        <is>
          <t>Metals Supplier 016</t>
        </is>
      </c>
      <c r="C160" t="inlineStr">
        <is>
          <t>Metals</t>
        </is>
      </c>
      <c r="D160" t="n">
        <v>2023</v>
      </c>
      <c r="E160" t="n">
        <v>11632492.06</v>
      </c>
      <c r="F160" t="n">
        <v>73623651.97</v>
      </c>
      <c r="G160" t="n">
        <v>5574.4952</v>
      </c>
      <c r="H160" t="n">
        <v>5574.4952</v>
      </c>
      <c r="I160" t="n">
        <v>992.1398</v>
      </c>
      <c r="J160" t="n">
        <v>733.5021</v>
      </c>
      <c r="K160" t="n">
        <v>3835.073</v>
      </c>
      <c r="L160" t="n">
        <v>2018</v>
      </c>
      <c r="M160" t="n">
        <v>2040</v>
      </c>
      <c r="N160" t="n">
        <v>0.2599</v>
      </c>
      <c r="O160" t="n">
        <v>0.1001</v>
      </c>
      <c r="P160" t="n">
        <v>2019</v>
      </c>
      <c r="Q160" t="n">
        <v>2030</v>
      </c>
      <c r="R160" t="n">
        <v>0.3852</v>
      </c>
      <c r="S160" t="n">
        <v>158.2904</v>
      </c>
      <c r="T160" t="n">
        <v>0.00100695</v>
      </c>
      <c r="U160" t="n">
        <v>0.00065008</v>
      </c>
    </row>
    <row r="161">
      <c r="A161" t="inlineStr">
        <is>
          <t>SUP-0016</t>
        </is>
      </c>
      <c r="B161" t="inlineStr">
        <is>
          <t>Metals Supplier 016</t>
        </is>
      </c>
      <c r="C161" t="inlineStr">
        <is>
          <t>Metals</t>
        </is>
      </c>
      <c r="D161" t="n">
        <v>2024</v>
      </c>
      <c r="E161" t="n">
        <v>10927929.9</v>
      </c>
      <c r="F161" t="n">
        <v>74404649.87</v>
      </c>
      <c r="G161" t="n">
        <v>4467.5461</v>
      </c>
      <c r="H161" t="n">
        <v>4467.5461</v>
      </c>
      <c r="I161" t="n">
        <v>717.3159000000001</v>
      </c>
      <c r="J161" t="n">
        <v>410.1449</v>
      </c>
      <c r="K161" t="n">
        <v>3460.3599</v>
      </c>
      <c r="L161" t="n">
        <v>2018</v>
      </c>
      <c r="M161" t="n">
        <v>2040</v>
      </c>
      <c r="N161" t="n">
        <v>0.2599</v>
      </c>
      <c r="O161" t="n">
        <v>0.1001</v>
      </c>
      <c r="P161" t="n">
        <v>2019</v>
      </c>
      <c r="Q161" t="n">
        <v>2030</v>
      </c>
      <c r="R161" t="n">
        <v>0.3852</v>
      </c>
      <c r="S161" t="n">
        <v>158.2904</v>
      </c>
      <c r="T161" t="n">
        <v>0.00100695</v>
      </c>
      <c r="U161" t="n">
        <v>0.00065008</v>
      </c>
    </row>
    <row r="162">
      <c r="A162" t="inlineStr">
        <is>
          <t>SUP-0017</t>
        </is>
      </c>
      <c r="B162" t="inlineStr">
        <is>
          <t>Electronics Supplier 017</t>
        </is>
      </c>
      <c r="C162" t="inlineStr">
        <is>
          <t>Electronics</t>
        </is>
      </c>
      <c r="D162" t="n">
        <v>2015</v>
      </c>
      <c r="E162" t="n">
        <v>12609467.42</v>
      </c>
      <c r="F162" t="n">
        <v>64512073.81</v>
      </c>
      <c r="G162" t="n">
        <v>6489.2628</v>
      </c>
      <c r="H162" t="n">
        <v>6489.2628</v>
      </c>
      <c r="I162" t="n">
        <v>699.1606</v>
      </c>
      <c r="J162" t="n">
        <v>978.2215</v>
      </c>
      <c r="K162" t="n">
        <v>4529.7287</v>
      </c>
      <c r="L162" t="n">
        <v>2020</v>
      </c>
      <c r="M162" t="n">
        <v>2035</v>
      </c>
      <c r="N162" t="n">
        <v>0.5999</v>
      </c>
      <c r="O162" t="n">
        <v>0.2666</v>
      </c>
      <c r="P162" t="n">
        <v>2018</v>
      </c>
      <c r="Q162" t="n">
        <v>2040</v>
      </c>
      <c r="R162" t="n">
        <v>0.3424</v>
      </c>
      <c r="S162" t="n">
        <v>635.1588</v>
      </c>
      <c r="T162" t="n">
        <v>0.00086105</v>
      </c>
      <c r="U162" t="n">
        <v>0.00013947</v>
      </c>
    </row>
    <row r="163">
      <c r="A163" t="inlineStr">
        <is>
          <t>SUP-0017</t>
        </is>
      </c>
      <c r="B163" t="inlineStr">
        <is>
          <t>Electronics Supplier 017</t>
        </is>
      </c>
      <c r="C163" t="inlineStr">
        <is>
          <t>Electronics</t>
        </is>
      </c>
      <c r="D163" t="n">
        <v>2016</v>
      </c>
      <c r="E163" t="n">
        <v>12656490.54</v>
      </c>
      <c r="F163" t="n">
        <v>95229369.17</v>
      </c>
      <c r="G163" t="n">
        <v>8232.876700000001</v>
      </c>
      <c r="H163" t="n">
        <v>8232.876700000001</v>
      </c>
      <c r="I163" t="n">
        <v>1151.6766</v>
      </c>
      <c r="J163" t="n">
        <v>1200.7176</v>
      </c>
      <c r="K163" t="n">
        <v>5648.1665</v>
      </c>
      <c r="L163" t="n">
        <v>2020</v>
      </c>
      <c r="M163" t="n">
        <v>2035</v>
      </c>
      <c r="N163" t="n">
        <v>0.5999</v>
      </c>
      <c r="O163" t="n">
        <v>0.2666</v>
      </c>
      <c r="P163" t="n">
        <v>2018</v>
      </c>
      <c r="Q163" t="n">
        <v>2040</v>
      </c>
      <c r="R163" t="n">
        <v>0.3424</v>
      </c>
      <c r="S163" t="n">
        <v>635.1588</v>
      </c>
      <c r="T163" t="n">
        <v>0.00086105</v>
      </c>
      <c r="U163" t="n">
        <v>0.00013947</v>
      </c>
    </row>
    <row r="164">
      <c r="A164" t="inlineStr">
        <is>
          <t>SUP-0017</t>
        </is>
      </c>
      <c r="B164" t="inlineStr">
        <is>
          <t>Electronics Supplier 017</t>
        </is>
      </c>
      <c r="C164" t="inlineStr">
        <is>
          <t>Electronics</t>
        </is>
      </c>
      <c r="D164" t="n">
        <v>2017</v>
      </c>
      <c r="E164" t="n">
        <v>13053287.39</v>
      </c>
      <c r="F164" t="n">
        <v>96689008.13</v>
      </c>
      <c r="G164" t="n">
        <v>8561.072</v>
      </c>
      <c r="H164" t="n">
        <v>8561.072</v>
      </c>
      <c r="I164" t="n">
        <v>2356.4715</v>
      </c>
      <c r="J164" t="n">
        <v>703.9186</v>
      </c>
      <c r="K164" t="n">
        <v>6357.5203</v>
      </c>
      <c r="L164" t="n">
        <v>2020</v>
      </c>
      <c r="M164" t="n">
        <v>2035</v>
      </c>
      <c r="N164" t="n">
        <v>0.5999</v>
      </c>
      <c r="O164" t="n">
        <v>0.2666</v>
      </c>
      <c r="P164" t="n">
        <v>2018</v>
      </c>
      <c r="Q164" t="n">
        <v>2040</v>
      </c>
      <c r="R164" t="n">
        <v>0.3424</v>
      </c>
      <c r="S164" t="n">
        <v>635.1588</v>
      </c>
      <c r="T164" t="n">
        <v>0.00086105</v>
      </c>
      <c r="U164" t="n">
        <v>0.00013947</v>
      </c>
    </row>
    <row r="165">
      <c r="A165" t="inlineStr">
        <is>
          <t>SUP-0017</t>
        </is>
      </c>
      <c r="B165" t="inlineStr">
        <is>
          <t>Electronics Supplier 017</t>
        </is>
      </c>
      <c r="C165" t="inlineStr">
        <is>
          <t>Electronics</t>
        </is>
      </c>
      <c r="D165" t="n">
        <v>2018</v>
      </c>
      <c r="E165" t="n">
        <v>12023318.7</v>
      </c>
      <c r="F165" t="n">
        <v>82006756.42</v>
      </c>
      <c r="G165" t="n">
        <v>8661.5954</v>
      </c>
      <c r="H165" t="n">
        <v>8661.5954</v>
      </c>
      <c r="I165" t="n">
        <v>1490.8426</v>
      </c>
      <c r="J165" t="n">
        <v>1836.7381</v>
      </c>
      <c r="K165" t="n">
        <v>4981.8211</v>
      </c>
      <c r="L165" t="n">
        <v>2020</v>
      </c>
      <c r="M165" t="n">
        <v>2035</v>
      </c>
      <c r="N165" t="n">
        <v>0.5999</v>
      </c>
      <c r="O165" t="n">
        <v>0.2666</v>
      </c>
      <c r="P165" t="n">
        <v>2018</v>
      </c>
      <c r="Q165" t="n">
        <v>2040</v>
      </c>
      <c r="R165" t="n">
        <v>0.3424</v>
      </c>
      <c r="S165" t="n">
        <v>635.1588</v>
      </c>
      <c r="T165" t="n">
        <v>0.00086105</v>
      </c>
      <c r="U165" t="n">
        <v>0.00013947</v>
      </c>
    </row>
    <row r="166">
      <c r="A166" t="inlineStr">
        <is>
          <t>SUP-0017</t>
        </is>
      </c>
      <c r="B166" t="inlineStr">
        <is>
          <t>Electronics Supplier 017</t>
        </is>
      </c>
      <c r="C166" t="inlineStr">
        <is>
          <t>Electronics</t>
        </is>
      </c>
      <c r="D166" t="n">
        <v>2019</v>
      </c>
      <c r="E166" t="n">
        <v>11875083.08</v>
      </c>
      <c r="F166" t="n">
        <v>90406953.58</v>
      </c>
      <c r="G166" t="n">
        <v>6536.4749</v>
      </c>
      <c r="H166" t="n">
        <v>6536.4749</v>
      </c>
      <c r="I166" t="n">
        <v>1015.1375</v>
      </c>
      <c r="J166" t="n">
        <v>751.0753</v>
      </c>
      <c r="K166" t="n">
        <v>4655.4475</v>
      </c>
      <c r="L166" t="n">
        <v>2020</v>
      </c>
      <c r="M166" t="n">
        <v>2035</v>
      </c>
      <c r="N166" t="n">
        <v>0.5999</v>
      </c>
      <c r="O166" t="n">
        <v>0.2666</v>
      </c>
      <c r="P166" t="n">
        <v>2018</v>
      </c>
      <c r="Q166" t="n">
        <v>2040</v>
      </c>
      <c r="R166" t="n">
        <v>0.3424</v>
      </c>
      <c r="S166" t="n">
        <v>635.1588</v>
      </c>
      <c r="T166" t="n">
        <v>0.00086105</v>
      </c>
      <c r="U166" t="n">
        <v>0.00013947</v>
      </c>
    </row>
    <row r="167">
      <c r="A167" t="inlineStr">
        <is>
          <t>SUP-0017</t>
        </is>
      </c>
      <c r="B167" t="inlineStr">
        <is>
          <t>Electronics Supplier 017</t>
        </is>
      </c>
      <c r="C167" t="inlineStr">
        <is>
          <t>Electronics</t>
        </is>
      </c>
      <c r="D167" t="n">
        <v>2020</v>
      </c>
      <c r="E167" t="n">
        <v>9040936.710000001</v>
      </c>
      <c r="F167" t="n">
        <v>89890472.48999999</v>
      </c>
      <c r="G167" t="n">
        <v>3595.3805</v>
      </c>
      <c r="H167" t="n">
        <v>3595.3805</v>
      </c>
      <c r="I167" t="n">
        <v>734.5496000000001</v>
      </c>
      <c r="J167" t="n">
        <v>281.8244</v>
      </c>
      <c r="K167" t="n">
        <v>2436.4215</v>
      </c>
      <c r="L167" t="n">
        <v>2020</v>
      </c>
      <c r="M167" t="n">
        <v>2035</v>
      </c>
      <c r="N167" t="n">
        <v>0.5999</v>
      </c>
      <c r="O167" t="n">
        <v>0.2666</v>
      </c>
      <c r="P167" t="n">
        <v>2018</v>
      </c>
      <c r="Q167" t="n">
        <v>2040</v>
      </c>
      <c r="R167" t="n">
        <v>0.3424</v>
      </c>
      <c r="S167" t="n">
        <v>635.1588</v>
      </c>
      <c r="T167" t="n">
        <v>0.00086105</v>
      </c>
      <c r="U167" t="n">
        <v>0.00013947</v>
      </c>
    </row>
    <row r="168">
      <c r="A168" t="inlineStr">
        <is>
          <t>SUP-0017</t>
        </is>
      </c>
      <c r="B168" t="inlineStr">
        <is>
          <t>Electronics Supplier 017</t>
        </is>
      </c>
      <c r="C168" t="inlineStr">
        <is>
          <t>Electronics</t>
        </is>
      </c>
      <c r="D168" t="n">
        <v>2021</v>
      </c>
      <c r="E168" t="n">
        <v>10495934.14</v>
      </c>
      <c r="F168" t="n">
        <v>84332655.56999999</v>
      </c>
      <c r="G168" t="n">
        <v>6772.3223</v>
      </c>
      <c r="H168" t="n">
        <v>6772.3223</v>
      </c>
      <c r="I168" t="n">
        <v>673.1578</v>
      </c>
      <c r="J168" t="n">
        <v>1384.7532</v>
      </c>
      <c r="K168" t="n">
        <v>5365.5774</v>
      </c>
      <c r="L168" t="n">
        <v>2020</v>
      </c>
      <c r="M168" t="n">
        <v>2035</v>
      </c>
      <c r="N168" t="n">
        <v>0.5999</v>
      </c>
      <c r="O168" t="n">
        <v>0.2666</v>
      </c>
      <c r="P168" t="n">
        <v>2018</v>
      </c>
      <c r="Q168" t="n">
        <v>2040</v>
      </c>
      <c r="R168" t="n">
        <v>0.3424</v>
      </c>
      <c r="S168" t="n">
        <v>635.1588</v>
      </c>
      <c r="T168" t="n">
        <v>0.00086105</v>
      </c>
      <c r="U168" t="n">
        <v>0.00013947</v>
      </c>
    </row>
    <row r="169">
      <c r="A169" t="inlineStr">
        <is>
          <t>SUP-0017</t>
        </is>
      </c>
      <c r="B169" t="inlineStr">
        <is>
          <t>Electronics Supplier 017</t>
        </is>
      </c>
      <c r="C169" t="inlineStr">
        <is>
          <t>Electronics</t>
        </is>
      </c>
      <c r="D169" t="n">
        <v>2022</v>
      </c>
      <c r="E169" t="n">
        <v>11379519.98</v>
      </c>
      <c r="F169" t="n">
        <v>72726012.54000001</v>
      </c>
      <c r="G169" t="n">
        <v>5774.5367</v>
      </c>
      <c r="H169" t="n">
        <v>5774.5367</v>
      </c>
      <c r="I169" t="n">
        <v>697.1536</v>
      </c>
      <c r="J169" t="n">
        <v>470.6821</v>
      </c>
      <c r="K169" t="n">
        <v>4726.1921</v>
      </c>
      <c r="L169" t="n">
        <v>2020</v>
      </c>
      <c r="M169" t="n">
        <v>2035</v>
      </c>
      <c r="N169" t="n">
        <v>0.5999</v>
      </c>
      <c r="O169" t="n">
        <v>0.2666</v>
      </c>
      <c r="P169" t="n">
        <v>2018</v>
      </c>
      <c r="Q169" t="n">
        <v>2040</v>
      </c>
      <c r="R169" t="n">
        <v>0.3424</v>
      </c>
      <c r="S169" t="n">
        <v>635.1588</v>
      </c>
      <c r="T169" t="n">
        <v>0.00086105</v>
      </c>
      <c r="U169" t="n">
        <v>0.00013947</v>
      </c>
    </row>
    <row r="170">
      <c r="A170" t="inlineStr">
        <is>
          <t>SUP-0017</t>
        </is>
      </c>
      <c r="B170" t="inlineStr">
        <is>
          <t>Electronics Supplier 017</t>
        </is>
      </c>
      <c r="C170" t="inlineStr">
        <is>
          <t>Electronics</t>
        </is>
      </c>
      <c r="D170" t="n">
        <v>2023</v>
      </c>
      <c r="E170" t="n">
        <v>9460022.630000001</v>
      </c>
      <c r="F170" t="n">
        <v>65233778.42</v>
      </c>
      <c r="G170" t="n">
        <v>4849.6801</v>
      </c>
      <c r="H170" t="n">
        <v>4849.6801</v>
      </c>
      <c r="I170" t="n">
        <v>718.4561</v>
      </c>
      <c r="J170" t="n">
        <v>580.8194</v>
      </c>
      <c r="K170" t="n">
        <v>3568.0581</v>
      </c>
      <c r="L170" t="n">
        <v>2020</v>
      </c>
      <c r="M170" t="n">
        <v>2035</v>
      </c>
      <c r="N170" t="n">
        <v>0.5999</v>
      </c>
      <c r="O170" t="n">
        <v>0.2666</v>
      </c>
      <c r="P170" t="n">
        <v>2018</v>
      </c>
      <c r="Q170" t="n">
        <v>2040</v>
      </c>
      <c r="R170" t="n">
        <v>0.3424</v>
      </c>
      <c r="S170" t="n">
        <v>635.1588</v>
      </c>
      <c r="T170" t="n">
        <v>0.00086105</v>
      </c>
      <c r="U170" t="n">
        <v>0.00013947</v>
      </c>
    </row>
    <row r="171">
      <c r="A171" t="inlineStr">
        <is>
          <t>SUP-0017</t>
        </is>
      </c>
      <c r="B171" t="inlineStr">
        <is>
          <t>Electronics Supplier 017</t>
        </is>
      </c>
      <c r="C171" t="inlineStr">
        <is>
          <t>Electronics</t>
        </is>
      </c>
      <c r="D171" t="n">
        <v>2024</v>
      </c>
      <c r="E171" t="n">
        <v>12291762.5</v>
      </c>
      <c r="F171" t="n">
        <v>99042383.87</v>
      </c>
      <c r="G171" t="n">
        <v>6974.0868</v>
      </c>
      <c r="H171" t="n">
        <v>6974.0868</v>
      </c>
      <c r="I171" t="n">
        <v>1330.6149</v>
      </c>
      <c r="J171" t="n">
        <v>479.5272</v>
      </c>
      <c r="K171" t="n">
        <v>5173.2292</v>
      </c>
      <c r="L171" t="n">
        <v>2020</v>
      </c>
      <c r="M171" t="n">
        <v>2035</v>
      </c>
      <c r="N171" t="n">
        <v>0.5999</v>
      </c>
      <c r="O171" t="n">
        <v>0.2666</v>
      </c>
      <c r="P171" t="n">
        <v>2018</v>
      </c>
      <c r="Q171" t="n">
        <v>2040</v>
      </c>
      <c r="R171" t="n">
        <v>0.3424</v>
      </c>
      <c r="S171" t="n">
        <v>635.1588</v>
      </c>
      <c r="T171" t="n">
        <v>0.00086105</v>
      </c>
      <c r="U171" t="n">
        <v>0.00013947</v>
      </c>
    </row>
    <row r="172">
      <c r="A172" t="inlineStr">
        <is>
          <t>SUP-0018</t>
        </is>
      </c>
      <c r="B172" t="inlineStr">
        <is>
          <t>Professional Supplier 018</t>
        </is>
      </c>
      <c r="C172" t="inlineStr">
        <is>
          <t>Professional Services</t>
        </is>
      </c>
      <c r="D172" t="n">
        <v>2015</v>
      </c>
      <c r="E172" t="n">
        <v>2541074.4</v>
      </c>
      <c r="F172" t="n">
        <v>18222629.86</v>
      </c>
      <c r="G172" t="n">
        <v>453.6538</v>
      </c>
      <c r="H172" t="n">
        <v>453.6538</v>
      </c>
      <c r="I172" t="n">
        <v>88.9344</v>
      </c>
      <c r="J172" t="n">
        <v>48.3982</v>
      </c>
      <c r="K172" t="n">
        <v>290.6463</v>
      </c>
      <c r="L172" t="inlineStr"/>
      <c r="M172" t="inlineStr"/>
      <c r="N172" t="inlineStr"/>
      <c r="O172" t="inlineStr"/>
      <c r="P172" t="n">
        <v>2020</v>
      </c>
      <c r="Q172" t="inlineStr"/>
      <c r="R172" t="inlineStr"/>
      <c r="S172" t="n">
        <v>400.0326</v>
      </c>
      <c r="T172" t="n">
        <v>0.00012906</v>
      </c>
      <c r="U172" t="n">
        <v>0.00019658</v>
      </c>
    </row>
    <row r="173">
      <c r="A173" t="inlineStr">
        <is>
          <t>SUP-0018</t>
        </is>
      </c>
      <c r="B173" t="inlineStr">
        <is>
          <t>Professional Supplier 018</t>
        </is>
      </c>
      <c r="C173" t="inlineStr">
        <is>
          <t>Professional Services</t>
        </is>
      </c>
      <c r="D173" t="n">
        <v>2016</v>
      </c>
      <c r="E173" t="n">
        <v>2494119</v>
      </c>
      <c r="F173" t="n">
        <v>15113664.17</v>
      </c>
      <c r="G173" t="n">
        <v>411.5977</v>
      </c>
      <c r="H173" t="n">
        <v>411.5977</v>
      </c>
      <c r="I173" t="n">
        <v>48.626</v>
      </c>
      <c r="J173" t="n">
        <v>58.5548</v>
      </c>
      <c r="K173" t="n">
        <v>299.9857</v>
      </c>
      <c r="L173" t="inlineStr"/>
      <c r="M173" t="inlineStr"/>
      <c r="N173" t="inlineStr"/>
      <c r="O173" t="inlineStr"/>
      <c r="P173" t="n">
        <v>2020</v>
      </c>
      <c r="Q173" t="inlineStr"/>
      <c r="R173" t="inlineStr"/>
      <c r="S173" t="n">
        <v>400.0326</v>
      </c>
      <c r="T173" t="n">
        <v>0.00012906</v>
      </c>
      <c r="U173" t="n">
        <v>0.00019658</v>
      </c>
    </row>
    <row r="174">
      <c r="A174" t="inlineStr">
        <is>
          <t>SUP-0018</t>
        </is>
      </c>
      <c r="B174" t="inlineStr">
        <is>
          <t>Professional Supplier 018</t>
        </is>
      </c>
      <c r="C174" t="inlineStr">
        <is>
          <t>Professional Services</t>
        </is>
      </c>
      <c r="D174" t="n">
        <v>2017</v>
      </c>
      <c r="E174" t="n">
        <v>2563969.59</v>
      </c>
      <c r="F174" t="n">
        <v>16898778.43</v>
      </c>
      <c r="G174" t="n">
        <v>417.8117</v>
      </c>
      <c r="H174" t="n">
        <v>417.8117</v>
      </c>
      <c r="I174" t="n">
        <v>85.9928</v>
      </c>
      <c r="J174" t="n">
        <v>75.1117</v>
      </c>
      <c r="K174" t="n">
        <v>258.7569</v>
      </c>
      <c r="L174" t="inlineStr"/>
      <c r="M174" t="inlineStr"/>
      <c r="N174" t="inlineStr"/>
      <c r="O174" t="inlineStr"/>
      <c r="P174" t="n">
        <v>2020</v>
      </c>
      <c r="Q174" t="inlineStr"/>
      <c r="R174" t="inlineStr"/>
      <c r="S174" t="n">
        <v>400.0326</v>
      </c>
      <c r="T174" t="n">
        <v>0.00012906</v>
      </c>
      <c r="U174" t="n">
        <v>0.00019658</v>
      </c>
    </row>
    <row r="175">
      <c r="A175" t="inlineStr">
        <is>
          <t>SUP-0018</t>
        </is>
      </c>
      <c r="B175" t="inlineStr">
        <is>
          <t>Professional Supplier 018</t>
        </is>
      </c>
      <c r="C175" t="inlineStr">
        <is>
          <t>Professional Services</t>
        </is>
      </c>
      <c r="D175" t="n">
        <v>2018</v>
      </c>
      <c r="E175" t="n">
        <v>2292693.39</v>
      </c>
      <c r="F175" t="n">
        <v>14183404</v>
      </c>
      <c r="G175" t="n">
        <v>379.2739</v>
      </c>
      <c r="H175" t="n">
        <v>379.2739</v>
      </c>
      <c r="I175" t="n">
        <v>49.9963</v>
      </c>
      <c r="J175" t="n">
        <v>71.8554</v>
      </c>
      <c r="K175" t="n">
        <v>265.6098</v>
      </c>
      <c r="L175" t="inlineStr"/>
      <c r="M175" t="inlineStr"/>
      <c r="N175" t="inlineStr"/>
      <c r="O175" t="inlineStr"/>
      <c r="P175" t="n">
        <v>2020</v>
      </c>
      <c r="Q175" t="inlineStr"/>
      <c r="R175" t="inlineStr"/>
      <c r="S175" t="n">
        <v>400.0326</v>
      </c>
      <c r="T175" t="n">
        <v>0.00012906</v>
      </c>
      <c r="U175" t="n">
        <v>0.00019658</v>
      </c>
    </row>
    <row r="176">
      <c r="A176" t="inlineStr">
        <is>
          <t>SUP-0018</t>
        </is>
      </c>
      <c r="B176" t="inlineStr">
        <is>
          <t>Professional Supplier 018</t>
        </is>
      </c>
      <c r="C176" t="inlineStr">
        <is>
          <t>Professional Services</t>
        </is>
      </c>
      <c r="D176" t="n">
        <v>2019</v>
      </c>
      <c r="E176" t="n">
        <v>1906983.72</v>
      </c>
      <c r="F176" t="n">
        <v>14905301.33</v>
      </c>
      <c r="G176" t="n">
        <v>247.9613</v>
      </c>
      <c r="H176" t="n">
        <v>247.9613</v>
      </c>
      <c r="I176" t="n">
        <v>39.1163</v>
      </c>
      <c r="J176" t="n">
        <v>17.8626</v>
      </c>
      <c r="K176" t="n">
        <v>210.0307</v>
      </c>
      <c r="L176" t="inlineStr"/>
      <c r="M176" t="inlineStr"/>
      <c r="N176" t="inlineStr"/>
      <c r="O176" t="inlineStr"/>
      <c r="P176" t="n">
        <v>2020</v>
      </c>
      <c r="Q176" t="inlineStr"/>
      <c r="R176" t="inlineStr"/>
      <c r="S176" t="n">
        <v>400.0326</v>
      </c>
      <c r="T176" t="n">
        <v>0.00012906</v>
      </c>
      <c r="U176" t="n">
        <v>0.00019658</v>
      </c>
    </row>
    <row r="177">
      <c r="A177" t="inlineStr">
        <is>
          <t>SUP-0018</t>
        </is>
      </c>
      <c r="B177" t="inlineStr">
        <is>
          <t>Professional Supplier 018</t>
        </is>
      </c>
      <c r="C177" t="inlineStr">
        <is>
          <t>Professional Services</t>
        </is>
      </c>
      <c r="D177" t="n">
        <v>2020</v>
      </c>
      <c r="E177" t="n">
        <v>2626337.42</v>
      </c>
      <c r="F177" t="n">
        <v>14573468.03</v>
      </c>
      <c r="G177" t="n">
        <v>396.4826</v>
      </c>
      <c r="H177" t="n">
        <v>396.4826</v>
      </c>
      <c r="I177" t="n">
        <v>94.655</v>
      </c>
      <c r="J177" t="n">
        <v>46.2136</v>
      </c>
      <c r="K177" t="n">
        <v>241.8666</v>
      </c>
      <c r="L177" t="inlineStr"/>
      <c r="M177" t="inlineStr"/>
      <c r="N177" t="inlineStr"/>
      <c r="O177" t="inlineStr"/>
      <c r="P177" t="n">
        <v>2020</v>
      </c>
      <c r="Q177" t="inlineStr"/>
      <c r="R177" t="inlineStr"/>
      <c r="S177" t="n">
        <v>400.0326</v>
      </c>
      <c r="T177" t="n">
        <v>0.00012906</v>
      </c>
      <c r="U177" t="n">
        <v>0.00019658</v>
      </c>
    </row>
    <row r="178">
      <c r="A178" t="inlineStr">
        <is>
          <t>SUP-0018</t>
        </is>
      </c>
      <c r="B178" t="inlineStr">
        <is>
          <t>Professional Supplier 018</t>
        </is>
      </c>
      <c r="C178" t="inlineStr">
        <is>
          <t>Professional Services</t>
        </is>
      </c>
      <c r="D178" t="n">
        <v>2021</v>
      </c>
      <c r="E178" t="n">
        <v>2219050.14</v>
      </c>
      <c r="F178" t="n">
        <v>18997821.02</v>
      </c>
      <c r="G178" t="n">
        <v>298.5838</v>
      </c>
      <c r="H178" t="n">
        <v>298.5838</v>
      </c>
      <c r="I178" t="n">
        <v>59.3507</v>
      </c>
      <c r="J178" t="n">
        <v>30.7841</v>
      </c>
      <c r="K178" t="n">
        <v>215.2202</v>
      </c>
      <c r="L178" t="inlineStr"/>
      <c r="M178" t="inlineStr"/>
      <c r="N178" t="inlineStr"/>
      <c r="O178" t="inlineStr"/>
      <c r="P178" t="n">
        <v>2020</v>
      </c>
      <c r="Q178" t="inlineStr"/>
      <c r="R178" t="inlineStr"/>
      <c r="S178" t="n">
        <v>400.0326</v>
      </c>
      <c r="T178" t="n">
        <v>0.00012906</v>
      </c>
      <c r="U178" t="n">
        <v>0.00019658</v>
      </c>
    </row>
    <row r="179">
      <c r="A179" t="inlineStr">
        <is>
          <t>SUP-0018</t>
        </is>
      </c>
      <c r="B179" t="inlineStr">
        <is>
          <t>Professional Supplier 018</t>
        </is>
      </c>
      <c r="C179" t="inlineStr">
        <is>
          <t>Professional Services</t>
        </is>
      </c>
      <c r="D179" t="n">
        <v>2022</v>
      </c>
      <c r="E179" t="n">
        <v>2337255.26</v>
      </c>
      <c r="F179" t="n">
        <v>17373114.82</v>
      </c>
      <c r="G179" t="n">
        <v>268.6694</v>
      </c>
      <c r="H179" t="n">
        <v>268.6694</v>
      </c>
      <c r="I179" t="n">
        <v>72.8982</v>
      </c>
      <c r="J179" t="n">
        <v>57.9549</v>
      </c>
      <c r="K179" t="n">
        <v>148.0152</v>
      </c>
      <c r="L179" t="inlineStr"/>
      <c r="M179" t="inlineStr"/>
      <c r="N179" t="inlineStr"/>
      <c r="O179" t="inlineStr"/>
      <c r="P179" t="n">
        <v>2020</v>
      </c>
      <c r="Q179" t="inlineStr"/>
      <c r="R179" t="inlineStr"/>
      <c r="S179" t="n">
        <v>400.0326</v>
      </c>
      <c r="T179" t="n">
        <v>0.00012906</v>
      </c>
      <c r="U179" t="n">
        <v>0.00019658</v>
      </c>
    </row>
    <row r="180">
      <c r="A180" t="inlineStr">
        <is>
          <t>SUP-0018</t>
        </is>
      </c>
      <c r="B180" t="inlineStr">
        <is>
          <t>Professional Supplier 018</t>
        </is>
      </c>
      <c r="C180" t="inlineStr">
        <is>
          <t>Professional Services</t>
        </is>
      </c>
      <c r="D180" t="n">
        <v>2023</v>
      </c>
      <c r="E180" t="n">
        <v>1816767.79</v>
      </c>
      <c r="F180" t="n">
        <v>10870631.98</v>
      </c>
      <c r="G180" t="n">
        <v>192.5024</v>
      </c>
      <c r="H180" t="n">
        <v>192.5024</v>
      </c>
      <c r="I180" t="n">
        <v>19.5382</v>
      </c>
      <c r="J180" t="n">
        <v>17.1927</v>
      </c>
      <c r="K180" t="n">
        <v>143.3505</v>
      </c>
      <c r="L180" t="inlineStr"/>
      <c r="M180" t="inlineStr"/>
      <c r="N180" t="inlineStr"/>
      <c r="O180" t="inlineStr"/>
      <c r="P180" t="n">
        <v>2020</v>
      </c>
      <c r="Q180" t="inlineStr"/>
      <c r="R180" t="inlineStr"/>
      <c r="S180" t="n">
        <v>400.0326</v>
      </c>
      <c r="T180" t="n">
        <v>0.00012906</v>
      </c>
      <c r="U180" t="n">
        <v>0.00019658</v>
      </c>
    </row>
    <row r="181">
      <c r="A181" t="inlineStr">
        <is>
          <t>SUP-0018</t>
        </is>
      </c>
      <c r="B181" t="inlineStr">
        <is>
          <t>Professional Supplier 018</t>
        </is>
      </c>
      <c r="C181" t="inlineStr">
        <is>
          <t>Professional Services</t>
        </is>
      </c>
      <c r="D181" t="n">
        <v>2024</v>
      </c>
      <c r="E181" t="n">
        <v>2101779.39</v>
      </c>
      <c r="F181" t="n">
        <v>17106470.76</v>
      </c>
      <c r="G181" t="n">
        <v>231.6462</v>
      </c>
      <c r="H181" t="n">
        <v>231.6462</v>
      </c>
      <c r="I181" t="n">
        <v>58.6964</v>
      </c>
      <c r="J181" t="n">
        <v>47.0019</v>
      </c>
      <c r="K181" t="n">
        <v>114.9503</v>
      </c>
      <c r="L181" t="inlineStr"/>
      <c r="M181" t="inlineStr"/>
      <c r="N181" t="inlineStr"/>
      <c r="O181" t="inlineStr"/>
      <c r="P181" t="n">
        <v>2020</v>
      </c>
      <c r="Q181" t="inlineStr"/>
      <c r="R181" t="inlineStr"/>
      <c r="S181" t="n">
        <v>400.0326</v>
      </c>
      <c r="T181" t="n">
        <v>0.00012906</v>
      </c>
      <c r="U181" t="n">
        <v>0.00019658</v>
      </c>
    </row>
    <row r="182">
      <c r="A182" t="inlineStr">
        <is>
          <t>SUP-0019</t>
        </is>
      </c>
      <c r="B182" t="inlineStr">
        <is>
          <t>Metals Supplier 019</t>
        </is>
      </c>
      <c r="C182" t="inlineStr">
        <is>
          <t>Metals</t>
        </is>
      </c>
      <c r="D182" t="n">
        <v>2015</v>
      </c>
      <c r="E182" t="n">
        <v>17169931.75</v>
      </c>
      <c r="F182" t="n">
        <v>22450899.61</v>
      </c>
      <c r="G182" t="n">
        <v>25564.5171</v>
      </c>
      <c r="H182" t="n">
        <v>25564.5171</v>
      </c>
      <c r="I182" t="n">
        <v>4151.9482</v>
      </c>
      <c r="J182" t="n">
        <v>2905.8973</v>
      </c>
      <c r="K182" t="n">
        <v>17440.7275</v>
      </c>
      <c r="L182" t="n">
        <v>2021</v>
      </c>
      <c r="M182" t="n">
        <v>2035</v>
      </c>
      <c r="N182" t="n">
        <v>0.5173</v>
      </c>
      <c r="O182" t="n">
        <v>0.245</v>
      </c>
      <c r="P182" t="n">
        <v>2019</v>
      </c>
      <c r="Q182" t="n">
        <v>2030</v>
      </c>
      <c r="R182" t="n">
        <v>0.3852</v>
      </c>
      <c r="S182" t="n">
        <v>158.2904</v>
      </c>
      <c r="T182" t="n">
        <v>0.00100695</v>
      </c>
      <c r="U182" t="n">
        <v>0.00065008</v>
      </c>
    </row>
    <row r="183">
      <c r="A183" t="inlineStr">
        <is>
          <t>SUP-0019</t>
        </is>
      </c>
      <c r="B183" t="inlineStr">
        <is>
          <t>Metals Supplier 019</t>
        </is>
      </c>
      <c r="C183" t="inlineStr">
        <is>
          <t>Metals</t>
        </is>
      </c>
      <c r="D183" t="n">
        <v>2016</v>
      </c>
      <c r="E183" t="n">
        <v>19576946.44</v>
      </c>
      <c r="F183" t="n">
        <v>28606110.85</v>
      </c>
      <c r="G183" t="n">
        <v>27456.2609</v>
      </c>
      <c r="H183" t="n">
        <v>27456.2609</v>
      </c>
      <c r="I183" t="n">
        <v>7389.0406</v>
      </c>
      <c r="J183" t="n">
        <v>2834.1281</v>
      </c>
      <c r="K183" t="n">
        <v>16600.9268</v>
      </c>
      <c r="L183" t="n">
        <v>2021</v>
      </c>
      <c r="M183" t="n">
        <v>2035</v>
      </c>
      <c r="N183" t="n">
        <v>0.5173</v>
      </c>
      <c r="O183" t="n">
        <v>0.245</v>
      </c>
      <c r="P183" t="n">
        <v>2019</v>
      </c>
      <c r="Q183" t="n">
        <v>2030</v>
      </c>
      <c r="R183" t="n">
        <v>0.3852</v>
      </c>
      <c r="S183" t="n">
        <v>158.2904</v>
      </c>
      <c r="T183" t="n">
        <v>0.00100695</v>
      </c>
      <c r="U183" t="n">
        <v>0.00065008</v>
      </c>
    </row>
    <row r="184">
      <c r="A184" t="inlineStr">
        <is>
          <t>SUP-0019</t>
        </is>
      </c>
      <c r="B184" t="inlineStr">
        <is>
          <t>Metals Supplier 019</t>
        </is>
      </c>
      <c r="C184" t="inlineStr">
        <is>
          <t>Metals</t>
        </is>
      </c>
      <c r="D184" t="n">
        <v>2017</v>
      </c>
      <c r="E184" t="n">
        <v>20555763.04</v>
      </c>
      <c r="F184" t="n">
        <v>27548765.77</v>
      </c>
      <c r="G184" t="n">
        <v>32177.465</v>
      </c>
      <c r="H184" t="n">
        <v>32177.465</v>
      </c>
      <c r="I184" t="n">
        <v>5794.1512</v>
      </c>
      <c r="J184" t="n">
        <v>4906.6191</v>
      </c>
      <c r="K184" t="n">
        <v>22134.93</v>
      </c>
      <c r="L184" t="n">
        <v>2021</v>
      </c>
      <c r="M184" t="n">
        <v>2035</v>
      </c>
      <c r="N184" t="n">
        <v>0.5173</v>
      </c>
      <c r="O184" t="n">
        <v>0.245</v>
      </c>
      <c r="P184" t="n">
        <v>2019</v>
      </c>
      <c r="Q184" t="n">
        <v>2030</v>
      </c>
      <c r="R184" t="n">
        <v>0.3852</v>
      </c>
      <c r="S184" t="n">
        <v>158.2904</v>
      </c>
      <c r="T184" t="n">
        <v>0.00100695</v>
      </c>
      <c r="U184" t="n">
        <v>0.00065008</v>
      </c>
    </row>
    <row r="185">
      <c r="A185" t="inlineStr">
        <is>
          <t>SUP-0019</t>
        </is>
      </c>
      <c r="B185" t="inlineStr">
        <is>
          <t>Metals Supplier 019</t>
        </is>
      </c>
      <c r="C185" t="inlineStr">
        <is>
          <t>Metals</t>
        </is>
      </c>
      <c r="D185" t="n">
        <v>2018</v>
      </c>
      <c r="E185" t="n">
        <v>19678257.7</v>
      </c>
      <c r="F185" t="n">
        <v>25444893.68</v>
      </c>
      <c r="G185" t="n">
        <v>24591.1645</v>
      </c>
      <c r="H185" t="n">
        <v>24591.1645</v>
      </c>
      <c r="I185" t="n">
        <v>5773.147</v>
      </c>
      <c r="J185" t="n">
        <v>3628.2746</v>
      </c>
      <c r="K185" t="n">
        <v>15871.3668</v>
      </c>
      <c r="L185" t="n">
        <v>2021</v>
      </c>
      <c r="M185" t="n">
        <v>2035</v>
      </c>
      <c r="N185" t="n">
        <v>0.5173</v>
      </c>
      <c r="O185" t="n">
        <v>0.245</v>
      </c>
      <c r="P185" t="n">
        <v>2019</v>
      </c>
      <c r="Q185" t="n">
        <v>2030</v>
      </c>
      <c r="R185" t="n">
        <v>0.3852</v>
      </c>
      <c r="S185" t="n">
        <v>158.2904</v>
      </c>
      <c r="T185" t="n">
        <v>0.00100695</v>
      </c>
      <c r="U185" t="n">
        <v>0.00065008</v>
      </c>
    </row>
    <row r="186">
      <c r="A186" t="inlineStr">
        <is>
          <t>SUP-0019</t>
        </is>
      </c>
      <c r="B186" t="inlineStr">
        <is>
          <t>Metals Supplier 019</t>
        </is>
      </c>
      <c r="C186" t="inlineStr">
        <is>
          <t>Metals</t>
        </is>
      </c>
      <c r="D186" t="n">
        <v>2019</v>
      </c>
      <c r="E186" t="n">
        <v>23339873.62</v>
      </c>
      <c r="F186" t="n">
        <v>25532896.5</v>
      </c>
      <c r="G186" t="n">
        <v>28217.9851</v>
      </c>
      <c r="H186" t="n">
        <v>28217.9851</v>
      </c>
      <c r="I186" t="n">
        <v>4647.2419</v>
      </c>
      <c r="J186" t="n">
        <v>3280.8838</v>
      </c>
      <c r="K186" t="n">
        <v>20374.9146</v>
      </c>
      <c r="L186" t="n">
        <v>2021</v>
      </c>
      <c r="M186" t="n">
        <v>2035</v>
      </c>
      <c r="N186" t="n">
        <v>0.5173</v>
      </c>
      <c r="O186" t="n">
        <v>0.245</v>
      </c>
      <c r="P186" t="n">
        <v>2019</v>
      </c>
      <c r="Q186" t="n">
        <v>2030</v>
      </c>
      <c r="R186" t="n">
        <v>0.3852</v>
      </c>
      <c r="S186" t="n">
        <v>158.2904</v>
      </c>
      <c r="T186" t="n">
        <v>0.00100695</v>
      </c>
      <c r="U186" t="n">
        <v>0.00065008</v>
      </c>
    </row>
    <row r="187">
      <c r="A187" t="inlineStr">
        <is>
          <t>SUP-0019</t>
        </is>
      </c>
      <c r="B187" t="inlineStr">
        <is>
          <t>Metals Supplier 019</t>
        </is>
      </c>
      <c r="C187" t="inlineStr">
        <is>
          <t>Metals</t>
        </is>
      </c>
      <c r="D187" t="n">
        <v>2020</v>
      </c>
      <c r="E187" t="n">
        <v>20791262.01</v>
      </c>
      <c r="F187" t="n">
        <v>31695690.95</v>
      </c>
      <c r="G187" t="n">
        <v>21302.6956</v>
      </c>
      <c r="H187" t="n">
        <v>21302.6956</v>
      </c>
      <c r="I187" t="n">
        <v>2149.2617</v>
      </c>
      <c r="J187" t="n">
        <v>2738.4066</v>
      </c>
      <c r="K187" t="n">
        <v>16975.6816</v>
      </c>
      <c r="L187" t="n">
        <v>2021</v>
      </c>
      <c r="M187" t="n">
        <v>2035</v>
      </c>
      <c r="N187" t="n">
        <v>0.5173</v>
      </c>
      <c r="O187" t="n">
        <v>0.245</v>
      </c>
      <c r="P187" t="n">
        <v>2019</v>
      </c>
      <c r="Q187" t="n">
        <v>2030</v>
      </c>
      <c r="R187" t="n">
        <v>0.3852</v>
      </c>
      <c r="S187" t="n">
        <v>158.2904</v>
      </c>
      <c r="T187" t="n">
        <v>0.00100695</v>
      </c>
      <c r="U187" t="n">
        <v>0.00065008</v>
      </c>
    </row>
    <row r="188">
      <c r="A188" t="inlineStr">
        <is>
          <t>SUP-0019</t>
        </is>
      </c>
      <c r="B188" t="inlineStr">
        <is>
          <t>Metals Supplier 019</t>
        </is>
      </c>
      <c r="C188" t="inlineStr">
        <is>
          <t>Metals</t>
        </is>
      </c>
      <c r="D188" t="n">
        <v>2021</v>
      </c>
      <c r="E188" t="n">
        <v>21855672.03</v>
      </c>
      <c r="F188" t="n">
        <v>30550291.96</v>
      </c>
      <c r="G188" t="n">
        <v>22965.889</v>
      </c>
      <c r="H188" t="n">
        <v>22965.889</v>
      </c>
      <c r="I188" t="n">
        <v>4811.7012</v>
      </c>
      <c r="J188" t="n">
        <v>2157.4402</v>
      </c>
      <c r="K188" t="n">
        <v>16305.6445</v>
      </c>
      <c r="L188" t="n">
        <v>2021</v>
      </c>
      <c r="M188" t="n">
        <v>2035</v>
      </c>
      <c r="N188" t="n">
        <v>0.5173</v>
      </c>
      <c r="O188" t="n">
        <v>0.245</v>
      </c>
      <c r="P188" t="n">
        <v>2019</v>
      </c>
      <c r="Q188" t="n">
        <v>2030</v>
      </c>
      <c r="R188" t="n">
        <v>0.3852</v>
      </c>
      <c r="S188" t="n">
        <v>158.2904</v>
      </c>
      <c r="T188" t="n">
        <v>0.00100695</v>
      </c>
      <c r="U188" t="n">
        <v>0.00065008</v>
      </c>
    </row>
    <row r="189">
      <c r="A189" t="inlineStr">
        <is>
          <t>SUP-0019</t>
        </is>
      </c>
      <c r="B189" t="inlineStr">
        <is>
          <t>Metals Supplier 019</t>
        </is>
      </c>
      <c r="C189" t="inlineStr">
        <is>
          <t>Metals</t>
        </is>
      </c>
      <c r="D189" t="n">
        <v>2022</v>
      </c>
      <c r="E189" t="n">
        <v>23529217.42</v>
      </c>
      <c r="F189" t="n">
        <v>23059293.02</v>
      </c>
      <c r="G189" t="n">
        <v>19753.3383</v>
      </c>
      <c r="H189" t="n">
        <v>19753.3383</v>
      </c>
      <c r="I189" t="n">
        <v>2341.5749</v>
      </c>
      <c r="J189" t="n">
        <v>3748.9556</v>
      </c>
      <c r="K189" t="n">
        <v>12824.1605</v>
      </c>
      <c r="L189" t="n">
        <v>2021</v>
      </c>
      <c r="M189" t="n">
        <v>2035</v>
      </c>
      <c r="N189" t="n">
        <v>0.5173</v>
      </c>
      <c r="O189" t="n">
        <v>0.245</v>
      </c>
      <c r="P189" t="n">
        <v>2019</v>
      </c>
      <c r="Q189" t="n">
        <v>2030</v>
      </c>
      <c r="R189" t="n">
        <v>0.3852</v>
      </c>
      <c r="S189" t="n">
        <v>158.2904</v>
      </c>
      <c r="T189" t="n">
        <v>0.00100695</v>
      </c>
      <c r="U189" t="n">
        <v>0.00065008</v>
      </c>
    </row>
    <row r="190">
      <c r="A190" t="inlineStr">
        <is>
          <t>SUP-0019</t>
        </is>
      </c>
      <c r="B190" t="inlineStr">
        <is>
          <t>Metals Supplier 019</t>
        </is>
      </c>
      <c r="C190" t="inlineStr">
        <is>
          <t>Metals</t>
        </is>
      </c>
      <c r="D190" t="n">
        <v>2023</v>
      </c>
      <c r="E190" t="n">
        <v>25890690.97</v>
      </c>
      <c r="F190" t="n">
        <v>36842061.14</v>
      </c>
      <c r="G190" t="n">
        <v>28700.4665</v>
      </c>
      <c r="H190" t="n">
        <v>28700.4665</v>
      </c>
      <c r="I190" t="n">
        <v>5279.1249</v>
      </c>
      <c r="J190" t="n">
        <v>3324.0785</v>
      </c>
      <c r="K190" t="n">
        <v>19146.0447</v>
      </c>
      <c r="L190" t="n">
        <v>2021</v>
      </c>
      <c r="M190" t="n">
        <v>2035</v>
      </c>
      <c r="N190" t="n">
        <v>0.5173</v>
      </c>
      <c r="O190" t="n">
        <v>0.245</v>
      </c>
      <c r="P190" t="n">
        <v>2019</v>
      </c>
      <c r="Q190" t="n">
        <v>2030</v>
      </c>
      <c r="R190" t="n">
        <v>0.3852</v>
      </c>
      <c r="S190" t="n">
        <v>158.2904</v>
      </c>
      <c r="T190" t="n">
        <v>0.00100695</v>
      </c>
      <c r="U190" t="n">
        <v>0.00065008</v>
      </c>
    </row>
    <row r="191">
      <c r="A191" t="inlineStr">
        <is>
          <t>SUP-0019</t>
        </is>
      </c>
      <c r="B191" t="inlineStr">
        <is>
          <t>Metals Supplier 019</t>
        </is>
      </c>
      <c r="C191" t="inlineStr">
        <is>
          <t>Metals</t>
        </is>
      </c>
      <c r="D191" t="n">
        <v>2024</v>
      </c>
      <c r="E191" t="n">
        <v>24549341.99</v>
      </c>
      <c r="F191" t="n">
        <v>36127319.87</v>
      </c>
      <c r="G191" t="n">
        <v>21637.1443</v>
      </c>
      <c r="H191" t="n">
        <v>21637.1443</v>
      </c>
      <c r="I191" t="n">
        <v>3908.234</v>
      </c>
      <c r="J191" t="n">
        <v>1969.4431</v>
      </c>
      <c r="K191" t="n">
        <v>16391.7637</v>
      </c>
      <c r="L191" t="n">
        <v>2021</v>
      </c>
      <c r="M191" t="n">
        <v>2035</v>
      </c>
      <c r="N191" t="n">
        <v>0.5173</v>
      </c>
      <c r="O191" t="n">
        <v>0.245</v>
      </c>
      <c r="P191" t="n">
        <v>2019</v>
      </c>
      <c r="Q191" t="n">
        <v>2030</v>
      </c>
      <c r="R191" t="n">
        <v>0.3852</v>
      </c>
      <c r="S191" t="n">
        <v>158.2904</v>
      </c>
      <c r="T191" t="n">
        <v>0.00100695</v>
      </c>
      <c r="U191" t="n">
        <v>0.00065008</v>
      </c>
    </row>
    <row r="192">
      <c r="A192" t="inlineStr">
        <is>
          <t>SUP-0020</t>
        </is>
      </c>
      <c r="B192" t="inlineStr">
        <is>
          <t>Logistics Supplier 020</t>
        </is>
      </c>
      <c r="C192" t="inlineStr">
        <is>
          <t>Logistics</t>
        </is>
      </c>
      <c r="D192" t="n">
        <v>2015</v>
      </c>
      <c r="E192" t="n">
        <v>15156328.44</v>
      </c>
      <c r="F192" t="n">
        <v>93526966.51000001</v>
      </c>
      <c r="G192" t="n">
        <v>3808.2801</v>
      </c>
      <c r="H192" t="n">
        <v>3808.2801</v>
      </c>
      <c r="I192" t="n">
        <v>587.7985</v>
      </c>
      <c r="J192" t="n">
        <v>698.5398</v>
      </c>
      <c r="K192" t="n">
        <v>2521.5506</v>
      </c>
      <c r="L192" t="n">
        <v>2020</v>
      </c>
      <c r="M192" t="n">
        <v>2035</v>
      </c>
      <c r="N192" t="n">
        <v>0.668</v>
      </c>
      <c r="O192" t="n">
        <v>0.2613</v>
      </c>
      <c r="P192" t="n">
        <v>2019</v>
      </c>
      <c r="Q192" t="n">
        <v>2040</v>
      </c>
      <c r="R192" t="n">
        <v>0.4616</v>
      </c>
      <c r="S192" t="n">
        <v>591.6386</v>
      </c>
      <c r="T192" t="n">
        <v>0.00022349</v>
      </c>
      <c r="U192" t="n">
        <v>0.00047787</v>
      </c>
    </row>
    <row r="193">
      <c r="A193" t="inlineStr">
        <is>
          <t>SUP-0020</t>
        </is>
      </c>
      <c r="B193" t="inlineStr">
        <is>
          <t>Logistics Supplier 020</t>
        </is>
      </c>
      <c r="C193" t="inlineStr">
        <is>
          <t>Logistics</t>
        </is>
      </c>
      <c r="D193" t="n">
        <v>2016</v>
      </c>
      <c r="E193" t="n">
        <v>16819560.51</v>
      </c>
      <c r="F193" t="n">
        <v>100951976.91</v>
      </c>
      <c r="G193" t="n">
        <v>3706.09</v>
      </c>
      <c r="H193" t="n">
        <v>3706.09</v>
      </c>
      <c r="I193" t="n">
        <v>616.1444</v>
      </c>
      <c r="J193" t="n">
        <v>447.2838</v>
      </c>
      <c r="K193" t="n">
        <v>2600.8481</v>
      </c>
      <c r="L193" t="n">
        <v>2020</v>
      </c>
      <c r="M193" t="n">
        <v>2035</v>
      </c>
      <c r="N193" t="n">
        <v>0.668</v>
      </c>
      <c r="O193" t="n">
        <v>0.2613</v>
      </c>
      <c r="P193" t="n">
        <v>2019</v>
      </c>
      <c r="Q193" t="n">
        <v>2040</v>
      </c>
      <c r="R193" t="n">
        <v>0.4616</v>
      </c>
      <c r="S193" t="n">
        <v>591.6386</v>
      </c>
      <c r="T193" t="n">
        <v>0.00022349</v>
      </c>
      <c r="U193" t="n">
        <v>0.00047787</v>
      </c>
    </row>
    <row r="194">
      <c r="A194" t="inlineStr">
        <is>
          <t>SUP-0020</t>
        </is>
      </c>
      <c r="B194" t="inlineStr">
        <is>
          <t>Logistics Supplier 020</t>
        </is>
      </c>
      <c r="C194" t="inlineStr">
        <is>
          <t>Logistics</t>
        </is>
      </c>
      <c r="D194" t="n">
        <v>2017</v>
      </c>
      <c r="E194" t="n">
        <v>14927911.15</v>
      </c>
      <c r="F194" t="n">
        <v>102056225.65</v>
      </c>
      <c r="G194" t="n">
        <v>3110.4722</v>
      </c>
      <c r="H194" t="n">
        <v>3110.4722</v>
      </c>
      <c r="I194" t="n">
        <v>479.8663</v>
      </c>
      <c r="J194" t="n">
        <v>363.6482</v>
      </c>
      <c r="K194" t="n">
        <v>2119.0045</v>
      </c>
      <c r="L194" t="n">
        <v>2020</v>
      </c>
      <c r="M194" t="n">
        <v>2035</v>
      </c>
      <c r="N194" t="n">
        <v>0.668</v>
      </c>
      <c r="O194" t="n">
        <v>0.2613</v>
      </c>
      <c r="P194" t="n">
        <v>2019</v>
      </c>
      <c r="Q194" t="n">
        <v>2040</v>
      </c>
      <c r="R194" t="n">
        <v>0.4616</v>
      </c>
      <c r="S194" t="n">
        <v>591.6386</v>
      </c>
      <c r="T194" t="n">
        <v>0.00022349</v>
      </c>
      <c r="U194" t="n">
        <v>0.00047787</v>
      </c>
    </row>
    <row r="195">
      <c r="A195" t="inlineStr">
        <is>
          <t>SUP-0020</t>
        </is>
      </c>
      <c r="B195" t="inlineStr">
        <is>
          <t>Logistics Supplier 020</t>
        </is>
      </c>
      <c r="C195" t="inlineStr">
        <is>
          <t>Logistics</t>
        </is>
      </c>
      <c r="D195" t="n">
        <v>2018</v>
      </c>
      <c r="E195" t="n">
        <v>20355974.24</v>
      </c>
      <c r="F195" t="n">
        <v>115428040.27</v>
      </c>
      <c r="G195" t="n">
        <v>3481.464</v>
      </c>
      <c r="H195" t="n">
        <v>3481.464</v>
      </c>
      <c r="I195" t="n">
        <v>810.8945</v>
      </c>
      <c r="J195" t="n">
        <v>276.7852</v>
      </c>
      <c r="K195" t="n">
        <v>2274.6983</v>
      </c>
      <c r="L195" t="n">
        <v>2020</v>
      </c>
      <c r="M195" t="n">
        <v>2035</v>
      </c>
      <c r="N195" t="n">
        <v>0.668</v>
      </c>
      <c r="O195" t="n">
        <v>0.2613</v>
      </c>
      <c r="P195" t="n">
        <v>2019</v>
      </c>
      <c r="Q195" t="n">
        <v>2040</v>
      </c>
      <c r="R195" t="n">
        <v>0.4616</v>
      </c>
      <c r="S195" t="n">
        <v>591.6386</v>
      </c>
      <c r="T195" t="n">
        <v>0.00022349</v>
      </c>
      <c r="U195" t="n">
        <v>0.00047787</v>
      </c>
    </row>
    <row r="196">
      <c r="A196" t="inlineStr">
        <is>
          <t>SUP-0020</t>
        </is>
      </c>
      <c r="B196" t="inlineStr">
        <is>
          <t>Logistics Supplier 020</t>
        </is>
      </c>
      <c r="C196" t="inlineStr">
        <is>
          <t>Logistics</t>
        </is>
      </c>
      <c r="D196" t="n">
        <v>2019</v>
      </c>
      <c r="E196" t="n">
        <v>19269545.46</v>
      </c>
      <c r="F196" t="n">
        <v>132983686.64</v>
      </c>
      <c r="G196" t="n">
        <v>2853.2387</v>
      </c>
      <c r="H196" t="n">
        <v>2853.2387</v>
      </c>
      <c r="I196" t="n">
        <v>465.0825</v>
      </c>
      <c r="J196" t="n">
        <v>596.7748</v>
      </c>
      <c r="K196" t="n">
        <v>1833.9609</v>
      </c>
      <c r="L196" t="n">
        <v>2020</v>
      </c>
      <c r="M196" t="n">
        <v>2035</v>
      </c>
      <c r="N196" t="n">
        <v>0.668</v>
      </c>
      <c r="O196" t="n">
        <v>0.2613</v>
      </c>
      <c r="P196" t="n">
        <v>2019</v>
      </c>
      <c r="Q196" t="n">
        <v>2040</v>
      </c>
      <c r="R196" t="n">
        <v>0.4616</v>
      </c>
      <c r="S196" t="n">
        <v>591.6386</v>
      </c>
      <c r="T196" t="n">
        <v>0.00022349</v>
      </c>
      <c r="U196" t="n">
        <v>0.00047787</v>
      </c>
    </row>
    <row r="197">
      <c r="A197" t="inlineStr">
        <is>
          <t>SUP-0020</t>
        </is>
      </c>
      <c r="B197" t="inlineStr">
        <is>
          <t>Logistics Supplier 020</t>
        </is>
      </c>
      <c r="C197" t="inlineStr">
        <is>
          <t>Logistics</t>
        </is>
      </c>
      <c r="D197" t="n">
        <v>2020</v>
      </c>
      <c r="E197" t="n">
        <v>19826889.65</v>
      </c>
      <c r="F197" t="n">
        <v>168332883.14</v>
      </c>
      <c r="G197" t="n">
        <v>3133.1158</v>
      </c>
      <c r="H197" t="n">
        <v>3133.1158</v>
      </c>
      <c r="I197" t="n">
        <v>809.2578</v>
      </c>
      <c r="J197" t="n">
        <v>552.4873</v>
      </c>
      <c r="K197" t="n">
        <v>1960.0902</v>
      </c>
      <c r="L197" t="n">
        <v>2020</v>
      </c>
      <c r="M197" t="n">
        <v>2035</v>
      </c>
      <c r="N197" t="n">
        <v>0.668</v>
      </c>
      <c r="O197" t="n">
        <v>0.2613</v>
      </c>
      <c r="P197" t="n">
        <v>2019</v>
      </c>
      <c r="Q197" t="n">
        <v>2040</v>
      </c>
      <c r="R197" t="n">
        <v>0.4616</v>
      </c>
      <c r="S197" t="n">
        <v>591.6386</v>
      </c>
      <c r="T197" t="n">
        <v>0.00022349</v>
      </c>
      <c r="U197" t="n">
        <v>0.00047787</v>
      </c>
    </row>
    <row r="198">
      <c r="A198" t="inlineStr">
        <is>
          <t>SUP-0020</t>
        </is>
      </c>
      <c r="B198" t="inlineStr">
        <is>
          <t>Logistics Supplier 020</t>
        </is>
      </c>
      <c r="C198" t="inlineStr">
        <is>
          <t>Logistics</t>
        </is>
      </c>
      <c r="D198" t="n">
        <v>2021</v>
      </c>
      <c r="E198" t="n">
        <v>26660563.14</v>
      </c>
      <c r="F198" t="n">
        <v>149710155.19</v>
      </c>
      <c r="G198" t="n">
        <v>3108.732</v>
      </c>
      <c r="H198" t="n">
        <v>3108.732</v>
      </c>
      <c r="I198" t="n">
        <v>814.2219</v>
      </c>
      <c r="J198" t="n">
        <v>305.4906</v>
      </c>
      <c r="K198" t="n">
        <v>2122.8596</v>
      </c>
      <c r="L198" t="n">
        <v>2020</v>
      </c>
      <c r="M198" t="n">
        <v>2035</v>
      </c>
      <c r="N198" t="n">
        <v>0.668</v>
      </c>
      <c r="O198" t="n">
        <v>0.2613</v>
      </c>
      <c r="P198" t="n">
        <v>2019</v>
      </c>
      <c r="Q198" t="n">
        <v>2040</v>
      </c>
      <c r="R198" t="n">
        <v>0.4616</v>
      </c>
      <c r="S198" t="n">
        <v>591.6386</v>
      </c>
      <c r="T198" t="n">
        <v>0.00022349</v>
      </c>
      <c r="U198" t="n">
        <v>0.00047787</v>
      </c>
    </row>
    <row r="199">
      <c r="A199" t="inlineStr">
        <is>
          <t>SUP-0020</t>
        </is>
      </c>
      <c r="B199" t="inlineStr">
        <is>
          <t>Logistics Supplier 020</t>
        </is>
      </c>
      <c r="C199" t="inlineStr">
        <is>
          <t>Logistics</t>
        </is>
      </c>
      <c r="D199" t="n">
        <v>2022</v>
      </c>
      <c r="E199" t="n">
        <v>24939588.08</v>
      </c>
      <c r="F199" t="n">
        <v>154753318.7</v>
      </c>
      <c r="G199" t="n">
        <v>3414.0058</v>
      </c>
      <c r="H199" t="n">
        <v>3414.0058</v>
      </c>
      <c r="I199" t="n">
        <v>387.0745</v>
      </c>
      <c r="J199" t="n">
        <v>618.3887999999999</v>
      </c>
      <c r="K199" t="n">
        <v>2413.9488</v>
      </c>
      <c r="L199" t="n">
        <v>2020</v>
      </c>
      <c r="M199" t="n">
        <v>2035</v>
      </c>
      <c r="N199" t="n">
        <v>0.668</v>
      </c>
      <c r="O199" t="n">
        <v>0.2613</v>
      </c>
      <c r="P199" t="n">
        <v>2019</v>
      </c>
      <c r="Q199" t="n">
        <v>2040</v>
      </c>
      <c r="R199" t="n">
        <v>0.4616</v>
      </c>
      <c r="S199" t="n">
        <v>591.6386</v>
      </c>
      <c r="T199" t="n">
        <v>0.00022349</v>
      </c>
      <c r="U199" t="n">
        <v>0.00047787</v>
      </c>
    </row>
    <row r="200">
      <c r="A200" t="inlineStr">
        <is>
          <t>SUP-0020</t>
        </is>
      </c>
      <c r="B200" t="inlineStr">
        <is>
          <t>Logistics Supplier 020</t>
        </is>
      </c>
      <c r="C200" t="inlineStr">
        <is>
          <t>Logistics</t>
        </is>
      </c>
      <c r="D200" t="n">
        <v>2023</v>
      </c>
      <c r="E200" t="n">
        <v>24539327.17</v>
      </c>
      <c r="F200" t="n">
        <v>202551178.46</v>
      </c>
      <c r="G200" t="n">
        <v>4268.9436</v>
      </c>
      <c r="H200" t="n">
        <v>4268.9436</v>
      </c>
      <c r="I200" t="n">
        <v>558.3005000000001</v>
      </c>
      <c r="J200" t="n">
        <v>565.1122</v>
      </c>
      <c r="K200" t="n">
        <v>3206.3475</v>
      </c>
      <c r="L200" t="n">
        <v>2020</v>
      </c>
      <c r="M200" t="n">
        <v>2035</v>
      </c>
      <c r="N200" t="n">
        <v>0.668</v>
      </c>
      <c r="O200" t="n">
        <v>0.2613</v>
      </c>
      <c r="P200" t="n">
        <v>2019</v>
      </c>
      <c r="Q200" t="n">
        <v>2040</v>
      </c>
      <c r="R200" t="n">
        <v>0.4616</v>
      </c>
      <c r="S200" t="n">
        <v>591.6386</v>
      </c>
      <c r="T200" t="n">
        <v>0.00022349</v>
      </c>
      <c r="U200" t="n">
        <v>0.00047787</v>
      </c>
    </row>
    <row r="201">
      <c r="A201" t="inlineStr">
        <is>
          <t>SUP-0020</t>
        </is>
      </c>
      <c r="B201" t="inlineStr">
        <is>
          <t>Logistics Supplier 020</t>
        </is>
      </c>
      <c r="C201" t="inlineStr">
        <is>
          <t>Logistics</t>
        </is>
      </c>
      <c r="D201" t="n">
        <v>2024</v>
      </c>
      <c r="E201" t="n">
        <v>28872722.48</v>
      </c>
      <c r="F201" t="n">
        <v>176082919.37</v>
      </c>
      <c r="G201" t="n">
        <v>3896.7543</v>
      </c>
      <c r="H201" t="n">
        <v>3896.7543</v>
      </c>
      <c r="I201" t="n">
        <v>571.8148</v>
      </c>
      <c r="J201" t="n">
        <v>731.9186</v>
      </c>
      <c r="K201" t="n">
        <v>2469.7873</v>
      </c>
      <c r="L201" t="n">
        <v>2020</v>
      </c>
      <c r="M201" t="n">
        <v>2035</v>
      </c>
      <c r="N201" t="n">
        <v>0.668</v>
      </c>
      <c r="O201" t="n">
        <v>0.2613</v>
      </c>
      <c r="P201" t="n">
        <v>2019</v>
      </c>
      <c r="Q201" t="n">
        <v>2040</v>
      </c>
      <c r="R201" t="n">
        <v>0.4616</v>
      </c>
      <c r="S201" t="n">
        <v>591.6386</v>
      </c>
      <c r="T201" t="n">
        <v>0.00022349</v>
      </c>
      <c r="U201" t="n">
        <v>0.00047787</v>
      </c>
    </row>
    <row r="202">
      <c r="A202" t="inlineStr">
        <is>
          <t>SUP-0021</t>
        </is>
      </c>
      <c r="B202" t="inlineStr">
        <is>
          <t>Textiles Supplier 021</t>
        </is>
      </c>
      <c r="C202" t="inlineStr">
        <is>
          <t>Textiles</t>
        </is>
      </c>
      <c r="D202" t="n">
        <v>2015</v>
      </c>
      <c r="E202" t="n">
        <v>6392089.25</v>
      </c>
      <c r="F202" t="n">
        <v>38559902.55</v>
      </c>
      <c r="G202" t="n">
        <v>2699.1645</v>
      </c>
      <c r="H202" t="n">
        <v>2699.1645</v>
      </c>
      <c r="I202" t="n">
        <v>470.7515</v>
      </c>
      <c r="J202" t="n">
        <v>440.56</v>
      </c>
      <c r="K202" t="n">
        <v>1642.4406</v>
      </c>
      <c r="L202" t="n">
        <v>2018</v>
      </c>
      <c r="M202" t="n">
        <v>2030</v>
      </c>
      <c r="N202" t="n">
        <v>0.4825</v>
      </c>
      <c r="O202" t="n">
        <v>0.2517</v>
      </c>
      <c r="P202" t="n">
        <v>2019</v>
      </c>
      <c r="Q202" t="n">
        <v>2030</v>
      </c>
      <c r="R202" t="n">
        <v>0.3171</v>
      </c>
      <c r="S202" t="n">
        <v>401.7335</v>
      </c>
      <c r="T202" t="n">
        <v>0.00029221</v>
      </c>
      <c r="U202" t="n">
        <v>0.00017343</v>
      </c>
    </row>
    <row r="203">
      <c r="A203" t="inlineStr">
        <is>
          <t>SUP-0021</t>
        </is>
      </c>
      <c r="B203" t="inlineStr">
        <is>
          <t>Textiles Supplier 021</t>
        </is>
      </c>
      <c r="C203" t="inlineStr">
        <is>
          <t>Textiles</t>
        </is>
      </c>
      <c r="D203" t="n">
        <v>2016</v>
      </c>
      <c r="E203" t="n">
        <v>5726914.02</v>
      </c>
      <c r="F203" t="n">
        <v>34789295.99</v>
      </c>
      <c r="G203" t="n">
        <v>2198.746</v>
      </c>
      <c r="H203" t="n">
        <v>2198.746</v>
      </c>
      <c r="I203" t="n">
        <v>611.4398</v>
      </c>
      <c r="J203" t="n">
        <v>189.1185</v>
      </c>
      <c r="K203" t="n">
        <v>1432.1347</v>
      </c>
      <c r="L203" t="n">
        <v>2018</v>
      </c>
      <c r="M203" t="n">
        <v>2030</v>
      </c>
      <c r="N203" t="n">
        <v>0.4825</v>
      </c>
      <c r="O203" t="n">
        <v>0.2517</v>
      </c>
      <c r="P203" t="n">
        <v>2019</v>
      </c>
      <c r="Q203" t="n">
        <v>2030</v>
      </c>
      <c r="R203" t="n">
        <v>0.3171</v>
      </c>
      <c r="S203" t="n">
        <v>401.7335</v>
      </c>
      <c r="T203" t="n">
        <v>0.00029221</v>
      </c>
      <c r="U203" t="n">
        <v>0.00017343</v>
      </c>
    </row>
    <row r="204">
      <c r="A204" t="inlineStr">
        <is>
          <t>SUP-0021</t>
        </is>
      </c>
      <c r="B204" t="inlineStr">
        <is>
          <t>Textiles Supplier 021</t>
        </is>
      </c>
      <c r="C204" t="inlineStr">
        <is>
          <t>Textiles</t>
        </is>
      </c>
      <c r="D204" t="n">
        <v>2017</v>
      </c>
      <c r="E204" t="n">
        <v>5455132.56</v>
      </c>
      <c r="F204" t="n">
        <v>32944362.66</v>
      </c>
      <c r="G204" t="n">
        <v>1801.5371</v>
      </c>
      <c r="H204" t="n">
        <v>1801.5371</v>
      </c>
      <c r="I204" t="n">
        <v>200.4707</v>
      </c>
      <c r="J204" t="n">
        <v>153.1774</v>
      </c>
      <c r="K204" t="n">
        <v>1637.2568</v>
      </c>
      <c r="L204" t="n">
        <v>2018</v>
      </c>
      <c r="M204" t="n">
        <v>2030</v>
      </c>
      <c r="N204" t="n">
        <v>0.4825</v>
      </c>
      <c r="O204" t="n">
        <v>0.2517</v>
      </c>
      <c r="P204" t="n">
        <v>2019</v>
      </c>
      <c r="Q204" t="n">
        <v>2030</v>
      </c>
      <c r="R204" t="n">
        <v>0.3171</v>
      </c>
      <c r="S204" t="n">
        <v>401.7335</v>
      </c>
      <c r="T204" t="n">
        <v>0.00029221</v>
      </c>
      <c r="U204" t="n">
        <v>0.00017343</v>
      </c>
    </row>
    <row r="205">
      <c r="A205" t="inlineStr">
        <is>
          <t>SUP-0021</t>
        </is>
      </c>
      <c r="B205" t="inlineStr">
        <is>
          <t>Textiles Supplier 021</t>
        </is>
      </c>
      <c r="C205" t="inlineStr">
        <is>
          <t>Textiles</t>
        </is>
      </c>
      <c r="D205" t="n">
        <v>2018</v>
      </c>
      <c r="E205" t="n">
        <v>5152368.7</v>
      </c>
      <c r="F205" t="n">
        <v>32682807.82</v>
      </c>
      <c r="G205" t="n">
        <v>1637.445</v>
      </c>
      <c r="H205" t="n">
        <v>1637.445</v>
      </c>
      <c r="I205" t="n">
        <v>231.4642</v>
      </c>
      <c r="J205" t="n">
        <v>286.3204</v>
      </c>
      <c r="K205" t="n">
        <v>955.4575</v>
      </c>
      <c r="L205" t="n">
        <v>2018</v>
      </c>
      <c r="M205" t="n">
        <v>2030</v>
      </c>
      <c r="N205" t="n">
        <v>0.4825</v>
      </c>
      <c r="O205" t="n">
        <v>0.2517</v>
      </c>
      <c r="P205" t="n">
        <v>2019</v>
      </c>
      <c r="Q205" t="n">
        <v>2030</v>
      </c>
      <c r="R205" t="n">
        <v>0.3171</v>
      </c>
      <c r="S205" t="n">
        <v>401.7335</v>
      </c>
      <c r="T205" t="n">
        <v>0.00029221</v>
      </c>
      <c r="U205" t="n">
        <v>0.00017343</v>
      </c>
    </row>
    <row r="206">
      <c r="A206" t="inlineStr">
        <is>
          <t>SUP-0021</t>
        </is>
      </c>
      <c r="B206" t="inlineStr">
        <is>
          <t>Textiles Supplier 021</t>
        </is>
      </c>
      <c r="C206" t="inlineStr">
        <is>
          <t>Textiles</t>
        </is>
      </c>
      <c r="D206" t="n">
        <v>2019</v>
      </c>
      <c r="E206" t="n">
        <v>5284885.05</v>
      </c>
      <c r="F206" t="n">
        <v>30701259.56</v>
      </c>
      <c r="G206" t="n">
        <v>1439.1483</v>
      </c>
      <c r="H206" t="n">
        <v>1439.1483</v>
      </c>
      <c r="I206" t="n">
        <v>363.0174</v>
      </c>
      <c r="J206" t="n">
        <v>318.7144</v>
      </c>
      <c r="K206" t="n">
        <v>828.9106</v>
      </c>
      <c r="L206" t="n">
        <v>2018</v>
      </c>
      <c r="M206" t="n">
        <v>2030</v>
      </c>
      <c r="N206" t="n">
        <v>0.4825</v>
      </c>
      <c r="O206" t="n">
        <v>0.2517</v>
      </c>
      <c r="P206" t="n">
        <v>2019</v>
      </c>
      <c r="Q206" t="n">
        <v>2030</v>
      </c>
      <c r="R206" t="n">
        <v>0.3171</v>
      </c>
      <c r="S206" t="n">
        <v>401.7335</v>
      </c>
      <c r="T206" t="n">
        <v>0.00029221</v>
      </c>
      <c r="U206" t="n">
        <v>0.00017343</v>
      </c>
    </row>
    <row r="207">
      <c r="A207" t="inlineStr">
        <is>
          <t>SUP-0021</t>
        </is>
      </c>
      <c r="B207" t="inlineStr">
        <is>
          <t>Textiles Supplier 021</t>
        </is>
      </c>
      <c r="C207" t="inlineStr">
        <is>
          <t>Textiles</t>
        </is>
      </c>
      <c r="D207" t="n">
        <v>2020</v>
      </c>
      <c r="E207" t="n">
        <v>5611368.32</v>
      </c>
      <c r="F207" t="n">
        <v>30834914.46</v>
      </c>
      <c r="G207" t="n">
        <v>1787.662</v>
      </c>
      <c r="H207" t="n">
        <v>1787.662</v>
      </c>
      <c r="I207" t="n">
        <v>221.1469</v>
      </c>
      <c r="J207" t="n">
        <v>129.9472</v>
      </c>
      <c r="K207" t="n">
        <v>1548.2307</v>
      </c>
      <c r="L207" t="n">
        <v>2018</v>
      </c>
      <c r="M207" t="n">
        <v>2030</v>
      </c>
      <c r="N207" t="n">
        <v>0.4825</v>
      </c>
      <c r="O207" t="n">
        <v>0.2517</v>
      </c>
      <c r="P207" t="n">
        <v>2019</v>
      </c>
      <c r="Q207" t="n">
        <v>2030</v>
      </c>
      <c r="R207" t="n">
        <v>0.3171</v>
      </c>
      <c r="S207" t="n">
        <v>401.7335</v>
      </c>
      <c r="T207" t="n">
        <v>0.00029221</v>
      </c>
      <c r="U207" t="n">
        <v>0.00017343</v>
      </c>
    </row>
    <row r="208">
      <c r="A208" t="inlineStr">
        <is>
          <t>SUP-0021</t>
        </is>
      </c>
      <c r="B208" t="inlineStr">
        <is>
          <t>Textiles Supplier 021</t>
        </is>
      </c>
      <c r="C208" t="inlineStr">
        <is>
          <t>Textiles</t>
        </is>
      </c>
      <c r="D208" t="n">
        <v>2021</v>
      </c>
      <c r="E208" t="n">
        <v>5521619.15</v>
      </c>
      <c r="F208" t="n">
        <v>28600789.2</v>
      </c>
      <c r="G208" t="n">
        <v>1677.4609</v>
      </c>
      <c r="H208" t="n">
        <v>1677.4609</v>
      </c>
      <c r="I208" t="n">
        <v>241.9544</v>
      </c>
      <c r="J208" t="n">
        <v>283.0725</v>
      </c>
      <c r="K208" t="n">
        <v>1131.4733</v>
      </c>
      <c r="L208" t="n">
        <v>2018</v>
      </c>
      <c r="M208" t="n">
        <v>2030</v>
      </c>
      <c r="N208" t="n">
        <v>0.4825</v>
      </c>
      <c r="O208" t="n">
        <v>0.2517</v>
      </c>
      <c r="P208" t="n">
        <v>2019</v>
      </c>
      <c r="Q208" t="n">
        <v>2030</v>
      </c>
      <c r="R208" t="n">
        <v>0.3171</v>
      </c>
      <c r="S208" t="n">
        <v>401.7335</v>
      </c>
      <c r="T208" t="n">
        <v>0.00029221</v>
      </c>
      <c r="U208" t="n">
        <v>0.00017343</v>
      </c>
    </row>
    <row r="209">
      <c r="A209" t="inlineStr">
        <is>
          <t>SUP-0021</t>
        </is>
      </c>
      <c r="B209" t="inlineStr">
        <is>
          <t>Textiles Supplier 021</t>
        </is>
      </c>
      <c r="C209" t="inlineStr">
        <is>
          <t>Textiles</t>
        </is>
      </c>
      <c r="D209" t="n">
        <v>2022</v>
      </c>
      <c r="E209" t="n">
        <v>4763731.94</v>
      </c>
      <c r="F209" t="n">
        <v>32917986.02</v>
      </c>
      <c r="G209" t="n">
        <v>1012.5026</v>
      </c>
      <c r="H209" t="n">
        <v>1012.5026</v>
      </c>
      <c r="I209" t="n">
        <v>130.1267</v>
      </c>
      <c r="J209" t="n">
        <v>139.0924</v>
      </c>
      <c r="K209" t="n">
        <v>773.2897</v>
      </c>
      <c r="L209" t="n">
        <v>2018</v>
      </c>
      <c r="M209" t="n">
        <v>2030</v>
      </c>
      <c r="N209" t="n">
        <v>0.4825</v>
      </c>
      <c r="O209" t="n">
        <v>0.2517</v>
      </c>
      <c r="P209" t="n">
        <v>2019</v>
      </c>
      <c r="Q209" t="n">
        <v>2030</v>
      </c>
      <c r="R209" t="n">
        <v>0.3171</v>
      </c>
      <c r="S209" t="n">
        <v>401.7335</v>
      </c>
      <c r="T209" t="n">
        <v>0.00029221</v>
      </c>
      <c r="U209" t="n">
        <v>0.00017343</v>
      </c>
    </row>
    <row r="210">
      <c r="A210" t="inlineStr">
        <is>
          <t>SUP-0021</t>
        </is>
      </c>
      <c r="B210" t="inlineStr">
        <is>
          <t>Textiles Supplier 021</t>
        </is>
      </c>
      <c r="C210" t="inlineStr">
        <is>
          <t>Textiles</t>
        </is>
      </c>
      <c r="D210" t="n">
        <v>2023</v>
      </c>
      <c r="E210" t="n">
        <v>4711664.55</v>
      </c>
      <c r="F210" t="n">
        <v>38380495.16</v>
      </c>
      <c r="G210" t="n">
        <v>1341.5257</v>
      </c>
      <c r="H210" t="n">
        <v>1341.5257</v>
      </c>
      <c r="I210" t="n">
        <v>302.7368</v>
      </c>
      <c r="J210" t="n">
        <v>177.6983</v>
      </c>
      <c r="K210" t="n">
        <v>816.4175</v>
      </c>
      <c r="L210" t="n">
        <v>2018</v>
      </c>
      <c r="M210" t="n">
        <v>2030</v>
      </c>
      <c r="N210" t="n">
        <v>0.4825</v>
      </c>
      <c r="O210" t="n">
        <v>0.2517</v>
      </c>
      <c r="P210" t="n">
        <v>2019</v>
      </c>
      <c r="Q210" t="n">
        <v>2030</v>
      </c>
      <c r="R210" t="n">
        <v>0.3171</v>
      </c>
      <c r="S210" t="n">
        <v>401.7335</v>
      </c>
      <c r="T210" t="n">
        <v>0.00029221</v>
      </c>
      <c r="U210" t="n">
        <v>0.00017343</v>
      </c>
    </row>
    <row r="211">
      <c r="A211" t="inlineStr">
        <is>
          <t>SUP-0021</t>
        </is>
      </c>
      <c r="B211" t="inlineStr">
        <is>
          <t>Textiles Supplier 021</t>
        </is>
      </c>
      <c r="C211" t="inlineStr">
        <is>
          <t>Textiles</t>
        </is>
      </c>
      <c r="D211" t="n">
        <v>2024</v>
      </c>
      <c r="E211" t="n">
        <v>4926592.51</v>
      </c>
      <c r="F211" t="n">
        <v>36793939.37</v>
      </c>
      <c r="G211" t="n">
        <v>1191.0759</v>
      </c>
      <c r="H211" t="n">
        <v>1191.0759</v>
      </c>
      <c r="I211" t="n">
        <v>189.308</v>
      </c>
      <c r="J211" t="n">
        <v>165.6905</v>
      </c>
      <c r="K211" t="n">
        <v>876.3218000000001</v>
      </c>
      <c r="L211" t="n">
        <v>2018</v>
      </c>
      <c r="M211" t="n">
        <v>2030</v>
      </c>
      <c r="N211" t="n">
        <v>0.4825</v>
      </c>
      <c r="O211" t="n">
        <v>0.2517</v>
      </c>
      <c r="P211" t="n">
        <v>2019</v>
      </c>
      <c r="Q211" t="n">
        <v>2030</v>
      </c>
      <c r="R211" t="n">
        <v>0.3171</v>
      </c>
      <c r="S211" t="n">
        <v>401.7335</v>
      </c>
      <c r="T211" t="n">
        <v>0.00029221</v>
      </c>
      <c r="U211" t="n">
        <v>0.00017343</v>
      </c>
    </row>
    <row r="212">
      <c r="A212" t="inlineStr">
        <is>
          <t>SUP-0022</t>
        </is>
      </c>
      <c r="B212" t="inlineStr">
        <is>
          <t>Chemicals Supplier 022</t>
        </is>
      </c>
      <c r="C212" t="inlineStr">
        <is>
          <t>Chemicals</t>
        </is>
      </c>
      <c r="D212" t="n">
        <v>2015</v>
      </c>
      <c r="E212" t="n">
        <v>17332742.06</v>
      </c>
      <c r="F212" t="n">
        <v>64124115.12</v>
      </c>
      <c r="G212" t="n">
        <v>22441.9259</v>
      </c>
      <c r="H212" t="n">
        <v>22441.9259</v>
      </c>
      <c r="I212" t="n">
        <v>2134.6236</v>
      </c>
      <c r="J212" t="n">
        <v>2570.43</v>
      </c>
      <c r="K212" t="n">
        <v>16207.623</v>
      </c>
      <c r="L212" t="inlineStr"/>
      <c r="M212" t="inlineStr"/>
      <c r="N212" t="inlineStr"/>
      <c r="O212" t="inlineStr"/>
      <c r="P212" t="n">
        <v>2019</v>
      </c>
      <c r="Q212" t="n">
        <v>2035</v>
      </c>
      <c r="R212" t="n">
        <v>0.5229</v>
      </c>
      <c r="S212" t="n">
        <v>506.3191</v>
      </c>
      <c r="T212" t="n">
        <v>0.00100149</v>
      </c>
      <c r="U212" t="n">
        <v>0.00047124</v>
      </c>
    </row>
    <row r="213">
      <c r="A213" t="inlineStr">
        <is>
          <t>SUP-0022</t>
        </is>
      </c>
      <c r="B213" t="inlineStr">
        <is>
          <t>Chemicals Supplier 022</t>
        </is>
      </c>
      <c r="C213" t="inlineStr">
        <is>
          <t>Chemicals</t>
        </is>
      </c>
      <c r="D213" t="n">
        <v>2016</v>
      </c>
      <c r="E213" t="n">
        <v>17364243.59</v>
      </c>
      <c r="F213" t="n">
        <v>58836178.49</v>
      </c>
      <c r="G213" t="n">
        <v>18561.6056</v>
      </c>
      <c r="H213" t="n">
        <v>18561.6056</v>
      </c>
      <c r="I213" t="n">
        <v>2617.2221</v>
      </c>
      <c r="J213" t="n">
        <v>2449.2969</v>
      </c>
      <c r="K213" t="n">
        <v>14371.7664</v>
      </c>
      <c r="L213" t="inlineStr"/>
      <c r="M213" t="inlineStr"/>
      <c r="N213" t="inlineStr"/>
      <c r="O213" t="inlineStr"/>
      <c r="P213" t="n">
        <v>2019</v>
      </c>
      <c r="Q213" t="n">
        <v>2035</v>
      </c>
      <c r="R213" t="n">
        <v>0.5229</v>
      </c>
      <c r="S213" t="n">
        <v>506.3191</v>
      </c>
      <c r="T213" t="n">
        <v>0.00100149</v>
      </c>
      <c r="U213" t="n">
        <v>0.00047124</v>
      </c>
    </row>
    <row r="214">
      <c r="A214" t="inlineStr">
        <is>
          <t>SUP-0022</t>
        </is>
      </c>
      <c r="B214" t="inlineStr">
        <is>
          <t>Chemicals Supplier 022</t>
        </is>
      </c>
      <c r="C214" t="inlineStr">
        <is>
          <t>Chemicals</t>
        </is>
      </c>
      <c r="D214" t="n">
        <v>2017</v>
      </c>
      <c r="E214" t="n">
        <v>18458371.29</v>
      </c>
      <c r="F214" t="n">
        <v>80994594.97</v>
      </c>
      <c r="G214" t="n">
        <v>19516.0428</v>
      </c>
      <c r="H214" t="n">
        <v>19516.0428</v>
      </c>
      <c r="I214" t="n">
        <v>1494.5058</v>
      </c>
      <c r="J214" t="n">
        <v>3829.4015</v>
      </c>
      <c r="K214" t="n">
        <v>12761.4443</v>
      </c>
      <c r="L214" t="inlineStr"/>
      <c r="M214" t="inlineStr"/>
      <c r="N214" t="inlineStr"/>
      <c r="O214" t="inlineStr"/>
      <c r="P214" t="n">
        <v>2019</v>
      </c>
      <c r="Q214" t="n">
        <v>2035</v>
      </c>
      <c r="R214" t="n">
        <v>0.5229</v>
      </c>
      <c r="S214" t="n">
        <v>506.3191</v>
      </c>
      <c r="T214" t="n">
        <v>0.00100149</v>
      </c>
      <c r="U214" t="n">
        <v>0.00047124</v>
      </c>
    </row>
    <row r="215">
      <c r="A215" t="inlineStr">
        <is>
          <t>SUP-0022</t>
        </is>
      </c>
      <c r="B215" t="inlineStr">
        <is>
          <t>Chemicals Supplier 022</t>
        </is>
      </c>
      <c r="C215" t="inlineStr">
        <is>
          <t>Chemicals</t>
        </is>
      </c>
      <c r="D215" t="n">
        <v>2018</v>
      </c>
      <c r="E215" t="n">
        <v>15468200.03</v>
      </c>
      <c r="F215" t="n">
        <v>103313057.5</v>
      </c>
      <c r="G215" t="n">
        <v>16715.6599</v>
      </c>
      <c r="H215" t="n">
        <v>16715.6599</v>
      </c>
      <c r="I215" t="n">
        <v>4361.1766</v>
      </c>
      <c r="J215" t="n">
        <v>1537.4006</v>
      </c>
      <c r="K215" t="n">
        <v>10309.2537</v>
      </c>
      <c r="L215" t="inlineStr"/>
      <c r="M215" t="inlineStr"/>
      <c r="N215" t="inlineStr"/>
      <c r="O215" t="inlineStr"/>
      <c r="P215" t="n">
        <v>2019</v>
      </c>
      <c r="Q215" t="n">
        <v>2035</v>
      </c>
      <c r="R215" t="n">
        <v>0.5229</v>
      </c>
      <c r="S215" t="n">
        <v>506.3191</v>
      </c>
      <c r="T215" t="n">
        <v>0.00100149</v>
      </c>
      <c r="U215" t="n">
        <v>0.00047124</v>
      </c>
    </row>
    <row r="216">
      <c r="A216" t="inlineStr">
        <is>
          <t>SUP-0022</t>
        </is>
      </c>
      <c r="B216" t="inlineStr">
        <is>
          <t>Chemicals Supplier 022</t>
        </is>
      </c>
      <c r="C216" t="inlineStr">
        <is>
          <t>Chemicals</t>
        </is>
      </c>
      <c r="D216" t="n">
        <v>2019</v>
      </c>
      <c r="E216" t="n">
        <v>20039702.87</v>
      </c>
      <c r="F216" t="n">
        <v>78962860.08</v>
      </c>
      <c r="G216" t="n">
        <v>22404.8985</v>
      </c>
      <c r="H216" t="n">
        <v>22404.8985</v>
      </c>
      <c r="I216" t="n">
        <v>6409.6901</v>
      </c>
      <c r="J216" t="n">
        <v>1555.1787</v>
      </c>
      <c r="K216" t="n">
        <v>14594.2431</v>
      </c>
      <c r="L216" t="inlineStr"/>
      <c r="M216" t="inlineStr"/>
      <c r="N216" t="inlineStr"/>
      <c r="O216" t="inlineStr"/>
      <c r="P216" t="n">
        <v>2019</v>
      </c>
      <c r="Q216" t="n">
        <v>2035</v>
      </c>
      <c r="R216" t="n">
        <v>0.5229</v>
      </c>
      <c r="S216" t="n">
        <v>506.3191</v>
      </c>
      <c r="T216" t="n">
        <v>0.00100149</v>
      </c>
      <c r="U216" t="n">
        <v>0.00047124</v>
      </c>
    </row>
    <row r="217">
      <c r="A217" t="inlineStr">
        <is>
          <t>SUP-0022</t>
        </is>
      </c>
      <c r="B217" t="inlineStr">
        <is>
          <t>Chemicals Supplier 022</t>
        </is>
      </c>
      <c r="C217" t="inlineStr">
        <is>
          <t>Chemicals</t>
        </is>
      </c>
      <c r="D217" t="n">
        <v>2020</v>
      </c>
      <c r="E217" t="n">
        <v>19924582.33</v>
      </c>
      <c r="F217" t="n">
        <v>82554582.64</v>
      </c>
      <c r="G217" t="n">
        <v>22387.9323</v>
      </c>
      <c r="H217" t="n">
        <v>22387.9323</v>
      </c>
      <c r="I217" t="n">
        <v>2912.2664</v>
      </c>
      <c r="J217" t="n">
        <v>4305.6962</v>
      </c>
      <c r="K217" t="n">
        <v>15852.4029</v>
      </c>
      <c r="L217" t="inlineStr"/>
      <c r="M217" t="inlineStr"/>
      <c r="N217" t="inlineStr"/>
      <c r="O217" t="inlineStr"/>
      <c r="P217" t="n">
        <v>2019</v>
      </c>
      <c r="Q217" t="n">
        <v>2035</v>
      </c>
      <c r="R217" t="n">
        <v>0.5229</v>
      </c>
      <c r="S217" t="n">
        <v>506.3191</v>
      </c>
      <c r="T217" t="n">
        <v>0.00100149</v>
      </c>
      <c r="U217" t="n">
        <v>0.00047124</v>
      </c>
    </row>
    <row r="218">
      <c r="A218" t="inlineStr">
        <is>
          <t>SUP-0022</t>
        </is>
      </c>
      <c r="B218" t="inlineStr">
        <is>
          <t>Chemicals Supplier 022</t>
        </is>
      </c>
      <c r="C218" t="inlineStr">
        <is>
          <t>Chemicals</t>
        </is>
      </c>
      <c r="D218" t="n">
        <v>2021</v>
      </c>
      <c r="E218" t="n">
        <v>18691228.39</v>
      </c>
      <c r="F218" t="n">
        <v>75521290.45999999</v>
      </c>
      <c r="G218" t="n">
        <v>17727.2344</v>
      </c>
      <c r="H218" t="n">
        <v>17727.2344</v>
      </c>
      <c r="I218" t="n">
        <v>4112.1125</v>
      </c>
      <c r="J218" t="n">
        <v>2589.9687</v>
      </c>
      <c r="K218" t="n">
        <v>10516.8646</v>
      </c>
      <c r="L218" t="inlineStr"/>
      <c r="M218" t="inlineStr"/>
      <c r="N218" t="inlineStr"/>
      <c r="O218" t="inlineStr"/>
      <c r="P218" t="n">
        <v>2019</v>
      </c>
      <c r="Q218" t="n">
        <v>2035</v>
      </c>
      <c r="R218" t="n">
        <v>0.5229</v>
      </c>
      <c r="S218" t="n">
        <v>506.3191</v>
      </c>
      <c r="T218" t="n">
        <v>0.00100149</v>
      </c>
      <c r="U218" t="n">
        <v>0.00047124</v>
      </c>
    </row>
    <row r="219">
      <c r="A219" t="inlineStr">
        <is>
          <t>SUP-0022</t>
        </is>
      </c>
      <c r="B219" t="inlineStr">
        <is>
          <t>Chemicals Supplier 022</t>
        </is>
      </c>
      <c r="C219" t="inlineStr">
        <is>
          <t>Chemicals</t>
        </is>
      </c>
      <c r="D219" t="n">
        <v>2022</v>
      </c>
      <c r="E219" t="n">
        <v>19794301.06</v>
      </c>
      <c r="F219" t="n">
        <v>107144434.19</v>
      </c>
      <c r="G219" t="n">
        <v>16194.2977</v>
      </c>
      <c r="H219" t="n">
        <v>16194.2977</v>
      </c>
      <c r="I219" t="n">
        <v>2327.3291</v>
      </c>
      <c r="J219" t="n">
        <v>1265.3068</v>
      </c>
      <c r="K219" t="n">
        <v>12470.5023</v>
      </c>
      <c r="L219" t="inlineStr"/>
      <c r="M219" t="inlineStr"/>
      <c r="N219" t="inlineStr"/>
      <c r="O219" t="inlineStr"/>
      <c r="P219" t="n">
        <v>2019</v>
      </c>
      <c r="Q219" t="n">
        <v>2035</v>
      </c>
      <c r="R219" t="n">
        <v>0.5229</v>
      </c>
      <c r="S219" t="n">
        <v>506.3191</v>
      </c>
      <c r="T219" t="n">
        <v>0.00100149</v>
      </c>
      <c r="U219" t="n">
        <v>0.00047124</v>
      </c>
    </row>
    <row r="220">
      <c r="A220" t="inlineStr">
        <is>
          <t>SUP-0022</t>
        </is>
      </c>
      <c r="B220" t="inlineStr">
        <is>
          <t>Chemicals Supplier 022</t>
        </is>
      </c>
      <c r="C220" t="inlineStr">
        <is>
          <t>Chemicals</t>
        </is>
      </c>
      <c r="D220" t="n">
        <v>2023</v>
      </c>
      <c r="E220" t="n">
        <v>18841547.16</v>
      </c>
      <c r="F220" t="n">
        <v>83664839.29000001</v>
      </c>
      <c r="G220" t="n">
        <v>21734.171</v>
      </c>
      <c r="H220" t="n">
        <v>21734.171</v>
      </c>
      <c r="I220" t="n">
        <v>3191.3429</v>
      </c>
      <c r="J220" t="n">
        <v>3998.248</v>
      </c>
      <c r="K220" t="n">
        <v>14343.5866</v>
      </c>
      <c r="L220" t="inlineStr"/>
      <c r="M220" t="inlineStr"/>
      <c r="N220" t="inlineStr"/>
      <c r="O220" t="inlineStr"/>
      <c r="P220" t="n">
        <v>2019</v>
      </c>
      <c r="Q220" t="n">
        <v>2035</v>
      </c>
      <c r="R220" t="n">
        <v>0.5229</v>
      </c>
      <c r="S220" t="n">
        <v>506.3191</v>
      </c>
      <c r="T220" t="n">
        <v>0.00100149</v>
      </c>
      <c r="U220" t="n">
        <v>0.00047124</v>
      </c>
    </row>
    <row r="221">
      <c r="A221" t="inlineStr">
        <is>
          <t>SUP-0022</t>
        </is>
      </c>
      <c r="B221" t="inlineStr">
        <is>
          <t>Chemicals Supplier 022</t>
        </is>
      </c>
      <c r="C221" t="inlineStr">
        <is>
          <t>Chemicals</t>
        </is>
      </c>
      <c r="D221" t="n">
        <v>2024</v>
      </c>
      <c r="E221" t="n">
        <v>20030017.08</v>
      </c>
      <c r="F221" t="n">
        <v>88354497.29000001</v>
      </c>
      <c r="G221" t="n">
        <v>20122.7364</v>
      </c>
      <c r="H221" t="n">
        <v>20122.7364</v>
      </c>
      <c r="I221" t="n">
        <v>2114.3888</v>
      </c>
      <c r="J221" t="n">
        <v>1174.6508</v>
      </c>
      <c r="K221" t="n">
        <v>15427.4638</v>
      </c>
      <c r="L221" t="inlineStr"/>
      <c r="M221" t="inlineStr"/>
      <c r="N221" t="inlineStr"/>
      <c r="O221" t="inlineStr"/>
      <c r="P221" t="n">
        <v>2019</v>
      </c>
      <c r="Q221" t="n">
        <v>2035</v>
      </c>
      <c r="R221" t="n">
        <v>0.5229</v>
      </c>
      <c r="S221" t="n">
        <v>506.3191</v>
      </c>
      <c r="T221" t="n">
        <v>0.00100149</v>
      </c>
      <c r="U221" t="n">
        <v>0.00047124</v>
      </c>
    </row>
    <row r="222">
      <c r="A222" t="inlineStr">
        <is>
          <t>SUP-0023</t>
        </is>
      </c>
      <c r="B222" t="inlineStr">
        <is>
          <t>Agriculture Supplier 023</t>
        </is>
      </c>
      <c r="C222" t="inlineStr">
        <is>
          <t>Agriculture</t>
        </is>
      </c>
      <c r="D222" t="n">
        <v>2015</v>
      </c>
      <c r="E222" t="n">
        <v>6259172</v>
      </c>
      <c r="F222" t="n">
        <v>30686372.01</v>
      </c>
      <c r="G222" t="n">
        <v>5605.1281</v>
      </c>
      <c r="H222" t="n">
        <v>5605.1281</v>
      </c>
      <c r="I222" t="n">
        <v>1337.0046</v>
      </c>
      <c r="J222" t="n">
        <v>746.3754</v>
      </c>
      <c r="K222" t="n">
        <v>3045.3149</v>
      </c>
      <c r="L222" t="n">
        <v>2018</v>
      </c>
      <c r="M222" t="n">
        <v>2040</v>
      </c>
      <c r="N222" t="n">
        <v>0.339</v>
      </c>
      <c r="O222" t="n">
        <v>0.1496</v>
      </c>
      <c r="P222" t="n">
        <v>2018</v>
      </c>
      <c r="Q222" t="inlineStr"/>
      <c r="R222" t="inlineStr"/>
      <c r="S222" t="n">
        <v>529.8294</v>
      </c>
      <c r="T222" t="n">
        <v>0.00091413</v>
      </c>
      <c r="U222" t="n">
        <v>0.00096913</v>
      </c>
    </row>
    <row r="223">
      <c r="A223" t="inlineStr">
        <is>
          <t>SUP-0023</t>
        </is>
      </c>
      <c r="B223" t="inlineStr">
        <is>
          <t>Agriculture Supplier 023</t>
        </is>
      </c>
      <c r="C223" t="inlineStr">
        <is>
          <t>Agriculture</t>
        </is>
      </c>
      <c r="D223" t="n">
        <v>2016</v>
      </c>
      <c r="E223" t="n">
        <v>5392353.22</v>
      </c>
      <c r="F223" t="n">
        <v>33436105.41</v>
      </c>
      <c r="G223" t="n">
        <v>5407.9631</v>
      </c>
      <c r="H223" t="n">
        <v>5407.9631</v>
      </c>
      <c r="I223" t="n">
        <v>1045.6761</v>
      </c>
      <c r="J223" t="n">
        <v>388.8528</v>
      </c>
      <c r="K223" t="n">
        <v>3818.1733</v>
      </c>
      <c r="L223" t="n">
        <v>2018</v>
      </c>
      <c r="M223" t="n">
        <v>2040</v>
      </c>
      <c r="N223" t="n">
        <v>0.339</v>
      </c>
      <c r="O223" t="n">
        <v>0.1496</v>
      </c>
      <c r="P223" t="n">
        <v>2018</v>
      </c>
      <c r="Q223" t="inlineStr"/>
      <c r="R223" t="inlineStr"/>
      <c r="S223" t="n">
        <v>529.8294</v>
      </c>
      <c r="T223" t="n">
        <v>0.00091413</v>
      </c>
      <c r="U223" t="n">
        <v>0.00096913</v>
      </c>
    </row>
    <row r="224">
      <c r="A224" t="inlineStr">
        <is>
          <t>SUP-0023</t>
        </is>
      </c>
      <c r="B224" t="inlineStr">
        <is>
          <t>Agriculture Supplier 023</t>
        </is>
      </c>
      <c r="C224" t="inlineStr">
        <is>
          <t>Agriculture</t>
        </is>
      </c>
      <c r="D224" t="n">
        <v>2017</v>
      </c>
      <c r="E224" t="n">
        <v>6252921.14</v>
      </c>
      <c r="F224" t="n">
        <v>29007625.16</v>
      </c>
      <c r="G224" t="n">
        <v>5619.1959</v>
      </c>
      <c r="H224" t="n">
        <v>5619.1959</v>
      </c>
      <c r="I224" t="n">
        <v>988.8669</v>
      </c>
      <c r="J224" t="n">
        <v>807.3681</v>
      </c>
      <c r="K224" t="n">
        <v>3504.4468</v>
      </c>
      <c r="L224" t="n">
        <v>2018</v>
      </c>
      <c r="M224" t="n">
        <v>2040</v>
      </c>
      <c r="N224" t="n">
        <v>0.339</v>
      </c>
      <c r="O224" t="n">
        <v>0.1496</v>
      </c>
      <c r="P224" t="n">
        <v>2018</v>
      </c>
      <c r="Q224" t="inlineStr"/>
      <c r="R224" t="inlineStr"/>
      <c r="S224" t="n">
        <v>529.8294</v>
      </c>
      <c r="T224" t="n">
        <v>0.00091413</v>
      </c>
      <c r="U224" t="n">
        <v>0.00096913</v>
      </c>
    </row>
    <row r="225">
      <c r="A225" t="inlineStr">
        <is>
          <t>SUP-0023</t>
        </is>
      </c>
      <c r="B225" t="inlineStr">
        <is>
          <t>Agriculture Supplier 023</t>
        </is>
      </c>
      <c r="C225" t="inlineStr">
        <is>
          <t>Agriculture</t>
        </is>
      </c>
      <c r="D225" t="n">
        <v>2018</v>
      </c>
      <c r="E225" t="n">
        <v>7178702.32</v>
      </c>
      <c r="F225" t="n">
        <v>32342058.77</v>
      </c>
      <c r="G225" t="n">
        <v>3860.3046</v>
      </c>
      <c r="H225" t="n">
        <v>3860.3046</v>
      </c>
      <c r="I225" t="n">
        <v>831.7894</v>
      </c>
      <c r="J225" t="n">
        <v>264.0439</v>
      </c>
      <c r="K225" t="n">
        <v>2688.5768</v>
      </c>
      <c r="L225" t="n">
        <v>2018</v>
      </c>
      <c r="M225" t="n">
        <v>2040</v>
      </c>
      <c r="N225" t="n">
        <v>0.339</v>
      </c>
      <c r="O225" t="n">
        <v>0.1496</v>
      </c>
      <c r="P225" t="n">
        <v>2018</v>
      </c>
      <c r="Q225" t="inlineStr"/>
      <c r="R225" t="inlineStr"/>
      <c r="S225" t="n">
        <v>529.8294</v>
      </c>
      <c r="T225" t="n">
        <v>0.00091413</v>
      </c>
      <c r="U225" t="n">
        <v>0.00096913</v>
      </c>
    </row>
    <row r="226">
      <c r="A226" t="inlineStr">
        <is>
          <t>SUP-0023</t>
        </is>
      </c>
      <c r="B226" t="inlineStr">
        <is>
          <t>Agriculture Supplier 023</t>
        </is>
      </c>
      <c r="C226" t="inlineStr">
        <is>
          <t>Agriculture</t>
        </is>
      </c>
      <c r="D226" t="n">
        <v>2019</v>
      </c>
      <c r="E226" t="n">
        <v>6489888.14</v>
      </c>
      <c r="F226" t="n">
        <v>32783192.86</v>
      </c>
      <c r="G226" t="n">
        <v>5094.0469</v>
      </c>
      <c r="H226" t="n">
        <v>5094.0469</v>
      </c>
      <c r="I226" t="n">
        <v>1109.7089</v>
      </c>
      <c r="J226" t="n">
        <v>535.2453</v>
      </c>
      <c r="K226" t="n">
        <v>3224.3259</v>
      </c>
      <c r="L226" t="n">
        <v>2018</v>
      </c>
      <c r="M226" t="n">
        <v>2040</v>
      </c>
      <c r="N226" t="n">
        <v>0.339</v>
      </c>
      <c r="O226" t="n">
        <v>0.1496</v>
      </c>
      <c r="P226" t="n">
        <v>2018</v>
      </c>
      <c r="Q226" t="inlineStr"/>
      <c r="R226" t="inlineStr"/>
      <c r="S226" t="n">
        <v>529.8294</v>
      </c>
      <c r="T226" t="n">
        <v>0.00091413</v>
      </c>
      <c r="U226" t="n">
        <v>0.00096913</v>
      </c>
    </row>
    <row r="227">
      <c r="A227" t="inlineStr">
        <is>
          <t>SUP-0023</t>
        </is>
      </c>
      <c r="B227" t="inlineStr">
        <is>
          <t>Agriculture Supplier 023</t>
        </is>
      </c>
      <c r="C227" t="inlineStr">
        <is>
          <t>Agriculture</t>
        </is>
      </c>
      <c r="D227" t="n">
        <v>2020</v>
      </c>
      <c r="E227" t="n">
        <v>5329465.01</v>
      </c>
      <c r="F227" t="n">
        <v>25656766.54</v>
      </c>
      <c r="G227" t="n">
        <v>3371.4788</v>
      </c>
      <c r="H227" t="n">
        <v>3371.4788</v>
      </c>
      <c r="I227" t="n">
        <v>484.747</v>
      </c>
      <c r="J227" t="n">
        <v>295.1296</v>
      </c>
      <c r="K227" t="n">
        <v>2514.7576</v>
      </c>
      <c r="L227" t="n">
        <v>2018</v>
      </c>
      <c r="M227" t="n">
        <v>2040</v>
      </c>
      <c r="N227" t="n">
        <v>0.339</v>
      </c>
      <c r="O227" t="n">
        <v>0.1496</v>
      </c>
      <c r="P227" t="n">
        <v>2018</v>
      </c>
      <c r="Q227" t="inlineStr"/>
      <c r="R227" t="inlineStr"/>
      <c r="S227" t="n">
        <v>529.8294</v>
      </c>
      <c r="T227" t="n">
        <v>0.00091413</v>
      </c>
      <c r="U227" t="n">
        <v>0.00096913</v>
      </c>
    </row>
    <row r="228">
      <c r="A228" t="inlineStr">
        <is>
          <t>SUP-0023</t>
        </is>
      </c>
      <c r="B228" t="inlineStr">
        <is>
          <t>Agriculture Supplier 023</t>
        </is>
      </c>
      <c r="C228" t="inlineStr">
        <is>
          <t>Agriculture</t>
        </is>
      </c>
      <c r="D228" t="n">
        <v>2021</v>
      </c>
      <c r="E228" t="n">
        <v>6304761.93</v>
      </c>
      <c r="F228" t="n">
        <v>34978955.63</v>
      </c>
      <c r="G228" t="n">
        <v>3567.3077</v>
      </c>
      <c r="H228" t="n">
        <v>3567.3077</v>
      </c>
      <c r="I228" t="n">
        <v>1050.8803</v>
      </c>
      <c r="J228" t="n">
        <v>617.7738000000001</v>
      </c>
      <c r="K228" t="n">
        <v>2026.6731</v>
      </c>
      <c r="L228" t="n">
        <v>2018</v>
      </c>
      <c r="M228" t="n">
        <v>2040</v>
      </c>
      <c r="N228" t="n">
        <v>0.339</v>
      </c>
      <c r="O228" t="n">
        <v>0.1496</v>
      </c>
      <c r="P228" t="n">
        <v>2018</v>
      </c>
      <c r="Q228" t="inlineStr"/>
      <c r="R228" t="inlineStr"/>
      <c r="S228" t="n">
        <v>529.8294</v>
      </c>
      <c r="T228" t="n">
        <v>0.00091413</v>
      </c>
      <c r="U228" t="n">
        <v>0.00096913</v>
      </c>
    </row>
    <row r="229">
      <c r="A229" t="inlineStr">
        <is>
          <t>SUP-0023</t>
        </is>
      </c>
      <c r="B229" t="inlineStr">
        <is>
          <t>Agriculture Supplier 023</t>
        </is>
      </c>
      <c r="C229" t="inlineStr">
        <is>
          <t>Agriculture</t>
        </is>
      </c>
      <c r="D229" t="n">
        <v>2022</v>
      </c>
      <c r="E229" t="n">
        <v>6412003.65</v>
      </c>
      <c r="F229" t="n">
        <v>34342998.05</v>
      </c>
      <c r="G229" t="n">
        <v>4961.7906</v>
      </c>
      <c r="H229" t="n">
        <v>4961.7906</v>
      </c>
      <c r="I229" t="n">
        <v>1020.0599</v>
      </c>
      <c r="J229" t="n">
        <v>978.0762</v>
      </c>
      <c r="K229" t="n">
        <v>2471.3469</v>
      </c>
      <c r="L229" t="n">
        <v>2018</v>
      </c>
      <c r="M229" t="n">
        <v>2040</v>
      </c>
      <c r="N229" t="n">
        <v>0.339</v>
      </c>
      <c r="O229" t="n">
        <v>0.1496</v>
      </c>
      <c r="P229" t="n">
        <v>2018</v>
      </c>
      <c r="Q229" t="inlineStr"/>
      <c r="R229" t="inlineStr"/>
      <c r="S229" t="n">
        <v>529.8294</v>
      </c>
      <c r="T229" t="n">
        <v>0.00091413</v>
      </c>
      <c r="U229" t="n">
        <v>0.00096913</v>
      </c>
    </row>
    <row r="230">
      <c r="A230" t="inlineStr">
        <is>
          <t>SUP-0023</t>
        </is>
      </c>
      <c r="B230" t="inlineStr">
        <is>
          <t>Agriculture Supplier 023</t>
        </is>
      </c>
      <c r="C230" t="inlineStr">
        <is>
          <t>Agriculture</t>
        </is>
      </c>
      <c r="D230" t="n">
        <v>2023</v>
      </c>
      <c r="E230" t="n">
        <v>7588113.76</v>
      </c>
      <c r="F230" t="n">
        <v>33274776.4</v>
      </c>
      <c r="G230" t="n">
        <v>5241.0951</v>
      </c>
      <c r="H230" t="n">
        <v>5241.0951</v>
      </c>
      <c r="I230" t="n">
        <v>1099.1493</v>
      </c>
      <c r="J230" t="n">
        <v>728.1541999999999</v>
      </c>
      <c r="K230" t="n">
        <v>3579.8056</v>
      </c>
      <c r="L230" t="n">
        <v>2018</v>
      </c>
      <c r="M230" t="n">
        <v>2040</v>
      </c>
      <c r="N230" t="n">
        <v>0.339</v>
      </c>
      <c r="O230" t="n">
        <v>0.1496</v>
      </c>
      <c r="P230" t="n">
        <v>2018</v>
      </c>
      <c r="Q230" t="inlineStr"/>
      <c r="R230" t="inlineStr"/>
      <c r="S230" t="n">
        <v>529.8294</v>
      </c>
      <c r="T230" t="n">
        <v>0.00091413</v>
      </c>
      <c r="U230" t="n">
        <v>0.00096913</v>
      </c>
    </row>
    <row r="231">
      <c r="A231" t="inlineStr">
        <is>
          <t>SUP-0023</t>
        </is>
      </c>
      <c r="B231" t="inlineStr">
        <is>
          <t>Agriculture Supplier 023</t>
        </is>
      </c>
      <c r="C231" t="inlineStr">
        <is>
          <t>Agriculture</t>
        </is>
      </c>
      <c r="D231" t="n">
        <v>2024</v>
      </c>
      <c r="E231" t="n">
        <v>7127955</v>
      </c>
      <c r="F231" t="n">
        <v>50228809.36</v>
      </c>
      <c r="G231" t="n">
        <v>4720.6843</v>
      </c>
      <c r="H231" t="n">
        <v>4720.6843</v>
      </c>
      <c r="I231" t="n">
        <v>691.2297</v>
      </c>
      <c r="J231" t="n">
        <v>578.6541999999999</v>
      </c>
      <c r="K231" t="n">
        <v>3491.0896</v>
      </c>
      <c r="L231" t="n">
        <v>2018</v>
      </c>
      <c r="M231" t="n">
        <v>2040</v>
      </c>
      <c r="N231" t="n">
        <v>0.339</v>
      </c>
      <c r="O231" t="n">
        <v>0.1496</v>
      </c>
      <c r="P231" t="n">
        <v>2018</v>
      </c>
      <c r="Q231" t="inlineStr"/>
      <c r="R231" t="inlineStr"/>
      <c r="S231" t="n">
        <v>529.8294</v>
      </c>
      <c r="T231" t="n">
        <v>0.00091413</v>
      </c>
      <c r="U231" t="n">
        <v>0.00096913</v>
      </c>
    </row>
    <row r="232">
      <c r="A232" t="inlineStr">
        <is>
          <t>SUP-0024</t>
        </is>
      </c>
      <c r="B232" t="inlineStr">
        <is>
          <t>Agriculture Supplier 024</t>
        </is>
      </c>
      <c r="C232" t="inlineStr">
        <is>
          <t>Agriculture</t>
        </is>
      </c>
      <c r="D232" t="n">
        <v>2015</v>
      </c>
      <c r="E232" t="n">
        <v>533490.63</v>
      </c>
      <c r="F232" t="n">
        <v>3448385.65</v>
      </c>
      <c r="G232" t="n">
        <v>719.4856</v>
      </c>
      <c r="H232" t="n">
        <v>719.4856</v>
      </c>
      <c r="I232" t="n">
        <v>102.3345</v>
      </c>
      <c r="J232" t="n">
        <v>67.6703</v>
      </c>
      <c r="K232" t="n">
        <v>545.1468</v>
      </c>
      <c r="L232" t="inlineStr"/>
      <c r="M232" t="inlineStr"/>
      <c r="N232" t="inlineStr"/>
      <c r="O232" t="inlineStr"/>
      <c r="P232" t="n">
        <v>2018</v>
      </c>
      <c r="Q232" t="inlineStr"/>
      <c r="R232" t="inlineStr"/>
      <c r="S232" t="n">
        <v>529.8294</v>
      </c>
      <c r="T232" t="n">
        <v>0.00091413</v>
      </c>
      <c r="U232" t="n">
        <v>0.00096913</v>
      </c>
    </row>
    <row r="233">
      <c r="A233" t="inlineStr">
        <is>
          <t>SUP-0024</t>
        </is>
      </c>
      <c r="B233" t="inlineStr">
        <is>
          <t>Agriculture Supplier 024</t>
        </is>
      </c>
      <c r="C233" t="inlineStr">
        <is>
          <t>Agriculture</t>
        </is>
      </c>
      <c r="D233" t="n">
        <v>2016</v>
      </c>
      <c r="E233" t="n">
        <v>558927.28</v>
      </c>
      <c r="F233" t="n">
        <v>4345666.79</v>
      </c>
      <c r="G233" t="n">
        <v>758.0536</v>
      </c>
      <c r="H233" t="n">
        <v>758.0536</v>
      </c>
      <c r="I233" t="n">
        <v>185.6516</v>
      </c>
      <c r="J233" t="n">
        <v>134.2301</v>
      </c>
      <c r="K233" t="n">
        <v>369.3543</v>
      </c>
      <c r="L233" t="inlineStr"/>
      <c r="M233" t="inlineStr"/>
      <c r="N233" t="inlineStr"/>
      <c r="O233" t="inlineStr"/>
      <c r="P233" t="n">
        <v>2018</v>
      </c>
      <c r="Q233" t="inlineStr"/>
      <c r="R233" t="inlineStr"/>
      <c r="S233" t="n">
        <v>529.8294</v>
      </c>
      <c r="T233" t="n">
        <v>0.00091413</v>
      </c>
      <c r="U233" t="n">
        <v>0.00096913</v>
      </c>
    </row>
    <row r="234">
      <c r="A234" t="inlineStr">
        <is>
          <t>SUP-0024</t>
        </is>
      </c>
      <c r="B234" t="inlineStr">
        <is>
          <t>Agriculture Supplier 024</t>
        </is>
      </c>
      <c r="C234" t="inlineStr">
        <is>
          <t>Agriculture</t>
        </is>
      </c>
      <c r="D234" t="n">
        <v>2017</v>
      </c>
      <c r="E234" t="n">
        <v>581013.24</v>
      </c>
      <c r="F234" t="n">
        <v>4826591.8</v>
      </c>
      <c r="G234" t="n">
        <v>644.4213</v>
      </c>
      <c r="H234" t="n">
        <v>644.4213</v>
      </c>
      <c r="I234" t="n">
        <v>166.2048</v>
      </c>
      <c r="J234" t="n">
        <v>57.9701</v>
      </c>
      <c r="K234" t="n">
        <v>400.8005</v>
      </c>
      <c r="L234" t="inlineStr"/>
      <c r="M234" t="inlineStr"/>
      <c r="N234" t="inlineStr"/>
      <c r="O234" t="inlineStr"/>
      <c r="P234" t="n">
        <v>2018</v>
      </c>
      <c r="Q234" t="inlineStr"/>
      <c r="R234" t="inlineStr"/>
      <c r="S234" t="n">
        <v>529.8294</v>
      </c>
      <c r="T234" t="n">
        <v>0.00091413</v>
      </c>
      <c r="U234" t="n">
        <v>0.00096913</v>
      </c>
    </row>
    <row r="235">
      <c r="A235" t="inlineStr">
        <is>
          <t>SUP-0024</t>
        </is>
      </c>
      <c r="B235" t="inlineStr">
        <is>
          <t>Agriculture Supplier 024</t>
        </is>
      </c>
      <c r="C235" t="inlineStr">
        <is>
          <t>Agriculture</t>
        </is>
      </c>
      <c r="D235" t="n">
        <v>2018</v>
      </c>
      <c r="E235" t="n">
        <v>672584.9</v>
      </c>
      <c r="F235" t="n">
        <v>5355649.75</v>
      </c>
      <c r="G235" t="n">
        <v>731.356</v>
      </c>
      <c r="H235" t="n">
        <v>731.356</v>
      </c>
      <c r="I235" t="n">
        <v>100.56</v>
      </c>
      <c r="J235" t="n">
        <v>73.93519999999999</v>
      </c>
      <c r="K235" t="n">
        <v>578.6892</v>
      </c>
      <c r="L235" t="inlineStr"/>
      <c r="M235" t="inlineStr"/>
      <c r="N235" t="inlineStr"/>
      <c r="O235" t="inlineStr"/>
      <c r="P235" t="n">
        <v>2018</v>
      </c>
      <c r="Q235" t="inlineStr"/>
      <c r="R235" t="inlineStr"/>
      <c r="S235" t="n">
        <v>529.8294</v>
      </c>
      <c r="T235" t="n">
        <v>0.00091413</v>
      </c>
      <c r="U235" t="n">
        <v>0.00096913</v>
      </c>
    </row>
    <row r="236">
      <c r="A236" t="inlineStr">
        <is>
          <t>SUP-0024</t>
        </is>
      </c>
      <c r="B236" t="inlineStr">
        <is>
          <t>Agriculture Supplier 024</t>
        </is>
      </c>
      <c r="C236" t="inlineStr">
        <is>
          <t>Agriculture</t>
        </is>
      </c>
      <c r="D236" t="n">
        <v>2019</v>
      </c>
      <c r="E236" t="n">
        <v>663848.25</v>
      </c>
      <c r="F236" t="n">
        <v>5242616.85</v>
      </c>
      <c r="G236" t="n">
        <v>600.8067</v>
      </c>
      <c r="H236" t="n">
        <v>600.8067</v>
      </c>
      <c r="I236" t="n">
        <v>72.0462</v>
      </c>
      <c r="J236" t="n">
        <v>73.65600000000001</v>
      </c>
      <c r="K236" t="n">
        <v>497.7557</v>
      </c>
      <c r="L236" t="inlineStr"/>
      <c r="M236" t="inlineStr"/>
      <c r="N236" t="inlineStr"/>
      <c r="O236" t="inlineStr"/>
      <c r="P236" t="n">
        <v>2018</v>
      </c>
      <c r="Q236" t="inlineStr"/>
      <c r="R236" t="inlineStr"/>
      <c r="S236" t="n">
        <v>529.8294</v>
      </c>
      <c r="T236" t="n">
        <v>0.00091413</v>
      </c>
      <c r="U236" t="n">
        <v>0.00096913</v>
      </c>
    </row>
    <row r="237">
      <c r="A237" t="inlineStr">
        <is>
          <t>SUP-0024</t>
        </is>
      </c>
      <c r="B237" t="inlineStr">
        <is>
          <t>Agriculture Supplier 024</t>
        </is>
      </c>
      <c r="C237" t="inlineStr">
        <is>
          <t>Agriculture</t>
        </is>
      </c>
      <c r="D237" t="n">
        <v>2020</v>
      </c>
      <c r="E237" t="n">
        <v>725906.11</v>
      </c>
      <c r="F237" t="n">
        <v>5126270.23</v>
      </c>
      <c r="G237" t="n">
        <v>592.9076</v>
      </c>
      <c r="H237" t="n">
        <v>592.9076</v>
      </c>
      <c r="I237" t="n">
        <v>95.307</v>
      </c>
      <c r="J237" t="n">
        <v>118.9631</v>
      </c>
      <c r="K237" t="n">
        <v>383.9623</v>
      </c>
      <c r="L237" t="inlineStr"/>
      <c r="M237" t="inlineStr"/>
      <c r="N237" t="inlineStr"/>
      <c r="O237" t="inlineStr"/>
      <c r="P237" t="n">
        <v>2018</v>
      </c>
      <c r="Q237" t="inlineStr"/>
      <c r="R237" t="inlineStr"/>
      <c r="S237" t="n">
        <v>529.8294</v>
      </c>
      <c r="T237" t="n">
        <v>0.00091413</v>
      </c>
      <c r="U237" t="n">
        <v>0.00096913</v>
      </c>
    </row>
    <row r="238">
      <c r="A238" t="inlineStr">
        <is>
          <t>SUP-0024</t>
        </is>
      </c>
      <c r="B238" t="inlineStr">
        <is>
          <t>Agriculture Supplier 024</t>
        </is>
      </c>
      <c r="C238" t="inlineStr">
        <is>
          <t>Agriculture</t>
        </is>
      </c>
      <c r="D238" t="n">
        <v>2021</v>
      </c>
      <c r="E238" t="n">
        <v>782364.27</v>
      </c>
      <c r="F238" t="n">
        <v>7648911.45</v>
      </c>
      <c r="G238" t="n">
        <v>706.3012</v>
      </c>
      <c r="H238" t="n">
        <v>706.3012</v>
      </c>
      <c r="I238" t="n">
        <v>104.6737</v>
      </c>
      <c r="J238" t="n">
        <v>59.8632</v>
      </c>
      <c r="K238" t="n">
        <v>554.4547</v>
      </c>
      <c r="L238" t="inlineStr"/>
      <c r="M238" t="inlineStr"/>
      <c r="N238" t="inlineStr"/>
      <c r="O238" t="inlineStr"/>
      <c r="P238" t="n">
        <v>2018</v>
      </c>
      <c r="Q238" t="inlineStr"/>
      <c r="R238" t="inlineStr"/>
      <c r="S238" t="n">
        <v>529.8294</v>
      </c>
      <c r="T238" t="n">
        <v>0.00091413</v>
      </c>
      <c r="U238" t="n">
        <v>0.00096913</v>
      </c>
    </row>
    <row r="239">
      <c r="A239" t="inlineStr">
        <is>
          <t>SUP-0024</t>
        </is>
      </c>
      <c r="B239" t="inlineStr">
        <is>
          <t>Agriculture Supplier 024</t>
        </is>
      </c>
      <c r="C239" t="inlineStr">
        <is>
          <t>Agriculture</t>
        </is>
      </c>
      <c r="D239" t="n">
        <v>2022</v>
      </c>
      <c r="E239" t="n">
        <v>865989.6800000001</v>
      </c>
      <c r="F239" t="n">
        <v>6098801.74</v>
      </c>
      <c r="G239" t="n">
        <v>633.5291999999999</v>
      </c>
      <c r="H239" t="n">
        <v>633.5291999999999</v>
      </c>
      <c r="I239" t="n">
        <v>51.1369</v>
      </c>
      <c r="J239" t="n">
        <v>106.5079</v>
      </c>
      <c r="K239" t="n">
        <v>499.4389</v>
      </c>
      <c r="L239" t="inlineStr"/>
      <c r="M239" t="inlineStr"/>
      <c r="N239" t="inlineStr"/>
      <c r="O239" t="inlineStr"/>
      <c r="P239" t="n">
        <v>2018</v>
      </c>
      <c r="Q239" t="inlineStr"/>
      <c r="R239" t="inlineStr"/>
      <c r="S239" t="n">
        <v>529.8294</v>
      </c>
      <c r="T239" t="n">
        <v>0.00091413</v>
      </c>
      <c r="U239" t="n">
        <v>0.00096913</v>
      </c>
    </row>
    <row r="240">
      <c r="A240" t="inlineStr">
        <is>
          <t>SUP-0024</t>
        </is>
      </c>
      <c r="B240" t="inlineStr">
        <is>
          <t>Agriculture Supplier 024</t>
        </is>
      </c>
      <c r="C240" t="inlineStr">
        <is>
          <t>Agriculture</t>
        </is>
      </c>
      <c r="D240" t="n">
        <v>2023</v>
      </c>
      <c r="E240" t="n">
        <v>826023.17</v>
      </c>
      <c r="F240" t="n">
        <v>6824546.21</v>
      </c>
      <c r="G240" t="n">
        <v>712.2287</v>
      </c>
      <c r="H240" t="n">
        <v>712.2287</v>
      </c>
      <c r="I240" t="n">
        <v>203.2088</v>
      </c>
      <c r="J240" t="n">
        <v>161.3611</v>
      </c>
      <c r="K240" t="n">
        <v>386.4595</v>
      </c>
      <c r="L240" t="inlineStr"/>
      <c r="M240" t="inlineStr"/>
      <c r="N240" t="inlineStr"/>
      <c r="O240" t="inlineStr"/>
      <c r="P240" t="n">
        <v>2018</v>
      </c>
      <c r="Q240" t="inlineStr"/>
      <c r="R240" t="inlineStr"/>
      <c r="S240" t="n">
        <v>529.8294</v>
      </c>
      <c r="T240" t="n">
        <v>0.00091413</v>
      </c>
      <c r="U240" t="n">
        <v>0.00096913</v>
      </c>
    </row>
    <row r="241">
      <c r="A241" t="inlineStr">
        <is>
          <t>SUP-0024</t>
        </is>
      </c>
      <c r="B241" t="inlineStr">
        <is>
          <t>Agriculture Supplier 024</t>
        </is>
      </c>
      <c r="C241" t="inlineStr">
        <is>
          <t>Agriculture</t>
        </is>
      </c>
      <c r="D241" t="n">
        <v>2024</v>
      </c>
      <c r="E241" t="n">
        <v>853888.01</v>
      </c>
      <c r="F241" t="n">
        <v>10047334.03</v>
      </c>
      <c r="G241" t="n">
        <v>560.3584</v>
      </c>
      <c r="H241" t="n">
        <v>560.3584</v>
      </c>
      <c r="I241" t="n">
        <v>168.2989</v>
      </c>
      <c r="J241" t="n">
        <v>97.5733</v>
      </c>
      <c r="K241" t="n">
        <v>308.0436</v>
      </c>
      <c r="L241" t="inlineStr"/>
      <c r="M241" t="inlineStr"/>
      <c r="N241" t="inlineStr"/>
      <c r="O241" t="inlineStr"/>
      <c r="P241" t="n">
        <v>2018</v>
      </c>
      <c r="Q241" t="inlineStr"/>
      <c r="R241" t="inlineStr"/>
      <c r="S241" t="n">
        <v>529.8294</v>
      </c>
      <c r="T241" t="n">
        <v>0.00091413</v>
      </c>
      <c r="U241" t="n">
        <v>0.00096913</v>
      </c>
    </row>
    <row r="242">
      <c r="A242" t="inlineStr">
        <is>
          <t>SUP-0025</t>
        </is>
      </c>
      <c r="B242" t="inlineStr">
        <is>
          <t>Metals Supplier 025</t>
        </is>
      </c>
      <c r="C242" t="inlineStr">
        <is>
          <t>Metals</t>
        </is>
      </c>
      <c r="D242" t="n">
        <v>2015</v>
      </c>
      <c r="E242" t="n">
        <v>19450072.92</v>
      </c>
      <c r="F242" t="n">
        <v>73343572.38</v>
      </c>
      <c r="G242" t="n">
        <v>12808.9183</v>
      </c>
      <c r="H242" t="n">
        <v>12808.9183</v>
      </c>
      <c r="I242" t="n">
        <v>1294.3621</v>
      </c>
      <c r="J242" t="n">
        <v>2340.374</v>
      </c>
      <c r="K242" t="n">
        <v>9789.8246</v>
      </c>
      <c r="L242" t="n">
        <v>2020</v>
      </c>
      <c r="M242" t="n">
        <v>2030</v>
      </c>
      <c r="N242" t="n">
        <v>0.3833</v>
      </c>
      <c r="O242" t="n">
        <v>0.1962</v>
      </c>
      <c r="P242" t="n">
        <v>2019</v>
      </c>
      <c r="Q242" t="n">
        <v>2030</v>
      </c>
      <c r="R242" t="n">
        <v>0.3852</v>
      </c>
      <c r="S242" t="n">
        <v>158.2904</v>
      </c>
      <c r="T242" t="n">
        <v>0.00100695</v>
      </c>
      <c r="U242" t="n">
        <v>0.00065008</v>
      </c>
    </row>
    <row r="243">
      <c r="A243" t="inlineStr">
        <is>
          <t>SUP-0025</t>
        </is>
      </c>
      <c r="B243" t="inlineStr">
        <is>
          <t>Metals Supplier 025</t>
        </is>
      </c>
      <c r="C243" t="inlineStr">
        <is>
          <t>Metals</t>
        </is>
      </c>
      <c r="D243" t="n">
        <v>2016</v>
      </c>
      <c r="E243" t="n">
        <v>20890255.51</v>
      </c>
      <c r="F243" t="n">
        <v>72177878.76000001</v>
      </c>
      <c r="G243" t="n">
        <v>13545.7318</v>
      </c>
      <c r="H243" t="n">
        <v>13545.7318</v>
      </c>
      <c r="I243" t="n">
        <v>2173.6412</v>
      </c>
      <c r="J243" t="n">
        <v>2033.7718</v>
      </c>
      <c r="K243" t="n">
        <v>9568.373600000001</v>
      </c>
      <c r="L243" t="n">
        <v>2020</v>
      </c>
      <c r="M243" t="n">
        <v>2030</v>
      </c>
      <c r="N243" t="n">
        <v>0.3833</v>
      </c>
      <c r="O243" t="n">
        <v>0.1962</v>
      </c>
      <c r="P243" t="n">
        <v>2019</v>
      </c>
      <c r="Q243" t="n">
        <v>2030</v>
      </c>
      <c r="R243" t="n">
        <v>0.3852</v>
      </c>
      <c r="S243" t="n">
        <v>158.2904</v>
      </c>
      <c r="T243" t="n">
        <v>0.00100695</v>
      </c>
      <c r="U243" t="n">
        <v>0.00065008</v>
      </c>
    </row>
    <row r="244">
      <c r="A244" t="inlineStr">
        <is>
          <t>SUP-0025</t>
        </is>
      </c>
      <c r="B244" t="inlineStr">
        <is>
          <t>Metals Supplier 025</t>
        </is>
      </c>
      <c r="C244" t="inlineStr">
        <is>
          <t>Metals</t>
        </is>
      </c>
      <c r="D244" t="n">
        <v>2017</v>
      </c>
      <c r="E244" t="n">
        <v>21715825.05</v>
      </c>
      <c r="F244" t="n">
        <v>90109813.81</v>
      </c>
      <c r="G244" t="n">
        <v>14608.3348</v>
      </c>
      <c r="H244" t="n">
        <v>14608.3348</v>
      </c>
      <c r="I244" t="n">
        <v>2228.6582</v>
      </c>
      <c r="J244" t="n">
        <v>829.0013</v>
      </c>
      <c r="K244" t="n">
        <v>10426.7216</v>
      </c>
      <c r="L244" t="n">
        <v>2020</v>
      </c>
      <c r="M244" t="n">
        <v>2030</v>
      </c>
      <c r="N244" t="n">
        <v>0.3833</v>
      </c>
      <c r="O244" t="n">
        <v>0.1962</v>
      </c>
      <c r="P244" t="n">
        <v>2019</v>
      </c>
      <c r="Q244" t="n">
        <v>2030</v>
      </c>
      <c r="R244" t="n">
        <v>0.3852</v>
      </c>
      <c r="S244" t="n">
        <v>158.2904</v>
      </c>
      <c r="T244" t="n">
        <v>0.00100695</v>
      </c>
      <c r="U244" t="n">
        <v>0.00065008</v>
      </c>
    </row>
    <row r="245">
      <c r="A245" t="inlineStr">
        <is>
          <t>SUP-0025</t>
        </is>
      </c>
      <c r="B245" t="inlineStr">
        <is>
          <t>Metals Supplier 025</t>
        </is>
      </c>
      <c r="C245" t="inlineStr">
        <is>
          <t>Metals</t>
        </is>
      </c>
      <c r="D245" t="n">
        <v>2018</v>
      </c>
      <c r="E245" t="n">
        <v>24788648.45</v>
      </c>
      <c r="F245" t="n">
        <v>112248512.28</v>
      </c>
      <c r="G245" t="n">
        <v>13831.5855</v>
      </c>
      <c r="H245" t="n">
        <v>13831.5855</v>
      </c>
      <c r="I245" t="n">
        <v>3107.5044</v>
      </c>
      <c r="J245" t="n">
        <v>1603.5736</v>
      </c>
      <c r="K245" t="n">
        <v>8802.055899999999</v>
      </c>
      <c r="L245" t="n">
        <v>2020</v>
      </c>
      <c r="M245" t="n">
        <v>2030</v>
      </c>
      <c r="N245" t="n">
        <v>0.3833</v>
      </c>
      <c r="O245" t="n">
        <v>0.1962</v>
      </c>
      <c r="P245" t="n">
        <v>2019</v>
      </c>
      <c r="Q245" t="n">
        <v>2030</v>
      </c>
      <c r="R245" t="n">
        <v>0.3852</v>
      </c>
      <c r="S245" t="n">
        <v>158.2904</v>
      </c>
      <c r="T245" t="n">
        <v>0.00100695</v>
      </c>
      <c r="U245" t="n">
        <v>0.00065008</v>
      </c>
    </row>
    <row r="246">
      <c r="A246" t="inlineStr">
        <is>
          <t>SUP-0025</t>
        </is>
      </c>
      <c r="B246" t="inlineStr">
        <is>
          <t>Metals Supplier 025</t>
        </is>
      </c>
      <c r="C246" t="inlineStr">
        <is>
          <t>Metals</t>
        </is>
      </c>
      <c r="D246" t="n">
        <v>2019</v>
      </c>
      <c r="E246" t="n">
        <v>24277157.67</v>
      </c>
      <c r="F246" t="n">
        <v>114675907.48</v>
      </c>
      <c r="G246" t="n">
        <v>12920.1468</v>
      </c>
      <c r="H246" t="n">
        <v>12920.1468</v>
      </c>
      <c r="I246" t="n">
        <v>3261.5642</v>
      </c>
      <c r="J246" t="n">
        <v>2235.7782</v>
      </c>
      <c r="K246" t="n">
        <v>7724.7935</v>
      </c>
      <c r="L246" t="n">
        <v>2020</v>
      </c>
      <c r="M246" t="n">
        <v>2030</v>
      </c>
      <c r="N246" t="n">
        <v>0.3833</v>
      </c>
      <c r="O246" t="n">
        <v>0.1962</v>
      </c>
      <c r="P246" t="n">
        <v>2019</v>
      </c>
      <c r="Q246" t="n">
        <v>2030</v>
      </c>
      <c r="R246" t="n">
        <v>0.3852</v>
      </c>
      <c r="S246" t="n">
        <v>158.2904</v>
      </c>
      <c r="T246" t="n">
        <v>0.00100695</v>
      </c>
      <c r="U246" t="n">
        <v>0.00065008</v>
      </c>
    </row>
    <row r="247">
      <c r="A247" t="inlineStr">
        <is>
          <t>SUP-0025</t>
        </is>
      </c>
      <c r="B247" t="inlineStr">
        <is>
          <t>Metals Supplier 025</t>
        </is>
      </c>
      <c r="C247" t="inlineStr">
        <is>
          <t>Metals</t>
        </is>
      </c>
      <c r="D247" t="n">
        <v>2020</v>
      </c>
      <c r="E247" t="n">
        <v>24724354.1</v>
      </c>
      <c r="F247" t="n">
        <v>102062036.06</v>
      </c>
      <c r="G247" t="n">
        <v>11635.6166</v>
      </c>
      <c r="H247" t="n">
        <v>11635.6166</v>
      </c>
      <c r="I247" t="n">
        <v>1243.001</v>
      </c>
      <c r="J247" t="n">
        <v>2490.708</v>
      </c>
      <c r="K247" t="n">
        <v>7664.2913</v>
      </c>
      <c r="L247" t="n">
        <v>2020</v>
      </c>
      <c r="M247" t="n">
        <v>2030</v>
      </c>
      <c r="N247" t="n">
        <v>0.3833</v>
      </c>
      <c r="O247" t="n">
        <v>0.1962</v>
      </c>
      <c r="P247" t="n">
        <v>2019</v>
      </c>
      <c r="Q247" t="n">
        <v>2030</v>
      </c>
      <c r="R247" t="n">
        <v>0.3852</v>
      </c>
      <c r="S247" t="n">
        <v>158.2904</v>
      </c>
      <c r="T247" t="n">
        <v>0.00100695</v>
      </c>
      <c r="U247" t="n">
        <v>0.00065008</v>
      </c>
    </row>
    <row r="248">
      <c r="A248" t="inlineStr">
        <is>
          <t>SUP-0025</t>
        </is>
      </c>
      <c r="B248" t="inlineStr">
        <is>
          <t>Metals Supplier 025</t>
        </is>
      </c>
      <c r="C248" t="inlineStr">
        <is>
          <t>Metals</t>
        </is>
      </c>
      <c r="D248" t="n">
        <v>2021</v>
      </c>
      <c r="E248" t="n">
        <v>24745687.6</v>
      </c>
      <c r="F248" t="n">
        <v>81702724.55</v>
      </c>
      <c r="G248" t="n">
        <v>9485.375599999999</v>
      </c>
      <c r="H248" t="n">
        <v>9485.375599999999</v>
      </c>
      <c r="I248" t="n">
        <v>2008.6838</v>
      </c>
      <c r="J248" t="n">
        <v>1177.7976</v>
      </c>
      <c r="K248" t="n">
        <v>7241.2778</v>
      </c>
      <c r="L248" t="n">
        <v>2020</v>
      </c>
      <c r="M248" t="n">
        <v>2030</v>
      </c>
      <c r="N248" t="n">
        <v>0.3833</v>
      </c>
      <c r="O248" t="n">
        <v>0.1962</v>
      </c>
      <c r="P248" t="n">
        <v>2019</v>
      </c>
      <c r="Q248" t="n">
        <v>2030</v>
      </c>
      <c r="R248" t="n">
        <v>0.3852</v>
      </c>
      <c r="S248" t="n">
        <v>158.2904</v>
      </c>
      <c r="T248" t="n">
        <v>0.00100695</v>
      </c>
      <c r="U248" t="n">
        <v>0.00065008</v>
      </c>
    </row>
    <row r="249">
      <c r="A249" t="inlineStr">
        <is>
          <t>SUP-0025</t>
        </is>
      </c>
      <c r="B249" t="inlineStr">
        <is>
          <t>Metals Supplier 025</t>
        </is>
      </c>
      <c r="C249" t="inlineStr">
        <is>
          <t>Metals</t>
        </is>
      </c>
      <c r="D249" t="n">
        <v>2022</v>
      </c>
      <c r="E249" t="n">
        <v>27220351.61</v>
      </c>
      <c r="F249" t="n">
        <v>120500462.65</v>
      </c>
      <c r="G249" t="n">
        <v>12281.011</v>
      </c>
      <c r="H249" t="n">
        <v>12281.011</v>
      </c>
      <c r="I249" t="n">
        <v>3061.6232</v>
      </c>
      <c r="J249" t="n">
        <v>1007.1515</v>
      </c>
      <c r="K249" t="n">
        <v>9056.7755</v>
      </c>
      <c r="L249" t="n">
        <v>2020</v>
      </c>
      <c r="M249" t="n">
        <v>2030</v>
      </c>
      <c r="N249" t="n">
        <v>0.3833</v>
      </c>
      <c r="O249" t="n">
        <v>0.1962</v>
      </c>
      <c r="P249" t="n">
        <v>2019</v>
      </c>
      <c r="Q249" t="n">
        <v>2030</v>
      </c>
      <c r="R249" t="n">
        <v>0.3852</v>
      </c>
      <c r="S249" t="n">
        <v>158.2904</v>
      </c>
      <c r="T249" t="n">
        <v>0.00100695</v>
      </c>
      <c r="U249" t="n">
        <v>0.00065008</v>
      </c>
    </row>
    <row r="250">
      <c r="A250" t="inlineStr">
        <is>
          <t>SUP-0025</t>
        </is>
      </c>
      <c r="B250" t="inlineStr">
        <is>
          <t>Metals Supplier 025</t>
        </is>
      </c>
      <c r="C250" t="inlineStr">
        <is>
          <t>Metals</t>
        </is>
      </c>
      <c r="D250" t="n">
        <v>2023</v>
      </c>
      <c r="E250" t="n">
        <v>26067670.35</v>
      </c>
      <c r="F250" t="n">
        <v>88936216.36</v>
      </c>
      <c r="G250" t="n">
        <v>9847.540999999999</v>
      </c>
      <c r="H250" t="n">
        <v>9847.540999999999</v>
      </c>
      <c r="I250" t="n">
        <v>1189.8286</v>
      </c>
      <c r="J250" t="n">
        <v>822.026</v>
      </c>
      <c r="K250" t="n">
        <v>7382.8081</v>
      </c>
      <c r="L250" t="n">
        <v>2020</v>
      </c>
      <c r="M250" t="n">
        <v>2030</v>
      </c>
      <c r="N250" t="n">
        <v>0.3833</v>
      </c>
      <c r="O250" t="n">
        <v>0.1962</v>
      </c>
      <c r="P250" t="n">
        <v>2019</v>
      </c>
      <c r="Q250" t="n">
        <v>2030</v>
      </c>
      <c r="R250" t="n">
        <v>0.3852</v>
      </c>
      <c r="S250" t="n">
        <v>158.2904</v>
      </c>
      <c r="T250" t="n">
        <v>0.00100695</v>
      </c>
      <c r="U250" t="n">
        <v>0.00065008</v>
      </c>
    </row>
    <row r="251">
      <c r="A251" t="inlineStr">
        <is>
          <t>SUP-0025</t>
        </is>
      </c>
      <c r="B251" t="inlineStr">
        <is>
          <t>Metals Supplier 025</t>
        </is>
      </c>
      <c r="C251" t="inlineStr">
        <is>
          <t>Metals</t>
        </is>
      </c>
      <c r="D251" t="n">
        <v>2024</v>
      </c>
      <c r="E251" t="n">
        <v>28051545.88</v>
      </c>
      <c r="F251" t="n">
        <v>98370436.7</v>
      </c>
      <c r="G251" t="n">
        <v>10805.0329</v>
      </c>
      <c r="H251" t="n">
        <v>10805.0329</v>
      </c>
      <c r="I251" t="n">
        <v>2648.121</v>
      </c>
      <c r="J251" t="n">
        <v>1554.6211</v>
      </c>
      <c r="K251" t="n">
        <v>6865.0615</v>
      </c>
      <c r="L251" t="n">
        <v>2020</v>
      </c>
      <c r="M251" t="n">
        <v>2030</v>
      </c>
      <c r="N251" t="n">
        <v>0.3833</v>
      </c>
      <c r="O251" t="n">
        <v>0.1962</v>
      </c>
      <c r="P251" t="n">
        <v>2019</v>
      </c>
      <c r="Q251" t="n">
        <v>2030</v>
      </c>
      <c r="R251" t="n">
        <v>0.3852</v>
      </c>
      <c r="S251" t="n">
        <v>158.2904</v>
      </c>
      <c r="T251" t="n">
        <v>0.00100695</v>
      </c>
      <c r="U251" t="n">
        <v>0.00065008</v>
      </c>
    </row>
    <row r="252">
      <c r="A252" t="inlineStr">
        <is>
          <t>SUP-0026</t>
        </is>
      </c>
      <c r="B252" t="inlineStr">
        <is>
          <t>Professional Supplier 026</t>
        </is>
      </c>
      <c r="C252" t="inlineStr">
        <is>
          <t>Professional Services</t>
        </is>
      </c>
      <c r="D252" t="n">
        <v>2015</v>
      </c>
      <c r="E252" t="n">
        <v>1040706.31</v>
      </c>
      <c r="F252" t="n">
        <v>2718331.61</v>
      </c>
      <c r="G252" t="n">
        <v>115.5587</v>
      </c>
      <c r="H252" t="n">
        <v>115.5587</v>
      </c>
      <c r="I252" t="n">
        <v>17.0544</v>
      </c>
      <c r="J252" t="n">
        <v>20.4449</v>
      </c>
      <c r="K252" t="n">
        <v>75.91540000000001</v>
      </c>
      <c r="L252" t="n">
        <v>2019</v>
      </c>
      <c r="M252" t="n">
        <v>2040</v>
      </c>
      <c r="N252" t="n">
        <v>0.4936</v>
      </c>
      <c r="O252" t="n">
        <v>0.2987</v>
      </c>
      <c r="P252" t="n">
        <v>2020</v>
      </c>
      <c r="Q252" t="inlineStr"/>
      <c r="R252" t="inlineStr"/>
      <c r="S252" t="n">
        <v>400.0326</v>
      </c>
      <c r="T252" t="n">
        <v>0.00012906</v>
      </c>
      <c r="U252" t="n">
        <v>0.00019658</v>
      </c>
    </row>
    <row r="253">
      <c r="A253" t="inlineStr">
        <is>
          <t>SUP-0026</t>
        </is>
      </c>
      <c r="B253" t="inlineStr">
        <is>
          <t>Professional Supplier 026</t>
        </is>
      </c>
      <c r="C253" t="inlineStr">
        <is>
          <t>Professional Services</t>
        </is>
      </c>
      <c r="D253" t="n">
        <v>2016</v>
      </c>
      <c r="E253" t="n">
        <v>848177.45</v>
      </c>
      <c r="F253" t="n">
        <v>2468864.2</v>
      </c>
      <c r="G253" t="n">
        <v>77.833</v>
      </c>
      <c r="H253" t="n">
        <v>77.833</v>
      </c>
      <c r="I253" t="n">
        <v>21.2403</v>
      </c>
      <c r="J253" t="n">
        <v>8.965400000000001</v>
      </c>
      <c r="K253" t="n">
        <v>47.0298</v>
      </c>
      <c r="L253" t="n">
        <v>2019</v>
      </c>
      <c r="M253" t="n">
        <v>2040</v>
      </c>
      <c r="N253" t="n">
        <v>0.4936</v>
      </c>
      <c r="O253" t="n">
        <v>0.2987</v>
      </c>
      <c r="P253" t="n">
        <v>2020</v>
      </c>
      <c r="Q253" t="inlineStr"/>
      <c r="R253" t="inlineStr"/>
      <c r="S253" t="n">
        <v>400.0326</v>
      </c>
      <c r="T253" t="n">
        <v>0.00012906</v>
      </c>
      <c r="U253" t="n">
        <v>0.00019658</v>
      </c>
    </row>
    <row r="254">
      <c r="A254" t="inlineStr">
        <is>
          <t>SUP-0026</t>
        </is>
      </c>
      <c r="B254" t="inlineStr">
        <is>
          <t>Professional Supplier 026</t>
        </is>
      </c>
      <c r="C254" t="inlineStr">
        <is>
          <t>Professional Services</t>
        </is>
      </c>
      <c r="D254" t="n">
        <v>2017</v>
      </c>
      <c r="E254" t="n">
        <v>887693.26</v>
      </c>
      <c r="F254" t="n">
        <v>3459389.03</v>
      </c>
      <c r="G254" t="n">
        <v>76.6845</v>
      </c>
      <c r="H254" t="n">
        <v>76.6845</v>
      </c>
      <c r="I254" t="n">
        <v>14.1997</v>
      </c>
      <c r="J254" t="n">
        <v>11.9657</v>
      </c>
      <c r="K254" t="n">
        <v>46.2213</v>
      </c>
      <c r="L254" t="n">
        <v>2019</v>
      </c>
      <c r="M254" t="n">
        <v>2040</v>
      </c>
      <c r="N254" t="n">
        <v>0.4936</v>
      </c>
      <c r="O254" t="n">
        <v>0.2987</v>
      </c>
      <c r="P254" t="n">
        <v>2020</v>
      </c>
      <c r="Q254" t="inlineStr"/>
      <c r="R254" t="inlineStr"/>
      <c r="S254" t="n">
        <v>400.0326</v>
      </c>
      <c r="T254" t="n">
        <v>0.00012906</v>
      </c>
      <c r="U254" t="n">
        <v>0.00019658</v>
      </c>
    </row>
    <row r="255">
      <c r="A255" t="inlineStr">
        <is>
          <t>SUP-0026</t>
        </is>
      </c>
      <c r="B255" t="inlineStr">
        <is>
          <t>Professional Supplier 026</t>
        </is>
      </c>
      <c r="C255" t="inlineStr">
        <is>
          <t>Professional Services</t>
        </is>
      </c>
      <c r="D255" t="n">
        <v>2018</v>
      </c>
      <c r="E255" t="n">
        <v>984357.13</v>
      </c>
      <c r="F255" t="n">
        <v>2947127.14</v>
      </c>
      <c r="G255" t="n">
        <v>92.658</v>
      </c>
      <c r="H255" t="n">
        <v>92.658</v>
      </c>
      <c r="I255" t="n">
        <v>18.8301</v>
      </c>
      <c r="J255" t="n">
        <v>17.1095</v>
      </c>
      <c r="K255" t="n">
        <v>52.5788</v>
      </c>
      <c r="L255" t="n">
        <v>2019</v>
      </c>
      <c r="M255" t="n">
        <v>2040</v>
      </c>
      <c r="N255" t="n">
        <v>0.4936</v>
      </c>
      <c r="O255" t="n">
        <v>0.2987</v>
      </c>
      <c r="P255" t="n">
        <v>2020</v>
      </c>
      <c r="Q255" t="inlineStr"/>
      <c r="R255" t="inlineStr"/>
      <c r="S255" t="n">
        <v>400.0326</v>
      </c>
      <c r="T255" t="n">
        <v>0.00012906</v>
      </c>
      <c r="U255" t="n">
        <v>0.00019658</v>
      </c>
    </row>
    <row r="256">
      <c r="A256" t="inlineStr">
        <is>
          <t>SUP-0026</t>
        </is>
      </c>
      <c r="B256" t="inlineStr">
        <is>
          <t>Professional Supplier 026</t>
        </is>
      </c>
      <c r="C256" t="inlineStr">
        <is>
          <t>Professional Services</t>
        </is>
      </c>
      <c r="D256" t="n">
        <v>2019</v>
      </c>
      <c r="E256" t="n">
        <v>849842.46</v>
      </c>
      <c r="F256" t="n">
        <v>3282869.71</v>
      </c>
      <c r="G256" t="n">
        <v>67.1713</v>
      </c>
      <c r="H256" t="n">
        <v>67.1713</v>
      </c>
      <c r="I256" t="n">
        <v>5.9824</v>
      </c>
      <c r="J256" t="n">
        <v>6.4362</v>
      </c>
      <c r="K256" t="n">
        <v>54.0202</v>
      </c>
      <c r="L256" t="n">
        <v>2019</v>
      </c>
      <c r="M256" t="n">
        <v>2040</v>
      </c>
      <c r="N256" t="n">
        <v>0.4936</v>
      </c>
      <c r="O256" t="n">
        <v>0.2987</v>
      </c>
      <c r="P256" t="n">
        <v>2020</v>
      </c>
      <c r="Q256" t="inlineStr"/>
      <c r="R256" t="inlineStr"/>
      <c r="S256" t="n">
        <v>400.0326</v>
      </c>
      <c r="T256" t="n">
        <v>0.00012906</v>
      </c>
      <c r="U256" t="n">
        <v>0.00019658</v>
      </c>
    </row>
    <row r="257">
      <c r="A257" t="inlineStr">
        <is>
          <t>SUP-0026</t>
        </is>
      </c>
      <c r="B257" t="inlineStr">
        <is>
          <t>Professional Supplier 026</t>
        </is>
      </c>
      <c r="C257" t="inlineStr">
        <is>
          <t>Professional Services</t>
        </is>
      </c>
      <c r="D257" t="n">
        <v>2020</v>
      </c>
      <c r="E257" t="n">
        <v>975802.0600000001</v>
      </c>
      <c r="F257" t="n">
        <v>3150509</v>
      </c>
      <c r="G257" t="n">
        <v>76.4237</v>
      </c>
      <c r="H257" t="n">
        <v>76.4237</v>
      </c>
      <c r="I257" t="n">
        <v>8.1599</v>
      </c>
      <c r="J257" t="n">
        <v>5.5558</v>
      </c>
      <c r="K257" t="n">
        <v>58.0165</v>
      </c>
      <c r="L257" t="n">
        <v>2019</v>
      </c>
      <c r="M257" t="n">
        <v>2040</v>
      </c>
      <c r="N257" t="n">
        <v>0.4936</v>
      </c>
      <c r="O257" t="n">
        <v>0.2987</v>
      </c>
      <c r="P257" t="n">
        <v>2020</v>
      </c>
      <c r="Q257" t="inlineStr"/>
      <c r="R257" t="inlineStr"/>
      <c r="S257" t="n">
        <v>400.0326</v>
      </c>
      <c r="T257" t="n">
        <v>0.00012906</v>
      </c>
      <c r="U257" t="n">
        <v>0.00019658</v>
      </c>
    </row>
    <row r="258">
      <c r="A258" t="inlineStr">
        <is>
          <t>SUP-0026</t>
        </is>
      </c>
      <c r="B258" t="inlineStr">
        <is>
          <t>Professional Supplier 026</t>
        </is>
      </c>
      <c r="C258" t="inlineStr">
        <is>
          <t>Professional Services</t>
        </is>
      </c>
      <c r="D258" t="n">
        <v>2021</v>
      </c>
      <c r="E258" t="n">
        <v>930501.4300000001</v>
      </c>
      <c r="F258" t="n">
        <v>2777714.02</v>
      </c>
      <c r="G258" t="n">
        <v>59.2091</v>
      </c>
      <c r="H258" t="n">
        <v>59.2091</v>
      </c>
      <c r="I258" t="n">
        <v>4.5491</v>
      </c>
      <c r="J258" t="n">
        <v>6.0907</v>
      </c>
      <c r="K258" t="n">
        <v>43.7275</v>
      </c>
      <c r="L258" t="n">
        <v>2019</v>
      </c>
      <c r="M258" t="n">
        <v>2040</v>
      </c>
      <c r="N258" t="n">
        <v>0.4936</v>
      </c>
      <c r="O258" t="n">
        <v>0.2987</v>
      </c>
      <c r="P258" t="n">
        <v>2020</v>
      </c>
      <c r="Q258" t="inlineStr"/>
      <c r="R258" t="inlineStr"/>
      <c r="S258" t="n">
        <v>400.0326</v>
      </c>
      <c r="T258" t="n">
        <v>0.00012906</v>
      </c>
      <c r="U258" t="n">
        <v>0.00019658</v>
      </c>
    </row>
    <row r="259">
      <c r="A259" t="inlineStr">
        <is>
          <t>SUP-0026</t>
        </is>
      </c>
      <c r="B259" t="inlineStr">
        <is>
          <t>Professional Supplier 026</t>
        </is>
      </c>
      <c r="C259" t="inlineStr">
        <is>
          <t>Professional Services</t>
        </is>
      </c>
      <c r="D259" t="n">
        <v>2022</v>
      </c>
      <c r="E259" t="n">
        <v>895415.47</v>
      </c>
      <c r="F259" t="n">
        <v>3714986.77</v>
      </c>
      <c r="G259" t="n">
        <v>60.5093</v>
      </c>
      <c r="H259" t="n">
        <v>60.5093</v>
      </c>
      <c r="I259" t="n">
        <v>12.4138</v>
      </c>
      <c r="J259" t="n">
        <v>9.371700000000001</v>
      </c>
      <c r="K259" t="n">
        <v>38.306</v>
      </c>
      <c r="L259" t="n">
        <v>2019</v>
      </c>
      <c r="M259" t="n">
        <v>2040</v>
      </c>
      <c r="N259" t="n">
        <v>0.4936</v>
      </c>
      <c r="O259" t="n">
        <v>0.2987</v>
      </c>
      <c r="P259" t="n">
        <v>2020</v>
      </c>
      <c r="Q259" t="inlineStr"/>
      <c r="R259" t="inlineStr"/>
      <c r="S259" t="n">
        <v>400.0326</v>
      </c>
      <c r="T259" t="n">
        <v>0.00012906</v>
      </c>
      <c r="U259" t="n">
        <v>0.00019658</v>
      </c>
    </row>
    <row r="260">
      <c r="A260" t="inlineStr">
        <is>
          <t>SUP-0026</t>
        </is>
      </c>
      <c r="B260" t="inlineStr">
        <is>
          <t>Professional Supplier 026</t>
        </is>
      </c>
      <c r="C260" t="inlineStr">
        <is>
          <t>Professional Services</t>
        </is>
      </c>
      <c r="D260" t="n">
        <v>2023</v>
      </c>
      <c r="E260" t="n">
        <v>893693.4300000001</v>
      </c>
      <c r="F260" t="n">
        <v>3271008.7</v>
      </c>
      <c r="G260" t="n">
        <v>61.5516</v>
      </c>
      <c r="H260" t="n">
        <v>61.5516</v>
      </c>
      <c r="I260" t="n">
        <v>15.0911</v>
      </c>
      <c r="J260" t="n">
        <v>5.1173</v>
      </c>
      <c r="K260" t="n">
        <v>40.1028</v>
      </c>
      <c r="L260" t="n">
        <v>2019</v>
      </c>
      <c r="M260" t="n">
        <v>2040</v>
      </c>
      <c r="N260" t="n">
        <v>0.4936</v>
      </c>
      <c r="O260" t="n">
        <v>0.2987</v>
      </c>
      <c r="P260" t="n">
        <v>2020</v>
      </c>
      <c r="Q260" t="inlineStr"/>
      <c r="R260" t="inlineStr"/>
      <c r="S260" t="n">
        <v>400.0326</v>
      </c>
      <c r="T260" t="n">
        <v>0.00012906</v>
      </c>
      <c r="U260" t="n">
        <v>0.00019658</v>
      </c>
    </row>
    <row r="261">
      <c r="A261" t="inlineStr">
        <is>
          <t>SUP-0026</t>
        </is>
      </c>
      <c r="B261" t="inlineStr">
        <is>
          <t>Professional Supplier 026</t>
        </is>
      </c>
      <c r="C261" t="inlineStr">
        <is>
          <t>Professional Services</t>
        </is>
      </c>
      <c r="D261" t="n">
        <v>2024</v>
      </c>
      <c r="E261" t="n">
        <v>993339.67</v>
      </c>
      <c r="F261" t="n">
        <v>4530875.75</v>
      </c>
      <c r="G261" t="n">
        <v>93.60899999999999</v>
      </c>
      <c r="H261" t="n">
        <v>93.60899999999999</v>
      </c>
      <c r="I261" t="n">
        <v>25.8028</v>
      </c>
      <c r="J261" t="n">
        <v>13.8137</v>
      </c>
      <c r="K261" t="n">
        <v>55.2833</v>
      </c>
      <c r="L261" t="n">
        <v>2019</v>
      </c>
      <c r="M261" t="n">
        <v>2040</v>
      </c>
      <c r="N261" t="n">
        <v>0.4936</v>
      </c>
      <c r="O261" t="n">
        <v>0.2987</v>
      </c>
      <c r="P261" t="n">
        <v>2020</v>
      </c>
      <c r="Q261" t="inlineStr"/>
      <c r="R261" t="inlineStr"/>
      <c r="S261" t="n">
        <v>400.0326</v>
      </c>
      <c r="T261" t="n">
        <v>0.00012906</v>
      </c>
      <c r="U261" t="n">
        <v>0.00019658</v>
      </c>
    </row>
    <row r="262">
      <c r="A262" t="inlineStr">
        <is>
          <t>SUP-0027</t>
        </is>
      </c>
      <c r="B262" t="inlineStr">
        <is>
          <t>Metals Supplier 027</t>
        </is>
      </c>
      <c r="C262" t="inlineStr">
        <is>
          <t>Metals</t>
        </is>
      </c>
      <c r="D262" t="n">
        <v>2015</v>
      </c>
      <c r="E262" t="n">
        <v>10472782.26</v>
      </c>
      <c r="F262" t="n">
        <v>37285643.06</v>
      </c>
      <c r="G262" t="n">
        <v>8865.733099999999</v>
      </c>
      <c r="H262" t="n">
        <v>8865.733099999999</v>
      </c>
      <c r="I262" t="n">
        <v>898.8901</v>
      </c>
      <c r="J262" t="n">
        <v>1531.4681</v>
      </c>
      <c r="K262" t="n">
        <v>6549.2942</v>
      </c>
      <c r="L262" t="n">
        <v>2019</v>
      </c>
      <c r="M262" t="n">
        <v>2030</v>
      </c>
      <c r="N262" t="n">
        <v>0.2739</v>
      </c>
      <c r="O262" t="n">
        <v>0.1728</v>
      </c>
      <c r="P262" t="n">
        <v>2019</v>
      </c>
      <c r="Q262" t="n">
        <v>2030</v>
      </c>
      <c r="R262" t="n">
        <v>0.3852</v>
      </c>
      <c r="S262" t="n">
        <v>158.2904</v>
      </c>
      <c r="T262" t="n">
        <v>0.00100695</v>
      </c>
      <c r="U262" t="n">
        <v>0.00065008</v>
      </c>
    </row>
    <row r="263">
      <c r="A263" t="inlineStr">
        <is>
          <t>SUP-0027</t>
        </is>
      </c>
      <c r="B263" t="inlineStr">
        <is>
          <t>Metals Supplier 027</t>
        </is>
      </c>
      <c r="C263" t="inlineStr">
        <is>
          <t>Metals</t>
        </is>
      </c>
      <c r="D263" t="n">
        <v>2016</v>
      </c>
      <c r="E263" t="n">
        <v>11721490.72</v>
      </c>
      <c r="F263" t="n">
        <v>33394212.9</v>
      </c>
      <c r="G263" t="n">
        <v>8139.8986</v>
      </c>
      <c r="H263" t="n">
        <v>8139.8986</v>
      </c>
      <c r="I263" t="n">
        <v>1012.3493</v>
      </c>
      <c r="J263" t="n">
        <v>1146.5911</v>
      </c>
      <c r="K263" t="n">
        <v>6009.1926</v>
      </c>
      <c r="L263" t="n">
        <v>2019</v>
      </c>
      <c r="M263" t="n">
        <v>2030</v>
      </c>
      <c r="N263" t="n">
        <v>0.2739</v>
      </c>
      <c r="O263" t="n">
        <v>0.1728</v>
      </c>
      <c r="P263" t="n">
        <v>2019</v>
      </c>
      <c r="Q263" t="n">
        <v>2030</v>
      </c>
      <c r="R263" t="n">
        <v>0.3852</v>
      </c>
      <c r="S263" t="n">
        <v>158.2904</v>
      </c>
      <c r="T263" t="n">
        <v>0.00100695</v>
      </c>
      <c r="U263" t="n">
        <v>0.00065008</v>
      </c>
    </row>
    <row r="264">
      <c r="A264" t="inlineStr">
        <is>
          <t>SUP-0027</t>
        </is>
      </c>
      <c r="B264" t="inlineStr">
        <is>
          <t>Metals Supplier 027</t>
        </is>
      </c>
      <c r="C264" t="inlineStr">
        <is>
          <t>Metals</t>
        </is>
      </c>
      <c r="D264" t="n">
        <v>2017</v>
      </c>
      <c r="E264" t="n">
        <v>12769245.16</v>
      </c>
      <c r="F264" t="n">
        <v>33209437.34</v>
      </c>
      <c r="G264" t="n">
        <v>6987.1292</v>
      </c>
      <c r="H264" t="n">
        <v>6987.1292</v>
      </c>
      <c r="I264" t="n">
        <v>1758.755</v>
      </c>
      <c r="J264" t="n">
        <v>499.2694</v>
      </c>
      <c r="K264" t="n">
        <v>4675.4208</v>
      </c>
      <c r="L264" t="n">
        <v>2019</v>
      </c>
      <c r="M264" t="n">
        <v>2030</v>
      </c>
      <c r="N264" t="n">
        <v>0.2739</v>
      </c>
      <c r="O264" t="n">
        <v>0.1728</v>
      </c>
      <c r="P264" t="n">
        <v>2019</v>
      </c>
      <c r="Q264" t="n">
        <v>2030</v>
      </c>
      <c r="R264" t="n">
        <v>0.3852</v>
      </c>
      <c r="S264" t="n">
        <v>158.2904</v>
      </c>
      <c r="T264" t="n">
        <v>0.00100695</v>
      </c>
      <c r="U264" t="n">
        <v>0.00065008</v>
      </c>
    </row>
    <row r="265">
      <c r="A265" t="inlineStr">
        <is>
          <t>SUP-0027</t>
        </is>
      </c>
      <c r="B265" t="inlineStr">
        <is>
          <t>Metals Supplier 027</t>
        </is>
      </c>
      <c r="C265" t="inlineStr">
        <is>
          <t>Metals</t>
        </is>
      </c>
      <c r="D265" t="n">
        <v>2018</v>
      </c>
      <c r="E265" t="n">
        <v>13135088.89</v>
      </c>
      <c r="F265" t="n">
        <v>42443438.05</v>
      </c>
      <c r="G265" t="n">
        <v>6774.6338</v>
      </c>
      <c r="H265" t="n">
        <v>6774.6338</v>
      </c>
      <c r="I265" t="n">
        <v>1990.4123</v>
      </c>
      <c r="J265" t="n">
        <v>1540.9722</v>
      </c>
      <c r="K265" t="n">
        <v>4032.5449</v>
      </c>
      <c r="L265" t="n">
        <v>2019</v>
      </c>
      <c r="M265" t="n">
        <v>2030</v>
      </c>
      <c r="N265" t="n">
        <v>0.2739</v>
      </c>
      <c r="O265" t="n">
        <v>0.1728</v>
      </c>
      <c r="P265" t="n">
        <v>2019</v>
      </c>
      <c r="Q265" t="n">
        <v>2030</v>
      </c>
      <c r="R265" t="n">
        <v>0.3852</v>
      </c>
      <c r="S265" t="n">
        <v>158.2904</v>
      </c>
      <c r="T265" t="n">
        <v>0.00100695</v>
      </c>
      <c r="U265" t="n">
        <v>0.00065008</v>
      </c>
    </row>
    <row r="266">
      <c r="A266" t="inlineStr">
        <is>
          <t>SUP-0027</t>
        </is>
      </c>
      <c r="B266" t="inlineStr">
        <is>
          <t>Metals Supplier 027</t>
        </is>
      </c>
      <c r="C266" t="inlineStr">
        <is>
          <t>Metals</t>
        </is>
      </c>
      <c r="D266" t="n">
        <v>2019</v>
      </c>
      <c r="E266" t="n">
        <v>13075733.46</v>
      </c>
      <c r="F266" t="n">
        <v>36224427.01</v>
      </c>
      <c r="G266" t="n">
        <v>7783.0952</v>
      </c>
      <c r="H266" t="n">
        <v>7783.0952</v>
      </c>
      <c r="I266" t="n">
        <v>672.2423</v>
      </c>
      <c r="J266" t="n">
        <v>1239.3422</v>
      </c>
      <c r="K266" t="n">
        <v>6352.1899</v>
      </c>
      <c r="L266" t="n">
        <v>2019</v>
      </c>
      <c r="M266" t="n">
        <v>2030</v>
      </c>
      <c r="N266" t="n">
        <v>0.2739</v>
      </c>
      <c r="O266" t="n">
        <v>0.1728</v>
      </c>
      <c r="P266" t="n">
        <v>2019</v>
      </c>
      <c r="Q266" t="n">
        <v>2030</v>
      </c>
      <c r="R266" t="n">
        <v>0.3852</v>
      </c>
      <c r="S266" t="n">
        <v>158.2904</v>
      </c>
      <c r="T266" t="n">
        <v>0.00100695</v>
      </c>
      <c r="U266" t="n">
        <v>0.00065008</v>
      </c>
    </row>
    <row r="267">
      <c r="A267" t="inlineStr">
        <is>
          <t>SUP-0027</t>
        </is>
      </c>
      <c r="B267" t="inlineStr">
        <is>
          <t>Metals Supplier 027</t>
        </is>
      </c>
      <c r="C267" t="inlineStr">
        <is>
          <t>Metals</t>
        </is>
      </c>
      <c r="D267" t="n">
        <v>2020</v>
      </c>
      <c r="E267" t="n">
        <v>14057274.56</v>
      </c>
      <c r="F267" t="n">
        <v>46031978.74</v>
      </c>
      <c r="G267" t="n">
        <v>8106.9659</v>
      </c>
      <c r="H267" t="n">
        <v>8106.9659</v>
      </c>
      <c r="I267" t="n">
        <v>1156.3547</v>
      </c>
      <c r="J267" t="n">
        <v>1563.0193</v>
      </c>
      <c r="K267" t="n">
        <v>5506.8955</v>
      </c>
      <c r="L267" t="n">
        <v>2019</v>
      </c>
      <c r="M267" t="n">
        <v>2030</v>
      </c>
      <c r="N267" t="n">
        <v>0.2739</v>
      </c>
      <c r="O267" t="n">
        <v>0.1728</v>
      </c>
      <c r="P267" t="n">
        <v>2019</v>
      </c>
      <c r="Q267" t="n">
        <v>2030</v>
      </c>
      <c r="R267" t="n">
        <v>0.3852</v>
      </c>
      <c r="S267" t="n">
        <v>158.2904</v>
      </c>
      <c r="T267" t="n">
        <v>0.00100695</v>
      </c>
      <c r="U267" t="n">
        <v>0.00065008</v>
      </c>
    </row>
    <row r="268">
      <c r="A268" t="inlineStr">
        <is>
          <t>SUP-0027</t>
        </is>
      </c>
      <c r="B268" t="inlineStr">
        <is>
          <t>Metals Supplier 027</t>
        </is>
      </c>
      <c r="C268" t="inlineStr">
        <is>
          <t>Metals</t>
        </is>
      </c>
      <c r="D268" t="n">
        <v>2021</v>
      </c>
      <c r="E268" t="n">
        <v>14818842.94</v>
      </c>
      <c r="F268" t="n">
        <v>45424452.1</v>
      </c>
      <c r="G268" t="n">
        <v>8031.9736</v>
      </c>
      <c r="H268" t="n">
        <v>8031.9736</v>
      </c>
      <c r="I268" t="n">
        <v>701.4999</v>
      </c>
      <c r="J268" t="n">
        <v>1444.8155</v>
      </c>
      <c r="K268" t="n">
        <v>5746.1878</v>
      </c>
      <c r="L268" t="n">
        <v>2019</v>
      </c>
      <c r="M268" t="n">
        <v>2030</v>
      </c>
      <c r="N268" t="n">
        <v>0.2739</v>
      </c>
      <c r="O268" t="n">
        <v>0.1728</v>
      </c>
      <c r="P268" t="n">
        <v>2019</v>
      </c>
      <c r="Q268" t="n">
        <v>2030</v>
      </c>
      <c r="R268" t="n">
        <v>0.3852</v>
      </c>
      <c r="S268" t="n">
        <v>158.2904</v>
      </c>
      <c r="T268" t="n">
        <v>0.00100695</v>
      </c>
      <c r="U268" t="n">
        <v>0.00065008</v>
      </c>
    </row>
    <row r="269">
      <c r="A269" t="inlineStr">
        <is>
          <t>SUP-0027</t>
        </is>
      </c>
      <c r="B269" t="inlineStr">
        <is>
          <t>Metals Supplier 027</t>
        </is>
      </c>
      <c r="C269" t="inlineStr">
        <is>
          <t>Metals</t>
        </is>
      </c>
      <c r="D269" t="n">
        <v>2022</v>
      </c>
      <c r="E269" t="n">
        <v>15333712.56</v>
      </c>
      <c r="F269" t="n">
        <v>42104237.7</v>
      </c>
      <c r="G269" t="n">
        <v>7693.1699</v>
      </c>
      <c r="H269" t="n">
        <v>7693.1699</v>
      </c>
      <c r="I269" t="n">
        <v>1041.8481</v>
      </c>
      <c r="J269" t="n">
        <v>1562.1463</v>
      </c>
      <c r="K269" t="n">
        <v>4917.039</v>
      </c>
      <c r="L269" t="n">
        <v>2019</v>
      </c>
      <c r="M269" t="n">
        <v>2030</v>
      </c>
      <c r="N269" t="n">
        <v>0.2739</v>
      </c>
      <c r="O269" t="n">
        <v>0.1728</v>
      </c>
      <c r="P269" t="n">
        <v>2019</v>
      </c>
      <c r="Q269" t="n">
        <v>2030</v>
      </c>
      <c r="R269" t="n">
        <v>0.3852</v>
      </c>
      <c r="S269" t="n">
        <v>158.2904</v>
      </c>
      <c r="T269" t="n">
        <v>0.00100695</v>
      </c>
      <c r="U269" t="n">
        <v>0.00065008</v>
      </c>
    </row>
    <row r="270">
      <c r="A270" t="inlineStr">
        <is>
          <t>SUP-0027</t>
        </is>
      </c>
      <c r="B270" t="inlineStr">
        <is>
          <t>Metals Supplier 027</t>
        </is>
      </c>
      <c r="C270" t="inlineStr">
        <is>
          <t>Metals</t>
        </is>
      </c>
      <c r="D270" t="n">
        <v>2023</v>
      </c>
      <c r="E270" t="n">
        <v>16482944.31</v>
      </c>
      <c r="F270" t="n">
        <v>38052919.88</v>
      </c>
      <c r="G270" t="n">
        <v>7278.8139</v>
      </c>
      <c r="H270" t="n">
        <v>7278.8139</v>
      </c>
      <c r="I270" t="n">
        <v>1997.4358</v>
      </c>
      <c r="J270" t="n">
        <v>1187.7057</v>
      </c>
      <c r="K270" t="n">
        <v>4265.4791</v>
      </c>
      <c r="L270" t="n">
        <v>2019</v>
      </c>
      <c r="M270" t="n">
        <v>2030</v>
      </c>
      <c r="N270" t="n">
        <v>0.2739</v>
      </c>
      <c r="O270" t="n">
        <v>0.1728</v>
      </c>
      <c r="P270" t="n">
        <v>2019</v>
      </c>
      <c r="Q270" t="n">
        <v>2030</v>
      </c>
      <c r="R270" t="n">
        <v>0.3852</v>
      </c>
      <c r="S270" t="n">
        <v>158.2904</v>
      </c>
      <c r="T270" t="n">
        <v>0.00100695</v>
      </c>
      <c r="U270" t="n">
        <v>0.00065008</v>
      </c>
    </row>
    <row r="271">
      <c r="A271" t="inlineStr">
        <is>
          <t>SUP-0027</t>
        </is>
      </c>
      <c r="B271" t="inlineStr">
        <is>
          <t>Metals Supplier 027</t>
        </is>
      </c>
      <c r="C271" t="inlineStr">
        <is>
          <t>Metals</t>
        </is>
      </c>
      <c r="D271" t="n">
        <v>2024</v>
      </c>
      <c r="E271" t="n">
        <v>20111235.02</v>
      </c>
      <c r="F271" t="n">
        <v>65477013.16</v>
      </c>
      <c r="G271" t="n">
        <v>9386.202600000001</v>
      </c>
      <c r="H271" t="n">
        <v>9386.202600000001</v>
      </c>
      <c r="I271" t="n">
        <v>2360.709</v>
      </c>
      <c r="J271" t="n">
        <v>1459.5858</v>
      </c>
      <c r="K271" t="n">
        <v>5351.0363</v>
      </c>
      <c r="L271" t="n">
        <v>2019</v>
      </c>
      <c r="M271" t="n">
        <v>2030</v>
      </c>
      <c r="N271" t="n">
        <v>0.2739</v>
      </c>
      <c r="O271" t="n">
        <v>0.1728</v>
      </c>
      <c r="P271" t="n">
        <v>2019</v>
      </c>
      <c r="Q271" t="n">
        <v>2030</v>
      </c>
      <c r="R271" t="n">
        <v>0.3852</v>
      </c>
      <c r="S271" t="n">
        <v>158.2904</v>
      </c>
      <c r="T271" t="n">
        <v>0.00100695</v>
      </c>
      <c r="U271" t="n">
        <v>0.00065008</v>
      </c>
    </row>
    <row r="272">
      <c r="A272" t="inlineStr">
        <is>
          <t>SUP-0028</t>
        </is>
      </c>
      <c r="B272" t="inlineStr">
        <is>
          <t>Professional Supplier 028</t>
        </is>
      </c>
      <c r="C272" t="inlineStr">
        <is>
          <t>Professional Services</t>
        </is>
      </c>
      <c r="D272" t="n">
        <v>2015</v>
      </c>
      <c r="E272" t="n">
        <v>10734531</v>
      </c>
      <c r="F272" t="n">
        <v>62547040.05</v>
      </c>
      <c r="G272" t="n">
        <v>1701.742</v>
      </c>
      <c r="H272" t="n">
        <v>1701.742</v>
      </c>
      <c r="I272" t="n">
        <v>446.9844</v>
      </c>
      <c r="J272" t="n">
        <v>324.6698</v>
      </c>
      <c r="K272" t="n">
        <v>1096.5451</v>
      </c>
      <c r="L272" t="n">
        <v>2020</v>
      </c>
      <c r="M272" t="n">
        <v>2035</v>
      </c>
      <c r="N272" t="n">
        <v>0.5648</v>
      </c>
      <c r="O272" t="n">
        <v>0.2914</v>
      </c>
      <c r="P272" t="n">
        <v>2020</v>
      </c>
      <c r="Q272" t="inlineStr"/>
      <c r="R272" t="inlineStr"/>
      <c r="S272" t="n">
        <v>400.0326</v>
      </c>
      <c r="T272" t="n">
        <v>0.00012906</v>
      </c>
      <c r="U272" t="n">
        <v>0.00019658</v>
      </c>
    </row>
    <row r="273">
      <c r="A273" t="inlineStr">
        <is>
          <t>SUP-0028</t>
        </is>
      </c>
      <c r="B273" t="inlineStr">
        <is>
          <t>Professional Supplier 028</t>
        </is>
      </c>
      <c r="C273" t="inlineStr">
        <is>
          <t>Professional Services</t>
        </is>
      </c>
      <c r="D273" t="n">
        <v>2016</v>
      </c>
      <c r="E273" t="n">
        <v>9992567.310000001</v>
      </c>
      <c r="F273" t="n">
        <v>74889249.34</v>
      </c>
      <c r="G273" t="n">
        <v>1167.6142</v>
      </c>
      <c r="H273" t="n">
        <v>1167.6142</v>
      </c>
      <c r="I273" t="n">
        <v>124.1709</v>
      </c>
      <c r="J273" t="n">
        <v>157.6059</v>
      </c>
      <c r="K273" t="n">
        <v>845.2224</v>
      </c>
      <c r="L273" t="n">
        <v>2020</v>
      </c>
      <c r="M273" t="n">
        <v>2035</v>
      </c>
      <c r="N273" t="n">
        <v>0.5648</v>
      </c>
      <c r="O273" t="n">
        <v>0.2914</v>
      </c>
      <c r="P273" t="n">
        <v>2020</v>
      </c>
      <c r="Q273" t="inlineStr"/>
      <c r="R273" t="inlineStr"/>
      <c r="S273" t="n">
        <v>400.0326</v>
      </c>
      <c r="T273" t="n">
        <v>0.00012906</v>
      </c>
      <c r="U273" t="n">
        <v>0.00019658</v>
      </c>
    </row>
    <row r="274">
      <c r="A274" t="inlineStr">
        <is>
          <t>SUP-0028</t>
        </is>
      </c>
      <c r="B274" t="inlineStr">
        <is>
          <t>Professional Supplier 028</t>
        </is>
      </c>
      <c r="C274" t="inlineStr">
        <is>
          <t>Professional Services</t>
        </is>
      </c>
      <c r="D274" t="n">
        <v>2017</v>
      </c>
      <c r="E274" t="n">
        <v>10722422.58</v>
      </c>
      <c r="F274" t="n">
        <v>72785575.86</v>
      </c>
      <c r="G274" t="n">
        <v>1469.617</v>
      </c>
      <c r="H274" t="n">
        <v>1469.617</v>
      </c>
      <c r="I274" t="n">
        <v>178.7795</v>
      </c>
      <c r="J274" t="n">
        <v>299.4709</v>
      </c>
      <c r="K274" t="n">
        <v>1089.548</v>
      </c>
      <c r="L274" t="n">
        <v>2020</v>
      </c>
      <c r="M274" t="n">
        <v>2035</v>
      </c>
      <c r="N274" t="n">
        <v>0.5648</v>
      </c>
      <c r="O274" t="n">
        <v>0.2914</v>
      </c>
      <c r="P274" t="n">
        <v>2020</v>
      </c>
      <c r="Q274" t="inlineStr"/>
      <c r="R274" t="inlineStr"/>
      <c r="S274" t="n">
        <v>400.0326</v>
      </c>
      <c r="T274" t="n">
        <v>0.00012906</v>
      </c>
      <c r="U274" t="n">
        <v>0.00019658</v>
      </c>
    </row>
    <row r="275">
      <c r="A275" t="inlineStr">
        <is>
          <t>SUP-0028</t>
        </is>
      </c>
      <c r="B275" t="inlineStr">
        <is>
          <t>Professional Supplier 028</t>
        </is>
      </c>
      <c r="C275" t="inlineStr">
        <is>
          <t>Professional Services</t>
        </is>
      </c>
      <c r="D275" t="n">
        <v>2018</v>
      </c>
      <c r="E275" t="n">
        <v>12798210.84</v>
      </c>
      <c r="F275" t="n">
        <v>87564843.27</v>
      </c>
      <c r="G275" t="n">
        <v>1970.4947</v>
      </c>
      <c r="H275" t="n">
        <v>1970.4947</v>
      </c>
      <c r="I275" t="n">
        <v>378.411</v>
      </c>
      <c r="J275" t="n">
        <v>165.1098</v>
      </c>
      <c r="K275" t="n">
        <v>1439.4172</v>
      </c>
      <c r="L275" t="n">
        <v>2020</v>
      </c>
      <c r="M275" t="n">
        <v>2035</v>
      </c>
      <c r="N275" t="n">
        <v>0.5648</v>
      </c>
      <c r="O275" t="n">
        <v>0.2914</v>
      </c>
      <c r="P275" t="n">
        <v>2020</v>
      </c>
      <c r="Q275" t="inlineStr"/>
      <c r="R275" t="inlineStr"/>
      <c r="S275" t="n">
        <v>400.0326</v>
      </c>
      <c r="T275" t="n">
        <v>0.00012906</v>
      </c>
      <c r="U275" t="n">
        <v>0.00019658</v>
      </c>
    </row>
    <row r="276">
      <c r="A276" t="inlineStr">
        <is>
          <t>SUP-0028</t>
        </is>
      </c>
      <c r="B276" t="inlineStr">
        <is>
          <t>Professional Supplier 028</t>
        </is>
      </c>
      <c r="C276" t="inlineStr">
        <is>
          <t>Professional Services</t>
        </is>
      </c>
      <c r="D276" t="n">
        <v>2019</v>
      </c>
      <c r="E276" t="n">
        <v>10293927.01</v>
      </c>
      <c r="F276" t="n">
        <v>64183317.77</v>
      </c>
      <c r="G276" t="n">
        <v>1347.5008</v>
      </c>
      <c r="H276" t="n">
        <v>1347.5008</v>
      </c>
      <c r="I276" t="n">
        <v>378.6466</v>
      </c>
      <c r="J276" t="n">
        <v>117.272</v>
      </c>
      <c r="K276" t="n">
        <v>948.2303000000001</v>
      </c>
      <c r="L276" t="n">
        <v>2020</v>
      </c>
      <c r="M276" t="n">
        <v>2035</v>
      </c>
      <c r="N276" t="n">
        <v>0.5648</v>
      </c>
      <c r="O276" t="n">
        <v>0.2914</v>
      </c>
      <c r="P276" t="n">
        <v>2020</v>
      </c>
      <c r="Q276" t="inlineStr"/>
      <c r="R276" t="inlineStr"/>
      <c r="S276" t="n">
        <v>400.0326</v>
      </c>
      <c r="T276" t="n">
        <v>0.00012906</v>
      </c>
      <c r="U276" t="n">
        <v>0.00019658</v>
      </c>
    </row>
    <row r="277">
      <c r="A277" t="inlineStr">
        <is>
          <t>SUP-0028</t>
        </is>
      </c>
      <c r="B277" t="inlineStr">
        <is>
          <t>Professional Supplier 028</t>
        </is>
      </c>
      <c r="C277" t="inlineStr">
        <is>
          <t>Professional Services</t>
        </is>
      </c>
      <c r="D277" t="n">
        <v>2020</v>
      </c>
      <c r="E277" t="n">
        <v>12993685.73</v>
      </c>
      <c r="F277" t="n">
        <v>88143337.89</v>
      </c>
      <c r="G277" t="n">
        <v>1428.3473</v>
      </c>
      <c r="H277" t="n">
        <v>1428.3473</v>
      </c>
      <c r="I277" t="n">
        <v>383.8821</v>
      </c>
      <c r="J277" t="n">
        <v>240.5935</v>
      </c>
      <c r="K277" t="n">
        <v>838.7800999999999</v>
      </c>
      <c r="L277" t="n">
        <v>2020</v>
      </c>
      <c r="M277" t="n">
        <v>2035</v>
      </c>
      <c r="N277" t="n">
        <v>0.5648</v>
      </c>
      <c r="O277" t="n">
        <v>0.2914</v>
      </c>
      <c r="P277" t="n">
        <v>2020</v>
      </c>
      <c r="Q277" t="inlineStr"/>
      <c r="R277" t="inlineStr"/>
      <c r="S277" t="n">
        <v>400.0326</v>
      </c>
      <c r="T277" t="n">
        <v>0.00012906</v>
      </c>
      <c r="U277" t="n">
        <v>0.00019658</v>
      </c>
    </row>
    <row r="278">
      <c r="A278" t="inlineStr">
        <is>
          <t>SUP-0028</t>
        </is>
      </c>
      <c r="B278" t="inlineStr">
        <is>
          <t>Professional Supplier 028</t>
        </is>
      </c>
      <c r="C278" t="inlineStr">
        <is>
          <t>Professional Services</t>
        </is>
      </c>
      <c r="D278" t="n">
        <v>2021</v>
      </c>
      <c r="E278" t="n">
        <v>13373573.39</v>
      </c>
      <c r="F278" t="n">
        <v>110896956.78</v>
      </c>
      <c r="G278" t="n">
        <v>1889.598</v>
      </c>
      <c r="H278" t="n">
        <v>1889.598</v>
      </c>
      <c r="I278" t="n">
        <v>353.4674</v>
      </c>
      <c r="J278" t="n">
        <v>386.2048</v>
      </c>
      <c r="K278" t="n">
        <v>1241.1617</v>
      </c>
      <c r="L278" t="n">
        <v>2020</v>
      </c>
      <c r="M278" t="n">
        <v>2035</v>
      </c>
      <c r="N278" t="n">
        <v>0.5648</v>
      </c>
      <c r="O278" t="n">
        <v>0.2914</v>
      </c>
      <c r="P278" t="n">
        <v>2020</v>
      </c>
      <c r="Q278" t="inlineStr"/>
      <c r="R278" t="inlineStr"/>
      <c r="S278" t="n">
        <v>400.0326</v>
      </c>
      <c r="T278" t="n">
        <v>0.00012906</v>
      </c>
      <c r="U278" t="n">
        <v>0.00019658</v>
      </c>
    </row>
    <row r="279">
      <c r="A279" t="inlineStr">
        <is>
          <t>SUP-0028</t>
        </is>
      </c>
      <c r="B279" t="inlineStr">
        <is>
          <t>Professional Supplier 028</t>
        </is>
      </c>
      <c r="C279" t="inlineStr">
        <is>
          <t>Professional Services</t>
        </is>
      </c>
      <c r="D279" t="n">
        <v>2022</v>
      </c>
      <c r="E279" t="n">
        <v>12592632.48</v>
      </c>
      <c r="F279" t="n">
        <v>85134341.94</v>
      </c>
      <c r="G279" t="n">
        <v>1985.2182</v>
      </c>
      <c r="H279" t="n">
        <v>1985.2182</v>
      </c>
      <c r="I279" t="n">
        <v>271.8191</v>
      </c>
      <c r="J279" t="n">
        <v>356.8458</v>
      </c>
      <c r="K279" t="n">
        <v>1406.77</v>
      </c>
      <c r="L279" t="n">
        <v>2020</v>
      </c>
      <c r="M279" t="n">
        <v>2035</v>
      </c>
      <c r="N279" t="n">
        <v>0.5648</v>
      </c>
      <c r="O279" t="n">
        <v>0.2914</v>
      </c>
      <c r="P279" t="n">
        <v>2020</v>
      </c>
      <c r="Q279" t="inlineStr"/>
      <c r="R279" t="inlineStr"/>
      <c r="S279" t="n">
        <v>400.0326</v>
      </c>
      <c r="T279" t="n">
        <v>0.00012906</v>
      </c>
      <c r="U279" t="n">
        <v>0.00019658</v>
      </c>
    </row>
    <row r="280">
      <c r="A280" t="inlineStr">
        <is>
          <t>SUP-0028</t>
        </is>
      </c>
      <c r="B280" t="inlineStr">
        <is>
          <t>Professional Supplier 028</t>
        </is>
      </c>
      <c r="C280" t="inlineStr">
        <is>
          <t>Professional Services</t>
        </is>
      </c>
      <c r="D280" t="n">
        <v>2023</v>
      </c>
      <c r="E280" t="n">
        <v>14059345.87</v>
      </c>
      <c r="F280" t="n">
        <v>102810531.03</v>
      </c>
      <c r="G280" t="n">
        <v>2004.8012</v>
      </c>
      <c r="H280" t="n">
        <v>2004.8012</v>
      </c>
      <c r="I280" t="n">
        <v>352.1035</v>
      </c>
      <c r="J280" t="n">
        <v>368.8109</v>
      </c>
      <c r="K280" t="n">
        <v>1215.3521</v>
      </c>
      <c r="L280" t="n">
        <v>2020</v>
      </c>
      <c r="M280" t="n">
        <v>2035</v>
      </c>
      <c r="N280" t="n">
        <v>0.5648</v>
      </c>
      <c r="O280" t="n">
        <v>0.2914</v>
      </c>
      <c r="P280" t="n">
        <v>2020</v>
      </c>
      <c r="Q280" t="inlineStr"/>
      <c r="R280" t="inlineStr"/>
      <c r="S280" t="n">
        <v>400.0326</v>
      </c>
      <c r="T280" t="n">
        <v>0.00012906</v>
      </c>
      <c r="U280" t="n">
        <v>0.00019658</v>
      </c>
    </row>
    <row r="281">
      <c r="A281" t="inlineStr">
        <is>
          <t>SUP-0028</t>
        </is>
      </c>
      <c r="B281" t="inlineStr">
        <is>
          <t>Professional Supplier 028</t>
        </is>
      </c>
      <c r="C281" t="inlineStr">
        <is>
          <t>Professional Services</t>
        </is>
      </c>
      <c r="D281" t="n">
        <v>2024</v>
      </c>
      <c r="E281" t="n">
        <v>13198001.69</v>
      </c>
      <c r="F281" t="n">
        <v>90459784.41</v>
      </c>
      <c r="G281" t="n">
        <v>1850.0365</v>
      </c>
      <c r="H281" t="n">
        <v>1850.0365</v>
      </c>
      <c r="I281" t="n">
        <v>318.9023</v>
      </c>
      <c r="J281" t="n">
        <v>201.854</v>
      </c>
      <c r="K281" t="n">
        <v>1411.4951</v>
      </c>
      <c r="L281" t="n">
        <v>2020</v>
      </c>
      <c r="M281" t="n">
        <v>2035</v>
      </c>
      <c r="N281" t="n">
        <v>0.5648</v>
      </c>
      <c r="O281" t="n">
        <v>0.2914</v>
      </c>
      <c r="P281" t="n">
        <v>2020</v>
      </c>
      <c r="Q281" t="inlineStr"/>
      <c r="R281" t="inlineStr"/>
      <c r="S281" t="n">
        <v>400.0326</v>
      </c>
      <c r="T281" t="n">
        <v>0.00012906</v>
      </c>
      <c r="U281" t="n">
        <v>0.00019658</v>
      </c>
    </row>
    <row r="282">
      <c r="A282" t="inlineStr">
        <is>
          <t>SUP-0029</t>
        </is>
      </c>
      <c r="B282" t="inlineStr">
        <is>
          <t>Electronics Supplier 029</t>
        </is>
      </c>
      <c r="C282" t="inlineStr">
        <is>
          <t>Electronics</t>
        </is>
      </c>
      <c r="D282" t="n">
        <v>2015</v>
      </c>
      <c r="E282" t="n">
        <v>223062.03</v>
      </c>
      <c r="F282" t="n">
        <v>458767.46</v>
      </c>
      <c r="G282" t="n">
        <v>151.9491</v>
      </c>
      <c r="H282" t="n">
        <v>151.9491</v>
      </c>
      <c r="I282" t="n">
        <v>33.4493</v>
      </c>
      <c r="J282" t="n">
        <v>27.76</v>
      </c>
      <c r="K282" t="n">
        <v>102.2946</v>
      </c>
      <c r="L282" t="inlineStr"/>
      <c r="M282" t="inlineStr"/>
      <c r="N282" t="inlineStr"/>
      <c r="O282" t="inlineStr"/>
      <c r="P282" t="n">
        <v>2018</v>
      </c>
      <c r="Q282" t="n">
        <v>2040</v>
      </c>
      <c r="R282" t="n">
        <v>0.3424</v>
      </c>
      <c r="S282" t="n">
        <v>635.1588</v>
      </c>
      <c r="T282" t="n">
        <v>0.00086105</v>
      </c>
      <c r="U282" t="n">
        <v>0.00013947</v>
      </c>
    </row>
    <row r="283">
      <c r="A283" t="inlineStr">
        <is>
          <t>SUP-0029</t>
        </is>
      </c>
      <c r="B283" t="inlineStr">
        <is>
          <t>Electronics Supplier 029</t>
        </is>
      </c>
      <c r="C283" t="inlineStr">
        <is>
          <t>Electronics</t>
        </is>
      </c>
      <c r="D283" t="n">
        <v>2016</v>
      </c>
      <c r="E283" t="n">
        <v>241306.76</v>
      </c>
      <c r="F283" t="n">
        <v>598385.1899999999</v>
      </c>
      <c r="G283" t="n">
        <v>153.9803</v>
      </c>
      <c r="H283" t="n">
        <v>153.9803</v>
      </c>
      <c r="I283" t="n">
        <v>33.6248</v>
      </c>
      <c r="J283" t="n">
        <v>23.9532</v>
      </c>
      <c r="K283" t="n">
        <v>99.8334</v>
      </c>
      <c r="L283" t="inlineStr"/>
      <c r="M283" t="inlineStr"/>
      <c r="N283" t="inlineStr"/>
      <c r="O283" t="inlineStr"/>
      <c r="P283" t="n">
        <v>2018</v>
      </c>
      <c r="Q283" t="n">
        <v>2040</v>
      </c>
      <c r="R283" t="n">
        <v>0.3424</v>
      </c>
      <c r="S283" t="n">
        <v>635.1588</v>
      </c>
      <c r="T283" t="n">
        <v>0.00086105</v>
      </c>
      <c r="U283" t="n">
        <v>0.00013947</v>
      </c>
    </row>
    <row r="284">
      <c r="A284" t="inlineStr">
        <is>
          <t>SUP-0029</t>
        </is>
      </c>
      <c r="B284" t="inlineStr">
        <is>
          <t>Electronics Supplier 029</t>
        </is>
      </c>
      <c r="C284" t="inlineStr">
        <is>
          <t>Electronics</t>
        </is>
      </c>
      <c r="D284" t="n">
        <v>2017</v>
      </c>
      <c r="E284" t="n">
        <v>267111.36</v>
      </c>
      <c r="F284" t="n">
        <v>529256.98</v>
      </c>
      <c r="G284" t="n">
        <v>204.1134</v>
      </c>
      <c r="H284" t="n">
        <v>204.1134</v>
      </c>
      <c r="I284" t="n">
        <v>42.0518</v>
      </c>
      <c r="J284" t="n">
        <v>13.6744</v>
      </c>
      <c r="K284" t="n">
        <v>155.1985</v>
      </c>
      <c r="L284" t="inlineStr"/>
      <c r="M284" t="inlineStr"/>
      <c r="N284" t="inlineStr"/>
      <c r="O284" t="inlineStr"/>
      <c r="P284" t="n">
        <v>2018</v>
      </c>
      <c r="Q284" t="n">
        <v>2040</v>
      </c>
      <c r="R284" t="n">
        <v>0.3424</v>
      </c>
      <c r="S284" t="n">
        <v>635.1588</v>
      </c>
      <c r="T284" t="n">
        <v>0.00086105</v>
      </c>
      <c r="U284" t="n">
        <v>0.00013947</v>
      </c>
    </row>
    <row r="285">
      <c r="A285" t="inlineStr">
        <is>
          <t>SUP-0029</t>
        </is>
      </c>
      <c r="B285" t="inlineStr">
        <is>
          <t>Electronics Supplier 029</t>
        </is>
      </c>
      <c r="C285" t="inlineStr">
        <is>
          <t>Electronics</t>
        </is>
      </c>
      <c r="D285" t="n">
        <v>2018</v>
      </c>
      <c r="E285" t="n">
        <v>252950.87</v>
      </c>
      <c r="F285" t="n">
        <v>565369.3199999999</v>
      </c>
      <c r="G285" t="n">
        <v>174.8928</v>
      </c>
      <c r="H285" t="n">
        <v>174.8928</v>
      </c>
      <c r="I285" t="n">
        <v>14.2522</v>
      </c>
      <c r="J285" t="n">
        <v>29.5052</v>
      </c>
      <c r="K285" t="n">
        <v>124.3836</v>
      </c>
      <c r="L285" t="inlineStr"/>
      <c r="M285" t="inlineStr"/>
      <c r="N285" t="inlineStr"/>
      <c r="O285" t="inlineStr"/>
      <c r="P285" t="n">
        <v>2018</v>
      </c>
      <c r="Q285" t="n">
        <v>2040</v>
      </c>
      <c r="R285" t="n">
        <v>0.3424</v>
      </c>
      <c r="S285" t="n">
        <v>635.1588</v>
      </c>
      <c r="T285" t="n">
        <v>0.00086105</v>
      </c>
      <c r="U285" t="n">
        <v>0.00013947</v>
      </c>
    </row>
    <row r="286">
      <c r="A286" t="inlineStr">
        <is>
          <t>SUP-0029</t>
        </is>
      </c>
      <c r="B286" t="inlineStr">
        <is>
          <t>Electronics Supplier 029</t>
        </is>
      </c>
      <c r="C286" t="inlineStr">
        <is>
          <t>Electronics</t>
        </is>
      </c>
      <c r="D286" t="n">
        <v>2019</v>
      </c>
      <c r="E286" t="n">
        <v>220241.63</v>
      </c>
      <c r="F286" t="n">
        <v>596207.6800000001</v>
      </c>
      <c r="G286" t="n">
        <v>160.5815</v>
      </c>
      <c r="H286" t="n">
        <v>160.5815</v>
      </c>
      <c r="I286" t="n">
        <v>25.2138</v>
      </c>
      <c r="J286" t="n">
        <v>12.7047</v>
      </c>
      <c r="K286" t="n">
        <v>133.6157</v>
      </c>
      <c r="L286" t="inlineStr"/>
      <c r="M286" t="inlineStr"/>
      <c r="N286" t="inlineStr"/>
      <c r="O286" t="inlineStr"/>
      <c r="P286" t="n">
        <v>2018</v>
      </c>
      <c r="Q286" t="n">
        <v>2040</v>
      </c>
      <c r="R286" t="n">
        <v>0.3424</v>
      </c>
      <c r="S286" t="n">
        <v>635.1588</v>
      </c>
      <c r="T286" t="n">
        <v>0.00086105</v>
      </c>
      <c r="U286" t="n">
        <v>0.00013947</v>
      </c>
    </row>
    <row r="287">
      <c r="A287" t="inlineStr">
        <is>
          <t>SUP-0029</t>
        </is>
      </c>
      <c r="B287" t="inlineStr">
        <is>
          <t>Electronics Supplier 029</t>
        </is>
      </c>
      <c r="C287" t="inlineStr">
        <is>
          <t>Electronics</t>
        </is>
      </c>
      <c r="D287" t="n">
        <v>2020</v>
      </c>
      <c r="E287" t="n">
        <v>245532.05</v>
      </c>
      <c r="F287" t="n">
        <v>586961.75</v>
      </c>
      <c r="G287" t="n">
        <v>158.8172</v>
      </c>
      <c r="H287" t="n">
        <v>158.8172</v>
      </c>
      <c r="I287" t="n">
        <v>24.1389</v>
      </c>
      <c r="J287" t="n">
        <v>13.7509</v>
      </c>
      <c r="K287" t="n">
        <v>110.029</v>
      </c>
      <c r="L287" t="inlineStr"/>
      <c r="M287" t="inlineStr"/>
      <c r="N287" t="inlineStr"/>
      <c r="O287" t="inlineStr"/>
      <c r="P287" t="n">
        <v>2018</v>
      </c>
      <c r="Q287" t="n">
        <v>2040</v>
      </c>
      <c r="R287" t="n">
        <v>0.3424</v>
      </c>
      <c r="S287" t="n">
        <v>635.1588</v>
      </c>
      <c r="T287" t="n">
        <v>0.00086105</v>
      </c>
      <c r="U287" t="n">
        <v>0.00013947</v>
      </c>
    </row>
    <row r="288">
      <c r="A288" t="inlineStr">
        <is>
          <t>SUP-0029</t>
        </is>
      </c>
      <c r="B288" t="inlineStr">
        <is>
          <t>Electronics Supplier 029</t>
        </is>
      </c>
      <c r="C288" t="inlineStr">
        <is>
          <t>Electronics</t>
        </is>
      </c>
      <c r="D288" t="n">
        <v>2021</v>
      </c>
      <c r="E288" t="n">
        <v>244358.09</v>
      </c>
      <c r="F288" t="n">
        <v>443195.02</v>
      </c>
      <c r="G288" t="n">
        <v>178.0783</v>
      </c>
      <c r="H288" t="n">
        <v>178.0783</v>
      </c>
      <c r="I288" t="n">
        <v>43.6369</v>
      </c>
      <c r="J288" t="n">
        <v>18.3024</v>
      </c>
      <c r="K288" t="n">
        <v>101.3148</v>
      </c>
      <c r="L288" t="inlineStr"/>
      <c r="M288" t="inlineStr"/>
      <c r="N288" t="inlineStr"/>
      <c r="O288" t="inlineStr"/>
      <c r="P288" t="n">
        <v>2018</v>
      </c>
      <c r="Q288" t="n">
        <v>2040</v>
      </c>
      <c r="R288" t="n">
        <v>0.3424</v>
      </c>
      <c r="S288" t="n">
        <v>635.1588</v>
      </c>
      <c r="T288" t="n">
        <v>0.00086105</v>
      </c>
      <c r="U288" t="n">
        <v>0.00013947</v>
      </c>
    </row>
    <row r="289">
      <c r="A289" t="inlineStr">
        <is>
          <t>SUP-0029</t>
        </is>
      </c>
      <c r="B289" t="inlineStr">
        <is>
          <t>Electronics Supplier 029</t>
        </is>
      </c>
      <c r="C289" t="inlineStr">
        <is>
          <t>Electronics</t>
        </is>
      </c>
      <c r="D289" t="n">
        <v>2022</v>
      </c>
      <c r="E289" t="n">
        <v>228057.38</v>
      </c>
      <c r="F289" t="n">
        <v>419221.41</v>
      </c>
      <c r="G289" t="n">
        <v>194.0224</v>
      </c>
      <c r="H289" t="n">
        <v>194.0224</v>
      </c>
      <c r="I289" t="n">
        <v>17.8165</v>
      </c>
      <c r="J289" t="n">
        <v>22.695</v>
      </c>
      <c r="K289" t="n">
        <v>147.9371</v>
      </c>
      <c r="L289" t="inlineStr"/>
      <c r="M289" t="inlineStr"/>
      <c r="N289" t="inlineStr"/>
      <c r="O289" t="inlineStr"/>
      <c r="P289" t="n">
        <v>2018</v>
      </c>
      <c r="Q289" t="n">
        <v>2040</v>
      </c>
      <c r="R289" t="n">
        <v>0.3424</v>
      </c>
      <c r="S289" t="n">
        <v>635.1588</v>
      </c>
      <c r="T289" t="n">
        <v>0.00086105</v>
      </c>
      <c r="U289" t="n">
        <v>0.00013947</v>
      </c>
    </row>
    <row r="290">
      <c r="A290" t="inlineStr">
        <is>
          <t>SUP-0029</t>
        </is>
      </c>
      <c r="B290" t="inlineStr">
        <is>
          <t>Electronics Supplier 029</t>
        </is>
      </c>
      <c r="C290" t="inlineStr">
        <is>
          <t>Electronics</t>
        </is>
      </c>
      <c r="D290" t="n">
        <v>2023</v>
      </c>
      <c r="E290" t="n">
        <v>265407.68</v>
      </c>
      <c r="F290" t="n">
        <v>455493.32</v>
      </c>
      <c r="G290" t="n">
        <v>192.0086</v>
      </c>
      <c r="H290" t="n">
        <v>192.0086</v>
      </c>
      <c r="I290" t="n">
        <v>30.0418</v>
      </c>
      <c r="J290" t="n">
        <v>19.75</v>
      </c>
      <c r="K290" t="n">
        <v>127.5048</v>
      </c>
      <c r="L290" t="inlineStr"/>
      <c r="M290" t="inlineStr"/>
      <c r="N290" t="inlineStr"/>
      <c r="O290" t="inlineStr"/>
      <c r="P290" t="n">
        <v>2018</v>
      </c>
      <c r="Q290" t="n">
        <v>2040</v>
      </c>
      <c r="R290" t="n">
        <v>0.3424</v>
      </c>
      <c r="S290" t="n">
        <v>635.1588</v>
      </c>
      <c r="T290" t="n">
        <v>0.00086105</v>
      </c>
      <c r="U290" t="n">
        <v>0.00013947</v>
      </c>
    </row>
    <row r="291">
      <c r="A291" t="inlineStr">
        <is>
          <t>SUP-0029</t>
        </is>
      </c>
      <c r="B291" t="inlineStr">
        <is>
          <t>Electronics Supplier 029</t>
        </is>
      </c>
      <c r="C291" t="inlineStr">
        <is>
          <t>Electronics</t>
        </is>
      </c>
      <c r="D291" t="n">
        <v>2024</v>
      </c>
      <c r="E291" t="n">
        <v>222813.21</v>
      </c>
      <c r="F291" t="n">
        <v>672583.71</v>
      </c>
      <c r="G291" t="n">
        <v>163.0581</v>
      </c>
      <c r="H291" t="n">
        <v>163.0581</v>
      </c>
      <c r="I291" t="n">
        <v>31.4304</v>
      </c>
      <c r="J291" t="n">
        <v>20.2685</v>
      </c>
      <c r="K291" t="n">
        <v>98.7323</v>
      </c>
      <c r="L291" t="inlineStr"/>
      <c r="M291" t="inlineStr"/>
      <c r="N291" t="inlineStr"/>
      <c r="O291" t="inlineStr"/>
      <c r="P291" t="n">
        <v>2018</v>
      </c>
      <c r="Q291" t="n">
        <v>2040</v>
      </c>
      <c r="R291" t="n">
        <v>0.3424</v>
      </c>
      <c r="S291" t="n">
        <v>635.1588</v>
      </c>
      <c r="T291" t="n">
        <v>0.00086105</v>
      </c>
      <c r="U291" t="n">
        <v>0.00013947</v>
      </c>
    </row>
    <row r="292">
      <c r="A292" t="inlineStr">
        <is>
          <t>SUP-0030</t>
        </is>
      </c>
      <c r="B292" t="inlineStr">
        <is>
          <t>Agriculture Supplier 030</t>
        </is>
      </c>
      <c r="C292" t="inlineStr">
        <is>
          <t>Agriculture</t>
        </is>
      </c>
      <c r="D292" t="n">
        <v>2015</v>
      </c>
      <c r="E292" t="n">
        <v>17909060.11</v>
      </c>
      <c r="F292" t="n">
        <v>130491251.74</v>
      </c>
      <c r="G292" t="n">
        <v>19786.4407</v>
      </c>
      <c r="H292" t="n">
        <v>19786.4407</v>
      </c>
      <c r="I292" t="n">
        <v>5490.914</v>
      </c>
      <c r="J292" t="n">
        <v>2741.5933</v>
      </c>
      <c r="K292" t="n">
        <v>12569.1446</v>
      </c>
      <c r="L292" t="inlineStr"/>
      <c r="M292" t="inlineStr"/>
      <c r="N292" t="inlineStr"/>
      <c r="O292" t="inlineStr"/>
      <c r="P292" t="n">
        <v>2018</v>
      </c>
      <c r="Q292" t="inlineStr"/>
      <c r="R292" t="inlineStr"/>
      <c r="S292" t="n">
        <v>529.8294</v>
      </c>
      <c r="T292" t="n">
        <v>0.00091413</v>
      </c>
      <c r="U292" t="n">
        <v>0.00096913</v>
      </c>
    </row>
    <row r="293">
      <c r="A293" t="inlineStr">
        <is>
          <t>SUP-0030</t>
        </is>
      </c>
      <c r="B293" t="inlineStr">
        <is>
          <t>Agriculture Supplier 030</t>
        </is>
      </c>
      <c r="C293" t="inlineStr">
        <is>
          <t>Agriculture</t>
        </is>
      </c>
      <c r="D293" t="n">
        <v>2016</v>
      </c>
      <c r="E293" t="n">
        <v>19840476.29</v>
      </c>
      <c r="F293" t="n">
        <v>135062764.63</v>
      </c>
      <c r="G293" t="n">
        <v>23373.4782</v>
      </c>
      <c r="H293" t="n">
        <v>23373.4782</v>
      </c>
      <c r="I293" t="n">
        <v>4254.0238</v>
      </c>
      <c r="J293" t="n">
        <v>3513.7584</v>
      </c>
      <c r="K293" t="n">
        <v>14451.5213</v>
      </c>
      <c r="L293" t="inlineStr"/>
      <c r="M293" t="inlineStr"/>
      <c r="N293" t="inlineStr"/>
      <c r="O293" t="inlineStr"/>
      <c r="P293" t="n">
        <v>2018</v>
      </c>
      <c r="Q293" t="inlineStr"/>
      <c r="R293" t="inlineStr"/>
      <c r="S293" t="n">
        <v>529.8294</v>
      </c>
      <c r="T293" t="n">
        <v>0.00091413</v>
      </c>
      <c r="U293" t="n">
        <v>0.00096913</v>
      </c>
    </row>
    <row r="294">
      <c r="A294" t="inlineStr">
        <is>
          <t>SUP-0030</t>
        </is>
      </c>
      <c r="B294" t="inlineStr">
        <is>
          <t>Agriculture Supplier 030</t>
        </is>
      </c>
      <c r="C294" t="inlineStr">
        <is>
          <t>Agriculture</t>
        </is>
      </c>
      <c r="D294" t="n">
        <v>2017</v>
      </c>
      <c r="E294" t="n">
        <v>22579401.71</v>
      </c>
      <c r="F294" t="n">
        <v>161374800.24</v>
      </c>
      <c r="G294" t="n">
        <v>26800.9351</v>
      </c>
      <c r="H294" t="n">
        <v>26800.9351</v>
      </c>
      <c r="I294" t="n">
        <v>7117.832</v>
      </c>
      <c r="J294" t="n">
        <v>3692.7142</v>
      </c>
      <c r="K294" t="n">
        <v>16260.0457</v>
      </c>
      <c r="L294" t="inlineStr"/>
      <c r="M294" t="inlineStr"/>
      <c r="N294" t="inlineStr"/>
      <c r="O294" t="inlineStr"/>
      <c r="P294" t="n">
        <v>2018</v>
      </c>
      <c r="Q294" t="inlineStr"/>
      <c r="R294" t="inlineStr"/>
      <c r="S294" t="n">
        <v>529.8294</v>
      </c>
      <c r="T294" t="n">
        <v>0.00091413</v>
      </c>
      <c r="U294" t="n">
        <v>0.00096913</v>
      </c>
    </row>
    <row r="295">
      <c r="A295" t="inlineStr">
        <is>
          <t>SUP-0030</t>
        </is>
      </c>
      <c r="B295" t="inlineStr">
        <is>
          <t>Agriculture Supplier 030</t>
        </is>
      </c>
      <c r="C295" t="inlineStr">
        <is>
          <t>Agriculture</t>
        </is>
      </c>
      <c r="D295" t="n">
        <v>2018</v>
      </c>
      <c r="E295" t="n">
        <v>21586726.87</v>
      </c>
      <c r="F295" t="n">
        <v>166956017.43</v>
      </c>
      <c r="G295" t="n">
        <v>22795.8982</v>
      </c>
      <c r="H295" t="n">
        <v>22795.8982</v>
      </c>
      <c r="I295" t="n">
        <v>3678.8105</v>
      </c>
      <c r="J295" t="n">
        <v>3819.7555</v>
      </c>
      <c r="K295" t="n">
        <v>14585.3566</v>
      </c>
      <c r="L295" t="inlineStr"/>
      <c r="M295" t="inlineStr"/>
      <c r="N295" t="inlineStr"/>
      <c r="O295" t="inlineStr"/>
      <c r="P295" t="n">
        <v>2018</v>
      </c>
      <c r="Q295" t="inlineStr"/>
      <c r="R295" t="inlineStr"/>
      <c r="S295" t="n">
        <v>529.8294</v>
      </c>
      <c r="T295" t="n">
        <v>0.00091413</v>
      </c>
      <c r="U295" t="n">
        <v>0.00096913</v>
      </c>
    </row>
    <row r="296">
      <c r="A296" t="inlineStr">
        <is>
          <t>SUP-0030</t>
        </is>
      </c>
      <c r="B296" t="inlineStr">
        <is>
          <t>Agriculture Supplier 030</t>
        </is>
      </c>
      <c r="C296" t="inlineStr">
        <is>
          <t>Agriculture</t>
        </is>
      </c>
      <c r="D296" t="n">
        <v>2019</v>
      </c>
      <c r="E296" t="n">
        <v>24715912.81</v>
      </c>
      <c r="F296" t="n">
        <v>140876629.35</v>
      </c>
      <c r="G296" t="n">
        <v>20411.3029</v>
      </c>
      <c r="H296" t="n">
        <v>20411.3029</v>
      </c>
      <c r="I296" t="n">
        <v>2083.0355</v>
      </c>
      <c r="J296" t="n">
        <v>2046.7214</v>
      </c>
      <c r="K296" t="n">
        <v>16846.5933</v>
      </c>
      <c r="L296" t="inlineStr"/>
      <c r="M296" t="inlineStr"/>
      <c r="N296" t="inlineStr"/>
      <c r="O296" t="inlineStr"/>
      <c r="P296" t="n">
        <v>2018</v>
      </c>
      <c r="Q296" t="inlineStr"/>
      <c r="R296" t="inlineStr"/>
      <c r="S296" t="n">
        <v>529.8294</v>
      </c>
      <c r="T296" t="n">
        <v>0.00091413</v>
      </c>
      <c r="U296" t="n">
        <v>0.00096913</v>
      </c>
    </row>
    <row r="297">
      <c r="A297" t="inlineStr">
        <is>
          <t>SUP-0030</t>
        </is>
      </c>
      <c r="B297" t="inlineStr">
        <is>
          <t>Agriculture Supplier 030</t>
        </is>
      </c>
      <c r="C297" t="inlineStr">
        <is>
          <t>Agriculture</t>
        </is>
      </c>
      <c r="D297" t="n">
        <v>2020</v>
      </c>
      <c r="E297" t="n">
        <v>25279346.94</v>
      </c>
      <c r="F297" t="n">
        <v>179347848.39</v>
      </c>
      <c r="G297" t="n">
        <v>22047.5687</v>
      </c>
      <c r="H297" t="n">
        <v>22047.5687</v>
      </c>
      <c r="I297" t="n">
        <v>4691.5942</v>
      </c>
      <c r="J297" t="n">
        <v>4412.5517</v>
      </c>
      <c r="K297" t="n">
        <v>13224.0917</v>
      </c>
      <c r="L297" t="inlineStr"/>
      <c r="M297" t="inlineStr"/>
      <c r="N297" t="inlineStr"/>
      <c r="O297" t="inlineStr"/>
      <c r="P297" t="n">
        <v>2018</v>
      </c>
      <c r="Q297" t="inlineStr"/>
      <c r="R297" t="inlineStr"/>
      <c r="S297" t="n">
        <v>529.8294</v>
      </c>
      <c r="T297" t="n">
        <v>0.00091413</v>
      </c>
      <c r="U297" t="n">
        <v>0.00096913</v>
      </c>
    </row>
    <row r="298">
      <c r="A298" t="inlineStr">
        <is>
          <t>SUP-0030</t>
        </is>
      </c>
      <c r="B298" t="inlineStr">
        <is>
          <t>Agriculture Supplier 030</t>
        </is>
      </c>
      <c r="C298" t="inlineStr">
        <is>
          <t>Agriculture</t>
        </is>
      </c>
      <c r="D298" t="n">
        <v>2021</v>
      </c>
      <c r="E298" t="n">
        <v>22344949.67</v>
      </c>
      <c r="F298" t="n">
        <v>163705926.94</v>
      </c>
      <c r="G298" t="n">
        <v>23910.3597</v>
      </c>
      <c r="H298" t="n">
        <v>23910.3597</v>
      </c>
      <c r="I298" t="n">
        <v>6355.5603</v>
      </c>
      <c r="J298" t="n">
        <v>2231.1681</v>
      </c>
      <c r="K298" t="n">
        <v>14704.9675</v>
      </c>
      <c r="L298" t="inlineStr"/>
      <c r="M298" t="inlineStr"/>
      <c r="N298" t="inlineStr"/>
      <c r="O298" t="inlineStr"/>
      <c r="P298" t="n">
        <v>2018</v>
      </c>
      <c r="Q298" t="inlineStr"/>
      <c r="R298" t="inlineStr"/>
      <c r="S298" t="n">
        <v>529.8294</v>
      </c>
      <c r="T298" t="n">
        <v>0.00091413</v>
      </c>
      <c r="U298" t="n">
        <v>0.00096913</v>
      </c>
    </row>
    <row r="299">
      <c r="A299" t="inlineStr">
        <is>
          <t>SUP-0030</t>
        </is>
      </c>
      <c r="B299" t="inlineStr">
        <is>
          <t>Agriculture Supplier 030</t>
        </is>
      </c>
      <c r="C299" t="inlineStr">
        <is>
          <t>Agriculture</t>
        </is>
      </c>
      <c r="D299" t="n">
        <v>2022</v>
      </c>
      <c r="E299" t="n">
        <v>26312881.37</v>
      </c>
      <c r="F299" t="n">
        <v>167586065.68</v>
      </c>
      <c r="G299" t="n">
        <v>25356.2077</v>
      </c>
      <c r="H299" t="n">
        <v>25356.2077</v>
      </c>
      <c r="I299" t="n">
        <v>2144.6946</v>
      </c>
      <c r="J299" t="n">
        <v>2095.6363</v>
      </c>
      <c r="K299" t="n">
        <v>20503.7029</v>
      </c>
      <c r="L299" t="inlineStr"/>
      <c r="M299" t="inlineStr"/>
      <c r="N299" t="inlineStr"/>
      <c r="O299" t="inlineStr"/>
      <c r="P299" t="n">
        <v>2018</v>
      </c>
      <c r="Q299" t="inlineStr"/>
      <c r="R299" t="inlineStr"/>
      <c r="S299" t="n">
        <v>529.8294</v>
      </c>
      <c r="T299" t="n">
        <v>0.00091413</v>
      </c>
      <c r="U299" t="n">
        <v>0.00096913</v>
      </c>
    </row>
    <row r="300">
      <c r="A300" t="inlineStr">
        <is>
          <t>SUP-0030</t>
        </is>
      </c>
      <c r="B300" t="inlineStr">
        <is>
          <t>Agriculture Supplier 030</t>
        </is>
      </c>
      <c r="C300" t="inlineStr">
        <is>
          <t>Agriculture</t>
        </is>
      </c>
      <c r="D300" t="n">
        <v>2023</v>
      </c>
      <c r="E300" t="n">
        <v>29235000.05</v>
      </c>
      <c r="F300" t="n">
        <v>237026566.03</v>
      </c>
      <c r="G300" t="n">
        <v>22628.1895</v>
      </c>
      <c r="H300" t="n">
        <v>22628.1895</v>
      </c>
      <c r="I300" t="n">
        <v>3261.0174</v>
      </c>
      <c r="J300" t="n">
        <v>2026.5033</v>
      </c>
      <c r="K300" t="n">
        <v>17515.5349</v>
      </c>
      <c r="L300" t="inlineStr"/>
      <c r="M300" t="inlineStr"/>
      <c r="N300" t="inlineStr"/>
      <c r="O300" t="inlineStr"/>
      <c r="P300" t="n">
        <v>2018</v>
      </c>
      <c r="Q300" t="inlineStr"/>
      <c r="R300" t="inlineStr"/>
      <c r="S300" t="n">
        <v>529.8294</v>
      </c>
      <c r="T300" t="n">
        <v>0.00091413</v>
      </c>
      <c r="U300" t="n">
        <v>0.00096913</v>
      </c>
    </row>
    <row r="301">
      <c r="A301" t="inlineStr">
        <is>
          <t>SUP-0030</t>
        </is>
      </c>
      <c r="B301" t="inlineStr">
        <is>
          <t>Agriculture Supplier 030</t>
        </is>
      </c>
      <c r="C301" t="inlineStr">
        <is>
          <t>Agriculture</t>
        </is>
      </c>
      <c r="D301" t="n">
        <v>2024</v>
      </c>
      <c r="E301" t="n">
        <v>33628613.81</v>
      </c>
      <c r="F301" t="n">
        <v>276886307.65</v>
      </c>
      <c r="G301" t="n">
        <v>26332.4931</v>
      </c>
      <c r="H301" t="n">
        <v>26332.4931</v>
      </c>
      <c r="I301" t="n">
        <v>5330.482</v>
      </c>
      <c r="J301" t="n">
        <v>1911.2776</v>
      </c>
      <c r="K301" t="n">
        <v>20152.7191</v>
      </c>
      <c r="L301" t="inlineStr"/>
      <c r="M301" t="inlineStr"/>
      <c r="N301" t="inlineStr"/>
      <c r="O301" t="inlineStr"/>
      <c r="P301" t="n">
        <v>2018</v>
      </c>
      <c r="Q301" t="inlineStr"/>
      <c r="R301" t="inlineStr"/>
      <c r="S301" t="n">
        <v>529.8294</v>
      </c>
      <c r="T301" t="n">
        <v>0.00091413</v>
      </c>
      <c r="U301" t="n">
        <v>0.00096913</v>
      </c>
    </row>
    <row r="302">
      <c r="A302" t="inlineStr">
        <is>
          <t>SUP-0031</t>
        </is>
      </c>
      <c r="B302" t="inlineStr">
        <is>
          <t>Professional Supplier 031</t>
        </is>
      </c>
      <c r="C302" t="inlineStr">
        <is>
          <t>Professional Services</t>
        </is>
      </c>
      <c r="D302" t="n">
        <v>2015</v>
      </c>
      <c r="E302" t="n">
        <v>19317170.21</v>
      </c>
      <c r="F302" t="n">
        <v>110942819.34</v>
      </c>
      <c r="G302" t="n">
        <v>2930.2668</v>
      </c>
      <c r="H302" t="n">
        <v>2930.2668</v>
      </c>
      <c r="I302" t="n">
        <v>410.7166</v>
      </c>
      <c r="J302" t="n">
        <v>635.4351</v>
      </c>
      <c r="K302" t="n">
        <v>2078.4078</v>
      </c>
      <c r="L302" t="n">
        <v>2020</v>
      </c>
      <c r="M302" t="n">
        <v>2040</v>
      </c>
      <c r="N302" t="n">
        <v>0.6432</v>
      </c>
      <c r="O302" t="n">
        <v>0.4028</v>
      </c>
      <c r="P302" t="n">
        <v>2020</v>
      </c>
      <c r="Q302" t="inlineStr"/>
      <c r="R302" t="inlineStr"/>
      <c r="S302" t="n">
        <v>400.0326</v>
      </c>
      <c r="T302" t="n">
        <v>0.00012906</v>
      </c>
      <c r="U302" t="n">
        <v>0.00019658</v>
      </c>
    </row>
    <row r="303">
      <c r="A303" t="inlineStr">
        <is>
          <t>SUP-0031</t>
        </is>
      </c>
      <c r="B303" t="inlineStr">
        <is>
          <t>Professional Supplier 031</t>
        </is>
      </c>
      <c r="C303" t="inlineStr">
        <is>
          <t>Professional Services</t>
        </is>
      </c>
      <c r="D303" t="n">
        <v>2016</v>
      </c>
      <c r="E303" t="n">
        <v>19266245.62</v>
      </c>
      <c r="F303" t="n">
        <v>112543316.76</v>
      </c>
      <c r="G303" t="n">
        <v>3474.0478</v>
      </c>
      <c r="H303" t="n">
        <v>3474.0478</v>
      </c>
      <c r="I303" t="n">
        <v>310.2074</v>
      </c>
      <c r="J303" t="n">
        <v>678.6254</v>
      </c>
      <c r="K303" t="n">
        <v>2551.5319</v>
      </c>
      <c r="L303" t="n">
        <v>2020</v>
      </c>
      <c r="M303" t="n">
        <v>2040</v>
      </c>
      <c r="N303" t="n">
        <v>0.6432</v>
      </c>
      <c r="O303" t="n">
        <v>0.4028</v>
      </c>
      <c r="P303" t="n">
        <v>2020</v>
      </c>
      <c r="Q303" t="inlineStr"/>
      <c r="R303" t="inlineStr"/>
      <c r="S303" t="n">
        <v>400.0326</v>
      </c>
      <c r="T303" t="n">
        <v>0.00012906</v>
      </c>
      <c r="U303" t="n">
        <v>0.00019658</v>
      </c>
    </row>
    <row r="304">
      <c r="A304" t="inlineStr">
        <is>
          <t>SUP-0031</t>
        </is>
      </c>
      <c r="B304" t="inlineStr">
        <is>
          <t>Professional Supplier 031</t>
        </is>
      </c>
      <c r="C304" t="inlineStr">
        <is>
          <t>Professional Services</t>
        </is>
      </c>
      <c r="D304" t="n">
        <v>2017</v>
      </c>
      <c r="E304" t="n">
        <v>16875390.43</v>
      </c>
      <c r="F304" t="n">
        <v>135504038.66</v>
      </c>
      <c r="G304" t="n">
        <v>2153.5007</v>
      </c>
      <c r="H304" t="n">
        <v>2153.5007</v>
      </c>
      <c r="I304" t="n">
        <v>283.7012</v>
      </c>
      <c r="J304" t="n">
        <v>267.6612</v>
      </c>
      <c r="K304" t="n">
        <v>1510.1413</v>
      </c>
      <c r="L304" t="n">
        <v>2020</v>
      </c>
      <c r="M304" t="n">
        <v>2040</v>
      </c>
      <c r="N304" t="n">
        <v>0.6432</v>
      </c>
      <c r="O304" t="n">
        <v>0.4028</v>
      </c>
      <c r="P304" t="n">
        <v>2020</v>
      </c>
      <c r="Q304" t="inlineStr"/>
      <c r="R304" t="inlineStr"/>
      <c r="S304" t="n">
        <v>400.0326</v>
      </c>
      <c r="T304" t="n">
        <v>0.00012906</v>
      </c>
      <c r="U304" t="n">
        <v>0.00019658</v>
      </c>
    </row>
    <row r="305">
      <c r="A305" t="inlineStr">
        <is>
          <t>SUP-0031</t>
        </is>
      </c>
      <c r="B305" t="inlineStr">
        <is>
          <t>Professional Supplier 031</t>
        </is>
      </c>
      <c r="C305" t="inlineStr">
        <is>
          <t>Professional Services</t>
        </is>
      </c>
      <c r="D305" t="n">
        <v>2018</v>
      </c>
      <c r="E305" t="n">
        <v>20339472.05</v>
      </c>
      <c r="F305" t="n">
        <v>157885060.76</v>
      </c>
      <c r="G305" t="n">
        <v>3228.8704</v>
      </c>
      <c r="H305" t="n">
        <v>3228.8704</v>
      </c>
      <c r="I305" t="n">
        <v>327.0737</v>
      </c>
      <c r="J305" t="n">
        <v>460.9404</v>
      </c>
      <c r="K305" t="n">
        <v>2662.3321</v>
      </c>
      <c r="L305" t="n">
        <v>2020</v>
      </c>
      <c r="M305" t="n">
        <v>2040</v>
      </c>
      <c r="N305" t="n">
        <v>0.6432</v>
      </c>
      <c r="O305" t="n">
        <v>0.4028</v>
      </c>
      <c r="P305" t="n">
        <v>2020</v>
      </c>
      <c r="Q305" t="inlineStr"/>
      <c r="R305" t="inlineStr"/>
      <c r="S305" t="n">
        <v>400.0326</v>
      </c>
      <c r="T305" t="n">
        <v>0.00012906</v>
      </c>
      <c r="U305" t="n">
        <v>0.00019658</v>
      </c>
    </row>
    <row r="306">
      <c r="A306" t="inlineStr">
        <is>
          <t>SUP-0031</t>
        </is>
      </c>
      <c r="B306" t="inlineStr">
        <is>
          <t>Professional Supplier 031</t>
        </is>
      </c>
      <c r="C306" t="inlineStr">
        <is>
          <t>Professional Services</t>
        </is>
      </c>
      <c r="D306" t="n">
        <v>2019</v>
      </c>
      <c r="E306" t="n">
        <v>21284062.29</v>
      </c>
      <c r="F306" t="n">
        <v>135008335.03</v>
      </c>
      <c r="G306" t="n">
        <v>2311.1774</v>
      </c>
      <c r="H306" t="n">
        <v>2311.1774</v>
      </c>
      <c r="I306" t="n">
        <v>409.3161</v>
      </c>
      <c r="J306" t="n">
        <v>301.5696</v>
      </c>
      <c r="K306" t="n">
        <v>1812.2925</v>
      </c>
      <c r="L306" t="n">
        <v>2020</v>
      </c>
      <c r="M306" t="n">
        <v>2040</v>
      </c>
      <c r="N306" t="n">
        <v>0.6432</v>
      </c>
      <c r="O306" t="n">
        <v>0.4028</v>
      </c>
      <c r="P306" t="n">
        <v>2020</v>
      </c>
      <c r="Q306" t="inlineStr"/>
      <c r="R306" t="inlineStr"/>
      <c r="S306" t="n">
        <v>400.0326</v>
      </c>
      <c r="T306" t="n">
        <v>0.00012906</v>
      </c>
      <c r="U306" t="n">
        <v>0.00019658</v>
      </c>
    </row>
    <row r="307">
      <c r="A307" t="inlineStr">
        <is>
          <t>SUP-0031</t>
        </is>
      </c>
      <c r="B307" t="inlineStr">
        <is>
          <t>Professional Supplier 031</t>
        </is>
      </c>
      <c r="C307" t="inlineStr">
        <is>
          <t>Professional Services</t>
        </is>
      </c>
      <c r="D307" t="n">
        <v>2020</v>
      </c>
      <c r="E307" t="n">
        <v>21532513.74</v>
      </c>
      <c r="F307" t="n">
        <v>174133853.96</v>
      </c>
      <c r="G307" t="n">
        <v>2893.9504</v>
      </c>
      <c r="H307" t="n">
        <v>2893.9504</v>
      </c>
      <c r="I307" t="n">
        <v>471.6932</v>
      </c>
      <c r="J307" t="n">
        <v>520.3762</v>
      </c>
      <c r="K307" t="n">
        <v>1842.0945</v>
      </c>
      <c r="L307" t="n">
        <v>2020</v>
      </c>
      <c r="M307" t="n">
        <v>2040</v>
      </c>
      <c r="N307" t="n">
        <v>0.6432</v>
      </c>
      <c r="O307" t="n">
        <v>0.4028</v>
      </c>
      <c r="P307" t="n">
        <v>2020</v>
      </c>
      <c r="Q307" t="inlineStr"/>
      <c r="R307" t="inlineStr"/>
      <c r="S307" t="n">
        <v>400.0326</v>
      </c>
      <c r="T307" t="n">
        <v>0.00012906</v>
      </c>
      <c r="U307" t="n">
        <v>0.00019658</v>
      </c>
    </row>
    <row r="308">
      <c r="A308" t="inlineStr">
        <is>
          <t>SUP-0031</t>
        </is>
      </c>
      <c r="B308" t="inlineStr">
        <is>
          <t>Professional Supplier 031</t>
        </is>
      </c>
      <c r="C308" t="inlineStr">
        <is>
          <t>Professional Services</t>
        </is>
      </c>
      <c r="D308" t="n">
        <v>2021</v>
      </c>
      <c r="E308" t="n">
        <v>20538051.38</v>
      </c>
      <c r="F308" t="n">
        <v>145587037.59</v>
      </c>
      <c r="G308" t="n">
        <v>2562.341</v>
      </c>
      <c r="H308" t="n">
        <v>2562.341</v>
      </c>
      <c r="I308" t="n">
        <v>308.5521</v>
      </c>
      <c r="J308" t="n">
        <v>479.9229</v>
      </c>
      <c r="K308" t="n">
        <v>2137.9727</v>
      </c>
      <c r="L308" t="n">
        <v>2020</v>
      </c>
      <c r="M308" t="n">
        <v>2040</v>
      </c>
      <c r="N308" t="n">
        <v>0.6432</v>
      </c>
      <c r="O308" t="n">
        <v>0.4028</v>
      </c>
      <c r="P308" t="n">
        <v>2020</v>
      </c>
      <c r="Q308" t="inlineStr"/>
      <c r="R308" t="inlineStr"/>
      <c r="S308" t="n">
        <v>400.0326</v>
      </c>
      <c r="T308" t="n">
        <v>0.00012906</v>
      </c>
      <c r="U308" t="n">
        <v>0.00019658</v>
      </c>
    </row>
    <row r="309">
      <c r="A309" t="inlineStr">
        <is>
          <t>SUP-0031</t>
        </is>
      </c>
      <c r="B309" t="inlineStr">
        <is>
          <t>Professional Supplier 031</t>
        </is>
      </c>
      <c r="C309" t="inlineStr">
        <is>
          <t>Professional Services</t>
        </is>
      </c>
      <c r="D309" t="n">
        <v>2022</v>
      </c>
      <c r="E309" t="n">
        <v>23747402.88</v>
      </c>
      <c r="F309" t="n">
        <v>150202222.04</v>
      </c>
      <c r="G309" t="n">
        <v>3304.5571</v>
      </c>
      <c r="H309" t="n">
        <v>3304.5571</v>
      </c>
      <c r="I309" t="n">
        <v>364.0911</v>
      </c>
      <c r="J309" t="n">
        <v>640.8466</v>
      </c>
      <c r="K309" t="n">
        <v>2471.0143</v>
      </c>
      <c r="L309" t="n">
        <v>2020</v>
      </c>
      <c r="M309" t="n">
        <v>2040</v>
      </c>
      <c r="N309" t="n">
        <v>0.6432</v>
      </c>
      <c r="O309" t="n">
        <v>0.4028</v>
      </c>
      <c r="P309" t="n">
        <v>2020</v>
      </c>
      <c r="Q309" t="inlineStr"/>
      <c r="R309" t="inlineStr"/>
      <c r="S309" t="n">
        <v>400.0326</v>
      </c>
      <c r="T309" t="n">
        <v>0.00012906</v>
      </c>
      <c r="U309" t="n">
        <v>0.00019658</v>
      </c>
    </row>
    <row r="310">
      <c r="A310" t="inlineStr">
        <is>
          <t>SUP-0031</t>
        </is>
      </c>
      <c r="B310" t="inlineStr">
        <is>
          <t>Professional Supplier 031</t>
        </is>
      </c>
      <c r="C310" t="inlineStr">
        <is>
          <t>Professional Services</t>
        </is>
      </c>
      <c r="D310" t="n">
        <v>2023</v>
      </c>
      <c r="E310" t="n">
        <v>24871423.81</v>
      </c>
      <c r="F310" t="n">
        <v>201926004.81</v>
      </c>
      <c r="G310" t="n">
        <v>3163.5607</v>
      </c>
      <c r="H310" t="n">
        <v>3163.5607</v>
      </c>
      <c r="I310" t="n">
        <v>557.9772</v>
      </c>
      <c r="J310" t="n">
        <v>630.3502</v>
      </c>
      <c r="K310" t="n">
        <v>1983.0895</v>
      </c>
      <c r="L310" t="n">
        <v>2020</v>
      </c>
      <c r="M310" t="n">
        <v>2040</v>
      </c>
      <c r="N310" t="n">
        <v>0.6432</v>
      </c>
      <c r="O310" t="n">
        <v>0.4028</v>
      </c>
      <c r="P310" t="n">
        <v>2020</v>
      </c>
      <c r="Q310" t="inlineStr"/>
      <c r="R310" t="inlineStr"/>
      <c r="S310" t="n">
        <v>400.0326</v>
      </c>
      <c r="T310" t="n">
        <v>0.00012906</v>
      </c>
      <c r="U310" t="n">
        <v>0.00019658</v>
      </c>
    </row>
    <row r="311">
      <c r="A311" t="inlineStr">
        <is>
          <t>SUP-0031</t>
        </is>
      </c>
      <c r="B311" t="inlineStr">
        <is>
          <t>Professional Supplier 031</t>
        </is>
      </c>
      <c r="C311" t="inlineStr">
        <is>
          <t>Professional Services</t>
        </is>
      </c>
      <c r="D311" t="n">
        <v>2024</v>
      </c>
      <c r="E311" t="n">
        <v>26096563.11</v>
      </c>
      <c r="F311" t="n">
        <v>215871245.21</v>
      </c>
      <c r="G311" t="n">
        <v>2967.1823</v>
      </c>
      <c r="H311" t="n">
        <v>2967.1823</v>
      </c>
      <c r="I311" t="n">
        <v>739.4444</v>
      </c>
      <c r="J311" t="n">
        <v>330.6118</v>
      </c>
      <c r="K311" t="n">
        <v>1931.7399</v>
      </c>
      <c r="L311" t="n">
        <v>2020</v>
      </c>
      <c r="M311" t="n">
        <v>2040</v>
      </c>
      <c r="N311" t="n">
        <v>0.6432</v>
      </c>
      <c r="O311" t="n">
        <v>0.4028</v>
      </c>
      <c r="P311" t="n">
        <v>2020</v>
      </c>
      <c r="Q311" t="inlineStr"/>
      <c r="R311" t="inlineStr"/>
      <c r="S311" t="n">
        <v>400.0326</v>
      </c>
      <c r="T311" t="n">
        <v>0.00012906</v>
      </c>
      <c r="U311" t="n">
        <v>0.00019658</v>
      </c>
    </row>
    <row r="312">
      <c r="A312" t="inlineStr">
        <is>
          <t>SUP-0032</t>
        </is>
      </c>
      <c r="B312" t="inlineStr">
        <is>
          <t>Agriculture Supplier 032</t>
        </is>
      </c>
      <c r="C312" t="inlineStr">
        <is>
          <t>Agriculture</t>
        </is>
      </c>
      <c r="D312" t="n">
        <v>2015</v>
      </c>
      <c r="E312" t="n">
        <v>21233122.08</v>
      </c>
      <c r="F312" t="n">
        <v>52704414.57</v>
      </c>
      <c r="G312" t="n">
        <v>27660.6991</v>
      </c>
      <c r="H312" t="n">
        <v>27660.6991</v>
      </c>
      <c r="I312" t="n">
        <v>4343.6234</v>
      </c>
      <c r="J312" t="n">
        <v>4542.7692</v>
      </c>
      <c r="K312" t="n">
        <v>18128.3492</v>
      </c>
      <c r="L312" t="n">
        <v>2018</v>
      </c>
      <c r="M312" t="n">
        <v>2035</v>
      </c>
      <c r="N312" t="n">
        <v>0.4241</v>
      </c>
      <c r="O312" t="n">
        <v>0.1876</v>
      </c>
      <c r="P312" t="n">
        <v>2018</v>
      </c>
      <c r="Q312" t="inlineStr"/>
      <c r="R312" t="inlineStr"/>
      <c r="S312" t="n">
        <v>529.8294</v>
      </c>
      <c r="T312" t="n">
        <v>0.00091413</v>
      </c>
      <c r="U312" t="n">
        <v>0.00096913</v>
      </c>
    </row>
    <row r="313">
      <c r="A313" t="inlineStr">
        <is>
          <t>SUP-0032</t>
        </is>
      </c>
      <c r="B313" t="inlineStr">
        <is>
          <t>Agriculture Supplier 032</t>
        </is>
      </c>
      <c r="C313" t="inlineStr">
        <is>
          <t>Agriculture</t>
        </is>
      </c>
      <c r="D313" t="n">
        <v>2016</v>
      </c>
      <c r="E313" t="n">
        <v>19120072.99</v>
      </c>
      <c r="F313" t="n">
        <v>44016153.21</v>
      </c>
      <c r="G313" t="n">
        <v>22514.7375</v>
      </c>
      <c r="H313" t="n">
        <v>22514.7375</v>
      </c>
      <c r="I313" t="n">
        <v>2886.8334</v>
      </c>
      <c r="J313" t="n">
        <v>1743.3124</v>
      </c>
      <c r="K313" t="n">
        <v>19238.8606</v>
      </c>
      <c r="L313" t="n">
        <v>2018</v>
      </c>
      <c r="M313" t="n">
        <v>2035</v>
      </c>
      <c r="N313" t="n">
        <v>0.4241</v>
      </c>
      <c r="O313" t="n">
        <v>0.1876</v>
      </c>
      <c r="P313" t="n">
        <v>2018</v>
      </c>
      <c r="Q313" t="inlineStr"/>
      <c r="R313" t="inlineStr"/>
      <c r="S313" t="n">
        <v>529.8294</v>
      </c>
      <c r="T313" t="n">
        <v>0.00091413</v>
      </c>
      <c r="U313" t="n">
        <v>0.00096913</v>
      </c>
    </row>
    <row r="314">
      <c r="A314" t="inlineStr">
        <is>
          <t>SUP-0032</t>
        </is>
      </c>
      <c r="B314" t="inlineStr">
        <is>
          <t>Agriculture Supplier 032</t>
        </is>
      </c>
      <c r="C314" t="inlineStr">
        <is>
          <t>Agriculture</t>
        </is>
      </c>
      <c r="D314" t="n">
        <v>2017</v>
      </c>
      <c r="E314" t="n">
        <v>20067334.8</v>
      </c>
      <c r="F314" t="n">
        <v>57264940.05</v>
      </c>
      <c r="G314" t="n">
        <v>18974.1113</v>
      </c>
      <c r="H314" t="n">
        <v>18974.1113</v>
      </c>
      <c r="I314" t="n">
        <v>5530.6047</v>
      </c>
      <c r="J314" t="n">
        <v>4048.2394</v>
      </c>
      <c r="K314" t="n">
        <v>9846.3678</v>
      </c>
      <c r="L314" t="n">
        <v>2018</v>
      </c>
      <c r="M314" t="n">
        <v>2035</v>
      </c>
      <c r="N314" t="n">
        <v>0.4241</v>
      </c>
      <c r="O314" t="n">
        <v>0.1876</v>
      </c>
      <c r="P314" t="n">
        <v>2018</v>
      </c>
      <c r="Q314" t="inlineStr"/>
      <c r="R314" t="inlineStr"/>
      <c r="S314" t="n">
        <v>529.8294</v>
      </c>
      <c r="T314" t="n">
        <v>0.00091413</v>
      </c>
      <c r="U314" t="n">
        <v>0.00096913</v>
      </c>
    </row>
    <row r="315">
      <c r="A315" t="inlineStr">
        <is>
          <t>SUP-0032</t>
        </is>
      </c>
      <c r="B315" t="inlineStr">
        <is>
          <t>Agriculture Supplier 032</t>
        </is>
      </c>
      <c r="C315" t="inlineStr">
        <is>
          <t>Agriculture</t>
        </is>
      </c>
      <c r="D315" t="n">
        <v>2018</v>
      </c>
      <c r="E315" t="n">
        <v>22016588.31</v>
      </c>
      <c r="F315" t="n">
        <v>41513083.64</v>
      </c>
      <c r="G315" t="n">
        <v>21808.8858</v>
      </c>
      <c r="H315" t="n">
        <v>21808.8858</v>
      </c>
      <c r="I315" t="n">
        <v>3740.4149</v>
      </c>
      <c r="J315" t="n">
        <v>1856.2762</v>
      </c>
      <c r="K315" t="n">
        <v>15225.0924</v>
      </c>
      <c r="L315" t="n">
        <v>2018</v>
      </c>
      <c r="M315" t="n">
        <v>2035</v>
      </c>
      <c r="N315" t="n">
        <v>0.4241</v>
      </c>
      <c r="O315" t="n">
        <v>0.1876</v>
      </c>
      <c r="P315" t="n">
        <v>2018</v>
      </c>
      <c r="Q315" t="inlineStr"/>
      <c r="R315" t="inlineStr"/>
      <c r="S315" t="n">
        <v>529.8294</v>
      </c>
      <c r="T315" t="n">
        <v>0.00091413</v>
      </c>
      <c r="U315" t="n">
        <v>0.00096913</v>
      </c>
    </row>
    <row r="316">
      <c r="A316" t="inlineStr">
        <is>
          <t>SUP-0032</t>
        </is>
      </c>
      <c r="B316" t="inlineStr">
        <is>
          <t>Agriculture Supplier 032</t>
        </is>
      </c>
      <c r="C316" t="inlineStr">
        <is>
          <t>Agriculture</t>
        </is>
      </c>
      <c r="D316" t="n">
        <v>2019</v>
      </c>
      <c r="E316" t="n">
        <v>26354693.52</v>
      </c>
      <c r="F316" t="n">
        <v>51671935.58</v>
      </c>
      <c r="G316" t="n">
        <v>33025.3747</v>
      </c>
      <c r="H316" t="n">
        <v>33025.3747</v>
      </c>
      <c r="I316" t="n">
        <v>3002.5849</v>
      </c>
      <c r="J316" t="n">
        <v>2764.6497</v>
      </c>
      <c r="K316" t="n">
        <v>27898.783</v>
      </c>
      <c r="L316" t="n">
        <v>2018</v>
      </c>
      <c r="M316" t="n">
        <v>2035</v>
      </c>
      <c r="N316" t="n">
        <v>0.4241</v>
      </c>
      <c r="O316" t="n">
        <v>0.1876</v>
      </c>
      <c r="P316" t="n">
        <v>2018</v>
      </c>
      <c r="Q316" t="inlineStr"/>
      <c r="R316" t="inlineStr"/>
      <c r="S316" t="n">
        <v>529.8294</v>
      </c>
      <c r="T316" t="n">
        <v>0.00091413</v>
      </c>
      <c r="U316" t="n">
        <v>0.00096913</v>
      </c>
    </row>
    <row r="317">
      <c r="A317" t="inlineStr">
        <is>
          <t>SUP-0032</t>
        </is>
      </c>
      <c r="B317" t="inlineStr">
        <is>
          <t>Agriculture Supplier 032</t>
        </is>
      </c>
      <c r="C317" t="inlineStr">
        <is>
          <t>Agriculture</t>
        </is>
      </c>
      <c r="D317" t="n">
        <v>2020</v>
      </c>
      <c r="E317" t="n">
        <v>21719749.37</v>
      </c>
      <c r="F317" t="n">
        <v>37044997.79</v>
      </c>
      <c r="G317" t="n">
        <v>20983.841</v>
      </c>
      <c r="H317" t="n">
        <v>20983.841</v>
      </c>
      <c r="I317" t="n">
        <v>2464.0849</v>
      </c>
      <c r="J317" t="n">
        <v>2940.1945</v>
      </c>
      <c r="K317" t="n">
        <v>15064.6983</v>
      </c>
      <c r="L317" t="n">
        <v>2018</v>
      </c>
      <c r="M317" t="n">
        <v>2035</v>
      </c>
      <c r="N317" t="n">
        <v>0.4241</v>
      </c>
      <c r="O317" t="n">
        <v>0.1876</v>
      </c>
      <c r="P317" t="n">
        <v>2018</v>
      </c>
      <c r="Q317" t="inlineStr"/>
      <c r="R317" t="inlineStr"/>
      <c r="S317" t="n">
        <v>529.8294</v>
      </c>
      <c r="T317" t="n">
        <v>0.00091413</v>
      </c>
      <c r="U317" t="n">
        <v>0.00096913</v>
      </c>
    </row>
    <row r="318">
      <c r="A318" t="inlineStr">
        <is>
          <t>SUP-0032</t>
        </is>
      </c>
      <c r="B318" t="inlineStr">
        <is>
          <t>Agriculture Supplier 032</t>
        </is>
      </c>
      <c r="C318" t="inlineStr">
        <is>
          <t>Agriculture</t>
        </is>
      </c>
      <c r="D318" t="n">
        <v>2021</v>
      </c>
      <c r="E318" t="n">
        <v>26657829</v>
      </c>
      <c r="F318" t="n">
        <v>50623394.95</v>
      </c>
      <c r="G318" t="n">
        <v>25869.0855</v>
      </c>
      <c r="H318" t="n">
        <v>25869.0855</v>
      </c>
      <c r="I318" t="n">
        <v>2595.008</v>
      </c>
      <c r="J318" t="n">
        <v>3531.5972</v>
      </c>
      <c r="K318" t="n">
        <v>20484.6702</v>
      </c>
      <c r="L318" t="n">
        <v>2018</v>
      </c>
      <c r="M318" t="n">
        <v>2035</v>
      </c>
      <c r="N318" t="n">
        <v>0.4241</v>
      </c>
      <c r="O318" t="n">
        <v>0.1876</v>
      </c>
      <c r="P318" t="n">
        <v>2018</v>
      </c>
      <c r="Q318" t="inlineStr"/>
      <c r="R318" t="inlineStr"/>
      <c r="S318" t="n">
        <v>529.8294</v>
      </c>
      <c r="T318" t="n">
        <v>0.00091413</v>
      </c>
      <c r="U318" t="n">
        <v>0.00096913</v>
      </c>
    </row>
    <row r="319">
      <c r="A319" t="inlineStr">
        <is>
          <t>SUP-0032</t>
        </is>
      </c>
      <c r="B319" t="inlineStr">
        <is>
          <t>Agriculture Supplier 032</t>
        </is>
      </c>
      <c r="C319" t="inlineStr">
        <is>
          <t>Agriculture</t>
        </is>
      </c>
      <c r="D319" t="n">
        <v>2022</v>
      </c>
      <c r="E319" t="n">
        <v>31242811.43</v>
      </c>
      <c r="F319" t="n">
        <v>65014914.54</v>
      </c>
      <c r="G319" t="n">
        <v>27557.6547</v>
      </c>
      <c r="H319" t="n">
        <v>27557.6547</v>
      </c>
      <c r="I319" t="n">
        <v>4811.5877</v>
      </c>
      <c r="J319" t="n">
        <v>2244.7932</v>
      </c>
      <c r="K319" t="n">
        <v>20114.3144</v>
      </c>
      <c r="L319" t="n">
        <v>2018</v>
      </c>
      <c r="M319" t="n">
        <v>2035</v>
      </c>
      <c r="N319" t="n">
        <v>0.4241</v>
      </c>
      <c r="O319" t="n">
        <v>0.1876</v>
      </c>
      <c r="P319" t="n">
        <v>2018</v>
      </c>
      <c r="Q319" t="inlineStr"/>
      <c r="R319" t="inlineStr"/>
      <c r="S319" t="n">
        <v>529.8294</v>
      </c>
      <c r="T319" t="n">
        <v>0.00091413</v>
      </c>
      <c r="U319" t="n">
        <v>0.00096913</v>
      </c>
    </row>
    <row r="320">
      <c r="A320" t="inlineStr">
        <is>
          <t>SUP-0032</t>
        </is>
      </c>
      <c r="B320" t="inlineStr">
        <is>
          <t>Agriculture Supplier 032</t>
        </is>
      </c>
      <c r="C320" t="inlineStr">
        <is>
          <t>Agriculture</t>
        </is>
      </c>
      <c r="D320" t="n">
        <v>2023</v>
      </c>
      <c r="E320" t="n">
        <v>26370598.13</v>
      </c>
      <c r="F320" t="n">
        <v>56102092.16</v>
      </c>
      <c r="G320" t="n">
        <v>27694.9338</v>
      </c>
      <c r="H320" t="n">
        <v>27694.9338</v>
      </c>
      <c r="I320" t="n">
        <v>3804.0961</v>
      </c>
      <c r="J320" t="n">
        <v>3620.9945</v>
      </c>
      <c r="K320" t="n">
        <v>20153.5367</v>
      </c>
      <c r="L320" t="n">
        <v>2018</v>
      </c>
      <c r="M320" t="n">
        <v>2035</v>
      </c>
      <c r="N320" t="n">
        <v>0.4241</v>
      </c>
      <c r="O320" t="n">
        <v>0.1876</v>
      </c>
      <c r="P320" t="n">
        <v>2018</v>
      </c>
      <c r="Q320" t="inlineStr"/>
      <c r="R320" t="inlineStr"/>
      <c r="S320" t="n">
        <v>529.8294</v>
      </c>
      <c r="T320" t="n">
        <v>0.00091413</v>
      </c>
      <c r="U320" t="n">
        <v>0.00096913</v>
      </c>
    </row>
    <row r="321">
      <c r="A321" t="inlineStr">
        <is>
          <t>SUP-0032</t>
        </is>
      </c>
      <c r="B321" t="inlineStr">
        <is>
          <t>Agriculture Supplier 032</t>
        </is>
      </c>
      <c r="C321" t="inlineStr">
        <is>
          <t>Agriculture</t>
        </is>
      </c>
      <c r="D321" t="n">
        <v>2024</v>
      </c>
      <c r="E321" t="n">
        <v>29658352.82</v>
      </c>
      <c r="F321" t="n">
        <v>54901393.73</v>
      </c>
      <c r="G321" t="n">
        <v>34656.8022</v>
      </c>
      <c r="H321" t="n">
        <v>34656.8022</v>
      </c>
      <c r="I321" t="n">
        <v>7131.6436</v>
      </c>
      <c r="J321" t="n">
        <v>5510.1683</v>
      </c>
      <c r="K321" t="n">
        <v>20443.4335</v>
      </c>
      <c r="L321" t="n">
        <v>2018</v>
      </c>
      <c r="M321" t="n">
        <v>2035</v>
      </c>
      <c r="N321" t="n">
        <v>0.4241</v>
      </c>
      <c r="O321" t="n">
        <v>0.1876</v>
      </c>
      <c r="P321" t="n">
        <v>2018</v>
      </c>
      <c r="Q321" t="inlineStr"/>
      <c r="R321" t="inlineStr"/>
      <c r="S321" t="n">
        <v>529.8294</v>
      </c>
      <c r="T321" t="n">
        <v>0.00091413</v>
      </c>
      <c r="U321" t="n">
        <v>0.00096913</v>
      </c>
    </row>
    <row r="322">
      <c r="A322" t="inlineStr">
        <is>
          <t>SUP-0033</t>
        </is>
      </c>
      <c r="B322" t="inlineStr">
        <is>
          <t>Metals Supplier 033</t>
        </is>
      </c>
      <c r="C322" t="inlineStr">
        <is>
          <t>Metals</t>
        </is>
      </c>
      <c r="D322" t="n">
        <v>2015</v>
      </c>
      <c r="E322" t="n">
        <v>15998310.87</v>
      </c>
      <c r="F322" t="n">
        <v>89254633.77</v>
      </c>
      <c r="G322" t="n">
        <v>9065.9326</v>
      </c>
      <c r="H322" t="n">
        <v>9065.9326</v>
      </c>
      <c r="I322" t="n">
        <v>2079.8164</v>
      </c>
      <c r="J322" t="n">
        <v>806.274</v>
      </c>
      <c r="K322" t="n">
        <v>6325.0081</v>
      </c>
      <c r="L322" t="n">
        <v>2021</v>
      </c>
      <c r="M322" t="n">
        <v>2030</v>
      </c>
      <c r="N322" t="n">
        <v>0.3204</v>
      </c>
      <c r="O322" t="n">
        <v>0.1259</v>
      </c>
      <c r="P322" t="n">
        <v>2019</v>
      </c>
      <c r="Q322" t="n">
        <v>2030</v>
      </c>
      <c r="R322" t="n">
        <v>0.3852</v>
      </c>
      <c r="S322" t="n">
        <v>158.2904</v>
      </c>
      <c r="T322" t="n">
        <v>0.00100695</v>
      </c>
      <c r="U322" t="n">
        <v>0.00065008</v>
      </c>
    </row>
    <row r="323">
      <c r="A323" t="inlineStr">
        <is>
          <t>SUP-0033</t>
        </is>
      </c>
      <c r="B323" t="inlineStr">
        <is>
          <t>Metals Supplier 033</t>
        </is>
      </c>
      <c r="C323" t="inlineStr">
        <is>
          <t>Metals</t>
        </is>
      </c>
      <c r="D323" t="n">
        <v>2016</v>
      </c>
      <c r="E323" t="n">
        <v>13720608.69</v>
      </c>
      <c r="F323" t="n">
        <v>74581272.39</v>
      </c>
      <c r="G323" t="n">
        <v>11244.0091</v>
      </c>
      <c r="H323" t="n">
        <v>11244.0091</v>
      </c>
      <c r="I323" t="n">
        <v>2254.7139</v>
      </c>
      <c r="J323" t="n">
        <v>1569.8402</v>
      </c>
      <c r="K323" t="n">
        <v>7894.4241</v>
      </c>
      <c r="L323" t="n">
        <v>2021</v>
      </c>
      <c r="M323" t="n">
        <v>2030</v>
      </c>
      <c r="N323" t="n">
        <v>0.3204</v>
      </c>
      <c r="O323" t="n">
        <v>0.1259</v>
      </c>
      <c r="P323" t="n">
        <v>2019</v>
      </c>
      <c r="Q323" t="n">
        <v>2030</v>
      </c>
      <c r="R323" t="n">
        <v>0.3852</v>
      </c>
      <c r="S323" t="n">
        <v>158.2904</v>
      </c>
      <c r="T323" t="n">
        <v>0.00100695</v>
      </c>
      <c r="U323" t="n">
        <v>0.00065008</v>
      </c>
    </row>
    <row r="324">
      <c r="A324" t="inlineStr">
        <is>
          <t>SUP-0033</t>
        </is>
      </c>
      <c r="B324" t="inlineStr">
        <is>
          <t>Metals Supplier 033</t>
        </is>
      </c>
      <c r="C324" t="inlineStr">
        <is>
          <t>Metals</t>
        </is>
      </c>
      <c r="D324" t="n">
        <v>2017</v>
      </c>
      <c r="E324" t="n">
        <v>15549179.27</v>
      </c>
      <c r="F324" t="n">
        <v>73634595.66</v>
      </c>
      <c r="G324" t="n">
        <v>10732.473</v>
      </c>
      <c r="H324" t="n">
        <v>10732.473</v>
      </c>
      <c r="I324" t="n">
        <v>1075.6427</v>
      </c>
      <c r="J324" t="n">
        <v>1555.5003</v>
      </c>
      <c r="K324" t="n">
        <v>7426.8225</v>
      </c>
      <c r="L324" t="n">
        <v>2021</v>
      </c>
      <c r="M324" t="n">
        <v>2030</v>
      </c>
      <c r="N324" t="n">
        <v>0.3204</v>
      </c>
      <c r="O324" t="n">
        <v>0.1259</v>
      </c>
      <c r="P324" t="n">
        <v>2019</v>
      </c>
      <c r="Q324" t="n">
        <v>2030</v>
      </c>
      <c r="R324" t="n">
        <v>0.3852</v>
      </c>
      <c r="S324" t="n">
        <v>158.2904</v>
      </c>
      <c r="T324" t="n">
        <v>0.00100695</v>
      </c>
      <c r="U324" t="n">
        <v>0.00065008</v>
      </c>
    </row>
    <row r="325">
      <c r="A325" t="inlineStr">
        <is>
          <t>SUP-0033</t>
        </is>
      </c>
      <c r="B325" t="inlineStr">
        <is>
          <t>Metals Supplier 033</t>
        </is>
      </c>
      <c r="C325" t="inlineStr">
        <is>
          <t>Metals</t>
        </is>
      </c>
      <c r="D325" t="n">
        <v>2018</v>
      </c>
      <c r="E325" t="n">
        <v>17303283.72</v>
      </c>
      <c r="F325" t="n">
        <v>83890023.86</v>
      </c>
      <c r="G325" t="n">
        <v>11595.7144</v>
      </c>
      <c r="H325" t="n">
        <v>11595.7144</v>
      </c>
      <c r="I325" t="n">
        <v>2030.6753</v>
      </c>
      <c r="J325" t="n">
        <v>1070.8501</v>
      </c>
      <c r="K325" t="n">
        <v>9078.356100000001</v>
      </c>
      <c r="L325" t="n">
        <v>2021</v>
      </c>
      <c r="M325" t="n">
        <v>2030</v>
      </c>
      <c r="N325" t="n">
        <v>0.3204</v>
      </c>
      <c r="O325" t="n">
        <v>0.1259</v>
      </c>
      <c r="P325" t="n">
        <v>2019</v>
      </c>
      <c r="Q325" t="n">
        <v>2030</v>
      </c>
      <c r="R325" t="n">
        <v>0.3852</v>
      </c>
      <c r="S325" t="n">
        <v>158.2904</v>
      </c>
      <c r="T325" t="n">
        <v>0.00100695</v>
      </c>
      <c r="U325" t="n">
        <v>0.00065008</v>
      </c>
    </row>
    <row r="326">
      <c r="A326" t="inlineStr">
        <is>
          <t>SUP-0033</t>
        </is>
      </c>
      <c r="B326" t="inlineStr">
        <is>
          <t>Metals Supplier 033</t>
        </is>
      </c>
      <c r="C326" t="inlineStr">
        <is>
          <t>Metals</t>
        </is>
      </c>
      <c r="D326" t="n">
        <v>2019</v>
      </c>
      <c r="E326" t="n">
        <v>16336880.54</v>
      </c>
      <c r="F326" t="n">
        <v>72219573.26000001</v>
      </c>
      <c r="G326" t="n">
        <v>12102.1724</v>
      </c>
      <c r="H326" t="n">
        <v>12102.1724</v>
      </c>
      <c r="I326" t="n">
        <v>2834.8484</v>
      </c>
      <c r="J326" t="n">
        <v>1321.075</v>
      </c>
      <c r="K326" t="n">
        <v>8195.859</v>
      </c>
      <c r="L326" t="n">
        <v>2021</v>
      </c>
      <c r="M326" t="n">
        <v>2030</v>
      </c>
      <c r="N326" t="n">
        <v>0.3204</v>
      </c>
      <c r="O326" t="n">
        <v>0.1259</v>
      </c>
      <c r="P326" t="n">
        <v>2019</v>
      </c>
      <c r="Q326" t="n">
        <v>2030</v>
      </c>
      <c r="R326" t="n">
        <v>0.3852</v>
      </c>
      <c r="S326" t="n">
        <v>158.2904</v>
      </c>
      <c r="T326" t="n">
        <v>0.00100695</v>
      </c>
      <c r="U326" t="n">
        <v>0.00065008</v>
      </c>
    </row>
    <row r="327">
      <c r="A327" t="inlineStr">
        <is>
          <t>SUP-0033</t>
        </is>
      </c>
      <c r="B327" t="inlineStr">
        <is>
          <t>Metals Supplier 033</t>
        </is>
      </c>
      <c r="C327" t="inlineStr">
        <is>
          <t>Metals</t>
        </is>
      </c>
      <c r="D327" t="n">
        <v>2020</v>
      </c>
      <c r="E327" t="n">
        <v>16537249.98</v>
      </c>
      <c r="F327" t="n">
        <v>102216500.22</v>
      </c>
      <c r="G327" t="n">
        <v>12522.7846</v>
      </c>
      <c r="H327" t="n">
        <v>12522.7846</v>
      </c>
      <c r="I327" t="n">
        <v>2862.5934</v>
      </c>
      <c r="J327" t="n">
        <v>1060.2234</v>
      </c>
      <c r="K327" t="n">
        <v>7682.4781</v>
      </c>
      <c r="L327" t="n">
        <v>2021</v>
      </c>
      <c r="M327" t="n">
        <v>2030</v>
      </c>
      <c r="N327" t="n">
        <v>0.3204</v>
      </c>
      <c r="O327" t="n">
        <v>0.1259</v>
      </c>
      <c r="P327" t="n">
        <v>2019</v>
      </c>
      <c r="Q327" t="n">
        <v>2030</v>
      </c>
      <c r="R327" t="n">
        <v>0.3852</v>
      </c>
      <c r="S327" t="n">
        <v>158.2904</v>
      </c>
      <c r="T327" t="n">
        <v>0.00100695</v>
      </c>
      <c r="U327" t="n">
        <v>0.00065008</v>
      </c>
    </row>
    <row r="328">
      <c r="A328" t="inlineStr">
        <is>
          <t>SUP-0033</t>
        </is>
      </c>
      <c r="B328" t="inlineStr">
        <is>
          <t>Metals Supplier 033</t>
        </is>
      </c>
      <c r="C328" t="inlineStr">
        <is>
          <t>Metals</t>
        </is>
      </c>
      <c r="D328" t="n">
        <v>2021</v>
      </c>
      <c r="E328" t="n">
        <v>17348753.3</v>
      </c>
      <c r="F328" t="n">
        <v>101167181.7</v>
      </c>
      <c r="G328" t="n">
        <v>13883.0935</v>
      </c>
      <c r="H328" t="n">
        <v>13883.0935</v>
      </c>
      <c r="I328" t="n">
        <v>2520.0288</v>
      </c>
      <c r="J328" t="n">
        <v>1425.7247</v>
      </c>
      <c r="K328" t="n">
        <v>9267.352500000001</v>
      </c>
      <c r="L328" t="n">
        <v>2021</v>
      </c>
      <c r="M328" t="n">
        <v>2030</v>
      </c>
      <c r="N328" t="n">
        <v>0.3204</v>
      </c>
      <c r="O328" t="n">
        <v>0.1259</v>
      </c>
      <c r="P328" t="n">
        <v>2019</v>
      </c>
      <c r="Q328" t="n">
        <v>2030</v>
      </c>
      <c r="R328" t="n">
        <v>0.3852</v>
      </c>
      <c r="S328" t="n">
        <v>158.2904</v>
      </c>
      <c r="T328" t="n">
        <v>0.00100695</v>
      </c>
      <c r="U328" t="n">
        <v>0.00065008</v>
      </c>
    </row>
    <row r="329">
      <c r="A329" t="inlineStr">
        <is>
          <t>SUP-0033</t>
        </is>
      </c>
      <c r="B329" t="inlineStr">
        <is>
          <t>Metals Supplier 033</t>
        </is>
      </c>
      <c r="C329" t="inlineStr">
        <is>
          <t>Metals</t>
        </is>
      </c>
      <c r="D329" t="n">
        <v>2022</v>
      </c>
      <c r="E329" t="n">
        <v>17927363.41</v>
      </c>
      <c r="F329" t="n">
        <v>108130446.51</v>
      </c>
      <c r="G329" t="n">
        <v>13167.4154</v>
      </c>
      <c r="H329" t="n">
        <v>13167.4154</v>
      </c>
      <c r="I329" t="n">
        <v>3305.3177</v>
      </c>
      <c r="J329" t="n">
        <v>1986.6977</v>
      </c>
      <c r="K329" t="n">
        <v>8424.433999999999</v>
      </c>
      <c r="L329" t="n">
        <v>2021</v>
      </c>
      <c r="M329" t="n">
        <v>2030</v>
      </c>
      <c r="N329" t="n">
        <v>0.3204</v>
      </c>
      <c r="O329" t="n">
        <v>0.1259</v>
      </c>
      <c r="P329" t="n">
        <v>2019</v>
      </c>
      <c r="Q329" t="n">
        <v>2030</v>
      </c>
      <c r="R329" t="n">
        <v>0.3852</v>
      </c>
      <c r="S329" t="n">
        <v>158.2904</v>
      </c>
      <c r="T329" t="n">
        <v>0.00100695</v>
      </c>
      <c r="U329" t="n">
        <v>0.00065008</v>
      </c>
    </row>
    <row r="330">
      <c r="A330" t="inlineStr">
        <is>
          <t>SUP-0033</t>
        </is>
      </c>
      <c r="B330" t="inlineStr">
        <is>
          <t>Metals Supplier 033</t>
        </is>
      </c>
      <c r="C330" t="inlineStr">
        <is>
          <t>Metals</t>
        </is>
      </c>
      <c r="D330" t="n">
        <v>2023</v>
      </c>
      <c r="E330" t="n">
        <v>16980651.57</v>
      </c>
      <c r="F330" t="n">
        <v>77564386.36</v>
      </c>
      <c r="G330" t="n">
        <v>12985.5048</v>
      </c>
      <c r="H330" t="n">
        <v>12985.5048</v>
      </c>
      <c r="I330" t="n">
        <v>3144.9567</v>
      </c>
      <c r="J330" t="n">
        <v>1521.4671</v>
      </c>
      <c r="K330" t="n">
        <v>8014.7075</v>
      </c>
      <c r="L330" t="n">
        <v>2021</v>
      </c>
      <c r="M330" t="n">
        <v>2030</v>
      </c>
      <c r="N330" t="n">
        <v>0.3204</v>
      </c>
      <c r="O330" t="n">
        <v>0.1259</v>
      </c>
      <c r="P330" t="n">
        <v>2019</v>
      </c>
      <c r="Q330" t="n">
        <v>2030</v>
      </c>
      <c r="R330" t="n">
        <v>0.3852</v>
      </c>
      <c r="S330" t="n">
        <v>158.2904</v>
      </c>
      <c r="T330" t="n">
        <v>0.00100695</v>
      </c>
      <c r="U330" t="n">
        <v>0.00065008</v>
      </c>
    </row>
    <row r="331">
      <c r="A331" t="inlineStr">
        <is>
          <t>SUP-0033</t>
        </is>
      </c>
      <c r="B331" t="inlineStr">
        <is>
          <t>Metals Supplier 033</t>
        </is>
      </c>
      <c r="C331" t="inlineStr">
        <is>
          <t>Metals</t>
        </is>
      </c>
      <c r="D331" t="n">
        <v>2024</v>
      </c>
      <c r="E331" t="n">
        <v>18958013.92</v>
      </c>
      <c r="F331" t="n">
        <v>104451745.12</v>
      </c>
      <c r="G331" t="n">
        <v>12244.2507</v>
      </c>
      <c r="H331" t="n">
        <v>12244.2507</v>
      </c>
      <c r="I331" t="n">
        <v>2156.3568</v>
      </c>
      <c r="J331" t="n">
        <v>1832.355</v>
      </c>
      <c r="K331" t="n">
        <v>8994.9452</v>
      </c>
      <c r="L331" t="n">
        <v>2021</v>
      </c>
      <c r="M331" t="n">
        <v>2030</v>
      </c>
      <c r="N331" t="n">
        <v>0.3204</v>
      </c>
      <c r="O331" t="n">
        <v>0.1259</v>
      </c>
      <c r="P331" t="n">
        <v>2019</v>
      </c>
      <c r="Q331" t="n">
        <v>2030</v>
      </c>
      <c r="R331" t="n">
        <v>0.3852</v>
      </c>
      <c r="S331" t="n">
        <v>158.2904</v>
      </c>
      <c r="T331" t="n">
        <v>0.00100695</v>
      </c>
      <c r="U331" t="n">
        <v>0.00065008</v>
      </c>
    </row>
    <row r="332">
      <c r="A332" t="inlineStr">
        <is>
          <t>SUP-0034</t>
        </is>
      </c>
      <c r="B332" t="inlineStr">
        <is>
          <t>Logistics Supplier 034</t>
        </is>
      </c>
      <c r="C332" t="inlineStr">
        <is>
          <t>Logistics</t>
        </is>
      </c>
      <c r="D332" t="n">
        <v>2015</v>
      </c>
      <c r="E332" t="n">
        <v>19040237.78</v>
      </c>
      <c r="F332" t="n">
        <v>116344496.25</v>
      </c>
      <c r="G332" t="n">
        <v>4392.4433</v>
      </c>
      <c r="H332" t="n">
        <v>4392.4433</v>
      </c>
      <c r="I332" t="n">
        <v>946.421</v>
      </c>
      <c r="J332" t="n">
        <v>570.6712</v>
      </c>
      <c r="K332" t="n">
        <v>2859.2036</v>
      </c>
      <c r="L332" t="n">
        <v>2020</v>
      </c>
      <c r="M332" t="n">
        <v>2035</v>
      </c>
      <c r="N332" t="n">
        <v>0.5058</v>
      </c>
      <c r="O332" t="n">
        <v>0.1853</v>
      </c>
      <c r="P332" t="n">
        <v>2019</v>
      </c>
      <c r="Q332" t="n">
        <v>2040</v>
      </c>
      <c r="R332" t="n">
        <v>0.4616</v>
      </c>
      <c r="S332" t="n">
        <v>591.6386</v>
      </c>
      <c r="T332" t="n">
        <v>0.00022349</v>
      </c>
      <c r="U332" t="n">
        <v>0.00047787</v>
      </c>
    </row>
    <row r="333">
      <c r="A333" t="inlineStr">
        <is>
          <t>SUP-0034</t>
        </is>
      </c>
      <c r="B333" t="inlineStr">
        <is>
          <t>Logistics Supplier 034</t>
        </is>
      </c>
      <c r="C333" t="inlineStr">
        <is>
          <t>Logistics</t>
        </is>
      </c>
      <c r="D333" t="n">
        <v>2016</v>
      </c>
      <c r="E333" t="n">
        <v>18730497.43</v>
      </c>
      <c r="F333" t="n">
        <v>134779633.06</v>
      </c>
      <c r="G333" t="n">
        <v>3728.3764</v>
      </c>
      <c r="H333" t="n">
        <v>3728.3764</v>
      </c>
      <c r="I333" t="n">
        <v>460.276</v>
      </c>
      <c r="J333" t="n">
        <v>524.8778</v>
      </c>
      <c r="K333" t="n">
        <v>2743.4851</v>
      </c>
      <c r="L333" t="n">
        <v>2020</v>
      </c>
      <c r="M333" t="n">
        <v>2035</v>
      </c>
      <c r="N333" t="n">
        <v>0.5058</v>
      </c>
      <c r="O333" t="n">
        <v>0.1853</v>
      </c>
      <c r="P333" t="n">
        <v>2019</v>
      </c>
      <c r="Q333" t="n">
        <v>2040</v>
      </c>
      <c r="R333" t="n">
        <v>0.4616</v>
      </c>
      <c r="S333" t="n">
        <v>591.6386</v>
      </c>
      <c r="T333" t="n">
        <v>0.00022349</v>
      </c>
      <c r="U333" t="n">
        <v>0.00047787</v>
      </c>
    </row>
    <row r="334">
      <c r="A334" t="inlineStr">
        <is>
          <t>SUP-0034</t>
        </is>
      </c>
      <c r="B334" t="inlineStr">
        <is>
          <t>Logistics Supplier 034</t>
        </is>
      </c>
      <c r="C334" t="inlineStr">
        <is>
          <t>Logistics</t>
        </is>
      </c>
      <c r="D334" t="n">
        <v>2017</v>
      </c>
      <c r="E334" t="n">
        <v>18651982.3</v>
      </c>
      <c r="F334" t="n">
        <v>115338466.91</v>
      </c>
      <c r="G334" t="n">
        <v>3933.1381</v>
      </c>
      <c r="H334" t="n">
        <v>3933.1381</v>
      </c>
      <c r="I334" t="n">
        <v>670.0202</v>
      </c>
      <c r="J334" t="n">
        <v>787.9194</v>
      </c>
      <c r="K334" t="n">
        <v>2419.0406</v>
      </c>
      <c r="L334" t="n">
        <v>2020</v>
      </c>
      <c r="M334" t="n">
        <v>2035</v>
      </c>
      <c r="N334" t="n">
        <v>0.5058</v>
      </c>
      <c r="O334" t="n">
        <v>0.1853</v>
      </c>
      <c r="P334" t="n">
        <v>2019</v>
      </c>
      <c r="Q334" t="n">
        <v>2040</v>
      </c>
      <c r="R334" t="n">
        <v>0.4616</v>
      </c>
      <c r="S334" t="n">
        <v>591.6386</v>
      </c>
      <c r="T334" t="n">
        <v>0.00022349</v>
      </c>
      <c r="U334" t="n">
        <v>0.00047787</v>
      </c>
    </row>
    <row r="335">
      <c r="A335" t="inlineStr">
        <is>
          <t>SUP-0034</t>
        </is>
      </c>
      <c r="B335" t="inlineStr">
        <is>
          <t>Logistics Supplier 034</t>
        </is>
      </c>
      <c r="C335" t="inlineStr">
        <is>
          <t>Logistics</t>
        </is>
      </c>
      <c r="D335" t="n">
        <v>2018</v>
      </c>
      <c r="E335" t="n">
        <v>21359791</v>
      </c>
      <c r="F335" t="n">
        <v>139172350.84</v>
      </c>
      <c r="G335" t="n">
        <v>4662.97</v>
      </c>
      <c r="H335" t="n">
        <v>4662.97</v>
      </c>
      <c r="I335" t="n">
        <v>1232.3042</v>
      </c>
      <c r="J335" t="n">
        <v>815.4778</v>
      </c>
      <c r="K335" t="n">
        <v>2539.8581</v>
      </c>
      <c r="L335" t="n">
        <v>2020</v>
      </c>
      <c r="M335" t="n">
        <v>2035</v>
      </c>
      <c r="N335" t="n">
        <v>0.5058</v>
      </c>
      <c r="O335" t="n">
        <v>0.1853</v>
      </c>
      <c r="P335" t="n">
        <v>2019</v>
      </c>
      <c r="Q335" t="n">
        <v>2040</v>
      </c>
      <c r="R335" t="n">
        <v>0.4616</v>
      </c>
      <c r="S335" t="n">
        <v>591.6386</v>
      </c>
      <c r="T335" t="n">
        <v>0.00022349</v>
      </c>
      <c r="U335" t="n">
        <v>0.00047787</v>
      </c>
    </row>
    <row r="336">
      <c r="A336" t="inlineStr">
        <is>
          <t>SUP-0034</t>
        </is>
      </c>
      <c r="B336" t="inlineStr">
        <is>
          <t>Logistics Supplier 034</t>
        </is>
      </c>
      <c r="C336" t="inlineStr">
        <is>
          <t>Logistics</t>
        </is>
      </c>
      <c r="D336" t="n">
        <v>2019</v>
      </c>
      <c r="E336" t="n">
        <v>23971015.81</v>
      </c>
      <c r="F336" t="n">
        <v>144845903.44</v>
      </c>
      <c r="G336" t="n">
        <v>4914.8181</v>
      </c>
      <c r="H336" t="n">
        <v>4914.8181</v>
      </c>
      <c r="I336" t="n">
        <v>817.2832</v>
      </c>
      <c r="J336" t="n">
        <v>358.0742</v>
      </c>
      <c r="K336" t="n">
        <v>3703.9821</v>
      </c>
      <c r="L336" t="n">
        <v>2020</v>
      </c>
      <c r="M336" t="n">
        <v>2035</v>
      </c>
      <c r="N336" t="n">
        <v>0.5058</v>
      </c>
      <c r="O336" t="n">
        <v>0.1853</v>
      </c>
      <c r="P336" t="n">
        <v>2019</v>
      </c>
      <c r="Q336" t="n">
        <v>2040</v>
      </c>
      <c r="R336" t="n">
        <v>0.4616</v>
      </c>
      <c r="S336" t="n">
        <v>591.6386</v>
      </c>
      <c r="T336" t="n">
        <v>0.00022349</v>
      </c>
      <c r="U336" t="n">
        <v>0.00047787</v>
      </c>
    </row>
    <row r="337">
      <c r="A337" t="inlineStr">
        <is>
          <t>SUP-0034</t>
        </is>
      </c>
      <c r="B337" t="inlineStr">
        <is>
          <t>Logistics Supplier 034</t>
        </is>
      </c>
      <c r="C337" t="inlineStr">
        <is>
          <t>Logistics</t>
        </is>
      </c>
      <c r="D337" t="n">
        <v>2020</v>
      </c>
      <c r="E337" t="n">
        <v>21903922.36</v>
      </c>
      <c r="F337" t="n">
        <v>141624239.49</v>
      </c>
      <c r="G337" t="n">
        <v>4701.9081</v>
      </c>
      <c r="H337" t="n">
        <v>4701.9081</v>
      </c>
      <c r="I337" t="n">
        <v>456.582</v>
      </c>
      <c r="J337" t="n">
        <v>382.2548</v>
      </c>
      <c r="K337" t="n">
        <v>3719.8328</v>
      </c>
      <c r="L337" t="n">
        <v>2020</v>
      </c>
      <c r="M337" t="n">
        <v>2035</v>
      </c>
      <c r="N337" t="n">
        <v>0.5058</v>
      </c>
      <c r="O337" t="n">
        <v>0.1853</v>
      </c>
      <c r="P337" t="n">
        <v>2019</v>
      </c>
      <c r="Q337" t="n">
        <v>2040</v>
      </c>
      <c r="R337" t="n">
        <v>0.4616</v>
      </c>
      <c r="S337" t="n">
        <v>591.6386</v>
      </c>
      <c r="T337" t="n">
        <v>0.00022349</v>
      </c>
      <c r="U337" t="n">
        <v>0.00047787</v>
      </c>
    </row>
    <row r="338">
      <c r="A338" t="inlineStr">
        <is>
          <t>SUP-0034</t>
        </is>
      </c>
      <c r="B338" t="inlineStr">
        <is>
          <t>Logistics Supplier 034</t>
        </is>
      </c>
      <c r="C338" t="inlineStr">
        <is>
          <t>Logistics</t>
        </is>
      </c>
      <c r="D338" t="n">
        <v>2021</v>
      </c>
      <c r="E338" t="n">
        <v>22626505.43</v>
      </c>
      <c r="F338" t="n">
        <v>156101402.75</v>
      </c>
      <c r="G338" t="n">
        <v>4573.2377</v>
      </c>
      <c r="H338" t="n">
        <v>4573.2377</v>
      </c>
      <c r="I338" t="n">
        <v>556.7282</v>
      </c>
      <c r="J338" t="n">
        <v>836.2675</v>
      </c>
      <c r="K338" t="n">
        <v>3427.5821</v>
      </c>
      <c r="L338" t="n">
        <v>2020</v>
      </c>
      <c r="M338" t="n">
        <v>2035</v>
      </c>
      <c r="N338" t="n">
        <v>0.5058</v>
      </c>
      <c r="O338" t="n">
        <v>0.1853</v>
      </c>
      <c r="P338" t="n">
        <v>2019</v>
      </c>
      <c r="Q338" t="n">
        <v>2040</v>
      </c>
      <c r="R338" t="n">
        <v>0.4616</v>
      </c>
      <c r="S338" t="n">
        <v>591.6386</v>
      </c>
      <c r="T338" t="n">
        <v>0.00022349</v>
      </c>
      <c r="U338" t="n">
        <v>0.00047787</v>
      </c>
    </row>
    <row r="339">
      <c r="A339" t="inlineStr">
        <is>
          <t>SUP-0034</t>
        </is>
      </c>
      <c r="B339" t="inlineStr">
        <is>
          <t>Logistics Supplier 034</t>
        </is>
      </c>
      <c r="C339" t="inlineStr">
        <is>
          <t>Logistics</t>
        </is>
      </c>
      <c r="D339" t="n">
        <v>2022</v>
      </c>
      <c r="E339" t="n">
        <v>21227341.45</v>
      </c>
      <c r="F339" t="n">
        <v>150195708.14</v>
      </c>
      <c r="G339" t="n">
        <v>4206.7626</v>
      </c>
      <c r="H339" t="n">
        <v>4206.7626</v>
      </c>
      <c r="I339" t="n">
        <v>917.9058</v>
      </c>
      <c r="J339" t="n">
        <v>389.4106</v>
      </c>
      <c r="K339" t="n">
        <v>2917.875</v>
      </c>
      <c r="L339" t="n">
        <v>2020</v>
      </c>
      <c r="M339" t="n">
        <v>2035</v>
      </c>
      <c r="N339" t="n">
        <v>0.5058</v>
      </c>
      <c r="O339" t="n">
        <v>0.1853</v>
      </c>
      <c r="P339" t="n">
        <v>2019</v>
      </c>
      <c r="Q339" t="n">
        <v>2040</v>
      </c>
      <c r="R339" t="n">
        <v>0.4616</v>
      </c>
      <c r="S339" t="n">
        <v>591.6386</v>
      </c>
      <c r="T339" t="n">
        <v>0.00022349</v>
      </c>
      <c r="U339" t="n">
        <v>0.00047787</v>
      </c>
    </row>
    <row r="340">
      <c r="A340" t="inlineStr">
        <is>
          <t>SUP-0034</t>
        </is>
      </c>
      <c r="B340" t="inlineStr">
        <is>
          <t>Logistics Supplier 034</t>
        </is>
      </c>
      <c r="C340" t="inlineStr">
        <is>
          <t>Logistics</t>
        </is>
      </c>
      <c r="D340" t="n">
        <v>2023</v>
      </c>
      <c r="E340" t="n">
        <v>25015123</v>
      </c>
      <c r="F340" t="n">
        <v>128014940.86</v>
      </c>
      <c r="G340" t="n">
        <v>5725.9683</v>
      </c>
      <c r="H340" t="n">
        <v>5725.9683</v>
      </c>
      <c r="I340" t="n">
        <v>768.2855</v>
      </c>
      <c r="J340" t="n">
        <v>1343.4971</v>
      </c>
      <c r="K340" t="n">
        <v>3917.818</v>
      </c>
      <c r="L340" t="n">
        <v>2020</v>
      </c>
      <c r="M340" t="n">
        <v>2035</v>
      </c>
      <c r="N340" t="n">
        <v>0.5058</v>
      </c>
      <c r="O340" t="n">
        <v>0.1853</v>
      </c>
      <c r="P340" t="n">
        <v>2019</v>
      </c>
      <c r="Q340" t="n">
        <v>2040</v>
      </c>
      <c r="R340" t="n">
        <v>0.4616</v>
      </c>
      <c r="S340" t="n">
        <v>591.6386</v>
      </c>
      <c r="T340" t="n">
        <v>0.00022349</v>
      </c>
      <c r="U340" t="n">
        <v>0.00047787</v>
      </c>
    </row>
    <row r="341">
      <c r="A341" t="inlineStr">
        <is>
          <t>SUP-0034</t>
        </is>
      </c>
      <c r="B341" t="inlineStr">
        <is>
          <t>Logistics Supplier 034</t>
        </is>
      </c>
      <c r="C341" t="inlineStr">
        <is>
          <t>Logistics</t>
        </is>
      </c>
      <c r="D341" t="n">
        <v>2024</v>
      </c>
      <c r="E341" t="n">
        <v>23627672.7</v>
      </c>
      <c r="F341" t="n">
        <v>232879500.3</v>
      </c>
      <c r="G341" t="n">
        <v>5611.4786</v>
      </c>
      <c r="H341" t="n">
        <v>5611.4786</v>
      </c>
      <c r="I341" t="n">
        <v>1260.2179</v>
      </c>
      <c r="J341" t="n">
        <v>1088.3227</v>
      </c>
      <c r="K341" t="n">
        <v>3411.1148</v>
      </c>
      <c r="L341" t="n">
        <v>2020</v>
      </c>
      <c r="M341" t="n">
        <v>2035</v>
      </c>
      <c r="N341" t="n">
        <v>0.5058</v>
      </c>
      <c r="O341" t="n">
        <v>0.1853</v>
      </c>
      <c r="P341" t="n">
        <v>2019</v>
      </c>
      <c r="Q341" t="n">
        <v>2040</v>
      </c>
      <c r="R341" t="n">
        <v>0.4616</v>
      </c>
      <c r="S341" t="n">
        <v>591.6386</v>
      </c>
      <c r="T341" t="n">
        <v>0.00022349</v>
      </c>
      <c r="U341" t="n">
        <v>0.00047787</v>
      </c>
    </row>
    <row r="342">
      <c r="A342" t="inlineStr">
        <is>
          <t>SUP-0035</t>
        </is>
      </c>
      <c r="B342" t="inlineStr">
        <is>
          <t>Electronics Supplier 035</t>
        </is>
      </c>
      <c r="C342" t="inlineStr">
        <is>
          <t>Electronics</t>
        </is>
      </c>
      <c r="D342" t="n">
        <v>2015</v>
      </c>
      <c r="E342" t="n">
        <v>20426576.37</v>
      </c>
      <c r="F342" t="n">
        <v>29719573.98</v>
      </c>
      <c r="G342" t="n">
        <v>15579.0932</v>
      </c>
      <c r="H342" t="n">
        <v>15579.0932</v>
      </c>
      <c r="I342" t="n">
        <v>1487.9583</v>
      </c>
      <c r="J342" t="n">
        <v>1025.6585</v>
      </c>
      <c r="K342" t="n">
        <v>14068.6648</v>
      </c>
      <c r="L342" t="inlineStr"/>
      <c r="M342" t="inlineStr"/>
      <c r="N342" t="inlineStr"/>
      <c r="O342" t="inlineStr"/>
      <c r="P342" t="n">
        <v>2018</v>
      </c>
      <c r="Q342" t="n">
        <v>2040</v>
      </c>
      <c r="R342" t="n">
        <v>0.3424</v>
      </c>
      <c r="S342" t="n">
        <v>635.1588</v>
      </c>
      <c r="T342" t="n">
        <v>0.00086105</v>
      </c>
      <c r="U342" t="n">
        <v>0.00013947</v>
      </c>
    </row>
    <row r="343">
      <c r="A343" t="inlineStr">
        <is>
          <t>SUP-0035</t>
        </is>
      </c>
      <c r="B343" t="inlineStr">
        <is>
          <t>Electronics Supplier 035</t>
        </is>
      </c>
      <c r="C343" t="inlineStr">
        <is>
          <t>Electronics</t>
        </is>
      </c>
      <c r="D343" t="n">
        <v>2016</v>
      </c>
      <c r="E343" t="n">
        <v>23350603.06</v>
      </c>
      <c r="F343" t="n">
        <v>27122763.25</v>
      </c>
      <c r="G343" t="n">
        <v>13632.7323</v>
      </c>
      <c r="H343" t="n">
        <v>13632.7323</v>
      </c>
      <c r="I343" t="n">
        <v>2644.2224</v>
      </c>
      <c r="J343" t="n">
        <v>1826.6625</v>
      </c>
      <c r="K343" t="n">
        <v>9716.9769</v>
      </c>
      <c r="L343" t="inlineStr"/>
      <c r="M343" t="inlineStr"/>
      <c r="N343" t="inlineStr"/>
      <c r="O343" t="inlineStr"/>
      <c r="P343" t="n">
        <v>2018</v>
      </c>
      <c r="Q343" t="n">
        <v>2040</v>
      </c>
      <c r="R343" t="n">
        <v>0.3424</v>
      </c>
      <c r="S343" t="n">
        <v>635.1588</v>
      </c>
      <c r="T343" t="n">
        <v>0.00086105</v>
      </c>
      <c r="U343" t="n">
        <v>0.00013947</v>
      </c>
    </row>
    <row r="344">
      <c r="A344" t="inlineStr">
        <is>
          <t>SUP-0035</t>
        </is>
      </c>
      <c r="B344" t="inlineStr">
        <is>
          <t>Electronics Supplier 035</t>
        </is>
      </c>
      <c r="C344" t="inlineStr">
        <is>
          <t>Electronics</t>
        </is>
      </c>
      <c r="D344" t="n">
        <v>2017</v>
      </c>
      <c r="E344" t="n">
        <v>23307823.73</v>
      </c>
      <c r="F344" t="n">
        <v>33029634.55</v>
      </c>
      <c r="G344" t="n">
        <v>17985.2621</v>
      </c>
      <c r="H344" t="n">
        <v>17985.2621</v>
      </c>
      <c r="I344" t="n">
        <v>4280.532</v>
      </c>
      <c r="J344" t="n">
        <v>1750.6265</v>
      </c>
      <c r="K344" t="n">
        <v>10109.8351</v>
      </c>
      <c r="L344" t="inlineStr"/>
      <c r="M344" t="inlineStr"/>
      <c r="N344" t="inlineStr"/>
      <c r="O344" t="inlineStr"/>
      <c r="P344" t="n">
        <v>2018</v>
      </c>
      <c r="Q344" t="n">
        <v>2040</v>
      </c>
      <c r="R344" t="n">
        <v>0.3424</v>
      </c>
      <c r="S344" t="n">
        <v>635.1588</v>
      </c>
      <c r="T344" t="n">
        <v>0.00086105</v>
      </c>
      <c r="U344" t="n">
        <v>0.00013947</v>
      </c>
    </row>
    <row r="345">
      <c r="A345" t="inlineStr">
        <is>
          <t>SUP-0035</t>
        </is>
      </c>
      <c r="B345" t="inlineStr">
        <is>
          <t>Electronics Supplier 035</t>
        </is>
      </c>
      <c r="C345" t="inlineStr">
        <is>
          <t>Electronics</t>
        </is>
      </c>
      <c r="D345" t="n">
        <v>2018</v>
      </c>
      <c r="E345" t="n">
        <v>26701967.63</v>
      </c>
      <c r="F345" t="n">
        <v>36593994.79</v>
      </c>
      <c r="G345" t="n">
        <v>16404.932</v>
      </c>
      <c r="H345" t="n">
        <v>16404.932</v>
      </c>
      <c r="I345" t="n">
        <v>2170.3317</v>
      </c>
      <c r="J345" t="n">
        <v>3836.6665</v>
      </c>
      <c r="K345" t="n">
        <v>11433.891</v>
      </c>
      <c r="L345" t="inlineStr"/>
      <c r="M345" t="inlineStr"/>
      <c r="N345" t="inlineStr"/>
      <c r="O345" t="inlineStr"/>
      <c r="P345" t="n">
        <v>2018</v>
      </c>
      <c r="Q345" t="n">
        <v>2040</v>
      </c>
      <c r="R345" t="n">
        <v>0.3424</v>
      </c>
      <c r="S345" t="n">
        <v>635.1588</v>
      </c>
      <c r="T345" t="n">
        <v>0.00086105</v>
      </c>
      <c r="U345" t="n">
        <v>0.00013947</v>
      </c>
    </row>
    <row r="346">
      <c r="A346" t="inlineStr">
        <is>
          <t>SUP-0035</t>
        </is>
      </c>
      <c r="B346" t="inlineStr">
        <is>
          <t>Electronics Supplier 035</t>
        </is>
      </c>
      <c r="C346" t="inlineStr">
        <is>
          <t>Electronics</t>
        </is>
      </c>
      <c r="D346" t="n">
        <v>2019</v>
      </c>
      <c r="E346" t="n">
        <v>25753136.25</v>
      </c>
      <c r="F346" t="n">
        <v>42253712.21</v>
      </c>
      <c r="G346" t="n">
        <v>14844.4018</v>
      </c>
      <c r="H346" t="n">
        <v>14844.4018</v>
      </c>
      <c r="I346" t="n">
        <v>2641.7558</v>
      </c>
      <c r="J346" t="n">
        <v>1869.4547</v>
      </c>
      <c r="K346" t="n">
        <v>9134.1656</v>
      </c>
      <c r="L346" t="inlineStr"/>
      <c r="M346" t="inlineStr"/>
      <c r="N346" t="inlineStr"/>
      <c r="O346" t="inlineStr"/>
      <c r="P346" t="n">
        <v>2018</v>
      </c>
      <c r="Q346" t="n">
        <v>2040</v>
      </c>
      <c r="R346" t="n">
        <v>0.3424</v>
      </c>
      <c r="S346" t="n">
        <v>635.1588</v>
      </c>
      <c r="T346" t="n">
        <v>0.00086105</v>
      </c>
      <c r="U346" t="n">
        <v>0.00013947</v>
      </c>
    </row>
    <row r="347">
      <c r="A347" t="inlineStr">
        <is>
          <t>SUP-0035</t>
        </is>
      </c>
      <c r="B347" t="inlineStr">
        <is>
          <t>Electronics Supplier 035</t>
        </is>
      </c>
      <c r="C347" t="inlineStr">
        <is>
          <t>Electronics</t>
        </is>
      </c>
      <c r="D347" t="n">
        <v>2020</v>
      </c>
      <c r="E347" t="n">
        <v>28833132.26</v>
      </c>
      <c r="F347" t="n">
        <v>45408884.99</v>
      </c>
      <c r="G347" t="n">
        <v>20737.6211</v>
      </c>
      <c r="H347" t="n">
        <v>20737.6211</v>
      </c>
      <c r="I347" t="n">
        <v>3106.5285</v>
      </c>
      <c r="J347" t="n">
        <v>4426.0465</v>
      </c>
      <c r="K347" t="n">
        <v>13580.7388</v>
      </c>
      <c r="L347" t="inlineStr"/>
      <c r="M347" t="inlineStr"/>
      <c r="N347" t="inlineStr"/>
      <c r="O347" t="inlineStr"/>
      <c r="P347" t="n">
        <v>2018</v>
      </c>
      <c r="Q347" t="n">
        <v>2040</v>
      </c>
      <c r="R347" t="n">
        <v>0.3424</v>
      </c>
      <c r="S347" t="n">
        <v>635.1588</v>
      </c>
      <c r="T347" t="n">
        <v>0.00086105</v>
      </c>
      <c r="U347" t="n">
        <v>0.00013947</v>
      </c>
    </row>
    <row r="348">
      <c r="A348" t="inlineStr">
        <is>
          <t>SUP-0035</t>
        </is>
      </c>
      <c r="B348" t="inlineStr">
        <is>
          <t>Electronics Supplier 035</t>
        </is>
      </c>
      <c r="C348" t="inlineStr">
        <is>
          <t>Electronics</t>
        </is>
      </c>
      <c r="D348" t="n">
        <v>2021</v>
      </c>
      <c r="E348" t="n">
        <v>34847084.65</v>
      </c>
      <c r="F348" t="n">
        <v>47945803.11</v>
      </c>
      <c r="G348" t="n">
        <v>22649.7767</v>
      </c>
      <c r="H348" t="n">
        <v>22649.7767</v>
      </c>
      <c r="I348" t="n">
        <v>6253.7056</v>
      </c>
      <c r="J348" t="n">
        <v>2985.4723</v>
      </c>
      <c r="K348" t="n">
        <v>16343.7594</v>
      </c>
      <c r="L348" t="inlineStr"/>
      <c r="M348" t="inlineStr"/>
      <c r="N348" t="inlineStr"/>
      <c r="O348" t="inlineStr"/>
      <c r="P348" t="n">
        <v>2018</v>
      </c>
      <c r="Q348" t="n">
        <v>2040</v>
      </c>
      <c r="R348" t="n">
        <v>0.3424</v>
      </c>
      <c r="S348" t="n">
        <v>635.1588</v>
      </c>
      <c r="T348" t="n">
        <v>0.00086105</v>
      </c>
      <c r="U348" t="n">
        <v>0.00013947</v>
      </c>
    </row>
    <row r="349">
      <c r="A349" t="inlineStr">
        <is>
          <t>SUP-0035</t>
        </is>
      </c>
      <c r="B349" t="inlineStr">
        <is>
          <t>Electronics Supplier 035</t>
        </is>
      </c>
      <c r="C349" t="inlineStr">
        <is>
          <t>Electronics</t>
        </is>
      </c>
      <c r="D349" t="n">
        <v>2022</v>
      </c>
      <c r="E349" t="n">
        <v>34575726.32</v>
      </c>
      <c r="F349" t="n">
        <v>44434364.37</v>
      </c>
      <c r="G349" t="n">
        <v>28742.1347</v>
      </c>
      <c r="H349" t="n">
        <v>28742.1347</v>
      </c>
      <c r="I349" t="n">
        <v>6983.7158</v>
      </c>
      <c r="J349" t="n">
        <v>5758.6912</v>
      </c>
      <c r="K349" t="n">
        <v>14394.765</v>
      </c>
      <c r="L349" t="inlineStr"/>
      <c r="M349" t="inlineStr"/>
      <c r="N349" t="inlineStr"/>
      <c r="O349" t="inlineStr"/>
      <c r="P349" t="n">
        <v>2018</v>
      </c>
      <c r="Q349" t="n">
        <v>2040</v>
      </c>
      <c r="R349" t="n">
        <v>0.3424</v>
      </c>
      <c r="S349" t="n">
        <v>635.1588</v>
      </c>
      <c r="T349" t="n">
        <v>0.00086105</v>
      </c>
      <c r="U349" t="n">
        <v>0.00013947</v>
      </c>
    </row>
    <row r="350">
      <c r="A350" t="inlineStr">
        <is>
          <t>SUP-0035</t>
        </is>
      </c>
      <c r="B350" t="inlineStr">
        <is>
          <t>Electronics Supplier 035</t>
        </is>
      </c>
      <c r="C350" t="inlineStr">
        <is>
          <t>Electronics</t>
        </is>
      </c>
      <c r="D350" t="n">
        <v>2023</v>
      </c>
      <c r="E350" t="n">
        <v>37374355.39</v>
      </c>
      <c r="F350" t="n">
        <v>59684531.11</v>
      </c>
      <c r="G350" t="n">
        <v>23457.212</v>
      </c>
      <c r="H350" t="n">
        <v>23457.212</v>
      </c>
      <c r="I350" t="n">
        <v>4411.8808</v>
      </c>
      <c r="J350" t="n">
        <v>4474.7196</v>
      </c>
      <c r="K350" t="n">
        <v>14707.6603</v>
      </c>
      <c r="L350" t="inlineStr"/>
      <c r="M350" t="inlineStr"/>
      <c r="N350" t="inlineStr"/>
      <c r="O350" t="inlineStr"/>
      <c r="P350" t="n">
        <v>2018</v>
      </c>
      <c r="Q350" t="n">
        <v>2040</v>
      </c>
      <c r="R350" t="n">
        <v>0.3424</v>
      </c>
      <c r="S350" t="n">
        <v>635.1588</v>
      </c>
      <c r="T350" t="n">
        <v>0.00086105</v>
      </c>
      <c r="U350" t="n">
        <v>0.00013947</v>
      </c>
    </row>
    <row r="351">
      <c r="A351" t="inlineStr">
        <is>
          <t>SUP-0035</t>
        </is>
      </c>
      <c r="B351" t="inlineStr">
        <is>
          <t>Electronics Supplier 035</t>
        </is>
      </c>
      <c r="C351" t="inlineStr">
        <is>
          <t>Electronics</t>
        </is>
      </c>
      <c r="D351" t="n">
        <v>2024</v>
      </c>
      <c r="E351" t="n">
        <v>37936357.49</v>
      </c>
      <c r="F351" t="n">
        <v>56187941.98</v>
      </c>
      <c r="G351" t="n">
        <v>23190.5906</v>
      </c>
      <c r="H351" t="n">
        <v>23190.5906</v>
      </c>
      <c r="I351" t="n">
        <v>2894.491</v>
      </c>
      <c r="J351" t="n">
        <v>1752.3803</v>
      </c>
      <c r="K351" t="n">
        <v>20630.1494</v>
      </c>
      <c r="L351" t="inlineStr"/>
      <c r="M351" t="inlineStr"/>
      <c r="N351" t="inlineStr"/>
      <c r="O351" t="inlineStr"/>
      <c r="P351" t="n">
        <v>2018</v>
      </c>
      <c r="Q351" t="n">
        <v>2040</v>
      </c>
      <c r="R351" t="n">
        <v>0.3424</v>
      </c>
      <c r="S351" t="n">
        <v>635.1588</v>
      </c>
      <c r="T351" t="n">
        <v>0.00086105</v>
      </c>
      <c r="U351" t="n">
        <v>0.00013947</v>
      </c>
    </row>
    <row r="352">
      <c r="A352" t="inlineStr">
        <is>
          <t>SUP-0036</t>
        </is>
      </c>
      <c r="B352" t="inlineStr">
        <is>
          <t>Metals Supplier 036</t>
        </is>
      </c>
      <c r="C352" t="inlineStr">
        <is>
          <t>Metals</t>
        </is>
      </c>
      <c r="D352" t="n">
        <v>2015</v>
      </c>
      <c r="E352" t="n">
        <v>24368084.07</v>
      </c>
      <c r="F352" t="n">
        <v>88285614.34999999</v>
      </c>
      <c r="G352" t="n">
        <v>25179.2865</v>
      </c>
      <c r="H352" t="n">
        <v>25179.2865</v>
      </c>
      <c r="I352" t="n">
        <v>4152.5543</v>
      </c>
      <c r="J352" t="n">
        <v>3621.8613</v>
      </c>
      <c r="K352" t="n">
        <v>16306.7958</v>
      </c>
      <c r="L352" t="inlineStr"/>
      <c r="M352" t="inlineStr"/>
      <c r="N352" t="inlineStr"/>
      <c r="O352" t="inlineStr"/>
      <c r="P352" t="n">
        <v>2019</v>
      </c>
      <c r="Q352" t="n">
        <v>2030</v>
      </c>
      <c r="R352" t="n">
        <v>0.3852</v>
      </c>
      <c r="S352" t="n">
        <v>158.2904</v>
      </c>
      <c r="T352" t="n">
        <v>0.00100695</v>
      </c>
      <c r="U352" t="n">
        <v>0.00065008</v>
      </c>
    </row>
    <row r="353">
      <c r="A353" t="inlineStr">
        <is>
          <t>SUP-0036</t>
        </is>
      </c>
      <c r="B353" t="inlineStr">
        <is>
          <t>Metals Supplier 036</t>
        </is>
      </c>
      <c r="C353" t="inlineStr">
        <is>
          <t>Metals</t>
        </is>
      </c>
      <c r="D353" t="n">
        <v>2016</v>
      </c>
      <c r="E353" t="n">
        <v>22652589.85</v>
      </c>
      <c r="F353" t="n">
        <v>75100329.91</v>
      </c>
      <c r="G353" t="n">
        <v>24303.2188</v>
      </c>
      <c r="H353" t="n">
        <v>24303.2188</v>
      </c>
      <c r="I353" t="n">
        <v>5480.9391</v>
      </c>
      <c r="J353" t="n">
        <v>2303.2119</v>
      </c>
      <c r="K353" t="n">
        <v>16758.5659</v>
      </c>
      <c r="L353" t="inlineStr"/>
      <c r="M353" t="inlineStr"/>
      <c r="N353" t="inlineStr"/>
      <c r="O353" t="inlineStr"/>
      <c r="P353" t="n">
        <v>2019</v>
      </c>
      <c r="Q353" t="n">
        <v>2030</v>
      </c>
      <c r="R353" t="n">
        <v>0.3852</v>
      </c>
      <c r="S353" t="n">
        <v>158.2904</v>
      </c>
      <c r="T353" t="n">
        <v>0.00100695</v>
      </c>
      <c r="U353" t="n">
        <v>0.00065008</v>
      </c>
    </row>
    <row r="354">
      <c r="A354" t="inlineStr">
        <is>
          <t>SUP-0036</t>
        </is>
      </c>
      <c r="B354" t="inlineStr">
        <is>
          <t>Metals Supplier 036</t>
        </is>
      </c>
      <c r="C354" t="inlineStr">
        <is>
          <t>Metals</t>
        </is>
      </c>
      <c r="D354" t="n">
        <v>2017</v>
      </c>
      <c r="E354" t="n">
        <v>29714076.72</v>
      </c>
      <c r="F354" t="n">
        <v>64907094.59</v>
      </c>
      <c r="G354" t="n">
        <v>33493.2358</v>
      </c>
      <c r="H354" t="n">
        <v>33493.2358</v>
      </c>
      <c r="I354" t="n">
        <v>4975.9332</v>
      </c>
      <c r="J354" t="n">
        <v>2789.9629</v>
      </c>
      <c r="K354" t="n">
        <v>25550.1548</v>
      </c>
      <c r="L354" t="inlineStr"/>
      <c r="M354" t="inlineStr"/>
      <c r="N354" t="inlineStr"/>
      <c r="O354" t="inlineStr"/>
      <c r="P354" t="n">
        <v>2019</v>
      </c>
      <c r="Q354" t="n">
        <v>2030</v>
      </c>
      <c r="R354" t="n">
        <v>0.3852</v>
      </c>
      <c r="S354" t="n">
        <v>158.2904</v>
      </c>
      <c r="T354" t="n">
        <v>0.00100695</v>
      </c>
      <c r="U354" t="n">
        <v>0.00065008</v>
      </c>
    </row>
    <row r="355">
      <c r="A355" t="inlineStr">
        <is>
          <t>SUP-0036</t>
        </is>
      </c>
      <c r="B355" t="inlineStr">
        <is>
          <t>Metals Supplier 036</t>
        </is>
      </c>
      <c r="C355" t="inlineStr">
        <is>
          <t>Metals</t>
        </is>
      </c>
      <c r="D355" t="n">
        <v>2018</v>
      </c>
      <c r="E355" t="n">
        <v>27281053.86</v>
      </c>
      <c r="F355" t="n">
        <v>82293932.27</v>
      </c>
      <c r="G355" t="n">
        <v>26820.766</v>
      </c>
      <c r="H355" t="n">
        <v>26820.766</v>
      </c>
      <c r="I355" t="n">
        <v>2956.7645</v>
      </c>
      <c r="J355" t="n">
        <v>4514.6711</v>
      </c>
      <c r="K355" t="n">
        <v>17317.0166</v>
      </c>
      <c r="L355" t="inlineStr"/>
      <c r="M355" t="inlineStr"/>
      <c r="N355" t="inlineStr"/>
      <c r="O355" t="inlineStr"/>
      <c r="P355" t="n">
        <v>2019</v>
      </c>
      <c r="Q355" t="n">
        <v>2030</v>
      </c>
      <c r="R355" t="n">
        <v>0.3852</v>
      </c>
      <c r="S355" t="n">
        <v>158.2904</v>
      </c>
      <c r="T355" t="n">
        <v>0.00100695</v>
      </c>
      <c r="U355" t="n">
        <v>0.00065008</v>
      </c>
    </row>
    <row r="356">
      <c r="A356" t="inlineStr">
        <is>
          <t>SUP-0036</t>
        </is>
      </c>
      <c r="B356" t="inlineStr">
        <is>
          <t>Metals Supplier 036</t>
        </is>
      </c>
      <c r="C356" t="inlineStr">
        <is>
          <t>Metals</t>
        </is>
      </c>
      <c r="D356" t="n">
        <v>2019</v>
      </c>
      <c r="E356" t="n">
        <v>28887085.92</v>
      </c>
      <c r="F356" t="n">
        <v>111487077.53</v>
      </c>
      <c r="G356" t="n">
        <v>27330.5972</v>
      </c>
      <c r="H356" t="n">
        <v>27330.5972</v>
      </c>
      <c r="I356" t="n">
        <v>7115.3826</v>
      </c>
      <c r="J356" t="n">
        <v>3263.985</v>
      </c>
      <c r="K356" t="n">
        <v>17656.3126</v>
      </c>
      <c r="L356" t="inlineStr"/>
      <c r="M356" t="inlineStr"/>
      <c r="N356" t="inlineStr"/>
      <c r="O356" t="inlineStr"/>
      <c r="P356" t="n">
        <v>2019</v>
      </c>
      <c r="Q356" t="n">
        <v>2030</v>
      </c>
      <c r="R356" t="n">
        <v>0.3852</v>
      </c>
      <c r="S356" t="n">
        <v>158.2904</v>
      </c>
      <c r="T356" t="n">
        <v>0.00100695</v>
      </c>
      <c r="U356" t="n">
        <v>0.00065008</v>
      </c>
    </row>
    <row r="357">
      <c r="A357" t="inlineStr">
        <is>
          <t>SUP-0036</t>
        </is>
      </c>
      <c r="B357" t="inlineStr">
        <is>
          <t>Metals Supplier 036</t>
        </is>
      </c>
      <c r="C357" t="inlineStr">
        <is>
          <t>Metals</t>
        </is>
      </c>
      <c r="D357" t="n">
        <v>2020</v>
      </c>
      <c r="E357" t="n">
        <v>32544400.79</v>
      </c>
      <c r="F357" t="n">
        <v>88514071.45999999</v>
      </c>
      <c r="G357" t="n">
        <v>31985.6767</v>
      </c>
      <c r="H357" t="n">
        <v>31985.6767</v>
      </c>
      <c r="I357" t="n">
        <v>2748.2383</v>
      </c>
      <c r="J357" t="n">
        <v>2043.5515</v>
      </c>
      <c r="K357" t="n">
        <v>28023.4533</v>
      </c>
      <c r="L357" t="inlineStr"/>
      <c r="M357" t="inlineStr"/>
      <c r="N357" t="inlineStr"/>
      <c r="O357" t="inlineStr"/>
      <c r="P357" t="n">
        <v>2019</v>
      </c>
      <c r="Q357" t="n">
        <v>2030</v>
      </c>
      <c r="R357" t="n">
        <v>0.3852</v>
      </c>
      <c r="S357" t="n">
        <v>158.2904</v>
      </c>
      <c r="T357" t="n">
        <v>0.00100695</v>
      </c>
      <c r="U357" t="n">
        <v>0.00065008</v>
      </c>
    </row>
    <row r="358">
      <c r="A358" t="inlineStr">
        <is>
          <t>SUP-0036</t>
        </is>
      </c>
      <c r="B358" t="inlineStr">
        <is>
          <t>Metals Supplier 036</t>
        </is>
      </c>
      <c r="C358" t="inlineStr">
        <is>
          <t>Metals</t>
        </is>
      </c>
      <c r="D358" t="n">
        <v>2021</v>
      </c>
      <c r="E358" t="n">
        <v>31664310.52</v>
      </c>
      <c r="F358" t="n">
        <v>156965170.98</v>
      </c>
      <c r="G358" t="n">
        <v>26847.8444</v>
      </c>
      <c r="H358" t="n">
        <v>26847.8444</v>
      </c>
      <c r="I358" t="n">
        <v>2787.655</v>
      </c>
      <c r="J358" t="n">
        <v>2650.4833</v>
      </c>
      <c r="K358" t="n">
        <v>21151.2494</v>
      </c>
      <c r="L358" t="inlineStr"/>
      <c r="M358" t="inlineStr"/>
      <c r="N358" t="inlineStr"/>
      <c r="O358" t="inlineStr"/>
      <c r="P358" t="n">
        <v>2019</v>
      </c>
      <c r="Q358" t="n">
        <v>2030</v>
      </c>
      <c r="R358" t="n">
        <v>0.3852</v>
      </c>
      <c r="S358" t="n">
        <v>158.2904</v>
      </c>
      <c r="T358" t="n">
        <v>0.00100695</v>
      </c>
      <c r="U358" t="n">
        <v>0.00065008</v>
      </c>
    </row>
    <row r="359">
      <c r="A359" t="inlineStr">
        <is>
          <t>SUP-0036</t>
        </is>
      </c>
      <c r="B359" t="inlineStr">
        <is>
          <t>Metals Supplier 036</t>
        </is>
      </c>
      <c r="C359" t="inlineStr">
        <is>
          <t>Metals</t>
        </is>
      </c>
      <c r="D359" t="n">
        <v>2022</v>
      </c>
      <c r="E359" t="n">
        <v>40796629.49</v>
      </c>
      <c r="F359" t="n">
        <v>87260708.13</v>
      </c>
      <c r="G359" t="n">
        <v>48555.4925</v>
      </c>
      <c r="H359" t="n">
        <v>48555.4925</v>
      </c>
      <c r="I359" t="n">
        <v>6013.6001</v>
      </c>
      <c r="J359" t="n">
        <v>5233.5693</v>
      </c>
      <c r="K359" t="n">
        <v>36592.9927</v>
      </c>
      <c r="L359" t="inlineStr"/>
      <c r="M359" t="inlineStr"/>
      <c r="N359" t="inlineStr"/>
      <c r="O359" t="inlineStr"/>
      <c r="P359" t="n">
        <v>2019</v>
      </c>
      <c r="Q359" t="n">
        <v>2030</v>
      </c>
      <c r="R359" t="n">
        <v>0.3852</v>
      </c>
      <c r="S359" t="n">
        <v>158.2904</v>
      </c>
      <c r="T359" t="n">
        <v>0.00100695</v>
      </c>
      <c r="U359" t="n">
        <v>0.00065008</v>
      </c>
    </row>
    <row r="360">
      <c r="A360" t="inlineStr">
        <is>
          <t>SUP-0036</t>
        </is>
      </c>
      <c r="B360" t="inlineStr">
        <is>
          <t>Metals Supplier 036</t>
        </is>
      </c>
      <c r="C360" t="inlineStr">
        <is>
          <t>Metals</t>
        </is>
      </c>
      <c r="D360" t="n">
        <v>2023</v>
      </c>
      <c r="E360" t="n">
        <v>31525041.92</v>
      </c>
      <c r="F360" t="n">
        <v>140223185.18</v>
      </c>
      <c r="G360" t="n">
        <v>31686.4932</v>
      </c>
      <c r="H360" t="n">
        <v>31686.4932</v>
      </c>
      <c r="I360" t="n">
        <v>5605.4586</v>
      </c>
      <c r="J360" t="n">
        <v>4513.6403</v>
      </c>
      <c r="K360" t="n">
        <v>19574.5066</v>
      </c>
      <c r="L360" t="inlineStr"/>
      <c r="M360" t="inlineStr"/>
      <c r="N360" t="inlineStr"/>
      <c r="O360" t="inlineStr"/>
      <c r="P360" t="n">
        <v>2019</v>
      </c>
      <c r="Q360" t="n">
        <v>2030</v>
      </c>
      <c r="R360" t="n">
        <v>0.3852</v>
      </c>
      <c r="S360" t="n">
        <v>158.2904</v>
      </c>
      <c r="T360" t="n">
        <v>0.00100695</v>
      </c>
      <c r="U360" t="n">
        <v>0.00065008</v>
      </c>
    </row>
    <row r="361">
      <c r="A361" t="inlineStr">
        <is>
          <t>SUP-0036</t>
        </is>
      </c>
      <c r="B361" t="inlineStr">
        <is>
          <t>Metals Supplier 036</t>
        </is>
      </c>
      <c r="C361" t="inlineStr">
        <is>
          <t>Metals</t>
        </is>
      </c>
      <c r="D361" t="n">
        <v>2024</v>
      </c>
      <c r="E361" t="n">
        <v>39253784.89</v>
      </c>
      <c r="F361" t="n">
        <v>132900679.86</v>
      </c>
      <c r="G361" t="n">
        <v>38687.7856</v>
      </c>
      <c r="H361" t="n">
        <v>38687.7856</v>
      </c>
      <c r="I361" t="n">
        <v>7578.5332</v>
      </c>
      <c r="J361" t="n">
        <v>2713.8883</v>
      </c>
      <c r="K361" t="n">
        <v>28678.0905</v>
      </c>
      <c r="L361" t="inlineStr"/>
      <c r="M361" t="inlineStr"/>
      <c r="N361" t="inlineStr"/>
      <c r="O361" t="inlineStr"/>
      <c r="P361" t="n">
        <v>2019</v>
      </c>
      <c r="Q361" t="n">
        <v>2030</v>
      </c>
      <c r="R361" t="n">
        <v>0.3852</v>
      </c>
      <c r="S361" t="n">
        <v>158.2904</v>
      </c>
      <c r="T361" t="n">
        <v>0.00100695</v>
      </c>
      <c r="U361" t="n">
        <v>0.00065008</v>
      </c>
    </row>
    <row r="362">
      <c r="A362" t="inlineStr">
        <is>
          <t>SUP-0037</t>
        </is>
      </c>
      <c r="B362" t="inlineStr">
        <is>
          <t>Agriculture Supplier 037</t>
        </is>
      </c>
      <c r="C362" t="inlineStr">
        <is>
          <t>Agriculture</t>
        </is>
      </c>
      <c r="D362" t="n">
        <v>2015</v>
      </c>
      <c r="E362" t="n">
        <v>26116905.2</v>
      </c>
      <c r="F362" t="n">
        <v>60512632.69</v>
      </c>
      <c r="G362" t="n">
        <v>19288.7383</v>
      </c>
      <c r="H362" t="n">
        <v>19288.7383</v>
      </c>
      <c r="I362" t="n">
        <v>3598.9607</v>
      </c>
      <c r="J362" t="n">
        <v>1176.2689</v>
      </c>
      <c r="K362" t="n">
        <v>12595.3642</v>
      </c>
      <c r="L362" t="n">
        <v>2019</v>
      </c>
      <c r="M362" t="n">
        <v>2035</v>
      </c>
      <c r="N362" t="n">
        <v>0.5499000000000001</v>
      </c>
      <c r="O362" t="n">
        <v>0.2996</v>
      </c>
      <c r="P362" t="n">
        <v>2018</v>
      </c>
      <c r="Q362" t="inlineStr"/>
      <c r="R362" t="inlineStr"/>
      <c r="S362" t="n">
        <v>529.8294</v>
      </c>
      <c r="T362" t="n">
        <v>0.00091413</v>
      </c>
      <c r="U362" t="n">
        <v>0.00096913</v>
      </c>
    </row>
    <row r="363">
      <c r="A363" t="inlineStr">
        <is>
          <t>SUP-0037</t>
        </is>
      </c>
      <c r="B363" t="inlineStr">
        <is>
          <t>Agriculture Supplier 037</t>
        </is>
      </c>
      <c r="C363" t="inlineStr">
        <is>
          <t>Agriculture</t>
        </is>
      </c>
      <c r="D363" t="n">
        <v>2016</v>
      </c>
      <c r="E363" t="n">
        <v>19764864.23</v>
      </c>
      <c r="F363" t="n">
        <v>49671299.67</v>
      </c>
      <c r="G363" t="n">
        <v>12892.9693</v>
      </c>
      <c r="H363" t="n">
        <v>12892.9693</v>
      </c>
      <c r="I363" t="n">
        <v>3341.1667</v>
      </c>
      <c r="J363" t="n">
        <v>1320.2082</v>
      </c>
      <c r="K363" t="n">
        <v>8920.371999999999</v>
      </c>
      <c r="L363" t="n">
        <v>2019</v>
      </c>
      <c r="M363" t="n">
        <v>2035</v>
      </c>
      <c r="N363" t="n">
        <v>0.5499000000000001</v>
      </c>
      <c r="O363" t="n">
        <v>0.2996</v>
      </c>
      <c r="P363" t="n">
        <v>2018</v>
      </c>
      <c r="Q363" t="inlineStr"/>
      <c r="R363" t="inlineStr"/>
      <c r="S363" t="n">
        <v>529.8294</v>
      </c>
      <c r="T363" t="n">
        <v>0.00091413</v>
      </c>
      <c r="U363" t="n">
        <v>0.00096913</v>
      </c>
    </row>
    <row r="364">
      <c r="A364" t="inlineStr">
        <is>
          <t>SUP-0037</t>
        </is>
      </c>
      <c r="B364" t="inlineStr">
        <is>
          <t>Agriculture Supplier 037</t>
        </is>
      </c>
      <c r="C364" t="inlineStr">
        <is>
          <t>Agriculture</t>
        </is>
      </c>
      <c r="D364" t="n">
        <v>2017</v>
      </c>
      <c r="E364" t="n">
        <v>23026753.15</v>
      </c>
      <c r="F364" t="n">
        <v>57163834.99</v>
      </c>
      <c r="G364" t="n">
        <v>15694.1764</v>
      </c>
      <c r="H364" t="n">
        <v>15694.1764</v>
      </c>
      <c r="I364" t="n">
        <v>4575.1358</v>
      </c>
      <c r="J364" t="n">
        <v>1305.6075</v>
      </c>
      <c r="K364" t="n">
        <v>10150.0166</v>
      </c>
      <c r="L364" t="n">
        <v>2019</v>
      </c>
      <c r="M364" t="n">
        <v>2035</v>
      </c>
      <c r="N364" t="n">
        <v>0.5499000000000001</v>
      </c>
      <c r="O364" t="n">
        <v>0.2996</v>
      </c>
      <c r="P364" t="n">
        <v>2018</v>
      </c>
      <c r="Q364" t="inlineStr"/>
      <c r="R364" t="inlineStr"/>
      <c r="S364" t="n">
        <v>529.8294</v>
      </c>
      <c r="T364" t="n">
        <v>0.00091413</v>
      </c>
      <c r="U364" t="n">
        <v>0.00096913</v>
      </c>
    </row>
    <row r="365">
      <c r="A365" t="inlineStr">
        <is>
          <t>SUP-0037</t>
        </is>
      </c>
      <c r="B365" t="inlineStr">
        <is>
          <t>Agriculture Supplier 037</t>
        </is>
      </c>
      <c r="C365" t="inlineStr">
        <is>
          <t>Agriculture</t>
        </is>
      </c>
      <c r="D365" t="n">
        <v>2018</v>
      </c>
      <c r="E365" t="n">
        <v>23979567.75</v>
      </c>
      <c r="F365" t="n">
        <v>53859911.45</v>
      </c>
      <c r="G365" t="n">
        <v>15333.6731</v>
      </c>
      <c r="H365" t="n">
        <v>15333.6731</v>
      </c>
      <c r="I365" t="n">
        <v>2935.9349</v>
      </c>
      <c r="J365" t="n">
        <v>1903.1483</v>
      </c>
      <c r="K365" t="n">
        <v>9372.9184</v>
      </c>
      <c r="L365" t="n">
        <v>2019</v>
      </c>
      <c r="M365" t="n">
        <v>2035</v>
      </c>
      <c r="N365" t="n">
        <v>0.5499000000000001</v>
      </c>
      <c r="O365" t="n">
        <v>0.2996</v>
      </c>
      <c r="P365" t="n">
        <v>2018</v>
      </c>
      <c r="Q365" t="inlineStr"/>
      <c r="R365" t="inlineStr"/>
      <c r="S365" t="n">
        <v>529.8294</v>
      </c>
      <c r="T365" t="n">
        <v>0.00091413</v>
      </c>
      <c r="U365" t="n">
        <v>0.00096913</v>
      </c>
    </row>
    <row r="366">
      <c r="A366" t="inlineStr">
        <is>
          <t>SUP-0037</t>
        </is>
      </c>
      <c r="B366" t="inlineStr">
        <is>
          <t>Agriculture Supplier 037</t>
        </is>
      </c>
      <c r="C366" t="inlineStr">
        <is>
          <t>Agriculture</t>
        </is>
      </c>
      <c r="D366" t="n">
        <v>2019</v>
      </c>
      <c r="E366" t="n">
        <v>25634907.46</v>
      </c>
      <c r="F366" t="n">
        <v>53390725.31</v>
      </c>
      <c r="G366" t="n">
        <v>15786.4995</v>
      </c>
      <c r="H366" t="n">
        <v>15786.4995</v>
      </c>
      <c r="I366" t="n">
        <v>4336.4911</v>
      </c>
      <c r="J366" t="n">
        <v>1289.0667</v>
      </c>
      <c r="K366" t="n">
        <v>11065.847</v>
      </c>
      <c r="L366" t="n">
        <v>2019</v>
      </c>
      <c r="M366" t="n">
        <v>2035</v>
      </c>
      <c r="N366" t="n">
        <v>0.5499000000000001</v>
      </c>
      <c r="O366" t="n">
        <v>0.2996</v>
      </c>
      <c r="P366" t="n">
        <v>2018</v>
      </c>
      <c r="Q366" t="inlineStr"/>
      <c r="R366" t="inlineStr"/>
      <c r="S366" t="n">
        <v>529.8294</v>
      </c>
      <c r="T366" t="n">
        <v>0.00091413</v>
      </c>
      <c r="U366" t="n">
        <v>0.00096913</v>
      </c>
    </row>
    <row r="367">
      <c r="A367" t="inlineStr">
        <is>
          <t>SUP-0037</t>
        </is>
      </c>
      <c r="B367" t="inlineStr">
        <is>
          <t>Agriculture Supplier 037</t>
        </is>
      </c>
      <c r="C367" t="inlineStr">
        <is>
          <t>Agriculture</t>
        </is>
      </c>
      <c r="D367" t="n">
        <v>2020</v>
      </c>
      <c r="E367" t="n">
        <v>21437252.97</v>
      </c>
      <c r="F367" t="n">
        <v>62480378.18</v>
      </c>
      <c r="G367" t="n">
        <v>12897.518</v>
      </c>
      <c r="H367" t="n">
        <v>12897.518</v>
      </c>
      <c r="I367" t="n">
        <v>3221.3761</v>
      </c>
      <c r="J367" t="n">
        <v>2661.1949</v>
      </c>
      <c r="K367" t="n">
        <v>7229.7551</v>
      </c>
      <c r="L367" t="n">
        <v>2019</v>
      </c>
      <c r="M367" t="n">
        <v>2035</v>
      </c>
      <c r="N367" t="n">
        <v>0.5499000000000001</v>
      </c>
      <c r="O367" t="n">
        <v>0.2996</v>
      </c>
      <c r="P367" t="n">
        <v>2018</v>
      </c>
      <c r="Q367" t="inlineStr"/>
      <c r="R367" t="inlineStr"/>
      <c r="S367" t="n">
        <v>529.8294</v>
      </c>
      <c r="T367" t="n">
        <v>0.00091413</v>
      </c>
      <c r="U367" t="n">
        <v>0.00096913</v>
      </c>
    </row>
    <row r="368">
      <c r="A368" t="inlineStr">
        <is>
          <t>SUP-0037</t>
        </is>
      </c>
      <c r="B368" t="inlineStr">
        <is>
          <t>Agriculture Supplier 037</t>
        </is>
      </c>
      <c r="C368" t="inlineStr">
        <is>
          <t>Agriculture</t>
        </is>
      </c>
      <c r="D368" t="n">
        <v>2021</v>
      </c>
      <c r="E368" t="n">
        <v>24128271.05</v>
      </c>
      <c r="F368" t="n">
        <v>51164195.79</v>
      </c>
      <c r="G368" t="n">
        <v>11774.29</v>
      </c>
      <c r="H368" t="n">
        <v>11774.29</v>
      </c>
      <c r="I368" t="n">
        <v>2441.0935</v>
      </c>
      <c r="J368" t="n">
        <v>1510.5457</v>
      </c>
      <c r="K368" t="n">
        <v>7684.4666</v>
      </c>
      <c r="L368" t="n">
        <v>2019</v>
      </c>
      <c r="M368" t="n">
        <v>2035</v>
      </c>
      <c r="N368" t="n">
        <v>0.5499000000000001</v>
      </c>
      <c r="O368" t="n">
        <v>0.2996</v>
      </c>
      <c r="P368" t="n">
        <v>2018</v>
      </c>
      <c r="Q368" t="inlineStr"/>
      <c r="R368" t="inlineStr"/>
      <c r="S368" t="n">
        <v>529.8294</v>
      </c>
      <c r="T368" t="n">
        <v>0.00091413</v>
      </c>
      <c r="U368" t="n">
        <v>0.00096913</v>
      </c>
    </row>
    <row r="369">
      <c r="A369" t="inlineStr">
        <is>
          <t>SUP-0037</t>
        </is>
      </c>
      <c r="B369" t="inlineStr">
        <is>
          <t>Agriculture Supplier 037</t>
        </is>
      </c>
      <c r="C369" t="inlineStr">
        <is>
          <t>Agriculture</t>
        </is>
      </c>
      <c r="D369" t="n">
        <v>2022</v>
      </c>
      <c r="E369" t="n">
        <v>24100987.37</v>
      </c>
      <c r="F369" t="n">
        <v>67850346.78</v>
      </c>
      <c r="G369" t="n">
        <v>14167.6272</v>
      </c>
      <c r="H369" t="n">
        <v>14167.6272</v>
      </c>
      <c r="I369" t="n">
        <v>2665.7679</v>
      </c>
      <c r="J369" t="n">
        <v>1614.6304</v>
      </c>
      <c r="K369" t="n">
        <v>10393.0162</v>
      </c>
      <c r="L369" t="n">
        <v>2019</v>
      </c>
      <c r="M369" t="n">
        <v>2035</v>
      </c>
      <c r="N369" t="n">
        <v>0.5499000000000001</v>
      </c>
      <c r="O369" t="n">
        <v>0.2996</v>
      </c>
      <c r="P369" t="n">
        <v>2018</v>
      </c>
      <c r="Q369" t="inlineStr"/>
      <c r="R369" t="inlineStr"/>
      <c r="S369" t="n">
        <v>529.8294</v>
      </c>
      <c r="T369" t="n">
        <v>0.00091413</v>
      </c>
      <c r="U369" t="n">
        <v>0.00096913</v>
      </c>
    </row>
    <row r="370">
      <c r="A370" t="inlineStr">
        <is>
          <t>SUP-0037</t>
        </is>
      </c>
      <c r="B370" t="inlineStr">
        <is>
          <t>Agriculture Supplier 037</t>
        </is>
      </c>
      <c r="C370" t="inlineStr">
        <is>
          <t>Agriculture</t>
        </is>
      </c>
      <c r="D370" t="n">
        <v>2023</v>
      </c>
      <c r="E370" t="n">
        <v>20415046.49</v>
      </c>
      <c r="F370" t="n">
        <v>58791720.77</v>
      </c>
      <c r="G370" t="n">
        <v>11224.2775</v>
      </c>
      <c r="H370" t="n">
        <v>11224.2775</v>
      </c>
      <c r="I370" t="n">
        <v>2321.5002</v>
      </c>
      <c r="J370" t="n">
        <v>1096.965</v>
      </c>
      <c r="K370" t="n">
        <v>7258.3922</v>
      </c>
      <c r="L370" t="n">
        <v>2019</v>
      </c>
      <c r="M370" t="n">
        <v>2035</v>
      </c>
      <c r="N370" t="n">
        <v>0.5499000000000001</v>
      </c>
      <c r="O370" t="n">
        <v>0.2996</v>
      </c>
      <c r="P370" t="n">
        <v>2018</v>
      </c>
      <c r="Q370" t="inlineStr"/>
      <c r="R370" t="inlineStr"/>
      <c r="S370" t="n">
        <v>529.8294</v>
      </c>
      <c r="T370" t="n">
        <v>0.00091413</v>
      </c>
      <c r="U370" t="n">
        <v>0.00096913</v>
      </c>
    </row>
    <row r="371">
      <c r="A371" t="inlineStr">
        <is>
          <t>SUP-0037</t>
        </is>
      </c>
      <c r="B371" t="inlineStr">
        <is>
          <t>Agriculture Supplier 037</t>
        </is>
      </c>
      <c r="C371" t="inlineStr">
        <is>
          <t>Agriculture</t>
        </is>
      </c>
      <c r="D371" t="n">
        <v>2024</v>
      </c>
      <c r="E371" t="n">
        <v>26483300.15</v>
      </c>
      <c r="F371" t="n">
        <v>57053590.24</v>
      </c>
      <c r="G371" t="n">
        <v>13051.2434</v>
      </c>
      <c r="H371" t="n">
        <v>13051.2434</v>
      </c>
      <c r="I371" t="n">
        <v>3284.9472</v>
      </c>
      <c r="J371" t="n">
        <v>1144.4694</v>
      </c>
      <c r="K371" t="n">
        <v>9280.322700000001</v>
      </c>
      <c r="L371" t="n">
        <v>2019</v>
      </c>
      <c r="M371" t="n">
        <v>2035</v>
      </c>
      <c r="N371" t="n">
        <v>0.5499000000000001</v>
      </c>
      <c r="O371" t="n">
        <v>0.2996</v>
      </c>
      <c r="P371" t="n">
        <v>2018</v>
      </c>
      <c r="Q371" t="inlineStr"/>
      <c r="R371" t="inlineStr"/>
      <c r="S371" t="n">
        <v>529.8294</v>
      </c>
      <c r="T371" t="n">
        <v>0.00091413</v>
      </c>
      <c r="U371" t="n">
        <v>0.00096913</v>
      </c>
    </row>
    <row r="372">
      <c r="A372" t="inlineStr">
        <is>
          <t>SUP-0038</t>
        </is>
      </c>
      <c r="B372" t="inlineStr">
        <is>
          <t>Agriculture Supplier 038</t>
        </is>
      </c>
      <c r="C372" t="inlineStr">
        <is>
          <t>Agriculture</t>
        </is>
      </c>
      <c r="D372" t="n">
        <v>2015</v>
      </c>
      <c r="E372" t="n">
        <v>14805212.08</v>
      </c>
      <c r="F372" t="n">
        <v>43650389.3</v>
      </c>
      <c r="G372" t="n">
        <v>22876.7359</v>
      </c>
      <c r="H372" t="n">
        <v>22876.7359</v>
      </c>
      <c r="I372" t="n">
        <v>4009.5025</v>
      </c>
      <c r="J372" t="n">
        <v>1612.1863</v>
      </c>
      <c r="K372" t="n">
        <v>16396.6582</v>
      </c>
      <c r="L372" t="n">
        <v>2020</v>
      </c>
      <c r="M372" t="n">
        <v>2040</v>
      </c>
      <c r="N372" t="n">
        <v>0.6816</v>
      </c>
      <c r="O372" t="n">
        <v>0.3985</v>
      </c>
      <c r="P372" t="n">
        <v>2018</v>
      </c>
      <c r="Q372" t="inlineStr"/>
      <c r="R372" t="inlineStr"/>
      <c r="S372" t="n">
        <v>529.8294</v>
      </c>
      <c r="T372" t="n">
        <v>0.00091413</v>
      </c>
      <c r="U372" t="n">
        <v>0.00096913</v>
      </c>
    </row>
    <row r="373">
      <c r="A373" t="inlineStr">
        <is>
          <t>SUP-0038</t>
        </is>
      </c>
      <c r="B373" t="inlineStr">
        <is>
          <t>Agriculture Supplier 038</t>
        </is>
      </c>
      <c r="C373" t="inlineStr">
        <is>
          <t>Agriculture</t>
        </is>
      </c>
      <c r="D373" t="n">
        <v>2016</v>
      </c>
      <c r="E373" t="n">
        <v>14556064.61</v>
      </c>
      <c r="F373" t="n">
        <v>47065155.38</v>
      </c>
      <c r="G373" t="n">
        <v>18967.999</v>
      </c>
      <c r="H373" t="n">
        <v>18967.999</v>
      </c>
      <c r="I373" t="n">
        <v>3818.1455</v>
      </c>
      <c r="J373" t="n">
        <v>3946.1347</v>
      </c>
      <c r="K373" t="n">
        <v>10654.0138</v>
      </c>
      <c r="L373" t="n">
        <v>2020</v>
      </c>
      <c r="M373" t="n">
        <v>2040</v>
      </c>
      <c r="N373" t="n">
        <v>0.6816</v>
      </c>
      <c r="O373" t="n">
        <v>0.3985</v>
      </c>
      <c r="P373" t="n">
        <v>2018</v>
      </c>
      <c r="Q373" t="inlineStr"/>
      <c r="R373" t="inlineStr"/>
      <c r="S373" t="n">
        <v>529.8294</v>
      </c>
      <c r="T373" t="n">
        <v>0.00091413</v>
      </c>
      <c r="U373" t="n">
        <v>0.00096913</v>
      </c>
    </row>
    <row r="374">
      <c r="A374" t="inlineStr">
        <is>
          <t>SUP-0038</t>
        </is>
      </c>
      <c r="B374" t="inlineStr">
        <is>
          <t>Agriculture Supplier 038</t>
        </is>
      </c>
      <c r="C374" t="inlineStr">
        <is>
          <t>Agriculture</t>
        </is>
      </c>
      <c r="D374" t="n">
        <v>2017</v>
      </c>
      <c r="E374" t="n">
        <v>16152451.03</v>
      </c>
      <c r="F374" t="n">
        <v>41968027.5</v>
      </c>
      <c r="G374" t="n">
        <v>17865.2611</v>
      </c>
      <c r="H374" t="n">
        <v>17865.2611</v>
      </c>
      <c r="I374" t="n">
        <v>2482.0328</v>
      </c>
      <c r="J374" t="n">
        <v>2155.3696</v>
      </c>
      <c r="K374" t="n">
        <v>12085.4284</v>
      </c>
      <c r="L374" t="n">
        <v>2020</v>
      </c>
      <c r="M374" t="n">
        <v>2040</v>
      </c>
      <c r="N374" t="n">
        <v>0.6816</v>
      </c>
      <c r="O374" t="n">
        <v>0.3985</v>
      </c>
      <c r="P374" t="n">
        <v>2018</v>
      </c>
      <c r="Q374" t="inlineStr"/>
      <c r="R374" t="inlineStr"/>
      <c r="S374" t="n">
        <v>529.8294</v>
      </c>
      <c r="T374" t="n">
        <v>0.00091413</v>
      </c>
      <c r="U374" t="n">
        <v>0.00096913</v>
      </c>
    </row>
    <row r="375">
      <c r="A375" t="inlineStr">
        <is>
          <t>SUP-0038</t>
        </is>
      </c>
      <c r="B375" t="inlineStr">
        <is>
          <t>Agriculture Supplier 038</t>
        </is>
      </c>
      <c r="C375" t="inlineStr">
        <is>
          <t>Agriculture</t>
        </is>
      </c>
      <c r="D375" t="n">
        <v>2018</v>
      </c>
      <c r="E375" t="n">
        <v>12343138.76</v>
      </c>
      <c r="F375" t="n">
        <v>50074962.88</v>
      </c>
      <c r="G375" t="n">
        <v>11879.9428</v>
      </c>
      <c r="H375" t="n">
        <v>11879.9428</v>
      </c>
      <c r="I375" t="n">
        <v>1308.9805</v>
      </c>
      <c r="J375" t="n">
        <v>2720.1646</v>
      </c>
      <c r="K375" t="n">
        <v>8168.2955</v>
      </c>
      <c r="L375" t="n">
        <v>2020</v>
      </c>
      <c r="M375" t="n">
        <v>2040</v>
      </c>
      <c r="N375" t="n">
        <v>0.6816</v>
      </c>
      <c r="O375" t="n">
        <v>0.3985</v>
      </c>
      <c r="P375" t="n">
        <v>2018</v>
      </c>
      <c r="Q375" t="inlineStr"/>
      <c r="R375" t="inlineStr"/>
      <c r="S375" t="n">
        <v>529.8294</v>
      </c>
      <c r="T375" t="n">
        <v>0.00091413</v>
      </c>
      <c r="U375" t="n">
        <v>0.00096913</v>
      </c>
    </row>
    <row r="376">
      <c r="A376" t="inlineStr">
        <is>
          <t>SUP-0038</t>
        </is>
      </c>
      <c r="B376" t="inlineStr">
        <is>
          <t>Agriculture Supplier 038</t>
        </is>
      </c>
      <c r="C376" t="inlineStr">
        <is>
          <t>Agriculture</t>
        </is>
      </c>
      <c r="D376" t="n">
        <v>2019</v>
      </c>
      <c r="E376" t="n">
        <v>13573368.1</v>
      </c>
      <c r="F376" t="n">
        <v>47407340.83</v>
      </c>
      <c r="G376" t="n">
        <v>18076.5701</v>
      </c>
      <c r="H376" t="n">
        <v>18076.5701</v>
      </c>
      <c r="I376" t="n">
        <v>3185.1768</v>
      </c>
      <c r="J376" t="n">
        <v>2658.9788</v>
      </c>
      <c r="K376" t="n">
        <v>12535.1354</v>
      </c>
      <c r="L376" t="n">
        <v>2020</v>
      </c>
      <c r="M376" t="n">
        <v>2040</v>
      </c>
      <c r="N376" t="n">
        <v>0.6816</v>
      </c>
      <c r="O376" t="n">
        <v>0.3985</v>
      </c>
      <c r="P376" t="n">
        <v>2018</v>
      </c>
      <c r="Q376" t="inlineStr"/>
      <c r="R376" t="inlineStr"/>
      <c r="S376" t="n">
        <v>529.8294</v>
      </c>
      <c r="T376" t="n">
        <v>0.00091413</v>
      </c>
      <c r="U376" t="n">
        <v>0.00096913</v>
      </c>
    </row>
    <row r="377">
      <c r="A377" t="inlineStr">
        <is>
          <t>SUP-0038</t>
        </is>
      </c>
      <c r="B377" t="inlineStr">
        <is>
          <t>Agriculture Supplier 038</t>
        </is>
      </c>
      <c r="C377" t="inlineStr">
        <is>
          <t>Agriculture</t>
        </is>
      </c>
      <c r="D377" t="n">
        <v>2020</v>
      </c>
      <c r="E377" t="n">
        <v>12559955.47</v>
      </c>
      <c r="F377" t="n">
        <v>40375714.69</v>
      </c>
      <c r="G377" t="n">
        <v>13839.7149</v>
      </c>
      <c r="H377" t="n">
        <v>13839.7149</v>
      </c>
      <c r="I377" t="n">
        <v>1848.357</v>
      </c>
      <c r="J377" t="n">
        <v>1860.1332</v>
      </c>
      <c r="K377" t="n">
        <v>10509.9595</v>
      </c>
      <c r="L377" t="n">
        <v>2020</v>
      </c>
      <c r="M377" t="n">
        <v>2040</v>
      </c>
      <c r="N377" t="n">
        <v>0.6816</v>
      </c>
      <c r="O377" t="n">
        <v>0.3985</v>
      </c>
      <c r="P377" t="n">
        <v>2018</v>
      </c>
      <c r="Q377" t="inlineStr"/>
      <c r="R377" t="inlineStr"/>
      <c r="S377" t="n">
        <v>529.8294</v>
      </c>
      <c r="T377" t="n">
        <v>0.00091413</v>
      </c>
      <c r="U377" t="n">
        <v>0.00096913</v>
      </c>
    </row>
    <row r="378">
      <c r="A378" t="inlineStr">
        <is>
          <t>SUP-0038</t>
        </is>
      </c>
      <c r="B378" t="inlineStr">
        <is>
          <t>Agriculture Supplier 038</t>
        </is>
      </c>
      <c r="C378" t="inlineStr">
        <is>
          <t>Agriculture</t>
        </is>
      </c>
      <c r="D378" t="n">
        <v>2021</v>
      </c>
      <c r="E378" t="n">
        <v>14562351.39</v>
      </c>
      <c r="F378" t="n">
        <v>54781787.14</v>
      </c>
      <c r="G378" t="n">
        <v>19234.0241</v>
      </c>
      <c r="H378" t="n">
        <v>19234.0241</v>
      </c>
      <c r="I378" t="n">
        <v>2444.2313</v>
      </c>
      <c r="J378" t="n">
        <v>1177.2597</v>
      </c>
      <c r="K378" t="n">
        <v>16645.5067</v>
      </c>
      <c r="L378" t="n">
        <v>2020</v>
      </c>
      <c r="M378" t="n">
        <v>2040</v>
      </c>
      <c r="N378" t="n">
        <v>0.6816</v>
      </c>
      <c r="O378" t="n">
        <v>0.3985</v>
      </c>
      <c r="P378" t="n">
        <v>2018</v>
      </c>
      <c r="Q378" t="inlineStr"/>
      <c r="R378" t="inlineStr"/>
      <c r="S378" t="n">
        <v>529.8294</v>
      </c>
      <c r="T378" t="n">
        <v>0.00091413</v>
      </c>
      <c r="U378" t="n">
        <v>0.00096913</v>
      </c>
    </row>
    <row r="379">
      <c r="A379" t="inlineStr">
        <is>
          <t>SUP-0038</t>
        </is>
      </c>
      <c r="B379" t="inlineStr">
        <is>
          <t>Agriculture Supplier 038</t>
        </is>
      </c>
      <c r="C379" t="inlineStr">
        <is>
          <t>Agriculture</t>
        </is>
      </c>
      <c r="D379" t="n">
        <v>2022</v>
      </c>
      <c r="E379" t="n">
        <v>14570276.25</v>
      </c>
      <c r="F379" t="n">
        <v>50887522.7</v>
      </c>
      <c r="G379" t="n">
        <v>12777.9916</v>
      </c>
      <c r="H379" t="n">
        <v>12777.9916</v>
      </c>
      <c r="I379" t="n">
        <v>3164.9433</v>
      </c>
      <c r="J379" t="n">
        <v>2201.0522</v>
      </c>
      <c r="K379" t="n">
        <v>7417.6339</v>
      </c>
      <c r="L379" t="n">
        <v>2020</v>
      </c>
      <c r="M379" t="n">
        <v>2040</v>
      </c>
      <c r="N379" t="n">
        <v>0.6816</v>
      </c>
      <c r="O379" t="n">
        <v>0.3985</v>
      </c>
      <c r="P379" t="n">
        <v>2018</v>
      </c>
      <c r="Q379" t="inlineStr"/>
      <c r="R379" t="inlineStr"/>
      <c r="S379" t="n">
        <v>529.8294</v>
      </c>
      <c r="T379" t="n">
        <v>0.00091413</v>
      </c>
      <c r="U379" t="n">
        <v>0.00096913</v>
      </c>
    </row>
    <row r="380">
      <c r="A380" t="inlineStr">
        <is>
          <t>SUP-0038</t>
        </is>
      </c>
      <c r="B380" t="inlineStr">
        <is>
          <t>Agriculture Supplier 038</t>
        </is>
      </c>
      <c r="C380" t="inlineStr">
        <is>
          <t>Agriculture</t>
        </is>
      </c>
      <c r="D380" t="n">
        <v>2023</v>
      </c>
      <c r="E380" t="n">
        <v>14350857.76</v>
      </c>
      <c r="F380" t="n">
        <v>37362785.44</v>
      </c>
      <c r="G380" t="n">
        <v>15025.2831</v>
      </c>
      <c r="H380" t="n">
        <v>15025.2831</v>
      </c>
      <c r="I380" t="n">
        <v>4021.3266</v>
      </c>
      <c r="J380" t="n">
        <v>1954.4517</v>
      </c>
      <c r="K380" t="n">
        <v>8918.0563</v>
      </c>
      <c r="L380" t="n">
        <v>2020</v>
      </c>
      <c r="M380" t="n">
        <v>2040</v>
      </c>
      <c r="N380" t="n">
        <v>0.6816</v>
      </c>
      <c r="O380" t="n">
        <v>0.3985</v>
      </c>
      <c r="P380" t="n">
        <v>2018</v>
      </c>
      <c r="Q380" t="inlineStr"/>
      <c r="R380" t="inlineStr"/>
      <c r="S380" t="n">
        <v>529.8294</v>
      </c>
      <c r="T380" t="n">
        <v>0.00091413</v>
      </c>
      <c r="U380" t="n">
        <v>0.00096913</v>
      </c>
    </row>
    <row r="381">
      <c r="A381" t="inlineStr">
        <is>
          <t>SUP-0038</t>
        </is>
      </c>
      <c r="B381" t="inlineStr">
        <is>
          <t>Agriculture Supplier 038</t>
        </is>
      </c>
      <c r="C381" t="inlineStr">
        <is>
          <t>Agriculture</t>
        </is>
      </c>
      <c r="D381" t="n">
        <v>2024</v>
      </c>
      <c r="E381" t="n">
        <v>13831452.9</v>
      </c>
      <c r="F381" t="n">
        <v>33834276.85</v>
      </c>
      <c r="G381" t="n">
        <v>16071.1844</v>
      </c>
      <c r="H381" t="n">
        <v>16071.1844</v>
      </c>
      <c r="I381" t="n">
        <v>2142.4139</v>
      </c>
      <c r="J381" t="n">
        <v>2355.7957</v>
      </c>
      <c r="K381" t="n">
        <v>10997.5378</v>
      </c>
      <c r="L381" t="n">
        <v>2020</v>
      </c>
      <c r="M381" t="n">
        <v>2040</v>
      </c>
      <c r="N381" t="n">
        <v>0.6816</v>
      </c>
      <c r="O381" t="n">
        <v>0.3985</v>
      </c>
      <c r="P381" t="n">
        <v>2018</v>
      </c>
      <c r="Q381" t="inlineStr"/>
      <c r="R381" t="inlineStr"/>
      <c r="S381" t="n">
        <v>529.8294</v>
      </c>
      <c r="T381" t="n">
        <v>0.00091413</v>
      </c>
      <c r="U381" t="n">
        <v>0.00096913</v>
      </c>
    </row>
    <row r="382">
      <c r="A382" t="inlineStr">
        <is>
          <t>SUP-0039</t>
        </is>
      </c>
      <c r="B382" t="inlineStr">
        <is>
          <t>Electronics Supplier 039</t>
        </is>
      </c>
      <c r="C382" t="inlineStr">
        <is>
          <t>Electronics</t>
        </is>
      </c>
      <c r="D382" t="n">
        <v>2015</v>
      </c>
      <c r="E382" t="n">
        <v>22650957.54</v>
      </c>
      <c r="F382" t="n">
        <v>184179008.14</v>
      </c>
      <c r="G382" t="n">
        <v>14435.294</v>
      </c>
      <c r="H382" t="n">
        <v>14435.294</v>
      </c>
      <c r="I382" t="n">
        <v>2403.3883</v>
      </c>
      <c r="J382" t="n">
        <v>1418.1893</v>
      </c>
      <c r="K382" t="n">
        <v>10054.5759</v>
      </c>
      <c r="L382" t="inlineStr"/>
      <c r="M382" t="inlineStr"/>
      <c r="N382" t="inlineStr"/>
      <c r="O382" t="inlineStr"/>
      <c r="P382" t="n">
        <v>2018</v>
      </c>
      <c r="Q382" t="n">
        <v>2040</v>
      </c>
      <c r="R382" t="n">
        <v>0.3424</v>
      </c>
      <c r="S382" t="n">
        <v>635.1588</v>
      </c>
      <c r="T382" t="n">
        <v>0.00086105</v>
      </c>
      <c r="U382" t="n">
        <v>0.00013947</v>
      </c>
    </row>
    <row r="383">
      <c r="A383" t="inlineStr">
        <is>
          <t>SUP-0039</t>
        </is>
      </c>
      <c r="B383" t="inlineStr">
        <is>
          <t>Electronics Supplier 039</t>
        </is>
      </c>
      <c r="C383" t="inlineStr">
        <is>
          <t>Electronics</t>
        </is>
      </c>
      <c r="D383" t="n">
        <v>2016</v>
      </c>
      <c r="E383" t="n">
        <v>25617368.06</v>
      </c>
      <c r="F383" t="n">
        <v>172986219.1</v>
      </c>
      <c r="G383" t="n">
        <v>16355.3013</v>
      </c>
      <c r="H383" t="n">
        <v>16355.3013</v>
      </c>
      <c r="I383" t="n">
        <v>4026.2406</v>
      </c>
      <c r="J383" t="n">
        <v>1991.5224</v>
      </c>
      <c r="K383" t="n">
        <v>9372.720600000001</v>
      </c>
      <c r="L383" t="inlineStr"/>
      <c r="M383" t="inlineStr"/>
      <c r="N383" t="inlineStr"/>
      <c r="O383" t="inlineStr"/>
      <c r="P383" t="n">
        <v>2018</v>
      </c>
      <c r="Q383" t="n">
        <v>2040</v>
      </c>
      <c r="R383" t="n">
        <v>0.3424</v>
      </c>
      <c r="S383" t="n">
        <v>635.1588</v>
      </c>
      <c r="T383" t="n">
        <v>0.00086105</v>
      </c>
      <c r="U383" t="n">
        <v>0.00013947</v>
      </c>
    </row>
    <row r="384">
      <c r="A384" t="inlineStr">
        <is>
          <t>SUP-0039</t>
        </is>
      </c>
      <c r="B384" t="inlineStr">
        <is>
          <t>Electronics Supplier 039</t>
        </is>
      </c>
      <c r="C384" t="inlineStr">
        <is>
          <t>Electronics</t>
        </is>
      </c>
      <c r="D384" t="n">
        <v>2017</v>
      </c>
      <c r="E384" t="n">
        <v>24068630.98</v>
      </c>
      <c r="F384" t="n">
        <v>205583351</v>
      </c>
      <c r="G384" t="n">
        <v>14583.1756</v>
      </c>
      <c r="H384" t="n">
        <v>14583.1756</v>
      </c>
      <c r="I384" t="n">
        <v>3922.5515</v>
      </c>
      <c r="J384" t="n">
        <v>2318.3639</v>
      </c>
      <c r="K384" t="n">
        <v>8766.191800000001</v>
      </c>
      <c r="L384" t="inlineStr"/>
      <c r="M384" t="inlineStr"/>
      <c r="N384" t="inlineStr"/>
      <c r="O384" t="inlineStr"/>
      <c r="P384" t="n">
        <v>2018</v>
      </c>
      <c r="Q384" t="n">
        <v>2040</v>
      </c>
      <c r="R384" t="n">
        <v>0.3424</v>
      </c>
      <c r="S384" t="n">
        <v>635.1588</v>
      </c>
      <c r="T384" t="n">
        <v>0.00086105</v>
      </c>
      <c r="U384" t="n">
        <v>0.00013947</v>
      </c>
    </row>
    <row r="385">
      <c r="A385" t="inlineStr">
        <is>
          <t>SUP-0039</t>
        </is>
      </c>
      <c r="B385" t="inlineStr">
        <is>
          <t>Electronics Supplier 039</t>
        </is>
      </c>
      <c r="C385" t="inlineStr">
        <is>
          <t>Electronics</t>
        </is>
      </c>
      <c r="D385" t="n">
        <v>2018</v>
      </c>
      <c r="E385" t="n">
        <v>27320540.01</v>
      </c>
      <c r="F385" t="n">
        <v>199240719.61</v>
      </c>
      <c r="G385" t="n">
        <v>15897.3007</v>
      </c>
      <c r="H385" t="n">
        <v>15897.3007</v>
      </c>
      <c r="I385" t="n">
        <v>2879.5923</v>
      </c>
      <c r="J385" t="n">
        <v>1035.1758</v>
      </c>
      <c r="K385" t="n">
        <v>10725.5987</v>
      </c>
      <c r="L385" t="inlineStr"/>
      <c r="M385" t="inlineStr"/>
      <c r="N385" t="inlineStr"/>
      <c r="O385" t="inlineStr"/>
      <c r="P385" t="n">
        <v>2018</v>
      </c>
      <c r="Q385" t="n">
        <v>2040</v>
      </c>
      <c r="R385" t="n">
        <v>0.3424</v>
      </c>
      <c r="S385" t="n">
        <v>635.1588</v>
      </c>
      <c r="T385" t="n">
        <v>0.00086105</v>
      </c>
      <c r="U385" t="n">
        <v>0.00013947</v>
      </c>
    </row>
    <row r="386">
      <c r="A386" t="inlineStr">
        <is>
          <t>SUP-0039</t>
        </is>
      </c>
      <c r="B386" t="inlineStr">
        <is>
          <t>Electronics Supplier 039</t>
        </is>
      </c>
      <c r="C386" t="inlineStr">
        <is>
          <t>Electronics</t>
        </is>
      </c>
      <c r="D386" t="n">
        <v>2019</v>
      </c>
      <c r="E386" t="n">
        <v>26276313.59</v>
      </c>
      <c r="F386" t="n">
        <v>197886759.44</v>
      </c>
      <c r="G386" t="n">
        <v>15946.8821</v>
      </c>
      <c r="H386" t="n">
        <v>15946.8821</v>
      </c>
      <c r="I386" t="n">
        <v>2200.6736</v>
      </c>
      <c r="J386" t="n">
        <v>3340.5853</v>
      </c>
      <c r="K386" t="n">
        <v>10303.653</v>
      </c>
      <c r="L386" t="inlineStr"/>
      <c r="M386" t="inlineStr"/>
      <c r="N386" t="inlineStr"/>
      <c r="O386" t="inlineStr"/>
      <c r="P386" t="n">
        <v>2018</v>
      </c>
      <c r="Q386" t="n">
        <v>2040</v>
      </c>
      <c r="R386" t="n">
        <v>0.3424</v>
      </c>
      <c r="S386" t="n">
        <v>635.1588</v>
      </c>
      <c r="T386" t="n">
        <v>0.00086105</v>
      </c>
      <c r="U386" t="n">
        <v>0.00013947</v>
      </c>
    </row>
    <row r="387">
      <c r="A387" t="inlineStr">
        <is>
          <t>SUP-0039</t>
        </is>
      </c>
      <c r="B387" t="inlineStr">
        <is>
          <t>Electronics Supplier 039</t>
        </is>
      </c>
      <c r="C387" t="inlineStr">
        <is>
          <t>Electronics</t>
        </is>
      </c>
      <c r="D387" t="n">
        <v>2020</v>
      </c>
      <c r="E387" t="n">
        <v>31447738.13</v>
      </c>
      <c r="F387" t="n">
        <v>273596282.03</v>
      </c>
      <c r="G387" t="n">
        <v>15049.2047</v>
      </c>
      <c r="H387" t="n">
        <v>15049.2047</v>
      </c>
      <c r="I387" t="n">
        <v>2156.2719</v>
      </c>
      <c r="J387" t="n">
        <v>1111.5808</v>
      </c>
      <c r="K387" t="n">
        <v>12033.9607</v>
      </c>
      <c r="L387" t="inlineStr"/>
      <c r="M387" t="inlineStr"/>
      <c r="N387" t="inlineStr"/>
      <c r="O387" t="inlineStr"/>
      <c r="P387" t="n">
        <v>2018</v>
      </c>
      <c r="Q387" t="n">
        <v>2040</v>
      </c>
      <c r="R387" t="n">
        <v>0.3424</v>
      </c>
      <c r="S387" t="n">
        <v>635.1588</v>
      </c>
      <c r="T387" t="n">
        <v>0.00086105</v>
      </c>
      <c r="U387" t="n">
        <v>0.00013947</v>
      </c>
    </row>
    <row r="388">
      <c r="A388" t="inlineStr">
        <is>
          <t>SUP-0039</t>
        </is>
      </c>
      <c r="B388" t="inlineStr">
        <is>
          <t>Electronics Supplier 039</t>
        </is>
      </c>
      <c r="C388" t="inlineStr">
        <is>
          <t>Electronics</t>
        </is>
      </c>
      <c r="D388" t="n">
        <v>2021</v>
      </c>
      <c r="E388" t="n">
        <v>28311716.4</v>
      </c>
      <c r="F388" t="n">
        <v>230571342.34</v>
      </c>
      <c r="G388" t="n">
        <v>11094.521</v>
      </c>
      <c r="H388" t="n">
        <v>11094.521</v>
      </c>
      <c r="I388" t="n">
        <v>1979.1161</v>
      </c>
      <c r="J388" t="n">
        <v>2321.1854</v>
      </c>
      <c r="K388" t="n">
        <v>7321.18</v>
      </c>
      <c r="L388" t="inlineStr"/>
      <c r="M388" t="inlineStr"/>
      <c r="N388" t="inlineStr"/>
      <c r="O388" t="inlineStr"/>
      <c r="P388" t="n">
        <v>2018</v>
      </c>
      <c r="Q388" t="n">
        <v>2040</v>
      </c>
      <c r="R388" t="n">
        <v>0.3424</v>
      </c>
      <c r="S388" t="n">
        <v>635.1588</v>
      </c>
      <c r="T388" t="n">
        <v>0.00086105</v>
      </c>
      <c r="U388" t="n">
        <v>0.00013947</v>
      </c>
    </row>
    <row r="389">
      <c r="A389" t="inlineStr">
        <is>
          <t>SUP-0039</t>
        </is>
      </c>
      <c r="B389" t="inlineStr">
        <is>
          <t>Electronics Supplier 039</t>
        </is>
      </c>
      <c r="C389" t="inlineStr">
        <is>
          <t>Electronics</t>
        </is>
      </c>
      <c r="D389" t="n">
        <v>2022</v>
      </c>
      <c r="E389" t="n">
        <v>33119650.09</v>
      </c>
      <c r="F389" t="n">
        <v>288421301.75</v>
      </c>
      <c r="G389" t="n">
        <v>13987.645</v>
      </c>
      <c r="H389" t="n">
        <v>13987.645</v>
      </c>
      <c r="I389" t="n">
        <v>2453.8536</v>
      </c>
      <c r="J389" t="n">
        <v>1738.5436</v>
      </c>
      <c r="K389" t="n">
        <v>8999.0386</v>
      </c>
      <c r="L389" t="inlineStr"/>
      <c r="M389" t="inlineStr"/>
      <c r="N389" t="inlineStr"/>
      <c r="O389" t="inlineStr"/>
      <c r="P389" t="n">
        <v>2018</v>
      </c>
      <c r="Q389" t="n">
        <v>2040</v>
      </c>
      <c r="R389" t="n">
        <v>0.3424</v>
      </c>
      <c r="S389" t="n">
        <v>635.1588</v>
      </c>
      <c r="T389" t="n">
        <v>0.00086105</v>
      </c>
      <c r="U389" t="n">
        <v>0.00013947</v>
      </c>
    </row>
    <row r="390">
      <c r="A390" t="inlineStr">
        <is>
          <t>SUP-0039</t>
        </is>
      </c>
      <c r="B390" t="inlineStr">
        <is>
          <t>Electronics Supplier 039</t>
        </is>
      </c>
      <c r="C390" t="inlineStr">
        <is>
          <t>Electronics</t>
        </is>
      </c>
      <c r="D390" t="n">
        <v>2023</v>
      </c>
      <c r="E390" t="n">
        <v>33938557.54</v>
      </c>
      <c r="F390" t="n">
        <v>299261997.25</v>
      </c>
      <c r="G390" t="n">
        <v>14383.9625</v>
      </c>
      <c r="H390" t="n">
        <v>14383.9625</v>
      </c>
      <c r="I390" t="n">
        <v>2424.848</v>
      </c>
      <c r="J390" t="n">
        <v>864.5204</v>
      </c>
      <c r="K390" t="n">
        <v>10685.8285</v>
      </c>
      <c r="L390" t="inlineStr"/>
      <c r="M390" t="inlineStr"/>
      <c r="N390" t="inlineStr"/>
      <c r="O390" t="inlineStr"/>
      <c r="P390" t="n">
        <v>2018</v>
      </c>
      <c r="Q390" t="n">
        <v>2040</v>
      </c>
      <c r="R390" t="n">
        <v>0.3424</v>
      </c>
      <c r="S390" t="n">
        <v>635.1588</v>
      </c>
      <c r="T390" t="n">
        <v>0.00086105</v>
      </c>
      <c r="U390" t="n">
        <v>0.00013947</v>
      </c>
    </row>
    <row r="391">
      <c r="A391" t="inlineStr">
        <is>
          <t>SUP-0039</t>
        </is>
      </c>
      <c r="B391" t="inlineStr">
        <is>
          <t>Electronics Supplier 039</t>
        </is>
      </c>
      <c r="C391" t="inlineStr">
        <is>
          <t>Electronics</t>
        </is>
      </c>
      <c r="D391" t="n">
        <v>2024</v>
      </c>
      <c r="E391" t="n">
        <v>35278962.72</v>
      </c>
      <c r="F391" t="n">
        <v>405077060.74</v>
      </c>
      <c r="G391" t="n">
        <v>16018.6447</v>
      </c>
      <c r="H391" t="n">
        <v>16018.6447</v>
      </c>
      <c r="I391" t="n">
        <v>3392.6745</v>
      </c>
      <c r="J391" t="n">
        <v>3419.1994</v>
      </c>
      <c r="K391" t="n">
        <v>8856.776900000001</v>
      </c>
      <c r="L391" t="inlineStr"/>
      <c r="M391" t="inlineStr"/>
      <c r="N391" t="inlineStr"/>
      <c r="O391" t="inlineStr"/>
      <c r="P391" t="n">
        <v>2018</v>
      </c>
      <c r="Q391" t="n">
        <v>2040</v>
      </c>
      <c r="R391" t="n">
        <v>0.3424</v>
      </c>
      <c r="S391" t="n">
        <v>635.1588</v>
      </c>
      <c r="T391" t="n">
        <v>0.00086105</v>
      </c>
      <c r="U391" t="n">
        <v>0.00013947</v>
      </c>
    </row>
    <row r="392">
      <c r="A392" t="inlineStr">
        <is>
          <t>SUP-0040</t>
        </is>
      </c>
      <c r="B392" t="inlineStr">
        <is>
          <t>Chemicals Supplier 040</t>
        </is>
      </c>
      <c r="C392" t="inlineStr">
        <is>
          <t>Chemicals</t>
        </is>
      </c>
      <c r="D392" t="n">
        <v>2015</v>
      </c>
      <c r="E392" t="n">
        <v>11424841.09</v>
      </c>
      <c r="F392" t="n">
        <v>14458845.2</v>
      </c>
      <c r="G392" t="n">
        <v>11264.6652</v>
      </c>
      <c r="H392" t="n">
        <v>11264.6652</v>
      </c>
      <c r="I392" t="n">
        <v>2698.7832</v>
      </c>
      <c r="J392" t="n">
        <v>1512.3675</v>
      </c>
      <c r="K392" t="n">
        <v>7420.4093</v>
      </c>
      <c r="L392" t="n">
        <v>2021</v>
      </c>
      <c r="M392" t="n">
        <v>2030</v>
      </c>
      <c r="N392" t="n">
        <v>0.5251</v>
      </c>
      <c r="O392" t="n">
        <v>0.198</v>
      </c>
      <c r="P392" t="n">
        <v>2019</v>
      </c>
      <c r="Q392" t="n">
        <v>2035</v>
      </c>
      <c r="R392" t="n">
        <v>0.5229</v>
      </c>
      <c r="S392" t="n">
        <v>506.3191</v>
      </c>
      <c r="T392" t="n">
        <v>0.00100149</v>
      </c>
      <c r="U392" t="n">
        <v>0.00047124</v>
      </c>
    </row>
    <row r="393">
      <c r="A393" t="inlineStr">
        <is>
          <t>SUP-0040</t>
        </is>
      </c>
      <c r="B393" t="inlineStr">
        <is>
          <t>Chemicals Supplier 040</t>
        </is>
      </c>
      <c r="C393" t="inlineStr">
        <is>
          <t>Chemicals</t>
        </is>
      </c>
      <c r="D393" t="n">
        <v>2016</v>
      </c>
      <c r="E393" t="n">
        <v>13190016.41</v>
      </c>
      <c r="F393" t="n">
        <v>16231509.7</v>
      </c>
      <c r="G393" t="n">
        <v>13241.8661</v>
      </c>
      <c r="H393" t="n">
        <v>13241.8661</v>
      </c>
      <c r="I393" t="n">
        <v>2464.3975</v>
      </c>
      <c r="J393" t="n">
        <v>1831.6121</v>
      </c>
      <c r="K393" t="n">
        <v>8606.4121</v>
      </c>
      <c r="L393" t="n">
        <v>2021</v>
      </c>
      <c r="M393" t="n">
        <v>2030</v>
      </c>
      <c r="N393" t="n">
        <v>0.5251</v>
      </c>
      <c r="O393" t="n">
        <v>0.198</v>
      </c>
      <c r="P393" t="n">
        <v>2019</v>
      </c>
      <c r="Q393" t="n">
        <v>2035</v>
      </c>
      <c r="R393" t="n">
        <v>0.5229</v>
      </c>
      <c r="S393" t="n">
        <v>506.3191</v>
      </c>
      <c r="T393" t="n">
        <v>0.00100149</v>
      </c>
      <c r="U393" t="n">
        <v>0.00047124</v>
      </c>
    </row>
    <row r="394">
      <c r="A394" t="inlineStr">
        <is>
          <t>SUP-0040</t>
        </is>
      </c>
      <c r="B394" t="inlineStr">
        <is>
          <t>Chemicals Supplier 040</t>
        </is>
      </c>
      <c r="C394" t="inlineStr">
        <is>
          <t>Chemicals</t>
        </is>
      </c>
      <c r="D394" t="n">
        <v>2017</v>
      </c>
      <c r="E394" t="n">
        <v>15787871.57</v>
      </c>
      <c r="F394" t="n">
        <v>19234824.66</v>
      </c>
      <c r="G394" t="n">
        <v>14987.5645</v>
      </c>
      <c r="H394" t="n">
        <v>14987.5645</v>
      </c>
      <c r="I394" t="n">
        <v>2829.9778</v>
      </c>
      <c r="J394" t="n">
        <v>2625.2758</v>
      </c>
      <c r="K394" t="n">
        <v>9523.513199999999</v>
      </c>
      <c r="L394" t="n">
        <v>2021</v>
      </c>
      <c r="M394" t="n">
        <v>2030</v>
      </c>
      <c r="N394" t="n">
        <v>0.5251</v>
      </c>
      <c r="O394" t="n">
        <v>0.198</v>
      </c>
      <c r="P394" t="n">
        <v>2019</v>
      </c>
      <c r="Q394" t="n">
        <v>2035</v>
      </c>
      <c r="R394" t="n">
        <v>0.5229</v>
      </c>
      <c r="S394" t="n">
        <v>506.3191</v>
      </c>
      <c r="T394" t="n">
        <v>0.00100149</v>
      </c>
      <c r="U394" t="n">
        <v>0.00047124</v>
      </c>
    </row>
    <row r="395">
      <c r="A395" t="inlineStr">
        <is>
          <t>SUP-0040</t>
        </is>
      </c>
      <c r="B395" t="inlineStr">
        <is>
          <t>Chemicals Supplier 040</t>
        </is>
      </c>
      <c r="C395" t="inlineStr">
        <is>
          <t>Chemicals</t>
        </is>
      </c>
      <c r="D395" t="n">
        <v>2018</v>
      </c>
      <c r="E395" t="n">
        <v>14746032.18</v>
      </c>
      <c r="F395" t="n">
        <v>21785847.7</v>
      </c>
      <c r="G395" t="n">
        <v>13528.4989</v>
      </c>
      <c r="H395" t="n">
        <v>13528.4989</v>
      </c>
      <c r="I395" t="n">
        <v>3332.1144</v>
      </c>
      <c r="J395" t="n">
        <v>1990.7531</v>
      </c>
      <c r="K395" t="n">
        <v>7999.6083</v>
      </c>
      <c r="L395" t="n">
        <v>2021</v>
      </c>
      <c r="M395" t="n">
        <v>2030</v>
      </c>
      <c r="N395" t="n">
        <v>0.5251</v>
      </c>
      <c r="O395" t="n">
        <v>0.198</v>
      </c>
      <c r="P395" t="n">
        <v>2019</v>
      </c>
      <c r="Q395" t="n">
        <v>2035</v>
      </c>
      <c r="R395" t="n">
        <v>0.5229</v>
      </c>
      <c r="S395" t="n">
        <v>506.3191</v>
      </c>
      <c r="T395" t="n">
        <v>0.00100149</v>
      </c>
      <c r="U395" t="n">
        <v>0.00047124</v>
      </c>
    </row>
    <row r="396">
      <c r="A396" t="inlineStr">
        <is>
          <t>SUP-0040</t>
        </is>
      </c>
      <c r="B396" t="inlineStr">
        <is>
          <t>Chemicals Supplier 040</t>
        </is>
      </c>
      <c r="C396" t="inlineStr">
        <is>
          <t>Chemicals</t>
        </is>
      </c>
      <c r="D396" t="n">
        <v>2019</v>
      </c>
      <c r="E396" t="n">
        <v>17490787.51</v>
      </c>
      <c r="F396" t="n">
        <v>22700073.16</v>
      </c>
      <c r="G396" t="n">
        <v>9662.1486</v>
      </c>
      <c r="H396" t="n">
        <v>9662.1486</v>
      </c>
      <c r="I396" t="n">
        <v>1076.8015</v>
      </c>
      <c r="J396" t="n">
        <v>1978.3181</v>
      </c>
      <c r="K396" t="n">
        <v>6964.0702</v>
      </c>
      <c r="L396" t="n">
        <v>2021</v>
      </c>
      <c r="M396" t="n">
        <v>2030</v>
      </c>
      <c r="N396" t="n">
        <v>0.5251</v>
      </c>
      <c r="O396" t="n">
        <v>0.198</v>
      </c>
      <c r="P396" t="n">
        <v>2019</v>
      </c>
      <c r="Q396" t="n">
        <v>2035</v>
      </c>
      <c r="R396" t="n">
        <v>0.5229</v>
      </c>
      <c r="S396" t="n">
        <v>506.3191</v>
      </c>
      <c r="T396" t="n">
        <v>0.00100149</v>
      </c>
      <c r="U396" t="n">
        <v>0.00047124</v>
      </c>
    </row>
    <row r="397">
      <c r="A397" t="inlineStr">
        <is>
          <t>SUP-0040</t>
        </is>
      </c>
      <c r="B397" t="inlineStr">
        <is>
          <t>Chemicals Supplier 040</t>
        </is>
      </c>
      <c r="C397" t="inlineStr">
        <is>
          <t>Chemicals</t>
        </is>
      </c>
      <c r="D397" t="n">
        <v>2020</v>
      </c>
      <c r="E397" t="n">
        <v>19026902.13</v>
      </c>
      <c r="F397" t="n">
        <v>22092739.25</v>
      </c>
      <c r="G397" t="n">
        <v>14936.3589</v>
      </c>
      <c r="H397" t="n">
        <v>14936.3589</v>
      </c>
      <c r="I397" t="n">
        <v>3380.917</v>
      </c>
      <c r="J397" t="n">
        <v>1406.0565</v>
      </c>
      <c r="K397" t="n">
        <v>10369.7662</v>
      </c>
      <c r="L397" t="n">
        <v>2021</v>
      </c>
      <c r="M397" t="n">
        <v>2030</v>
      </c>
      <c r="N397" t="n">
        <v>0.5251</v>
      </c>
      <c r="O397" t="n">
        <v>0.198</v>
      </c>
      <c r="P397" t="n">
        <v>2019</v>
      </c>
      <c r="Q397" t="n">
        <v>2035</v>
      </c>
      <c r="R397" t="n">
        <v>0.5229</v>
      </c>
      <c r="S397" t="n">
        <v>506.3191</v>
      </c>
      <c r="T397" t="n">
        <v>0.00100149</v>
      </c>
      <c r="U397" t="n">
        <v>0.00047124</v>
      </c>
    </row>
    <row r="398">
      <c r="A398" t="inlineStr">
        <is>
          <t>SUP-0040</t>
        </is>
      </c>
      <c r="B398" t="inlineStr">
        <is>
          <t>Chemicals Supplier 040</t>
        </is>
      </c>
      <c r="C398" t="inlineStr">
        <is>
          <t>Chemicals</t>
        </is>
      </c>
      <c r="D398" t="n">
        <v>2021</v>
      </c>
      <c r="E398" t="n">
        <v>21423382.26</v>
      </c>
      <c r="F398" t="n">
        <v>29552904.18</v>
      </c>
      <c r="G398" t="n">
        <v>17446.7882</v>
      </c>
      <c r="H398" t="n">
        <v>17446.7882</v>
      </c>
      <c r="I398" t="n">
        <v>2293.5919</v>
      </c>
      <c r="J398" t="n">
        <v>2372.2836</v>
      </c>
      <c r="K398" t="n">
        <v>12344.5689</v>
      </c>
      <c r="L398" t="n">
        <v>2021</v>
      </c>
      <c r="M398" t="n">
        <v>2030</v>
      </c>
      <c r="N398" t="n">
        <v>0.5251</v>
      </c>
      <c r="O398" t="n">
        <v>0.198</v>
      </c>
      <c r="P398" t="n">
        <v>2019</v>
      </c>
      <c r="Q398" t="n">
        <v>2035</v>
      </c>
      <c r="R398" t="n">
        <v>0.5229</v>
      </c>
      <c r="S398" t="n">
        <v>506.3191</v>
      </c>
      <c r="T398" t="n">
        <v>0.00100149</v>
      </c>
      <c r="U398" t="n">
        <v>0.00047124</v>
      </c>
    </row>
    <row r="399">
      <c r="A399" t="inlineStr">
        <is>
          <t>SUP-0040</t>
        </is>
      </c>
      <c r="B399" t="inlineStr">
        <is>
          <t>Chemicals Supplier 040</t>
        </is>
      </c>
      <c r="C399" t="inlineStr">
        <is>
          <t>Chemicals</t>
        </is>
      </c>
      <c r="D399" t="n">
        <v>2022</v>
      </c>
      <c r="E399" t="n">
        <v>19983519.06</v>
      </c>
      <c r="F399" t="n">
        <v>21165542.09</v>
      </c>
      <c r="G399" t="n">
        <v>17956.435</v>
      </c>
      <c r="H399" t="n">
        <v>17956.435</v>
      </c>
      <c r="I399" t="n">
        <v>3534.9444</v>
      </c>
      <c r="J399" t="n">
        <v>2430.6324</v>
      </c>
      <c r="K399" t="n">
        <v>11619.8125</v>
      </c>
      <c r="L399" t="n">
        <v>2021</v>
      </c>
      <c r="M399" t="n">
        <v>2030</v>
      </c>
      <c r="N399" t="n">
        <v>0.5251</v>
      </c>
      <c r="O399" t="n">
        <v>0.198</v>
      </c>
      <c r="P399" t="n">
        <v>2019</v>
      </c>
      <c r="Q399" t="n">
        <v>2035</v>
      </c>
      <c r="R399" t="n">
        <v>0.5229</v>
      </c>
      <c r="S399" t="n">
        <v>506.3191</v>
      </c>
      <c r="T399" t="n">
        <v>0.00100149</v>
      </c>
      <c r="U399" t="n">
        <v>0.00047124</v>
      </c>
    </row>
    <row r="400">
      <c r="A400" t="inlineStr">
        <is>
          <t>SUP-0040</t>
        </is>
      </c>
      <c r="B400" t="inlineStr">
        <is>
          <t>Chemicals Supplier 040</t>
        </is>
      </c>
      <c r="C400" t="inlineStr">
        <is>
          <t>Chemicals</t>
        </is>
      </c>
      <c r="D400" t="n">
        <v>2023</v>
      </c>
      <c r="E400" t="n">
        <v>21795603.47</v>
      </c>
      <c r="F400" t="n">
        <v>34126814.4</v>
      </c>
      <c r="G400" t="n">
        <v>17106.3288</v>
      </c>
      <c r="H400" t="n">
        <v>17106.3288</v>
      </c>
      <c r="I400" t="n">
        <v>2850.698</v>
      </c>
      <c r="J400" t="n">
        <v>1549.4607</v>
      </c>
      <c r="K400" t="n">
        <v>13746.1698</v>
      </c>
      <c r="L400" t="n">
        <v>2021</v>
      </c>
      <c r="M400" t="n">
        <v>2030</v>
      </c>
      <c r="N400" t="n">
        <v>0.5251</v>
      </c>
      <c r="O400" t="n">
        <v>0.198</v>
      </c>
      <c r="P400" t="n">
        <v>2019</v>
      </c>
      <c r="Q400" t="n">
        <v>2035</v>
      </c>
      <c r="R400" t="n">
        <v>0.5229</v>
      </c>
      <c r="S400" t="n">
        <v>506.3191</v>
      </c>
      <c r="T400" t="n">
        <v>0.00100149</v>
      </c>
      <c r="U400" t="n">
        <v>0.00047124</v>
      </c>
    </row>
    <row r="401">
      <c r="A401" t="inlineStr">
        <is>
          <t>SUP-0040</t>
        </is>
      </c>
      <c r="B401" t="inlineStr">
        <is>
          <t>Chemicals Supplier 040</t>
        </is>
      </c>
      <c r="C401" t="inlineStr">
        <is>
          <t>Chemicals</t>
        </is>
      </c>
      <c r="D401" t="n">
        <v>2024</v>
      </c>
      <c r="E401" t="n">
        <v>22590970.07</v>
      </c>
      <c r="F401" t="n">
        <v>47688275.49</v>
      </c>
      <c r="G401" t="n">
        <v>18835.0754</v>
      </c>
      <c r="H401" t="n">
        <v>18835.0754</v>
      </c>
      <c r="I401" t="n">
        <v>5073.7738</v>
      </c>
      <c r="J401" t="n">
        <v>1792.4488</v>
      </c>
      <c r="K401" t="n">
        <v>11346.0114</v>
      </c>
      <c r="L401" t="n">
        <v>2021</v>
      </c>
      <c r="M401" t="n">
        <v>2030</v>
      </c>
      <c r="N401" t="n">
        <v>0.5251</v>
      </c>
      <c r="O401" t="n">
        <v>0.198</v>
      </c>
      <c r="P401" t="n">
        <v>2019</v>
      </c>
      <c r="Q401" t="n">
        <v>2035</v>
      </c>
      <c r="R401" t="n">
        <v>0.5229</v>
      </c>
      <c r="S401" t="n">
        <v>506.3191</v>
      </c>
      <c r="T401" t="n">
        <v>0.00100149</v>
      </c>
      <c r="U401" t="n">
        <v>0.00047124</v>
      </c>
    </row>
    <row r="402">
      <c r="A402" t="inlineStr">
        <is>
          <t>SUP-0041</t>
        </is>
      </c>
      <c r="B402" t="inlineStr">
        <is>
          <t>Logistics Supplier 041</t>
        </is>
      </c>
      <c r="C402" t="inlineStr">
        <is>
          <t>Logistics</t>
        </is>
      </c>
      <c r="D402" t="n">
        <v>2015</v>
      </c>
      <c r="E402" t="n">
        <v>11277527.31</v>
      </c>
      <c r="F402" t="n">
        <v>33719350.22</v>
      </c>
      <c r="G402" t="n">
        <v>2495.9222</v>
      </c>
      <c r="H402" t="n">
        <v>2495.9222</v>
      </c>
      <c r="I402" t="n">
        <v>595.4793</v>
      </c>
      <c r="J402" t="n">
        <v>430.4402</v>
      </c>
      <c r="K402" t="n">
        <v>1708.6045</v>
      </c>
      <c r="L402" t="inlineStr"/>
      <c r="M402" t="inlineStr"/>
      <c r="N402" t="inlineStr"/>
      <c r="O402" t="inlineStr"/>
      <c r="P402" t="n">
        <v>2019</v>
      </c>
      <c r="Q402" t="n">
        <v>2040</v>
      </c>
      <c r="R402" t="n">
        <v>0.4616</v>
      </c>
      <c r="S402" t="n">
        <v>591.6386</v>
      </c>
      <c r="T402" t="n">
        <v>0.00022349</v>
      </c>
      <c r="U402" t="n">
        <v>0.00047787</v>
      </c>
    </row>
    <row r="403">
      <c r="A403" t="inlineStr">
        <is>
          <t>SUP-0041</t>
        </is>
      </c>
      <c r="B403" t="inlineStr">
        <is>
          <t>Logistics Supplier 041</t>
        </is>
      </c>
      <c r="C403" t="inlineStr">
        <is>
          <t>Logistics</t>
        </is>
      </c>
      <c r="D403" t="n">
        <v>2016</v>
      </c>
      <c r="E403" t="n">
        <v>13792155.25</v>
      </c>
      <c r="F403" t="n">
        <v>33211946.35</v>
      </c>
      <c r="G403" t="n">
        <v>3547.7566</v>
      </c>
      <c r="H403" t="n">
        <v>3547.7566</v>
      </c>
      <c r="I403" t="n">
        <v>526.2093</v>
      </c>
      <c r="J403" t="n">
        <v>665.6977000000001</v>
      </c>
      <c r="K403" t="n">
        <v>2326.1188</v>
      </c>
      <c r="L403" t="inlineStr"/>
      <c r="M403" t="inlineStr"/>
      <c r="N403" t="inlineStr"/>
      <c r="O403" t="inlineStr"/>
      <c r="P403" t="n">
        <v>2019</v>
      </c>
      <c r="Q403" t="n">
        <v>2040</v>
      </c>
      <c r="R403" t="n">
        <v>0.4616</v>
      </c>
      <c r="S403" t="n">
        <v>591.6386</v>
      </c>
      <c r="T403" t="n">
        <v>0.00022349</v>
      </c>
      <c r="U403" t="n">
        <v>0.00047787</v>
      </c>
    </row>
    <row r="404">
      <c r="A404" t="inlineStr">
        <is>
          <t>SUP-0041</t>
        </is>
      </c>
      <c r="B404" t="inlineStr">
        <is>
          <t>Logistics Supplier 041</t>
        </is>
      </c>
      <c r="C404" t="inlineStr">
        <is>
          <t>Logistics</t>
        </is>
      </c>
      <c r="D404" t="n">
        <v>2017</v>
      </c>
      <c r="E404" t="n">
        <v>14010710.24</v>
      </c>
      <c r="F404" t="n">
        <v>42740341.28</v>
      </c>
      <c r="G404" t="n">
        <v>2874.6782</v>
      </c>
      <c r="H404" t="n">
        <v>2874.6782</v>
      </c>
      <c r="I404" t="n">
        <v>346.8674</v>
      </c>
      <c r="J404" t="n">
        <v>387.7503</v>
      </c>
      <c r="K404" t="n">
        <v>2115.0376</v>
      </c>
      <c r="L404" t="inlineStr"/>
      <c r="M404" t="inlineStr"/>
      <c r="N404" t="inlineStr"/>
      <c r="O404" t="inlineStr"/>
      <c r="P404" t="n">
        <v>2019</v>
      </c>
      <c r="Q404" t="n">
        <v>2040</v>
      </c>
      <c r="R404" t="n">
        <v>0.4616</v>
      </c>
      <c r="S404" t="n">
        <v>591.6386</v>
      </c>
      <c r="T404" t="n">
        <v>0.00022349</v>
      </c>
      <c r="U404" t="n">
        <v>0.00047787</v>
      </c>
    </row>
    <row r="405">
      <c r="A405" t="inlineStr">
        <is>
          <t>SUP-0041</t>
        </is>
      </c>
      <c r="B405" t="inlineStr">
        <is>
          <t>Logistics Supplier 041</t>
        </is>
      </c>
      <c r="C405" t="inlineStr">
        <is>
          <t>Logistics</t>
        </is>
      </c>
      <c r="D405" t="n">
        <v>2018</v>
      </c>
      <c r="E405" t="n">
        <v>15080949.51</v>
      </c>
      <c r="F405" t="n">
        <v>40421428.59</v>
      </c>
      <c r="G405" t="n">
        <v>3136.9314</v>
      </c>
      <c r="H405" t="n">
        <v>3136.9314</v>
      </c>
      <c r="I405" t="n">
        <v>486.2391</v>
      </c>
      <c r="J405" t="n">
        <v>572.1697</v>
      </c>
      <c r="K405" t="n">
        <v>2057.6565</v>
      </c>
      <c r="L405" t="inlineStr"/>
      <c r="M405" t="inlineStr"/>
      <c r="N405" t="inlineStr"/>
      <c r="O405" t="inlineStr"/>
      <c r="P405" t="n">
        <v>2019</v>
      </c>
      <c r="Q405" t="n">
        <v>2040</v>
      </c>
      <c r="R405" t="n">
        <v>0.4616</v>
      </c>
      <c r="S405" t="n">
        <v>591.6386</v>
      </c>
      <c r="T405" t="n">
        <v>0.00022349</v>
      </c>
      <c r="U405" t="n">
        <v>0.00047787</v>
      </c>
    </row>
    <row r="406">
      <c r="A406" t="inlineStr">
        <is>
          <t>SUP-0041</t>
        </is>
      </c>
      <c r="B406" t="inlineStr">
        <is>
          <t>Logistics Supplier 041</t>
        </is>
      </c>
      <c r="C406" t="inlineStr">
        <is>
          <t>Logistics</t>
        </is>
      </c>
      <c r="D406" t="n">
        <v>2019</v>
      </c>
      <c r="E406" t="n">
        <v>18171425.7</v>
      </c>
      <c r="F406" t="n">
        <v>40279028.71</v>
      </c>
      <c r="G406" t="n">
        <v>3737.9405</v>
      </c>
      <c r="H406" t="n">
        <v>3737.9405</v>
      </c>
      <c r="I406" t="n">
        <v>779.5288</v>
      </c>
      <c r="J406" t="n">
        <v>759.2517</v>
      </c>
      <c r="K406" t="n">
        <v>2291.4522</v>
      </c>
      <c r="L406" t="inlineStr"/>
      <c r="M406" t="inlineStr"/>
      <c r="N406" t="inlineStr"/>
      <c r="O406" t="inlineStr"/>
      <c r="P406" t="n">
        <v>2019</v>
      </c>
      <c r="Q406" t="n">
        <v>2040</v>
      </c>
      <c r="R406" t="n">
        <v>0.4616</v>
      </c>
      <c r="S406" t="n">
        <v>591.6386</v>
      </c>
      <c r="T406" t="n">
        <v>0.00022349</v>
      </c>
      <c r="U406" t="n">
        <v>0.00047787</v>
      </c>
    </row>
    <row r="407">
      <c r="A407" t="inlineStr">
        <is>
          <t>SUP-0041</t>
        </is>
      </c>
      <c r="B407" t="inlineStr">
        <is>
          <t>Logistics Supplier 041</t>
        </is>
      </c>
      <c r="C407" t="inlineStr">
        <is>
          <t>Logistics</t>
        </is>
      </c>
      <c r="D407" t="n">
        <v>2020</v>
      </c>
      <c r="E407" t="n">
        <v>15982998.8</v>
      </c>
      <c r="F407" t="n">
        <v>37725677.98</v>
      </c>
      <c r="G407" t="n">
        <v>2476.727</v>
      </c>
      <c r="H407" t="n">
        <v>2476.727</v>
      </c>
      <c r="I407" t="n">
        <v>599.9384</v>
      </c>
      <c r="J407" t="n">
        <v>251.824</v>
      </c>
      <c r="K407" t="n">
        <v>1615.7135</v>
      </c>
      <c r="L407" t="inlineStr"/>
      <c r="M407" t="inlineStr"/>
      <c r="N407" t="inlineStr"/>
      <c r="O407" t="inlineStr"/>
      <c r="P407" t="n">
        <v>2019</v>
      </c>
      <c r="Q407" t="n">
        <v>2040</v>
      </c>
      <c r="R407" t="n">
        <v>0.4616</v>
      </c>
      <c r="S407" t="n">
        <v>591.6386</v>
      </c>
      <c r="T407" t="n">
        <v>0.00022349</v>
      </c>
      <c r="U407" t="n">
        <v>0.00047787</v>
      </c>
    </row>
    <row r="408">
      <c r="A408" t="inlineStr">
        <is>
          <t>SUP-0041</t>
        </is>
      </c>
      <c r="B408" t="inlineStr">
        <is>
          <t>Logistics Supplier 041</t>
        </is>
      </c>
      <c r="C408" t="inlineStr">
        <is>
          <t>Logistics</t>
        </is>
      </c>
      <c r="D408" t="n">
        <v>2021</v>
      </c>
      <c r="E408" t="n">
        <v>16531779.01</v>
      </c>
      <c r="F408" t="n">
        <v>41941439.59</v>
      </c>
      <c r="G408" t="n">
        <v>2968.465</v>
      </c>
      <c r="H408" t="n">
        <v>2968.465</v>
      </c>
      <c r="I408" t="n">
        <v>472.1326</v>
      </c>
      <c r="J408" t="n">
        <v>326.1694</v>
      </c>
      <c r="K408" t="n">
        <v>2211.8291</v>
      </c>
      <c r="L408" t="inlineStr"/>
      <c r="M408" t="inlineStr"/>
      <c r="N408" t="inlineStr"/>
      <c r="O408" t="inlineStr"/>
      <c r="P408" t="n">
        <v>2019</v>
      </c>
      <c r="Q408" t="n">
        <v>2040</v>
      </c>
      <c r="R408" t="n">
        <v>0.4616</v>
      </c>
      <c r="S408" t="n">
        <v>591.6386</v>
      </c>
      <c r="T408" t="n">
        <v>0.00022349</v>
      </c>
      <c r="U408" t="n">
        <v>0.00047787</v>
      </c>
    </row>
    <row r="409">
      <c r="A409" t="inlineStr">
        <is>
          <t>SUP-0041</t>
        </is>
      </c>
      <c r="B409" t="inlineStr">
        <is>
          <t>Logistics Supplier 041</t>
        </is>
      </c>
      <c r="C409" t="inlineStr">
        <is>
          <t>Logistics</t>
        </is>
      </c>
      <c r="D409" t="n">
        <v>2022</v>
      </c>
      <c r="E409" t="n">
        <v>23599832.14</v>
      </c>
      <c r="F409" t="n">
        <v>45575736.53</v>
      </c>
      <c r="G409" t="n">
        <v>3762.9818</v>
      </c>
      <c r="H409" t="n">
        <v>3762.9818</v>
      </c>
      <c r="I409" t="n">
        <v>682.039</v>
      </c>
      <c r="J409" t="n">
        <v>369.1733</v>
      </c>
      <c r="K409" t="n">
        <v>2929.2337</v>
      </c>
      <c r="L409" t="inlineStr"/>
      <c r="M409" t="inlineStr"/>
      <c r="N409" t="inlineStr"/>
      <c r="O409" t="inlineStr"/>
      <c r="P409" t="n">
        <v>2019</v>
      </c>
      <c r="Q409" t="n">
        <v>2040</v>
      </c>
      <c r="R409" t="n">
        <v>0.4616</v>
      </c>
      <c r="S409" t="n">
        <v>591.6386</v>
      </c>
      <c r="T409" t="n">
        <v>0.00022349</v>
      </c>
      <c r="U409" t="n">
        <v>0.00047787</v>
      </c>
    </row>
    <row r="410">
      <c r="A410" t="inlineStr">
        <is>
          <t>SUP-0041</t>
        </is>
      </c>
      <c r="B410" t="inlineStr">
        <is>
          <t>Logistics Supplier 041</t>
        </is>
      </c>
      <c r="C410" t="inlineStr">
        <is>
          <t>Logistics</t>
        </is>
      </c>
      <c r="D410" t="n">
        <v>2023</v>
      </c>
      <c r="E410" t="n">
        <v>23012828.57</v>
      </c>
      <c r="F410" t="n">
        <v>69659424.63</v>
      </c>
      <c r="G410" t="n">
        <v>3297.5734</v>
      </c>
      <c r="H410" t="n">
        <v>3297.5734</v>
      </c>
      <c r="I410" t="n">
        <v>708.1897</v>
      </c>
      <c r="J410" t="n">
        <v>332.9773</v>
      </c>
      <c r="K410" t="n">
        <v>2440.9124</v>
      </c>
      <c r="L410" t="inlineStr"/>
      <c r="M410" t="inlineStr"/>
      <c r="N410" t="inlineStr"/>
      <c r="O410" t="inlineStr"/>
      <c r="P410" t="n">
        <v>2019</v>
      </c>
      <c r="Q410" t="n">
        <v>2040</v>
      </c>
      <c r="R410" t="n">
        <v>0.4616</v>
      </c>
      <c r="S410" t="n">
        <v>591.6386</v>
      </c>
      <c r="T410" t="n">
        <v>0.00022349</v>
      </c>
      <c r="U410" t="n">
        <v>0.00047787</v>
      </c>
    </row>
    <row r="411">
      <c r="A411" t="inlineStr">
        <is>
          <t>SUP-0041</t>
        </is>
      </c>
      <c r="B411" t="inlineStr">
        <is>
          <t>Logistics Supplier 041</t>
        </is>
      </c>
      <c r="C411" t="inlineStr">
        <is>
          <t>Logistics</t>
        </is>
      </c>
      <c r="D411" t="n">
        <v>2024</v>
      </c>
      <c r="E411" t="n">
        <v>20979153.39</v>
      </c>
      <c r="F411" t="n">
        <v>59913976.27</v>
      </c>
      <c r="G411" t="n">
        <v>2891.8692</v>
      </c>
      <c r="H411" t="n">
        <v>2891.8692</v>
      </c>
      <c r="I411" t="n">
        <v>341.8479</v>
      </c>
      <c r="J411" t="n">
        <v>406.456</v>
      </c>
      <c r="K411" t="n">
        <v>2146.4991</v>
      </c>
      <c r="L411" t="inlineStr"/>
      <c r="M411" t="inlineStr"/>
      <c r="N411" t="inlineStr"/>
      <c r="O411" t="inlineStr"/>
      <c r="P411" t="n">
        <v>2019</v>
      </c>
      <c r="Q411" t="n">
        <v>2040</v>
      </c>
      <c r="R411" t="n">
        <v>0.4616</v>
      </c>
      <c r="S411" t="n">
        <v>591.6386</v>
      </c>
      <c r="T411" t="n">
        <v>0.00022349</v>
      </c>
      <c r="U411" t="n">
        <v>0.00047787</v>
      </c>
    </row>
    <row r="412">
      <c r="A412" t="inlineStr">
        <is>
          <t>SUP-0042</t>
        </is>
      </c>
      <c r="B412" t="inlineStr">
        <is>
          <t>Chemicals Supplier 042</t>
        </is>
      </c>
      <c r="C412" t="inlineStr">
        <is>
          <t>Chemicals</t>
        </is>
      </c>
      <c r="D412" t="n">
        <v>2015</v>
      </c>
      <c r="E412" t="n">
        <v>21653769.03</v>
      </c>
      <c r="F412" t="n">
        <v>44041080.72</v>
      </c>
      <c r="G412" t="n">
        <v>16898.105</v>
      </c>
      <c r="H412" t="n">
        <v>16898.105</v>
      </c>
      <c r="I412" t="n">
        <v>3055.9754</v>
      </c>
      <c r="J412" t="n">
        <v>1532.7919</v>
      </c>
      <c r="K412" t="n">
        <v>11913.2183</v>
      </c>
      <c r="L412" t="inlineStr"/>
      <c r="M412" t="inlineStr"/>
      <c r="N412" t="inlineStr"/>
      <c r="O412" t="inlineStr"/>
      <c r="P412" t="n">
        <v>2019</v>
      </c>
      <c r="Q412" t="n">
        <v>2035</v>
      </c>
      <c r="R412" t="n">
        <v>0.5229</v>
      </c>
      <c r="S412" t="n">
        <v>506.3191</v>
      </c>
      <c r="T412" t="n">
        <v>0.00100149</v>
      </c>
      <c r="U412" t="n">
        <v>0.00047124</v>
      </c>
    </row>
    <row r="413">
      <c r="A413" t="inlineStr">
        <is>
          <t>SUP-0042</t>
        </is>
      </c>
      <c r="B413" t="inlineStr">
        <is>
          <t>Chemicals Supplier 042</t>
        </is>
      </c>
      <c r="C413" t="inlineStr">
        <is>
          <t>Chemicals</t>
        </is>
      </c>
      <c r="D413" t="n">
        <v>2016</v>
      </c>
      <c r="E413" t="n">
        <v>21615919.12</v>
      </c>
      <c r="F413" t="n">
        <v>47985076.7</v>
      </c>
      <c r="G413" t="n">
        <v>14140.3076</v>
      </c>
      <c r="H413" t="n">
        <v>14140.3076</v>
      </c>
      <c r="I413" t="n">
        <v>3343.408</v>
      </c>
      <c r="J413" t="n">
        <v>2718.0585</v>
      </c>
      <c r="K413" t="n">
        <v>7897.0747</v>
      </c>
      <c r="L413" t="inlineStr"/>
      <c r="M413" t="inlineStr"/>
      <c r="N413" t="inlineStr"/>
      <c r="O413" t="inlineStr"/>
      <c r="P413" t="n">
        <v>2019</v>
      </c>
      <c r="Q413" t="n">
        <v>2035</v>
      </c>
      <c r="R413" t="n">
        <v>0.5229</v>
      </c>
      <c r="S413" t="n">
        <v>506.3191</v>
      </c>
      <c r="T413" t="n">
        <v>0.00100149</v>
      </c>
      <c r="U413" t="n">
        <v>0.00047124</v>
      </c>
    </row>
    <row r="414">
      <c r="A414" t="inlineStr">
        <is>
          <t>SUP-0042</t>
        </is>
      </c>
      <c r="B414" t="inlineStr">
        <is>
          <t>Chemicals Supplier 042</t>
        </is>
      </c>
      <c r="C414" t="inlineStr">
        <is>
          <t>Chemicals</t>
        </is>
      </c>
      <c r="D414" t="n">
        <v>2017</v>
      </c>
      <c r="E414" t="n">
        <v>18544086.13</v>
      </c>
      <c r="F414" t="n">
        <v>46147953.08</v>
      </c>
      <c r="G414" t="n">
        <v>11632.1648</v>
      </c>
      <c r="H414" t="n">
        <v>11632.1648</v>
      </c>
      <c r="I414" t="n">
        <v>2931.0438</v>
      </c>
      <c r="J414" t="n">
        <v>755.6316</v>
      </c>
      <c r="K414" t="n">
        <v>8187.4031</v>
      </c>
      <c r="L414" t="inlineStr"/>
      <c r="M414" t="inlineStr"/>
      <c r="N414" t="inlineStr"/>
      <c r="O414" t="inlineStr"/>
      <c r="P414" t="n">
        <v>2019</v>
      </c>
      <c r="Q414" t="n">
        <v>2035</v>
      </c>
      <c r="R414" t="n">
        <v>0.5229</v>
      </c>
      <c r="S414" t="n">
        <v>506.3191</v>
      </c>
      <c r="T414" t="n">
        <v>0.00100149</v>
      </c>
      <c r="U414" t="n">
        <v>0.00047124</v>
      </c>
    </row>
    <row r="415">
      <c r="A415" t="inlineStr">
        <is>
          <t>SUP-0042</t>
        </is>
      </c>
      <c r="B415" t="inlineStr">
        <is>
          <t>Chemicals Supplier 042</t>
        </is>
      </c>
      <c r="C415" t="inlineStr">
        <is>
          <t>Chemicals</t>
        </is>
      </c>
      <c r="D415" t="n">
        <v>2018</v>
      </c>
      <c r="E415" t="n">
        <v>20463032.99</v>
      </c>
      <c r="F415" t="n">
        <v>45606723.6</v>
      </c>
      <c r="G415" t="n">
        <v>14480.3407</v>
      </c>
      <c r="H415" t="n">
        <v>14480.3407</v>
      </c>
      <c r="I415" t="n">
        <v>1535.0212</v>
      </c>
      <c r="J415" t="n">
        <v>1472.1991</v>
      </c>
      <c r="K415" t="n">
        <v>10340.4931</v>
      </c>
      <c r="L415" t="inlineStr"/>
      <c r="M415" t="inlineStr"/>
      <c r="N415" t="inlineStr"/>
      <c r="O415" t="inlineStr"/>
      <c r="P415" t="n">
        <v>2019</v>
      </c>
      <c r="Q415" t="n">
        <v>2035</v>
      </c>
      <c r="R415" t="n">
        <v>0.5229</v>
      </c>
      <c r="S415" t="n">
        <v>506.3191</v>
      </c>
      <c r="T415" t="n">
        <v>0.00100149</v>
      </c>
      <c r="U415" t="n">
        <v>0.00047124</v>
      </c>
    </row>
    <row r="416">
      <c r="A416" t="inlineStr">
        <is>
          <t>SUP-0042</t>
        </is>
      </c>
      <c r="B416" t="inlineStr">
        <is>
          <t>Chemicals Supplier 042</t>
        </is>
      </c>
      <c r="C416" t="inlineStr">
        <is>
          <t>Chemicals</t>
        </is>
      </c>
      <c r="D416" t="n">
        <v>2019</v>
      </c>
      <c r="E416" t="n">
        <v>21557766.35</v>
      </c>
      <c r="F416" t="n">
        <v>62443157.58</v>
      </c>
      <c r="G416" t="n">
        <v>13759.2291</v>
      </c>
      <c r="H416" t="n">
        <v>13759.2291</v>
      </c>
      <c r="I416" t="n">
        <v>2443.9398</v>
      </c>
      <c r="J416" t="n">
        <v>2145.6407</v>
      </c>
      <c r="K416" t="n">
        <v>9589.892400000001</v>
      </c>
      <c r="L416" t="inlineStr"/>
      <c r="M416" t="inlineStr"/>
      <c r="N416" t="inlineStr"/>
      <c r="O416" t="inlineStr"/>
      <c r="P416" t="n">
        <v>2019</v>
      </c>
      <c r="Q416" t="n">
        <v>2035</v>
      </c>
      <c r="R416" t="n">
        <v>0.5229</v>
      </c>
      <c r="S416" t="n">
        <v>506.3191</v>
      </c>
      <c r="T416" t="n">
        <v>0.00100149</v>
      </c>
      <c r="U416" t="n">
        <v>0.00047124</v>
      </c>
    </row>
    <row r="417">
      <c r="A417" t="inlineStr">
        <is>
          <t>SUP-0042</t>
        </is>
      </c>
      <c r="B417" t="inlineStr">
        <is>
          <t>Chemicals Supplier 042</t>
        </is>
      </c>
      <c r="C417" t="inlineStr">
        <is>
          <t>Chemicals</t>
        </is>
      </c>
      <c r="D417" t="n">
        <v>2020</v>
      </c>
      <c r="E417" t="n">
        <v>18619708.21</v>
      </c>
      <c r="F417" t="n">
        <v>56226290.16</v>
      </c>
      <c r="G417" t="n">
        <v>9905.5977</v>
      </c>
      <c r="H417" t="n">
        <v>9905.5977</v>
      </c>
      <c r="I417" t="n">
        <v>1025.4695</v>
      </c>
      <c r="J417" t="n">
        <v>975.0033</v>
      </c>
      <c r="K417" t="n">
        <v>7143.5349</v>
      </c>
      <c r="L417" t="inlineStr"/>
      <c r="M417" t="inlineStr"/>
      <c r="N417" t="inlineStr"/>
      <c r="O417" t="inlineStr"/>
      <c r="P417" t="n">
        <v>2019</v>
      </c>
      <c r="Q417" t="n">
        <v>2035</v>
      </c>
      <c r="R417" t="n">
        <v>0.5229</v>
      </c>
      <c r="S417" t="n">
        <v>506.3191</v>
      </c>
      <c r="T417" t="n">
        <v>0.00100149</v>
      </c>
      <c r="U417" t="n">
        <v>0.00047124</v>
      </c>
    </row>
    <row r="418">
      <c r="A418" t="inlineStr">
        <is>
          <t>SUP-0042</t>
        </is>
      </c>
      <c r="B418" t="inlineStr">
        <is>
          <t>Chemicals Supplier 042</t>
        </is>
      </c>
      <c r="C418" t="inlineStr">
        <is>
          <t>Chemicals</t>
        </is>
      </c>
      <c r="D418" t="n">
        <v>2021</v>
      </c>
      <c r="E418" t="n">
        <v>22605340.78</v>
      </c>
      <c r="F418" t="n">
        <v>60823129.34</v>
      </c>
      <c r="G418" t="n">
        <v>14446.426</v>
      </c>
      <c r="H418" t="n">
        <v>14446.426</v>
      </c>
      <c r="I418" t="n">
        <v>1980.0588</v>
      </c>
      <c r="J418" t="n">
        <v>1670.7068</v>
      </c>
      <c r="K418" t="n">
        <v>9915.399299999999</v>
      </c>
      <c r="L418" t="inlineStr"/>
      <c r="M418" t="inlineStr"/>
      <c r="N418" t="inlineStr"/>
      <c r="O418" t="inlineStr"/>
      <c r="P418" t="n">
        <v>2019</v>
      </c>
      <c r="Q418" t="n">
        <v>2035</v>
      </c>
      <c r="R418" t="n">
        <v>0.5229</v>
      </c>
      <c r="S418" t="n">
        <v>506.3191</v>
      </c>
      <c r="T418" t="n">
        <v>0.00100149</v>
      </c>
      <c r="U418" t="n">
        <v>0.00047124</v>
      </c>
    </row>
    <row r="419">
      <c r="A419" t="inlineStr">
        <is>
          <t>SUP-0042</t>
        </is>
      </c>
      <c r="B419" t="inlineStr">
        <is>
          <t>Chemicals Supplier 042</t>
        </is>
      </c>
      <c r="C419" t="inlineStr">
        <is>
          <t>Chemicals</t>
        </is>
      </c>
      <c r="D419" t="n">
        <v>2022</v>
      </c>
      <c r="E419" t="n">
        <v>18660099.56</v>
      </c>
      <c r="F419" t="n">
        <v>58147530.89</v>
      </c>
      <c r="G419" t="n">
        <v>8600.511500000001</v>
      </c>
      <c r="H419" t="n">
        <v>8600.511500000001</v>
      </c>
      <c r="I419" t="n">
        <v>1692.3969</v>
      </c>
      <c r="J419" t="n">
        <v>1068.1161</v>
      </c>
      <c r="K419" t="n">
        <v>5680.9662</v>
      </c>
      <c r="L419" t="inlineStr"/>
      <c r="M419" t="inlineStr"/>
      <c r="N419" t="inlineStr"/>
      <c r="O419" t="inlineStr"/>
      <c r="P419" t="n">
        <v>2019</v>
      </c>
      <c r="Q419" t="n">
        <v>2035</v>
      </c>
      <c r="R419" t="n">
        <v>0.5229</v>
      </c>
      <c r="S419" t="n">
        <v>506.3191</v>
      </c>
      <c r="T419" t="n">
        <v>0.00100149</v>
      </c>
      <c r="U419" t="n">
        <v>0.00047124</v>
      </c>
    </row>
    <row r="420">
      <c r="A420" t="inlineStr">
        <is>
          <t>SUP-0042</t>
        </is>
      </c>
      <c r="B420" t="inlineStr">
        <is>
          <t>Chemicals Supplier 042</t>
        </is>
      </c>
      <c r="C420" t="inlineStr">
        <is>
          <t>Chemicals</t>
        </is>
      </c>
      <c r="D420" t="n">
        <v>2023</v>
      </c>
      <c r="E420" t="n">
        <v>20953123.85</v>
      </c>
      <c r="F420" t="n">
        <v>50908907.99</v>
      </c>
      <c r="G420" t="n">
        <v>10498.3251</v>
      </c>
      <c r="H420" t="n">
        <v>10498.3251</v>
      </c>
      <c r="I420" t="n">
        <v>2569.1608</v>
      </c>
      <c r="J420" t="n">
        <v>1136.1683</v>
      </c>
      <c r="K420" t="n">
        <v>6938.2186</v>
      </c>
      <c r="L420" t="inlineStr"/>
      <c r="M420" t="inlineStr"/>
      <c r="N420" t="inlineStr"/>
      <c r="O420" t="inlineStr"/>
      <c r="P420" t="n">
        <v>2019</v>
      </c>
      <c r="Q420" t="n">
        <v>2035</v>
      </c>
      <c r="R420" t="n">
        <v>0.5229</v>
      </c>
      <c r="S420" t="n">
        <v>506.3191</v>
      </c>
      <c r="T420" t="n">
        <v>0.00100149</v>
      </c>
      <c r="U420" t="n">
        <v>0.00047124</v>
      </c>
    </row>
    <row r="421">
      <c r="A421" t="inlineStr">
        <is>
          <t>SUP-0042</t>
        </is>
      </c>
      <c r="B421" t="inlineStr">
        <is>
          <t>Chemicals Supplier 042</t>
        </is>
      </c>
      <c r="C421" t="inlineStr">
        <is>
          <t>Chemicals</t>
        </is>
      </c>
      <c r="D421" t="n">
        <v>2024</v>
      </c>
      <c r="E421" t="n">
        <v>24573334.82</v>
      </c>
      <c r="F421" t="n">
        <v>65294304.22</v>
      </c>
      <c r="G421" t="n">
        <v>10825.417</v>
      </c>
      <c r="H421" t="n">
        <v>10825.417</v>
      </c>
      <c r="I421" t="n">
        <v>1403.0164</v>
      </c>
      <c r="J421" t="n">
        <v>716.2825</v>
      </c>
      <c r="K421" t="n">
        <v>8123.7014</v>
      </c>
      <c r="L421" t="inlineStr"/>
      <c r="M421" t="inlineStr"/>
      <c r="N421" t="inlineStr"/>
      <c r="O421" t="inlineStr"/>
      <c r="P421" t="n">
        <v>2019</v>
      </c>
      <c r="Q421" t="n">
        <v>2035</v>
      </c>
      <c r="R421" t="n">
        <v>0.5229</v>
      </c>
      <c r="S421" t="n">
        <v>506.3191</v>
      </c>
      <c r="T421" t="n">
        <v>0.00100149</v>
      </c>
      <c r="U421" t="n">
        <v>0.00047124</v>
      </c>
    </row>
    <row r="422">
      <c r="A422" t="inlineStr">
        <is>
          <t>SUP-0043</t>
        </is>
      </c>
      <c r="B422" t="inlineStr">
        <is>
          <t>Logistics Supplier 043</t>
        </is>
      </c>
      <c r="C422" t="inlineStr">
        <is>
          <t>Logistics</t>
        </is>
      </c>
      <c r="D422" t="n">
        <v>2015</v>
      </c>
      <c r="E422" t="n">
        <v>6979137.95</v>
      </c>
      <c r="F422" t="n">
        <v>31806367.62</v>
      </c>
      <c r="G422" t="n">
        <v>2141.4227</v>
      </c>
      <c r="H422" t="n">
        <v>2141.4227</v>
      </c>
      <c r="I422" t="n">
        <v>443.5348</v>
      </c>
      <c r="J422" t="n">
        <v>395.8466</v>
      </c>
      <c r="K422" t="n">
        <v>1299.3501</v>
      </c>
      <c r="L422" t="n">
        <v>2018</v>
      </c>
      <c r="M422" t="n">
        <v>2035</v>
      </c>
      <c r="N422" t="n">
        <v>0.543</v>
      </c>
      <c r="O422" t="n">
        <v>0.1921</v>
      </c>
      <c r="P422" t="n">
        <v>2019</v>
      </c>
      <c r="Q422" t="n">
        <v>2040</v>
      </c>
      <c r="R422" t="n">
        <v>0.4616</v>
      </c>
      <c r="S422" t="n">
        <v>591.6386</v>
      </c>
      <c r="T422" t="n">
        <v>0.00022349</v>
      </c>
      <c r="U422" t="n">
        <v>0.00047787</v>
      </c>
    </row>
    <row r="423">
      <c r="A423" t="inlineStr">
        <is>
          <t>SUP-0043</t>
        </is>
      </c>
      <c r="B423" t="inlineStr">
        <is>
          <t>Logistics Supplier 043</t>
        </is>
      </c>
      <c r="C423" t="inlineStr">
        <is>
          <t>Logistics</t>
        </is>
      </c>
      <c r="D423" t="n">
        <v>2016</v>
      </c>
      <c r="E423" t="n">
        <v>6836695.02</v>
      </c>
      <c r="F423" t="n">
        <v>35230997.21</v>
      </c>
      <c r="G423" t="n">
        <v>2073.7041</v>
      </c>
      <c r="H423" t="n">
        <v>2073.7041</v>
      </c>
      <c r="I423" t="n">
        <v>341.9225</v>
      </c>
      <c r="J423" t="n">
        <v>184.8141</v>
      </c>
      <c r="K423" t="n">
        <v>1497.266</v>
      </c>
      <c r="L423" t="n">
        <v>2018</v>
      </c>
      <c r="M423" t="n">
        <v>2035</v>
      </c>
      <c r="N423" t="n">
        <v>0.543</v>
      </c>
      <c r="O423" t="n">
        <v>0.1921</v>
      </c>
      <c r="P423" t="n">
        <v>2019</v>
      </c>
      <c r="Q423" t="n">
        <v>2040</v>
      </c>
      <c r="R423" t="n">
        <v>0.4616</v>
      </c>
      <c r="S423" t="n">
        <v>591.6386</v>
      </c>
      <c r="T423" t="n">
        <v>0.00022349</v>
      </c>
      <c r="U423" t="n">
        <v>0.00047787</v>
      </c>
    </row>
    <row r="424">
      <c r="A424" t="inlineStr">
        <is>
          <t>SUP-0043</t>
        </is>
      </c>
      <c r="B424" t="inlineStr">
        <is>
          <t>Logistics Supplier 043</t>
        </is>
      </c>
      <c r="C424" t="inlineStr">
        <is>
          <t>Logistics</t>
        </is>
      </c>
      <c r="D424" t="n">
        <v>2017</v>
      </c>
      <c r="E424" t="n">
        <v>6362319.89</v>
      </c>
      <c r="F424" t="n">
        <v>37687342.87</v>
      </c>
      <c r="G424" t="n">
        <v>1783.2094</v>
      </c>
      <c r="H424" t="n">
        <v>1783.2094</v>
      </c>
      <c r="I424" t="n">
        <v>159.4329</v>
      </c>
      <c r="J424" t="n">
        <v>171.046</v>
      </c>
      <c r="K424" t="n">
        <v>1540.8793</v>
      </c>
      <c r="L424" t="n">
        <v>2018</v>
      </c>
      <c r="M424" t="n">
        <v>2035</v>
      </c>
      <c r="N424" t="n">
        <v>0.543</v>
      </c>
      <c r="O424" t="n">
        <v>0.1921</v>
      </c>
      <c r="P424" t="n">
        <v>2019</v>
      </c>
      <c r="Q424" t="n">
        <v>2040</v>
      </c>
      <c r="R424" t="n">
        <v>0.4616</v>
      </c>
      <c r="S424" t="n">
        <v>591.6386</v>
      </c>
      <c r="T424" t="n">
        <v>0.00022349</v>
      </c>
      <c r="U424" t="n">
        <v>0.00047787</v>
      </c>
    </row>
    <row r="425">
      <c r="A425" t="inlineStr">
        <is>
          <t>SUP-0043</t>
        </is>
      </c>
      <c r="B425" t="inlineStr">
        <is>
          <t>Logistics Supplier 043</t>
        </is>
      </c>
      <c r="C425" t="inlineStr">
        <is>
          <t>Logistics</t>
        </is>
      </c>
      <c r="D425" t="n">
        <v>2018</v>
      </c>
      <c r="E425" t="n">
        <v>6877171.09</v>
      </c>
      <c r="F425" t="n">
        <v>31981094.54</v>
      </c>
      <c r="G425" t="n">
        <v>1838.8543</v>
      </c>
      <c r="H425" t="n">
        <v>1838.8543</v>
      </c>
      <c r="I425" t="n">
        <v>308.8531</v>
      </c>
      <c r="J425" t="n">
        <v>365.6906</v>
      </c>
      <c r="K425" t="n">
        <v>1028.215</v>
      </c>
      <c r="L425" t="n">
        <v>2018</v>
      </c>
      <c r="M425" t="n">
        <v>2035</v>
      </c>
      <c r="N425" t="n">
        <v>0.543</v>
      </c>
      <c r="O425" t="n">
        <v>0.1921</v>
      </c>
      <c r="P425" t="n">
        <v>2019</v>
      </c>
      <c r="Q425" t="n">
        <v>2040</v>
      </c>
      <c r="R425" t="n">
        <v>0.4616</v>
      </c>
      <c r="S425" t="n">
        <v>591.6386</v>
      </c>
      <c r="T425" t="n">
        <v>0.00022349</v>
      </c>
      <c r="U425" t="n">
        <v>0.00047787</v>
      </c>
    </row>
    <row r="426">
      <c r="A426" t="inlineStr">
        <is>
          <t>SUP-0043</t>
        </is>
      </c>
      <c r="B426" t="inlineStr">
        <is>
          <t>Logistics Supplier 043</t>
        </is>
      </c>
      <c r="C426" t="inlineStr">
        <is>
          <t>Logistics</t>
        </is>
      </c>
      <c r="D426" t="n">
        <v>2019</v>
      </c>
      <c r="E426" t="n">
        <v>7743140.6</v>
      </c>
      <c r="F426" t="n">
        <v>35368571.44</v>
      </c>
      <c r="G426" t="n">
        <v>2269.6418</v>
      </c>
      <c r="H426" t="n">
        <v>2269.6418</v>
      </c>
      <c r="I426" t="n">
        <v>438.6873</v>
      </c>
      <c r="J426" t="n">
        <v>286.4922</v>
      </c>
      <c r="K426" t="n">
        <v>1467.4228</v>
      </c>
      <c r="L426" t="n">
        <v>2018</v>
      </c>
      <c r="M426" t="n">
        <v>2035</v>
      </c>
      <c r="N426" t="n">
        <v>0.543</v>
      </c>
      <c r="O426" t="n">
        <v>0.1921</v>
      </c>
      <c r="P426" t="n">
        <v>2019</v>
      </c>
      <c r="Q426" t="n">
        <v>2040</v>
      </c>
      <c r="R426" t="n">
        <v>0.4616</v>
      </c>
      <c r="S426" t="n">
        <v>591.6386</v>
      </c>
      <c r="T426" t="n">
        <v>0.00022349</v>
      </c>
      <c r="U426" t="n">
        <v>0.00047787</v>
      </c>
    </row>
    <row r="427">
      <c r="A427" t="inlineStr">
        <is>
          <t>SUP-0043</t>
        </is>
      </c>
      <c r="B427" t="inlineStr">
        <is>
          <t>Logistics Supplier 043</t>
        </is>
      </c>
      <c r="C427" t="inlineStr">
        <is>
          <t>Logistics</t>
        </is>
      </c>
      <c r="D427" t="n">
        <v>2020</v>
      </c>
      <c r="E427" t="n">
        <v>7181848.3</v>
      </c>
      <c r="F427" t="n">
        <v>25362502.82</v>
      </c>
      <c r="G427" t="n">
        <v>1411.0765</v>
      </c>
      <c r="H427" t="n">
        <v>1411.0765</v>
      </c>
      <c r="I427" t="n">
        <v>301.4112</v>
      </c>
      <c r="J427" t="n">
        <v>104.8701</v>
      </c>
      <c r="K427" t="n">
        <v>936.6015</v>
      </c>
      <c r="L427" t="n">
        <v>2018</v>
      </c>
      <c r="M427" t="n">
        <v>2035</v>
      </c>
      <c r="N427" t="n">
        <v>0.543</v>
      </c>
      <c r="O427" t="n">
        <v>0.1921</v>
      </c>
      <c r="P427" t="n">
        <v>2019</v>
      </c>
      <c r="Q427" t="n">
        <v>2040</v>
      </c>
      <c r="R427" t="n">
        <v>0.4616</v>
      </c>
      <c r="S427" t="n">
        <v>591.6386</v>
      </c>
      <c r="T427" t="n">
        <v>0.00022349</v>
      </c>
      <c r="U427" t="n">
        <v>0.00047787</v>
      </c>
    </row>
    <row r="428">
      <c r="A428" t="inlineStr">
        <is>
          <t>SUP-0043</t>
        </is>
      </c>
      <c r="B428" t="inlineStr">
        <is>
          <t>Logistics Supplier 043</t>
        </is>
      </c>
      <c r="C428" t="inlineStr">
        <is>
          <t>Logistics</t>
        </is>
      </c>
      <c r="D428" t="n">
        <v>2021</v>
      </c>
      <c r="E428" t="n">
        <v>6988519.31</v>
      </c>
      <c r="F428" t="n">
        <v>38575932.01</v>
      </c>
      <c r="G428" t="n">
        <v>1570.1411</v>
      </c>
      <c r="H428" t="n">
        <v>1570.1411</v>
      </c>
      <c r="I428" t="n">
        <v>125.7443</v>
      </c>
      <c r="J428" t="n">
        <v>217.9945</v>
      </c>
      <c r="K428" t="n">
        <v>1223.2958</v>
      </c>
      <c r="L428" t="n">
        <v>2018</v>
      </c>
      <c r="M428" t="n">
        <v>2035</v>
      </c>
      <c r="N428" t="n">
        <v>0.543</v>
      </c>
      <c r="O428" t="n">
        <v>0.1921</v>
      </c>
      <c r="P428" t="n">
        <v>2019</v>
      </c>
      <c r="Q428" t="n">
        <v>2040</v>
      </c>
      <c r="R428" t="n">
        <v>0.4616</v>
      </c>
      <c r="S428" t="n">
        <v>591.6386</v>
      </c>
      <c r="T428" t="n">
        <v>0.00022349</v>
      </c>
      <c r="U428" t="n">
        <v>0.00047787</v>
      </c>
    </row>
    <row r="429">
      <c r="A429" t="inlineStr">
        <is>
          <t>SUP-0043</t>
        </is>
      </c>
      <c r="B429" t="inlineStr">
        <is>
          <t>Logistics Supplier 043</t>
        </is>
      </c>
      <c r="C429" t="inlineStr">
        <is>
          <t>Logistics</t>
        </is>
      </c>
      <c r="D429" t="n">
        <v>2022</v>
      </c>
      <c r="E429" t="n">
        <v>7280627.4</v>
      </c>
      <c r="F429" t="n">
        <v>26109678.44</v>
      </c>
      <c r="G429" t="n">
        <v>1774.2446</v>
      </c>
      <c r="H429" t="n">
        <v>1774.2446</v>
      </c>
      <c r="I429" t="n">
        <v>294.8017</v>
      </c>
      <c r="J429" t="n">
        <v>352.9167</v>
      </c>
      <c r="K429" t="n">
        <v>1012.1643</v>
      </c>
      <c r="L429" t="n">
        <v>2018</v>
      </c>
      <c r="M429" t="n">
        <v>2035</v>
      </c>
      <c r="N429" t="n">
        <v>0.543</v>
      </c>
      <c r="O429" t="n">
        <v>0.1921</v>
      </c>
      <c r="P429" t="n">
        <v>2019</v>
      </c>
      <c r="Q429" t="n">
        <v>2040</v>
      </c>
      <c r="R429" t="n">
        <v>0.4616</v>
      </c>
      <c r="S429" t="n">
        <v>591.6386</v>
      </c>
      <c r="T429" t="n">
        <v>0.00022349</v>
      </c>
      <c r="U429" t="n">
        <v>0.00047787</v>
      </c>
    </row>
    <row r="430">
      <c r="A430" t="inlineStr">
        <is>
          <t>SUP-0043</t>
        </is>
      </c>
      <c r="B430" t="inlineStr">
        <is>
          <t>Logistics Supplier 043</t>
        </is>
      </c>
      <c r="C430" t="inlineStr">
        <is>
          <t>Logistics</t>
        </is>
      </c>
      <c r="D430" t="n">
        <v>2023</v>
      </c>
      <c r="E430" t="n">
        <v>6751046.32</v>
      </c>
      <c r="F430" t="n">
        <v>36607602.47</v>
      </c>
      <c r="G430" t="n">
        <v>1469.3987</v>
      </c>
      <c r="H430" t="n">
        <v>1469.3987</v>
      </c>
      <c r="I430" t="n">
        <v>227.7673</v>
      </c>
      <c r="J430" t="n">
        <v>273.3214</v>
      </c>
      <c r="K430" t="n">
        <v>1038.884</v>
      </c>
      <c r="L430" t="n">
        <v>2018</v>
      </c>
      <c r="M430" t="n">
        <v>2035</v>
      </c>
      <c r="N430" t="n">
        <v>0.543</v>
      </c>
      <c r="O430" t="n">
        <v>0.1921</v>
      </c>
      <c r="P430" t="n">
        <v>2019</v>
      </c>
      <c r="Q430" t="n">
        <v>2040</v>
      </c>
      <c r="R430" t="n">
        <v>0.4616</v>
      </c>
      <c r="S430" t="n">
        <v>591.6386</v>
      </c>
      <c r="T430" t="n">
        <v>0.00022349</v>
      </c>
      <c r="U430" t="n">
        <v>0.00047787</v>
      </c>
    </row>
    <row r="431">
      <c r="A431" t="inlineStr">
        <is>
          <t>SUP-0043</t>
        </is>
      </c>
      <c r="B431" t="inlineStr">
        <is>
          <t>Logistics Supplier 043</t>
        </is>
      </c>
      <c r="C431" t="inlineStr">
        <is>
          <t>Logistics</t>
        </is>
      </c>
      <c r="D431" t="n">
        <v>2024</v>
      </c>
      <c r="E431" t="n">
        <v>6370904.51</v>
      </c>
      <c r="F431" t="n">
        <v>28178717.84</v>
      </c>
      <c r="G431" t="n">
        <v>1506.1183</v>
      </c>
      <c r="H431" t="n">
        <v>1506.1183</v>
      </c>
      <c r="I431" t="n">
        <v>359.6559</v>
      </c>
      <c r="J431" t="n">
        <v>97.64239999999999</v>
      </c>
      <c r="K431" t="n">
        <v>882.8898</v>
      </c>
      <c r="L431" t="n">
        <v>2018</v>
      </c>
      <c r="M431" t="n">
        <v>2035</v>
      </c>
      <c r="N431" t="n">
        <v>0.543</v>
      </c>
      <c r="O431" t="n">
        <v>0.1921</v>
      </c>
      <c r="P431" t="n">
        <v>2019</v>
      </c>
      <c r="Q431" t="n">
        <v>2040</v>
      </c>
      <c r="R431" t="n">
        <v>0.4616</v>
      </c>
      <c r="S431" t="n">
        <v>591.6386</v>
      </c>
      <c r="T431" t="n">
        <v>0.00022349</v>
      </c>
      <c r="U431" t="n">
        <v>0.00047787</v>
      </c>
    </row>
    <row r="432">
      <c r="A432" t="inlineStr">
        <is>
          <t>SUP-0044</t>
        </is>
      </c>
      <c r="B432" t="inlineStr">
        <is>
          <t>Chemicals Supplier 044</t>
        </is>
      </c>
      <c r="C432" t="inlineStr">
        <is>
          <t>Chemicals</t>
        </is>
      </c>
      <c r="D432" t="n">
        <v>2015</v>
      </c>
      <c r="E432" t="n">
        <v>24749052.33</v>
      </c>
      <c r="F432" t="n">
        <v>110885225.08</v>
      </c>
      <c r="G432" t="n">
        <v>22198.8814</v>
      </c>
      <c r="H432" t="n">
        <v>22198.8814</v>
      </c>
      <c r="I432" t="n">
        <v>2317.7182</v>
      </c>
      <c r="J432" t="n">
        <v>1748.053</v>
      </c>
      <c r="K432" t="n">
        <v>18186.0038</v>
      </c>
      <c r="L432" t="inlineStr"/>
      <c r="M432" t="inlineStr"/>
      <c r="N432" t="inlineStr"/>
      <c r="O432" t="inlineStr"/>
      <c r="P432" t="n">
        <v>2019</v>
      </c>
      <c r="Q432" t="n">
        <v>2035</v>
      </c>
      <c r="R432" t="n">
        <v>0.5229</v>
      </c>
      <c r="S432" t="n">
        <v>506.3191</v>
      </c>
      <c r="T432" t="n">
        <v>0.00100149</v>
      </c>
      <c r="U432" t="n">
        <v>0.00047124</v>
      </c>
    </row>
    <row r="433">
      <c r="A433" t="inlineStr">
        <is>
          <t>SUP-0044</t>
        </is>
      </c>
      <c r="B433" t="inlineStr">
        <is>
          <t>Chemicals Supplier 044</t>
        </is>
      </c>
      <c r="C433" t="inlineStr">
        <is>
          <t>Chemicals</t>
        </is>
      </c>
      <c r="D433" t="n">
        <v>2016</v>
      </c>
      <c r="E433" t="n">
        <v>24777044.3</v>
      </c>
      <c r="F433" t="n">
        <v>87102990.88</v>
      </c>
      <c r="G433" t="n">
        <v>26047.9002</v>
      </c>
      <c r="H433" t="n">
        <v>26047.9002</v>
      </c>
      <c r="I433" t="n">
        <v>3911.4301</v>
      </c>
      <c r="J433" t="n">
        <v>3050.9837</v>
      </c>
      <c r="K433" t="n">
        <v>17865.5298</v>
      </c>
      <c r="L433" t="inlineStr"/>
      <c r="M433" t="inlineStr"/>
      <c r="N433" t="inlineStr"/>
      <c r="O433" t="inlineStr"/>
      <c r="P433" t="n">
        <v>2019</v>
      </c>
      <c r="Q433" t="n">
        <v>2035</v>
      </c>
      <c r="R433" t="n">
        <v>0.5229</v>
      </c>
      <c r="S433" t="n">
        <v>506.3191</v>
      </c>
      <c r="T433" t="n">
        <v>0.00100149</v>
      </c>
      <c r="U433" t="n">
        <v>0.00047124</v>
      </c>
    </row>
    <row r="434">
      <c r="A434" t="inlineStr">
        <is>
          <t>SUP-0044</t>
        </is>
      </c>
      <c r="B434" t="inlineStr">
        <is>
          <t>Chemicals Supplier 044</t>
        </is>
      </c>
      <c r="C434" t="inlineStr">
        <is>
          <t>Chemicals</t>
        </is>
      </c>
      <c r="D434" t="n">
        <v>2017</v>
      </c>
      <c r="E434" t="n">
        <v>24986174.37</v>
      </c>
      <c r="F434" t="n">
        <v>93739735.89</v>
      </c>
      <c r="G434" t="n">
        <v>22974.5445</v>
      </c>
      <c r="H434" t="n">
        <v>22974.5445</v>
      </c>
      <c r="I434" t="n">
        <v>3170.0312</v>
      </c>
      <c r="J434" t="n">
        <v>2364.2391</v>
      </c>
      <c r="K434" t="n">
        <v>17710.175</v>
      </c>
      <c r="L434" t="inlineStr"/>
      <c r="M434" t="inlineStr"/>
      <c r="N434" t="inlineStr"/>
      <c r="O434" t="inlineStr"/>
      <c r="P434" t="n">
        <v>2019</v>
      </c>
      <c r="Q434" t="n">
        <v>2035</v>
      </c>
      <c r="R434" t="n">
        <v>0.5229</v>
      </c>
      <c r="S434" t="n">
        <v>506.3191</v>
      </c>
      <c r="T434" t="n">
        <v>0.00100149</v>
      </c>
      <c r="U434" t="n">
        <v>0.00047124</v>
      </c>
    </row>
    <row r="435">
      <c r="A435" t="inlineStr">
        <is>
          <t>SUP-0044</t>
        </is>
      </c>
      <c r="B435" t="inlineStr">
        <is>
          <t>Chemicals Supplier 044</t>
        </is>
      </c>
      <c r="C435" t="inlineStr">
        <is>
          <t>Chemicals</t>
        </is>
      </c>
      <c r="D435" t="n">
        <v>2018</v>
      </c>
      <c r="E435" t="n">
        <v>24744637.84</v>
      </c>
      <c r="F435" t="n">
        <v>117457459.06</v>
      </c>
      <c r="G435" t="n">
        <v>25813.0038</v>
      </c>
      <c r="H435" t="n">
        <v>25813.0038</v>
      </c>
      <c r="I435" t="n">
        <v>3473.803</v>
      </c>
      <c r="J435" t="n">
        <v>4978.8608</v>
      </c>
      <c r="K435" t="n">
        <v>17197.4031</v>
      </c>
      <c r="L435" t="inlineStr"/>
      <c r="M435" t="inlineStr"/>
      <c r="N435" t="inlineStr"/>
      <c r="O435" t="inlineStr"/>
      <c r="P435" t="n">
        <v>2019</v>
      </c>
      <c r="Q435" t="n">
        <v>2035</v>
      </c>
      <c r="R435" t="n">
        <v>0.5229</v>
      </c>
      <c r="S435" t="n">
        <v>506.3191</v>
      </c>
      <c r="T435" t="n">
        <v>0.00100149</v>
      </c>
      <c r="U435" t="n">
        <v>0.00047124</v>
      </c>
    </row>
    <row r="436">
      <c r="A436" t="inlineStr">
        <is>
          <t>SUP-0044</t>
        </is>
      </c>
      <c r="B436" t="inlineStr">
        <is>
          <t>Chemicals Supplier 044</t>
        </is>
      </c>
      <c r="C436" t="inlineStr">
        <is>
          <t>Chemicals</t>
        </is>
      </c>
      <c r="D436" t="n">
        <v>2019</v>
      </c>
      <c r="E436" t="n">
        <v>24987738.46</v>
      </c>
      <c r="F436" t="n">
        <v>99683633.98999999</v>
      </c>
      <c r="G436" t="n">
        <v>22576.4717</v>
      </c>
      <c r="H436" t="n">
        <v>22576.4717</v>
      </c>
      <c r="I436" t="n">
        <v>2454.834</v>
      </c>
      <c r="J436" t="n">
        <v>4811.2581</v>
      </c>
      <c r="K436" t="n">
        <v>17174.9722</v>
      </c>
      <c r="L436" t="inlineStr"/>
      <c r="M436" t="inlineStr"/>
      <c r="N436" t="inlineStr"/>
      <c r="O436" t="inlineStr"/>
      <c r="P436" t="n">
        <v>2019</v>
      </c>
      <c r="Q436" t="n">
        <v>2035</v>
      </c>
      <c r="R436" t="n">
        <v>0.5229</v>
      </c>
      <c r="S436" t="n">
        <v>506.3191</v>
      </c>
      <c r="T436" t="n">
        <v>0.00100149</v>
      </c>
      <c r="U436" t="n">
        <v>0.00047124</v>
      </c>
    </row>
    <row r="437">
      <c r="A437" t="inlineStr">
        <is>
          <t>SUP-0044</t>
        </is>
      </c>
      <c r="B437" t="inlineStr">
        <is>
          <t>Chemicals Supplier 044</t>
        </is>
      </c>
      <c r="C437" t="inlineStr">
        <is>
          <t>Chemicals</t>
        </is>
      </c>
      <c r="D437" t="n">
        <v>2020</v>
      </c>
      <c r="E437" t="n">
        <v>27664349.08</v>
      </c>
      <c r="F437" t="n">
        <v>92797885.11</v>
      </c>
      <c r="G437" t="n">
        <v>29799.8593</v>
      </c>
      <c r="H437" t="n">
        <v>29799.8593</v>
      </c>
      <c r="I437" t="n">
        <v>7096.3223</v>
      </c>
      <c r="J437" t="n">
        <v>5743.3408</v>
      </c>
      <c r="K437" t="n">
        <v>16839.7499</v>
      </c>
      <c r="L437" t="inlineStr"/>
      <c r="M437" t="inlineStr"/>
      <c r="N437" t="inlineStr"/>
      <c r="O437" t="inlineStr"/>
      <c r="P437" t="n">
        <v>2019</v>
      </c>
      <c r="Q437" t="n">
        <v>2035</v>
      </c>
      <c r="R437" t="n">
        <v>0.5229</v>
      </c>
      <c r="S437" t="n">
        <v>506.3191</v>
      </c>
      <c r="T437" t="n">
        <v>0.00100149</v>
      </c>
      <c r="U437" t="n">
        <v>0.00047124</v>
      </c>
    </row>
    <row r="438">
      <c r="A438" t="inlineStr">
        <is>
          <t>SUP-0044</t>
        </is>
      </c>
      <c r="B438" t="inlineStr">
        <is>
          <t>Chemicals Supplier 044</t>
        </is>
      </c>
      <c r="C438" t="inlineStr">
        <is>
          <t>Chemicals</t>
        </is>
      </c>
      <c r="D438" t="n">
        <v>2021</v>
      </c>
      <c r="E438" t="n">
        <v>23629010.18</v>
      </c>
      <c r="F438" t="n">
        <v>96958904.06</v>
      </c>
      <c r="G438" t="n">
        <v>22270.1115</v>
      </c>
      <c r="H438" t="n">
        <v>22270.1115</v>
      </c>
      <c r="I438" t="n">
        <v>6121.4688</v>
      </c>
      <c r="J438" t="n">
        <v>2920.3443</v>
      </c>
      <c r="K438" t="n">
        <v>13989.317</v>
      </c>
      <c r="L438" t="inlineStr"/>
      <c r="M438" t="inlineStr"/>
      <c r="N438" t="inlineStr"/>
      <c r="O438" t="inlineStr"/>
      <c r="P438" t="n">
        <v>2019</v>
      </c>
      <c r="Q438" t="n">
        <v>2035</v>
      </c>
      <c r="R438" t="n">
        <v>0.5229</v>
      </c>
      <c r="S438" t="n">
        <v>506.3191</v>
      </c>
      <c r="T438" t="n">
        <v>0.00100149</v>
      </c>
      <c r="U438" t="n">
        <v>0.00047124</v>
      </c>
    </row>
    <row r="439">
      <c r="A439" t="inlineStr">
        <is>
          <t>SUP-0044</t>
        </is>
      </c>
      <c r="B439" t="inlineStr">
        <is>
          <t>Chemicals Supplier 044</t>
        </is>
      </c>
      <c r="C439" t="inlineStr">
        <is>
          <t>Chemicals</t>
        </is>
      </c>
      <c r="D439" t="n">
        <v>2022</v>
      </c>
      <c r="E439" t="n">
        <v>21470361.04</v>
      </c>
      <c r="F439" t="n">
        <v>84429917.16</v>
      </c>
      <c r="G439" t="n">
        <v>27769.2314</v>
      </c>
      <c r="H439" t="n">
        <v>27769.2314</v>
      </c>
      <c r="I439" t="n">
        <v>6460.9563</v>
      </c>
      <c r="J439" t="n">
        <v>4226.5764</v>
      </c>
      <c r="K439" t="n">
        <v>14467.1514</v>
      </c>
      <c r="L439" t="inlineStr"/>
      <c r="M439" t="inlineStr"/>
      <c r="N439" t="inlineStr"/>
      <c r="O439" t="inlineStr"/>
      <c r="P439" t="n">
        <v>2019</v>
      </c>
      <c r="Q439" t="n">
        <v>2035</v>
      </c>
      <c r="R439" t="n">
        <v>0.5229</v>
      </c>
      <c r="S439" t="n">
        <v>506.3191</v>
      </c>
      <c r="T439" t="n">
        <v>0.00100149</v>
      </c>
      <c r="U439" t="n">
        <v>0.00047124</v>
      </c>
    </row>
    <row r="440">
      <c r="A440" t="inlineStr">
        <is>
          <t>SUP-0044</t>
        </is>
      </c>
      <c r="B440" t="inlineStr">
        <is>
          <t>Chemicals Supplier 044</t>
        </is>
      </c>
      <c r="C440" t="inlineStr">
        <is>
          <t>Chemicals</t>
        </is>
      </c>
      <c r="D440" t="n">
        <v>2023</v>
      </c>
      <c r="E440" t="n">
        <v>30018481.46</v>
      </c>
      <c r="F440" t="n">
        <v>117075227.4</v>
      </c>
      <c r="G440" t="n">
        <v>24384.8085</v>
      </c>
      <c r="H440" t="n">
        <v>24384.8085</v>
      </c>
      <c r="I440" t="n">
        <v>5724.794</v>
      </c>
      <c r="J440" t="n">
        <v>2891.4276</v>
      </c>
      <c r="K440" t="n">
        <v>18362.0186</v>
      </c>
      <c r="L440" t="inlineStr"/>
      <c r="M440" t="inlineStr"/>
      <c r="N440" t="inlineStr"/>
      <c r="O440" t="inlineStr"/>
      <c r="P440" t="n">
        <v>2019</v>
      </c>
      <c r="Q440" t="n">
        <v>2035</v>
      </c>
      <c r="R440" t="n">
        <v>0.5229</v>
      </c>
      <c r="S440" t="n">
        <v>506.3191</v>
      </c>
      <c r="T440" t="n">
        <v>0.00100149</v>
      </c>
      <c r="U440" t="n">
        <v>0.00047124</v>
      </c>
    </row>
    <row r="441">
      <c r="A441" t="inlineStr">
        <is>
          <t>SUP-0044</t>
        </is>
      </c>
      <c r="B441" t="inlineStr">
        <is>
          <t>Chemicals Supplier 044</t>
        </is>
      </c>
      <c r="C441" t="inlineStr">
        <is>
          <t>Chemicals</t>
        </is>
      </c>
      <c r="D441" t="n">
        <v>2024</v>
      </c>
      <c r="E441" t="n">
        <v>27343951.9</v>
      </c>
      <c r="F441" t="n">
        <v>111608688.08</v>
      </c>
      <c r="G441" t="n">
        <v>31646.3834</v>
      </c>
      <c r="H441" t="n">
        <v>31646.3834</v>
      </c>
      <c r="I441" t="n">
        <v>4531.7686</v>
      </c>
      <c r="J441" t="n">
        <v>3731.7091</v>
      </c>
      <c r="K441" t="n">
        <v>22168.0061</v>
      </c>
      <c r="L441" t="inlineStr"/>
      <c r="M441" t="inlineStr"/>
      <c r="N441" t="inlineStr"/>
      <c r="O441" t="inlineStr"/>
      <c r="P441" t="n">
        <v>2019</v>
      </c>
      <c r="Q441" t="n">
        <v>2035</v>
      </c>
      <c r="R441" t="n">
        <v>0.5229</v>
      </c>
      <c r="S441" t="n">
        <v>506.3191</v>
      </c>
      <c r="T441" t="n">
        <v>0.00100149</v>
      </c>
      <c r="U441" t="n">
        <v>0.00047124</v>
      </c>
    </row>
    <row r="442">
      <c r="A442" t="inlineStr">
        <is>
          <t>SUP-0045</t>
        </is>
      </c>
      <c r="B442" t="inlineStr">
        <is>
          <t>Logistics Supplier 045</t>
        </is>
      </c>
      <c r="C442" t="inlineStr">
        <is>
          <t>Logistics</t>
        </is>
      </c>
      <c r="D442" t="n">
        <v>2015</v>
      </c>
      <c r="E442" t="n">
        <v>2211152.25</v>
      </c>
      <c r="F442" t="n">
        <v>11487908.72</v>
      </c>
      <c r="G442" t="n">
        <v>537.8563</v>
      </c>
      <c r="H442" t="n">
        <v>537.8563</v>
      </c>
      <c r="I442" t="n">
        <v>80.8023</v>
      </c>
      <c r="J442" t="n">
        <v>100.6066</v>
      </c>
      <c r="K442" t="n">
        <v>375.481</v>
      </c>
      <c r="L442" t="n">
        <v>2019</v>
      </c>
      <c r="M442" t="n">
        <v>2035</v>
      </c>
      <c r="N442" t="n">
        <v>0.5906</v>
      </c>
      <c r="O442" t="n">
        <v>0.2263</v>
      </c>
      <c r="P442" t="n">
        <v>2019</v>
      </c>
      <c r="Q442" t="n">
        <v>2040</v>
      </c>
      <c r="R442" t="n">
        <v>0.4616</v>
      </c>
      <c r="S442" t="n">
        <v>591.6386</v>
      </c>
      <c r="T442" t="n">
        <v>0.00022349</v>
      </c>
      <c r="U442" t="n">
        <v>0.00047787</v>
      </c>
    </row>
    <row r="443">
      <c r="A443" t="inlineStr">
        <is>
          <t>SUP-0045</t>
        </is>
      </c>
      <c r="B443" t="inlineStr">
        <is>
          <t>Logistics Supplier 045</t>
        </is>
      </c>
      <c r="C443" t="inlineStr">
        <is>
          <t>Logistics</t>
        </is>
      </c>
      <c r="D443" t="n">
        <v>2016</v>
      </c>
      <c r="E443" t="n">
        <v>2374249.83</v>
      </c>
      <c r="F443" t="n">
        <v>11819091.65</v>
      </c>
      <c r="G443" t="n">
        <v>690.8856</v>
      </c>
      <c r="H443" t="n">
        <v>690.8856</v>
      </c>
      <c r="I443" t="n">
        <v>89.22</v>
      </c>
      <c r="J443" t="n">
        <v>79.9152</v>
      </c>
      <c r="K443" t="n">
        <v>519.5663</v>
      </c>
      <c r="L443" t="n">
        <v>2019</v>
      </c>
      <c r="M443" t="n">
        <v>2035</v>
      </c>
      <c r="N443" t="n">
        <v>0.5906</v>
      </c>
      <c r="O443" t="n">
        <v>0.2263</v>
      </c>
      <c r="P443" t="n">
        <v>2019</v>
      </c>
      <c r="Q443" t="n">
        <v>2040</v>
      </c>
      <c r="R443" t="n">
        <v>0.4616</v>
      </c>
      <c r="S443" t="n">
        <v>591.6386</v>
      </c>
      <c r="T443" t="n">
        <v>0.00022349</v>
      </c>
      <c r="U443" t="n">
        <v>0.00047787</v>
      </c>
    </row>
    <row r="444">
      <c r="A444" t="inlineStr">
        <is>
          <t>SUP-0045</t>
        </is>
      </c>
      <c r="B444" t="inlineStr">
        <is>
          <t>Logistics Supplier 045</t>
        </is>
      </c>
      <c r="C444" t="inlineStr">
        <is>
          <t>Logistics</t>
        </is>
      </c>
      <c r="D444" t="n">
        <v>2017</v>
      </c>
      <c r="E444" t="n">
        <v>1839654.85</v>
      </c>
      <c r="F444" t="n">
        <v>14291988.23</v>
      </c>
      <c r="G444" t="n">
        <v>570.7465</v>
      </c>
      <c r="H444" t="n">
        <v>570.7465</v>
      </c>
      <c r="I444" t="n">
        <v>69.8939</v>
      </c>
      <c r="J444" t="n">
        <v>118.1408</v>
      </c>
      <c r="K444" t="n">
        <v>393.3224</v>
      </c>
      <c r="L444" t="n">
        <v>2019</v>
      </c>
      <c r="M444" t="n">
        <v>2035</v>
      </c>
      <c r="N444" t="n">
        <v>0.5906</v>
      </c>
      <c r="O444" t="n">
        <v>0.2263</v>
      </c>
      <c r="P444" t="n">
        <v>2019</v>
      </c>
      <c r="Q444" t="n">
        <v>2040</v>
      </c>
      <c r="R444" t="n">
        <v>0.4616</v>
      </c>
      <c r="S444" t="n">
        <v>591.6386</v>
      </c>
      <c r="T444" t="n">
        <v>0.00022349</v>
      </c>
      <c r="U444" t="n">
        <v>0.00047787</v>
      </c>
    </row>
    <row r="445">
      <c r="A445" t="inlineStr">
        <is>
          <t>SUP-0045</t>
        </is>
      </c>
      <c r="B445" t="inlineStr">
        <is>
          <t>Logistics Supplier 045</t>
        </is>
      </c>
      <c r="C445" t="inlineStr">
        <is>
          <t>Logistics</t>
        </is>
      </c>
      <c r="D445" t="n">
        <v>2018</v>
      </c>
      <c r="E445" t="n">
        <v>1860163.98</v>
      </c>
      <c r="F445" t="n">
        <v>11828497.96</v>
      </c>
      <c r="G445" t="n">
        <v>690.3167999999999</v>
      </c>
      <c r="H445" t="n">
        <v>690.3167999999999</v>
      </c>
      <c r="I445" t="n">
        <v>165.0793</v>
      </c>
      <c r="J445" t="n">
        <v>114.6016</v>
      </c>
      <c r="K445" t="n">
        <v>403.3426</v>
      </c>
      <c r="L445" t="n">
        <v>2019</v>
      </c>
      <c r="M445" t="n">
        <v>2035</v>
      </c>
      <c r="N445" t="n">
        <v>0.5906</v>
      </c>
      <c r="O445" t="n">
        <v>0.2263</v>
      </c>
      <c r="P445" t="n">
        <v>2019</v>
      </c>
      <c r="Q445" t="n">
        <v>2040</v>
      </c>
      <c r="R445" t="n">
        <v>0.4616</v>
      </c>
      <c r="S445" t="n">
        <v>591.6386</v>
      </c>
      <c r="T445" t="n">
        <v>0.00022349</v>
      </c>
      <c r="U445" t="n">
        <v>0.00047787</v>
      </c>
    </row>
    <row r="446">
      <c r="A446" t="inlineStr">
        <is>
          <t>SUP-0045</t>
        </is>
      </c>
      <c r="B446" t="inlineStr">
        <is>
          <t>Logistics Supplier 045</t>
        </is>
      </c>
      <c r="C446" t="inlineStr">
        <is>
          <t>Logistics</t>
        </is>
      </c>
      <c r="D446" t="n">
        <v>2019</v>
      </c>
      <c r="E446" t="n">
        <v>1961056.65</v>
      </c>
      <c r="F446" t="n">
        <v>13413641.41</v>
      </c>
      <c r="G446" t="n">
        <v>624.5126</v>
      </c>
      <c r="H446" t="n">
        <v>624.5126</v>
      </c>
      <c r="I446" t="n">
        <v>101.646</v>
      </c>
      <c r="J446" t="n">
        <v>55.5856</v>
      </c>
      <c r="K446" t="n">
        <v>505.5487</v>
      </c>
      <c r="L446" t="n">
        <v>2019</v>
      </c>
      <c r="M446" t="n">
        <v>2035</v>
      </c>
      <c r="N446" t="n">
        <v>0.5906</v>
      </c>
      <c r="O446" t="n">
        <v>0.2263</v>
      </c>
      <c r="P446" t="n">
        <v>2019</v>
      </c>
      <c r="Q446" t="n">
        <v>2040</v>
      </c>
      <c r="R446" t="n">
        <v>0.4616</v>
      </c>
      <c r="S446" t="n">
        <v>591.6386</v>
      </c>
      <c r="T446" t="n">
        <v>0.00022349</v>
      </c>
      <c r="U446" t="n">
        <v>0.00047787</v>
      </c>
    </row>
    <row r="447">
      <c r="A447" t="inlineStr">
        <is>
          <t>SUP-0045</t>
        </is>
      </c>
      <c r="B447" t="inlineStr">
        <is>
          <t>Logistics Supplier 045</t>
        </is>
      </c>
      <c r="C447" t="inlineStr">
        <is>
          <t>Logistics</t>
        </is>
      </c>
      <c r="D447" t="n">
        <v>2020</v>
      </c>
      <c r="E447" t="n">
        <v>2256193.68</v>
      </c>
      <c r="F447" t="n">
        <v>13291284.49</v>
      </c>
      <c r="G447" t="n">
        <v>806.03</v>
      </c>
      <c r="H447" t="n">
        <v>806.03</v>
      </c>
      <c r="I447" t="n">
        <v>100.3044</v>
      </c>
      <c r="J447" t="n">
        <v>131.8041</v>
      </c>
      <c r="K447" t="n">
        <v>537.5231</v>
      </c>
      <c r="L447" t="n">
        <v>2019</v>
      </c>
      <c r="M447" t="n">
        <v>2035</v>
      </c>
      <c r="N447" t="n">
        <v>0.5906</v>
      </c>
      <c r="O447" t="n">
        <v>0.2263</v>
      </c>
      <c r="P447" t="n">
        <v>2019</v>
      </c>
      <c r="Q447" t="n">
        <v>2040</v>
      </c>
      <c r="R447" t="n">
        <v>0.4616</v>
      </c>
      <c r="S447" t="n">
        <v>591.6386</v>
      </c>
      <c r="T447" t="n">
        <v>0.00022349</v>
      </c>
      <c r="U447" t="n">
        <v>0.00047787</v>
      </c>
    </row>
    <row r="448">
      <c r="A448" t="inlineStr">
        <is>
          <t>SUP-0045</t>
        </is>
      </c>
      <c r="B448" t="inlineStr">
        <is>
          <t>Logistics Supplier 045</t>
        </is>
      </c>
      <c r="C448" t="inlineStr">
        <is>
          <t>Logistics</t>
        </is>
      </c>
      <c r="D448" t="n">
        <v>2021</v>
      </c>
      <c r="E448" t="n">
        <v>2117050.4</v>
      </c>
      <c r="F448" t="n">
        <v>12476552.92</v>
      </c>
      <c r="G448" t="n">
        <v>656.8422</v>
      </c>
      <c r="H448" t="n">
        <v>656.8422</v>
      </c>
      <c r="I448" t="n">
        <v>124.3946</v>
      </c>
      <c r="J448" t="n">
        <v>77.67610000000001</v>
      </c>
      <c r="K448" t="n">
        <v>474.6327</v>
      </c>
      <c r="L448" t="n">
        <v>2019</v>
      </c>
      <c r="M448" t="n">
        <v>2035</v>
      </c>
      <c r="N448" t="n">
        <v>0.5906</v>
      </c>
      <c r="O448" t="n">
        <v>0.2263</v>
      </c>
      <c r="P448" t="n">
        <v>2019</v>
      </c>
      <c r="Q448" t="n">
        <v>2040</v>
      </c>
      <c r="R448" t="n">
        <v>0.4616</v>
      </c>
      <c r="S448" t="n">
        <v>591.6386</v>
      </c>
      <c r="T448" t="n">
        <v>0.00022349</v>
      </c>
      <c r="U448" t="n">
        <v>0.00047787</v>
      </c>
    </row>
    <row r="449">
      <c r="A449" t="inlineStr">
        <is>
          <t>SUP-0045</t>
        </is>
      </c>
      <c r="B449" t="inlineStr">
        <is>
          <t>Logistics Supplier 045</t>
        </is>
      </c>
      <c r="C449" t="inlineStr">
        <is>
          <t>Logistics</t>
        </is>
      </c>
      <c r="D449" t="n">
        <v>2022</v>
      </c>
      <c r="E449" t="n">
        <v>2095557.22</v>
      </c>
      <c r="F449" t="n">
        <v>11531062.98</v>
      </c>
      <c r="G449" t="n">
        <v>728.5343</v>
      </c>
      <c r="H449" t="n">
        <v>728.5343</v>
      </c>
      <c r="I449" t="n">
        <v>146.6258</v>
      </c>
      <c r="J449" t="n">
        <v>61.3679</v>
      </c>
      <c r="K449" t="n">
        <v>460.6891</v>
      </c>
      <c r="L449" t="n">
        <v>2019</v>
      </c>
      <c r="M449" t="n">
        <v>2035</v>
      </c>
      <c r="N449" t="n">
        <v>0.5906</v>
      </c>
      <c r="O449" t="n">
        <v>0.2263</v>
      </c>
      <c r="P449" t="n">
        <v>2019</v>
      </c>
      <c r="Q449" t="n">
        <v>2040</v>
      </c>
      <c r="R449" t="n">
        <v>0.4616</v>
      </c>
      <c r="S449" t="n">
        <v>591.6386</v>
      </c>
      <c r="T449" t="n">
        <v>0.00022349</v>
      </c>
      <c r="U449" t="n">
        <v>0.00047787</v>
      </c>
    </row>
    <row r="450">
      <c r="A450" t="inlineStr">
        <is>
          <t>SUP-0045</t>
        </is>
      </c>
      <c r="B450" t="inlineStr">
        <is>
          <t>Logistics Supplier 045</t>
        </is>
      </c>
      <c r="C450" t="inlineStr">
        <is>
          <t>Logistics</t>
        </is>
      </c>
      <c r="D450" t="n">
        <v>2023</v>
      </c>
      <c r="E450" t="n">
        <v>1934122.43</v>
      </c>
      <c r="F450" t="n">
        <v>7730766.31</v>
      </c>
      <c r="G450" t="n">
        <v>691.4733</v>
      </c>
      <c r="H450" t="n">
        <v>691.4733</v>
      </c>
      <c r="I450" t="n">
        <v>83.78060000000001</v>
      </c>
      <c r="J450" t="n">
        <v>116.0563</v>
      </c>
      <c r="K450" t="n">
        <v>452.9853</v>
      </c>
      <c r="L450" t="n">
        <v>2019</v>
      </c>
      <c r="M450" t="n">
        <v>2035</v>
      </c>
      <c r="N450" t="n">
        <v>0.5906</v>
      </c>
      <c r="O450" t="n">
        <v>0.2263</v>
      </c>
      <c r="P450" t="n">
        <v>2019</v>
      </c>
      <c r="Q450" t="n">
        <v>2040</v>
      </c>
      <c r="R450" t="n">
        <v>0.4616</v>
      </c>
      <c r="S450" t="n">
        <v>591.6386</v>
      </c>
      <c r="T450" t="n">
        <v>0.00022349</v>
      </c>
      <c r="U450" t="n">
        <v>0.00047787</v>
      </c>
    </row>
    <row r="451">
      <c r="A451" t="inlineStr">
        <is>
          <t>SUP-0045</t>
        </is>
      </c>
      <c r="B451" t="inlineStr">
        <is>
          <t>Logistics Supplier 045</t>
        </is>
      </c>
      <c r="C451" t="inlineStr">
        <is>
          <t>Logistics</t>
        </is>
      </c>
      <c r="D451" t="n">
        <v>2024</v>
      </c>
      <c r="E451" t="n">
        <v>1698255.43</v>
      </c>
      <c r="F451" t="n">
        <v>11816970.36</v>
      </c>
      <c r="G451" t="n">
        <v>671.0594</v>
      </c>
      <c r="H451" t="n">
        <v>671.0594</v>
      </c>
      <c r="I451" t="n">
        <v>101.3782</v>
      </c>
      <c r="J451" t="n">
        <v>91.246</v>
      </c>
      <c r="K451" t="n">
        <v>474.1713</v>
      </c>
      <c r="L451" t="n">
        <v>2019</v>
      </c>
      <c r="M451" t="n">
        <v>2035</v>
      </c>
      <c r="N451" t="n">
        <v>0.5906</v>
      </c>
      <c r="O451" t="n">
        <v>0.2263</v>
      </c>
      <c r="P451" t="n">
        <v>2019</v>
      </c>
      <c r="Q451" t="n">
        <v>2040</v>
      </c>
      <c r="R451" t="n">
        <v>0.4616</v>
      </c>
      <c r="S451" t="n">
        <v>591.6386</v>
      </c>
      <c r="T451" t="n">
        <v>0.00022349</v>
      </c>
      <c r="U451" t="n">
        <v>0.00047787</v>
      </c>
    </row>
    <row r="452">
      <c r="A452" t="inlineStr">
        <is>
          <t>SUP-0046</t>
        </is>
      </c>
      <c r="B452" t="inlineStr">
        <is>
          <t>Textiles Supplier 046</t>
        </is>
      </c>
      <c r="C452" t="inlineStr">
        <is>
          <t>Textiles</t>
        </is>
      </c>
      <c r="D452" t="n">
        <v>2015</v>
      </c>
      <c r="E452" t="n">
        <v>24029656</v>
      </c>
      <c r="F452" t="n">
        <v>155668093.29</v>
      </c>
      <c r="G452" t="n">
        <v>11348.9965</v>
      </c>
      <c r="H452" t="n">
        <v>11348.9965</v>
      </c>
      <c r="I452" t="n">
        <v>1082.9227</v>
      </c>
      <c r="J452" t="n">
        <v>2222.7033</v>
      </c>
      <c r="K452" t="n">
        <v>8010.2236</v>
      </c>
      <c r="L452" t="inlineStr"/>
      <c r="M452" t="inlineStr"/>
      <c r="N452" t="inlineStr"/>
      <c r="O452" t="inlineStr"/>
      <c r="P452" t="n">
        <v>2019</v>
      </c>
      <c r="Q452" t="n">
        <v>2030</v>
      </c>
      <c r="R452" t="n">
        <v>0.3171</v>
      </c>
      <c r="S452" t="n">
        <v>401.7335</v>
      </c>
      <c r="T452" t="n">
        <v>0.00029221</v>
      </c>
      <c r="U452" t="n">
        <v>0.00017343</v>
      </c>
    </row>
    <row r="453">
      <c r="A453" t="inlineStr">
        <is>
          <t>SUP-0046</t>
        </is>
      </c>
      <c r="B453" t="inlineStr">
        <is>
          <t>Textiles Supplier 046</t>
        </is>
      </c>
      <c r="C453" t="inlineStr">
        <is>
          <t>Textiles</t>
        </is>
      </c>
      <c r="D453" t="n">
        <v>2016</v>
      </c>
      <c r="E453" t="n">
        <v>26279381.17</v>
      </c>
      <c r="F453" t="n">
        <v>194126677.39</v>
      </c>
      <c r="G453" t="n">
        <v>8111.7001</v>
      </c>
      <c r="H453" t="n">
        <v>8111.7001</v>
      </c>
      <c r="I453" t="n">
        <v>1037.1225</v>
      </c>
      <c r="J453" t="n">
        <v>1527.6194</v>
      </c>
      <c r="K453" t="n">
        <v>5321.8724</v>
      </c>
      <c r="L453" t="inlineStr"/>
      <c r="M453" t="inlineStr"/>
      <c r="N453" t="inlineStr"/>
      <c r="O453" t="inlineStr"/>
      <c r="P453" t="n">
        <v>2019</v>
      </c>
      <c r="Q453" t="n">
        <v>2030</v>
      </c>
      <c r="R453" t="n">
        <v>0.3171</v>
      </c>
      <c r="S453" t="n">
        <v>401.7335</v>
      </c>
      <c r="T453" t="n">
        <v>0.00029221</v>
      </c>
      <c r="U453" t="n">
        <v>0.00017343</v>
      </c>
    </row>
    <row r="454">
      <c r="A454" t="inlineStr">
        <is>
          <t>SUP-0046</t>
        </is>
      </c>
      <c r="B454" t="inlineStr">
        <is>
          <t>Textiles Supplier 046</t>
        </is>
      </c>
      <c r="C454" t="inlineStr">
        <is>
          <t>Textiles</t>
        </is>
      </c>
      <c r="D454" t="n">
        <v>2017</v>
      </c>
      <c r="E454" t="n">
        <v>29996111.83</v>
      </c>
      <c r="F454" t="n">
        <v>171004328.6</v>
      </c>
      <c r="G454" t="n">
        <v>13190.7967</v>
      </c>
      <c r="H454" t="n">
        <v>13190.7967</v>
      </c>
      <c r="I454" t="n">
        <v>2379.0104</v>
      </c>
      <c r="J454" t="n">
        <v>1128.5148</v>
      </c>
      <c r="K454" t="n">
        <v>9628.443300000001</v>
      </c>
      <c r="L454" t="inlineStr"/>
      <c r="M454" t="inlineStr"/>
      <c r="N454" t="inlineStr"/>
      <c r="O454" t="inlineStr"/>
      <c r="P454" t="n">
        <v>2019</v>
      </c>
      <c r="Q454" t="n">
        <v>2030</v>
      </c>
      <c r="R454" t="n">
        <v>0.3171</v>
      </c>
      <c r="S454" t="n">
        <v>401.7335</v>
      </c>
      <c r="T454" t="n">
        <v>0.00029221</v>
      </c>
      <c r="U454" t="n">
        <v>0.00017343</v>
      </c>
    </row>
    <row r="455">
      <c r="A455" t="inlineStr">
        <is>
          <t>SUP-0046</t>
        </is>
      </c>
      <c r="B455" t="inlineStr">
        <is>
          <t>Textiles Supplier 046</t>
        </is>
      </c>
      <c r="C455" t="inlineStr">
        <is>
          <t>Textiles</t>
        </is>
      </c>
      <c r="D455" t="n">
        <v>2018</v>
      </c>
      <c r="E455" t="n">
        <v>28618743.31</v>
      </c>
      <c r="F455" t="n">
        <v>190142286.79</v>
      </c>
      <c r="G455" t="n">
        <v>11572.7532</v>
      </c>
      <c r="H455" t="n">
        <v>11572.7532</v>
      </c>
      <c r="I455" t="n">
        <v>2826</v>
      </c>
      <c r="J455" t="n">
        <v>2183.4558</v>
      </c>
      <c r="K455" t="n">
        <v>6224.2889</v>
      </c>
      <c r="L455" t="inlineStr"/>
      <c r="M455" t="inlineStr"/>
      <c r="N455" t="inlineStr"/>
      <c r="O455" t="inlineStr"/>
      <c r="P455" t="n">
        <v>2019</v>
      </c>
      <c r="Q455" t="n">
        <v>2030</v>
      </c>
      <c r="R455" t="n">
        <v>0.3171</v>
      </c>
      <c r="S455" t="n">
        <v>401.7335</v>
      </c>
      <c r="T455" t="n">
        <v>0.00029221</v>
      </c>
      <c r="U455" t="n">
        <v>0.00017343</v>
      </c>
    </row>
    <row r="456">
      <c r="A456" t="inlineStr">
        <is>
          <t>SUP-0046</t>
        </is>
      </c>
      <c r="B456" t="inlineStr">
        <is>
          <t>Textiles Supplier 046</t>
        </is>
      </c>
      <c r="C456" t="inlineStr">
        <is>
          <t>Textiles</t>
        </is>
      </c>
      <c r="D456" t="n">
        <v>2019</v>
      </c>
      <c r="E456" t="n">
        <v>25377883.54</v>
      </c>
      <c r="F456" t="n">
        <v>210883949.18</v>
      </c>
      <c r="G456" t="n">
        <v>10379.4734</v>
      </c>
      <c r="H456" t="n">
        <v>10379.4734</v>
      </c>
      <c r="I456" t="n">
        <v>1106.6352</v>
      </c>
      <c r="J456" t="n">
        <v>999.9177</v>
      </c>
      <c r="K456" t="n">
        <v>8107.3024</v>
      </c>
      <c r="L456" t="inlineStr"/>
      <c r="M456" t="inlineStr"/>
      <c r="N456" t="inlineStr"/>
      <c r="O456" t="inlineStr"/>
      <c r="P456" t="n">
        <v>2019</v>
      </c>
      <c r="Q456" t="n">
        <v>2030</v>
      </c>
      <c r="R456" t="n">
        <v>0.3171</v>
      </c>
      <c r="S456" t="n">
        <v>401.7335</v>
      </c>
      <c r="T456" t="n">
        <v>0.00029221</v>
      </c>
      <c r="U456" t="n">
        <v>0.00017343</v>
      </c>
    </row>
    <row r="457">
      <c r="A457" t="inlineStr">
        <is>
          <t>SUP-0046</t>
        </is>
      </c>
      <c r="B457" t="inlineStr">
        <is>
          <t>Textiles Supplier 046</t>
        </is>
      </c>
      <c r="C457" t="inlineStr">
        <is>
          <t>Textiles</t>
        </is>
      </c>
      <c r="D457" t="n">
        <v>2020</v>
      </c>
      <c r="E457" t="n">
        <v>24694630.16</v>
      </c>
      <c r="F457" t="n">
        <v>216554903.9</v>
      </c>
      <c r="G457" t="n">
        <v>9019.457899999999</v>
      </c>
      <c r="H457" t="n">
        <v>9019.457899999999</v>
      </c>
      <c r="I457" t="n">
        <v>2292.7129</v>
      </c>
      <c r="J457" t="n">
        <v>781.8221</v>
      </c>
      <c r="K457" t="n">
        <v>5835.7112</v>
      </c>
      <c r="L457" t="inlineStr"/>
      <c r="M457" t="inlineStr"/>
      <c r="N457" t="inlineStr"/>
      <c r="O457" t="inlineStr"/>
      <c r="P457" t="n">
        <v>2019</v>
      </c>
      <c r="Q457" t="n">
        <v>2030</v>
      </c>
      <c r="R457" t="n">
        <v>0.3171</v>
      </c>
      <c r="S457" t="n">
        <v>401.7335</v>
      </c>
      <c r="T457" t="n">
        <v>0.00029221</v>
      </c>
      <c r="U457" t="n">
        <v>0.00017343</v>
      </c>
    </row>
    <row r="458">
      <c r="A458" t="inlineStr">
        <is>
          <t>SUP-0046</t>
        </is>
      </c>
      <c r="B458" t="inlineStr">
        <is>
          <t>Textiles Supplier 046</t>
        </is>
      </c>
      <c r="C458" t="inlineStr">
        <is>
          <t>Textiles</t>
        </is>
      </c>
      <c r="D458" t="n">
        <v>2021</v>
      </c>
      <c r="E458" t="n">
        <v>29111144.35</v>
      </c>
      <c r="F458" t="n">
        <v>306325725.59</v>
      </c>
      <c r="G458" t="n">
        <v>10974.344</v>
      </c>
      <c r="H458" t="n">
        <v>10974.344</v>
      </c>
      <c r="I458" t="n">
        <v>3012.9673</v>
      </c>
      <c r="J458" t="n">
        <v>1190.2566</v>
      </c>
      <c r="K458" t="n">
        <v>6636.4941</v>
      </c>
      <c r="L458" t="inlineStr"/>
      <c r="M458" t="inlineStr"/>
      <c r="N458" t="inlineStr"/>
      <c r="O458" t="inlineStr"/>
      <c r="P458" t="n">
        <v>2019</v>
      </c>
      <c r="Q458" t="n">
        <v>2030</v>
      </c>
      <c r="R458" t="n">
        <v>0.3171</v>
      </c>
      <c r="S458" t="n">
        <v>401.7335</v>
      </c>
      <c r="T458" t="n">
        <v>0.00029221</v>
      </c>
      <c r="U458" t="n">
        <v>0.00017343</v>
      </c>
    </row>
    <row r="459">
      <c r="A459" t="inlineStr">
        <is>
          <t>SUP-0046</t>
        </is>
      </c>
      <c r="B459" t="inlineStr">
        <is>
          <t>Textiles Supplier 046</t>
        </is>
      </c>
      <c r="C459" t="inlineStr">
        <is>
          <t>Textiles</t>
        </is>
      </c>
      <c r="D459" t="n">
        <v>2022</v>
      </c>
      <c r="E459" t="n">
        <v>31700340.94</v>
      </c>
      <c r="F459" t="n">
        <v>239038969.82</v>
      </c>
      <c r="G459" t="n">
        <v>12091.9374</v>
      </c>
      <c r="H459" t="n">
        <v>12091.9374</v>
      </c>
      <c r="I459" t="n">
        <v>2648.8736</v>
      </c>
      <c r="J459" t="n">
        <v>1726.855</v>
      </c>
      <c r="K459" t="n">
        <v>7009.3499</v>
      </c>
      <c r="L459" t="inlineStr"/>
      <c r="M459" t="inlineStr"/>
      <c r="N459" t="inlineStr"/>
      <c r="O459" t="inlineStr"/>
      <c r="P459" t="n">
        <v>2019</v>
      </c>
      <c r="Q459" t="n">
        <v>2030</v>
      </c>
      <c r="R459" t="n">
        <v>0.3171</v>
      </c>
      <c r="S459" t="n">
        <v>401.7335</v>
      </c>
      <c r="T459" t="n">
        <v>0.00029221</v>
      </c>
      <c r="U459" t="n">
        <v>0.00017343</v>
      </c>
    </row>
    <row r="460">
      <c r="A460" t="inlineStr">
        <is>
          <t>SUP-0046</t>
        </is>
      </c>
      <c r="B460" t="inlineStr">
        <is>
          <t>Textiles Supplier 046</t>
        </is>
      </c>
      <c r="C460" t="inlineStr">
        <is>
          <t>Textiles</t>
        </is>
      </c>
      <c r="D460" t="n">
        <v>2023</v>
      </c>
      <c r="E460" t="n">
        <v>29758324.09</v>
      </c>
      <c r="F460" t="n">
        <v>264275277.69</v>
      </c>
      <c r="G460" t="n">
        <v>9779.3001</v>
      </c>
      <c r="H460" t="n">
        <v>9779.3001</v>
      </c>
      <c r="I460" t="n">
        <v>1009.9358</v>
      </c>
      <c r="J460" t="n">
        <v>1391.1191</v>
      </c>
      <c r="K460" t="n">
        <v>6973.3488</v>
      </c>
      <c r="L460" t="inlineStr"/>
      <c r="M460" t="inlineStr"/>
      <c r="N460" t="inlineStr"/>
      <c r="O460" t="inlineStr"/>
      <c r="P460" t="n">
        <v>2019</v>
      </c>
      <c r="Q460" t="n">
        <v>2030</v>
      </c>
      <c r="R460" t="n">
        <v>0.3171</v>
      </c>
      <c r="S460" t="n">
        <v>401.7335</v>
      </c>
      <c r="T460" t="n">
        <v>0.00029221</v>
      </c>
      <c r="U460" t="n">
        <v>0.00017343</v>
      </c>
    </row>
    <row r="461">
      <c r="A461" t="inlineStr">
        <is>
          <t>SUP-0046</t>
        </is>
      </c>
      <c r="B461" t="inlineStr">
        <is>
          <t>Textiles Supplier 046</t>
        </is>
      </c>
      <c r="C461" t="inlineStr">
        <is>
          <t>Textiles</t>
        </is>
      </c>
      <c r="D461" t="n">
        <v>2024</v>
      </c>
      <c r="E461" t="n">
        <v>35669239.14</v>
      </c>
      <c r="F461" t="n">
        <v>298991933.66</v>
      </c>
      <c r="G461" t="n">
        <v>10245.2754</v>
      </c>
      <c r="H461" t="n">
        <v>10245.2754</v>
      </c>
      <c r="I461" t="n">
        <v>2575.2464</v>
      </c>
      <c r="J461" t="n">
        <v>1393.8351</v>
      </c>
      <c r="K461" t="n">
        <v>6178.8654</v>
      </c>
      <c r="L461" t="inlineStr"/>
      <c r="M461" t="inlineStr"/>
      <c r="N461" t="inlineStr"/>
      <c r="O461" t="inlineStr"/>
      <c r="P461" t="n">
        <v>2019</v>
      </c>
      <c r="Q461" t="n">
        <v>2030</v>
      </c>
      <c r="R461" t="n">
        <v>0.3171</v>
      </c>
      <c r="S461" t="n">
        <v>401.7335</v>
      </c>
      <c r="T461" t="n">
        <v>0.00029221</v>
      </c>
      <c r="U461" t="n">
        <v>0.00017343</v>
      </c>
    </row>
    <row r="462">
      <c r="A462" t="inlineStr">
        <is>
          <t>SUP-0047</t>
        </is>
      </c>
      <c r="B462" t="inlineStr">
        <is>
          <t>Packaging Supplier 047</t>
        </is>
      </c>
      <c r="C462" t="inlineStr">
        <is>
          <t>Packaging</t>
        </is>
      </c>
      <c r="D462" t="n">
        <v>2015</v>
      </c>
      <c r="E462" t="n">
        <v>16793833.43</v>
      </c>
      <c r="F462" t="n">
        <v>53492736.11</v>
      </c>
      <c r="G462" t="n">
        <v>12486.143</v>
      </c>
      <c r="H462" t="n">
        <v>12486.143</v>
      </c>
      <c r="I462" t="n">
        <v>3665.588</v>
      </c>
      <c r="J462" t="n">
        <v>2152.6369</v>
      </c>
      <c r="K462" t="n">
        <v>7372.0366</v>
      </c>
      <c r="L462" t="n">
        <v>2018</v>
      </c>
      <c r="M462" t="n">
        <v>2040</v>
      </c>
      <c r="N462" t="n">
        <v>0.3939</v>
      </c>
      <c r="O462" t="n">
        <v>0.2136</v>
      </c>
      <c r="P462" t="n">
        <v>2018</v>
      </c>
      <c r="Q462" t="n">
        <v>2040</v>
      </c>
      <c r="R462" t="n">
        <v>0.3112</v>
      </c>
      <c r="S462" t="n">
        <v>702.4188</v>
      </c>
      <c r="T462" t="n">
        <v>0.0010803</v>
      </c>
      <c r="U462" t="n">
        <v>0.00078946</v>
      </c>
    </row>
    <row r="463">
      <c r="A463" t="inlineStr">
        <is>
          <t>SUP-0047</t>
        </is>
      </c>
      <c r="B463" t="inlineStr">
        <is>
          <t>Packaging Supplier 047</t>
        </is>
      </c>
      <c r="C463" t="inlineStr">
        <is>
          <t>Packaging</t>
        </is>
      </c>
      <c r="D463" t="n">
        <v>2016</v>
      </c>
      <c r="E463" t="n">
        <v>14940633.02</v>
      </c>
      <c r="F463" t="n">
        <v>61469681.33</v>
      </c>
      <c r="G463" t="n">
        <v>11117.2313</v>
      </c>
      <c r="H463" t="n">
        <v>11117.2313</v>
      </c>
      <c r="I463" t="n">
        <v>1402.1528</v>
      </c>
      <c r="J463" t="n">
        <v>1157.0224</v>
      </c>
      <c r="K463" t="n">
        <v>7829.6058</v>
      </c>
      <c r="L463" t="n">
        <v>2018</v>
      </c>
      <c r="M463" t="n">
        <v>2040</v>
      </c>
      <c r="N463" t="n">
        <v>0.3939</v>
      </c>
      <c r="O463" t="n">
        <v>0.2136</v>
      </c>
      <c r="P463" t="n">
        <v>2018</v>
      </c>
      <c r="Q463" t="n">
        <v>2040</v>
      </c>
      <c r="R463" t="n">
        <v>0.3112</v>
      </c>
      <c r="S463" t="n">
        <v>702.4188</v>
      </c>
      <c r="T463" t="n">
        <v>0.0010803</v>
      </c>
      <c r="U463" t="n">
        <v>0.00078946</v>
      </c>
    </row>
    <row r="464">
      <c r="A464" t="inlineStr">
        <is>
          <t>SUP-0047</t>
        </is>
      </c>
      <c r="B464" t="inlineStr">
        <is>
          <t>Packaging Supplier 047</t>
        </is>
      </c>
      <c r="C464" t="inlineStr">
        <is>
          <t>Packaging</t>
        </is>
      </c>
      <c r="D464" t="n">
        <v>2017</v>
      </c>
      <c r="E464" t="n">
        <v>18390725.16</v>
      </c>
      <c r="F464" t="n">
        <v>56953449.62</v>
      </c>
      <c r="G464" t="n">
        <v>14040.9276</v>
      </c>
      <c r="H464" t="n">
        <v>14040.9276</v>
      </c>
      <c r="I464" t="n">
        <v>2874.6935</v>
      </c>
      <c r="J464" t="n">
        <v>1167.9628</v>
      </c>
      <c r="K464" t="n">
        <v>9771.184300000001</v>
      </c>
      <c r="L464" t="n">
        <v>2018</v>
      </c>
      <c r="M464" t="n">
        <v>2040</v>
      </c>
      <c r="N464" t="n">
        <v>0.3939</v>
      </c>
      <c r="O464" t="n">
        <v>0.2136</v>
      </c>
      <c r="P464" t="n">
        <v>2018</v>
      </c>
      <c r="Q464" t="n">
        <v>2040</v>
      </c>
      <c r="R464" t="n">
        <v>0.3112</v>
      </c>
      <c r="S464" t="n">
        <v>702.4188</v>
      </c>
      <c r="T464" t="n">
        <v>0.0010803</v>
      </c>
      <c r="U464" t="n">
        <v>0.00078946</v>
      </c>
    </row>
    <row r="465">
      <c r="A465" t="inlineStr">
        <is>
          <t>SUP-0047</t>
        </is>
      </c>
      <c r="B465" t="inlineStr">
        <is>
          <t>Packaging Supplier 047</t>
        </is>
      </c>
      <c r="C465" t="inlineStr">
        <is>
          <t>Packaging</t>
        </is>
      </c>
      <c r="D465" t="n">
        <v>2018</v>
      </c>
      <c r="E465" t="n">
        <v>17398949.92</v>
      </c>
      <c r="F465" t="n">
        <v>78585153.59</v>
      </c>
      <c r="G465" t="n">
        <v>11313.691</v>
      </c>
      <c r="H465" t="n">
        <v>11313.691</v>
      </c>
      <c r="I465" t="n">
        <v>2958.2428</v>
      </c>
      <c r="J465" t="n">
        <v>1889.7384</v>
      </c>
      <c r="K465" t="n">
        <v>6484.7143</v>
      </c>
      <c r="L465" t="n">
        <v>2018</v>
      </c>
      <c r="M465" t="n">
        <v>2040</v>
      </c>
      <c r="N465" t="n">
        <v>0.3939</v>
      </c>
      <c r="O465" t="n">
        <v>0.2136</v>
      </c>
      <c r="P465" t="n">
        <v>2018</v>
      </c>
      <c r="Q465" t="n">
        <v>2040</v>
      </c>
      <c r="R465" t="n">
        <v>0.3112</v>
      </c>
      <c r="S465" t="n">
        <v>702.4188</v>
      </c>
      <c r="T465" t="n">
        <v>0.0010803</v>
      </c>
      <c r="U465" t="n">
        <v>0.00078946</v>
      </c>
    </row>
    <row r="466">
      <c r="A466" t="inlineStr">
        <is>
          <t>SUP-0047</t>
        </is>
      </c>
      <c r="B466" t="inlineStr">
        <is>
          <t>Packaging Supplier 047</t>
        </is>
      </c>
      <c r="C466" t="inlineStr">
        <is>
          <t>Packaging</t>
        </is>
      </c>
      <c r="D466" t="n">
        <v>2019</v>
      </c>
      <c r="E466" t="n">
        <v>19662075.48</v>
      </c>
      <c r="F466" t="n">
        <v>92712221.79000001</v>
      </c>
      <c r="G466" t="n">
        <v>11309.5815</v>
      </c>
      <c r="H466" t="n">
        <v>11309.5815</v>
      </c>
      <c r="I466" t="n">
        <v>1997.1922</v>
      </c>
      <c r="J466" t="n">
        <v>1214.3548</v>
      </c>
      <c r="K466" t="n">
        <v>7775.245</v>
      </c>
      <c r="L466" t="n">
        <v>2018</v>
      </c>
      <c r="M466" t="n">
        <v>2040</v>
      </c>
      <c r="N466" t="n">
        <v>0.3939</v>
      </c>
      <c r="O466" t="n">
        <v>0.2136</v>
      </c>
      <c r="P466" t="n">
        <v>2018</v>
      </c>
      <c r="Q466" t="n">
        <v>2040</v>
      </c>
      <c r="R466" t="n">
        <v>0.3112</v>
      </c>
      <c r="S466" t="n">
        <v>702.4188</v>
      </c>
      <c r="T466" t="n">
        <v>0.0010803</v>
      </c>
      <c r="U466" t="n">
        <v>0.00078946</v>
      </c>
    </row>
    <row r="467">
      <c r="A467" t="inlineStr">
        <is>
          <t>SUP-0047</t>
        </is>
      </c>
      <c r="B467" t="inlineStr">
        <is>
          <t>Packaging Supplier 047</t>
        </is>
      </c>
      <c r="C467" t="inlineStr">
        <is>
          <t>Packaging</t>
        </is>
      </c>
      <c r="D467" t="n">
        <v>2020</v>
      </c>
      <c r="E467" t="n">
        <v>22643064.03</v>
      </c>
      <c r="F467" t="n">
        <v>81515325.38</v>
      </c>
      <c r="G467" t="n">
        <v>14248.534</v>
      </c>
      <c r="H467" t="n">
        <v>14248.534</v>
      </c>
      <c r="I467" t="n">
        <v>3701.9178</v>
      </c>
      <c r="J467" t="n">
        <v>1810.7953</v>
      </c>
      <c r="K467" t="n">
        <v>8485.560299999999</v>
      </c>
      <c r="L467" t="n">
        <v>2018</v>
      </c>
      <c r="M467" t="n">
        <v>2040</v>
      </c>
      <c r="N467" t="n">
        <v>0.3939</v>
      </c>
      <c r="O467" t="n">
        <v>0.2136</v>
      </c>
      <c r="P467" t="n">
        <v>2018</v>
      </c>
      <c r="Q467" t="n">
        <v>2040</v>
      </c>
      <c r="R467" t="n">
        <v>0.3112</v>
      </c>
      <c r="S467" t="n">
        <v>702.4188</v>
      </c>
      <c r="T467" t="n">
        <v>0.0010803</v>
      </c>
      <c r="U467" t="n">
        <v>0.00078946</v>
      </c>
    </row>
    <row r="468">
      <c r="A468" t="inlineStr">
        <is>
          <t>SUP-0047</t>
        </is>
      </c>
      <c r="B468" t="inlineStr">
        <is>
          <t>Packaging Supplier 047</t>
        </is>
      </c>
      <c r="C468" t="inlineStr">
        <is>
          <t>Packaging</t>
        </is>
      </c>
      <c r="D468" t="n">
        <v>2021</v>
      </c>
      <c r="E468" t="n">
        <v>23945464.44</v>
      </c>
      <c r="F468" t="n">
        <v>96609387.23999999</v>
      </c>
      <c r="G468" t="n">
        <v>13189.7769</v>
      </c>
      <c r="H468" t="n">
        <v>13189.7769</v>
      </c>
      <c r="I468" t="n">
        <v>1223.3192</v>
      </c>
      <c r="J468" t="n">
        <v>2178.3025</v>
      </c>
      <c r="K468" t="n">
        <v>10612.0074</v>
      </c>
      <c r="L468" t="n">
        <v>2018</v>
      </c>
      <c r="M468" t="n">
        <v>2040</v>
      </c>
      <c r="N468" t="n">
        <v>0.3939</v>
      </c>
      <c r="O468" t="n">
        <v>0.2136</v>
      </c>
      <c r="P468" t="n">
        <v>2018</v>
      </c>
      <c r="Q468" t="n">
        <v>2040</v>
      </c>
      <c r="R468" t="n">
        <v>0.3112</v>
      </c>
      <c r="S468" t="n">
        <v>702.4188</v>
      </c>
      <c r="T468" t="n">
        <v>0.0010803</v>
      </c>
      <c r="U468" t="n">
        <v>0.00078946</v>
      </c>
    </row>
    <row r="469">
      <c r="A469" t="inlineStr">
        <is>
          <t>SUP-0047</t>
        </is>
      </c>
      <c r="B469" t="inlineStr">
        <is>
          <t>Packaging Supplier 047</t>
        </is>
      </c>
      <c r="C469" t="inlineStr">
        <is>
          <t>Packaging</t>
        </is>
      </c>
      <c r="D469" t="n">
        <v>2022</v>
      </c>
      <c r="E469" t="n">
        <v>25873096.69</v>
      </c>
      <c r="F469" t="n">
        <v>112075703.34</v>
      </c>
      <c r="G469" t="n">
        <v>17222.8554</v>
      </c>
      <c r="H469" t="n">
        <v>17222.8554</v>
      </c>
      <c r="I469" t="n">
        <v>3151.816</v>
      </c>
      <c r="J469" t="n">
        <v>3362.7772</v>
      </c>
      <c r="K469" t="n">
        <v>10983.9424</v>
      </c>
      <c r="L469" t="n">
        <v>2018</v>
      </c>
      <c r="M469" t="n">
        <v>2040</v>
      </c>
      <c r="N469" t="n">
        <v>0.3939</v>
      </c>
      <c r="O469" t="n">
        <v>0.2136</v>
      </c>
      <c r="P469" t="n">
        <v>2018</v>
      </c>
      <c r="Q469" t="n">
        <v>2040</v>
      </c>
      <c r="R469" t="n">
        <v>0.3112</v>
      </c>
      <c r="S469" t="n">
        <v>702.4188</v>
      </c>
      <c r="T469" t="n">
        <v>0.0010803</v>
      </c>
      <c r="U469" t="n">
        <v>0.00078946</v>
      </c>
    </row>
    <row r="470">
      <c r="A470" t="inlineStr">
        <is>
          <t>SUP-0047</t>
        </is>
      </c>
      <c r="B470" t="inlineStr">
        <is>
          <t>Packaging Supplier 047</t>
        </is>
      </c>
      <c r="C470" t="inlineStr">
        <is>
          <t>Packaging</t>
        </is>
      </c>
      <c r="D470" t="n">
        <v>2023</v>
      </c>
      <c r="E470" t="n">
        <v>23807938.47</v>
      </c>
      <c r="F470" t="n">
        <v>106952017.66</v>
      </c>
      <c r="G470" t="n">
        <v>12310.6203</v>
      </c>
      <c r="H470" t="n">
        <v>12310.6203</v>
      </c>
      <c r="I470" t="n">
        <v>2830.8121</v>
      </c>
      <c r="J470" t="n">
        <v>2365.3927</v>
      </c>
      <c r="K470" t="n">
        <v>7656.6617</v>
      </c>
      <c r="L470" t="n">
        <v>2018</v>
      </c>
      <c r="M470" t="n">
        <v>2040</v>
      </c>
      <c r="N470" t="n">
        <v>0.3939</v>
      </c>
      <c r="O470" t="n">
        <v>0.2136</v>
      </c>
      <c r="P470" t="n">
        <v>2018</v>
      </c>
      <c r="Q470" t="n">
        <v>2040</v>
      </c>
      <c r="R470" t="n">
        <v>0.3112</v>
      </c>
      <c r="S470" t="n">
        <v>702.4188</v>
      </c>
      <c r="T470" t="n">
        <v>0.0010803</v>
      </c>
      <c r="U470" t="n">
        <v>0.00078946</v>
      </c>
    </row>
    <row r="471">
      <c r="A471" t="inlineStr">
        <is>
          <t>SUP-0047</t>
        </is>
      </c>
      <c r="B471" t="inlineStr">
        <is>
          <t>Packaging Supplier 047</t>
        </is>
      </c>
      <c r="C471" t="inlineStr">
        <is>
          <t>Packaging</t>
        </is>
      </c>
      <c r="D471" t="n">
        <v>2024</v>
      </c>
      <c r="E471" t="n">
        <v>26170616.74</v>
      </c>
      <c r="F471" t="n">
        <v>101956949.16</v>
      </c>
      <c r="G471" t="n">
        <v>13482.4768</v>
      </c>
      <c r="H471" t="n">
        <v>13482.4768</v>
      </c>
      <c r="I471" t="n">
        <v>1729.6497</v>
      </c>
      <c r="J471" t="n">
        <v>2219.6431</v>
      </c>
      <c r="K471" t="n">
        <v>9242.878500000001</v>
      </c>
      <c r="L471" t="n">
        <v>2018</v>
      </c>
      <c r="M471" t="n">
        <v>2040</v>
      </c>
      <c r="N471" t="n">
        <v>0.3939</v>
      </c>
      <c r="O471" t="n">
        <v>0.2136</v>
      </c>
      <c r="P471" t="n">
        <v>2018</v>
      </c>
      <c r="Q471" t="n">
        <v>2040</v>
      </c>
      <c r="R471" t="n">
        <v>0.3112</v>
      </c>
      <c r="S471" t="n">
        <v>702.4188</v>
      </c>
      <c r="T471" t="n">
        <v>0.0010803</v>
      </c>
      <c r="U471" t="n">
        <v>0.00078946</v>
      </c>
    </row>
    <row r="472">
      <c r="A472" t="inlineStr">
        <is>
          <t>SUP-0048</t>
        </is>
      </c>
      <c r="B472" t="inlineStr">
        <is>
          <t>Logistics Supplier 048</t>
        </is>
      </c>
      <c r="C472" t="inlineStr">
        <is>
          <t>Logistics</t>
        </is>
      </c>
      <c r="D472" t="n">
        <v>2015</v>
      </c>
      <c r="E472" t="n">
        <v>18991523.37</v>
      </c>
      <c r="F472" t="n">
        <v>70719744.2</v>
      </c>
      <c r="G472" t="n">
        <v>4758.622</v>
      </c>
      <c r="H472" t="n">
        <v>4758.622</v>
      </c>
      <c r="I472" t="n">
        <v>806.2873</v>
      </c>
      <c r="J472" t="n">
        <v>775.2829</v>
      </c>
      <c r="K472" t="n">
        <v>3390.3402</v>
      </c>
      <c r="L472" t="inlineStr"/>
      <c r="M472" t="inlineStr"/>
      <c r="N472" t="inlineStr"/>
      <c r="O472" t="inlineStr"/>
      <c r="P472" t="n">
        <v>2019</v>
      </c>
      <c r="Q472" t="n">
        <v>2040</v>
      </c>
      <c r="R472" t="n">
        <v>0.4616</v>
      </c>
      <c r="S472" t="n">
        <v>591.6386</v>
      </c>
      <c r="T472" t="n">
        <v>0.00022349</v>
      </c>
      <c r="U472" t="n">
        <v>0.00047787</v>
      </c>
    </row>
    <row r="473">
      <c r="A473" t="inlineStr">
        <is>
          <t>SUP-0048</t>
        </is>
      </c>
      <c r="B473" t="inlineStr">
        <is>
          <t>Logistics Supplier 048</t>
        </is>
      </c>
      <c r="C473" t="inlineStr">
        <is>
          <t>Logistics</t>
        </is>
      </c>
      <c r="D473" t="n">
        <v>2016</v>
      </c>
      <c r="E473" t="n">
        <v>19327115.41</v>
      </c>
      <c r="F473" t="n">
        <v>64414694.97</v>
      </c>
      <c r="G473" t="n">
        <v>5076.4788</v>
      </c>
      <c r="H473" t="n">
        <v>5076.4788</v>
      </c>
      <c r="I473" t="n">
        <v>422.0101</v>
      </c>
      <c r="J473" t="n">
        <v>719.1691</v>
      </c>
      <c r="K473" t="n">
        <v>3999.7012</v>
      </c>
      <c r="L473" t="inlineStr"/>
      <c r="M473" t="inlineStr"/>
      <c r="N473" t="inlineStr"/>
      <c r="O473" t="inlineStr"/>
      <c r="P473" t="n">
        <v>2019</v>
      </c>
      <c r="Q473" t="n">
        <v>2040</v>
      </c>
      <c r="R473" t="n">
        <v>0.4616</v>
      </c>
      <c r="S473" t="n">
        <v>591.6386</v>
      </c>
      <c r="T473" t="n">
        <v>0.00022349</v>
      </c>
      <c r="U473" t="n">
        <v>0.00047787</v>
      </c>
    </row>
    <row r="474">
      <c r="A474" t="inlineStr">
        <is>
          <t>SUP-0048</t>
        </is>
      </c>
      <c r="B474" t="inlineStr">
        <is>
          <t>Logistics Supplier 048</t>
        </is>
      </c>
      <c r="C474" t="inlineStr">
        <is>
          <t>Logistics</t>
        </is>
      </c>
      <c r="D474" t="n">
        <v>2017</v>
      </c>
      <c r="E474" t="n">
        <v>20083432.76</v>
      </c>
      <c r="F474" t="n">
        <v>65876387.87</v>
      </c>
      <c r="G474" t="n">
        <v>4453.6723</v>
      </c>
      <c r="H474" t="n">
        <v>4453.6723</v>
      </c>
      <c r="I474" t="n">
        <v>1063.4829</v>
      </c>
      <c r="J474" t="n">
        <v>514.6403</v>
      </c>
      <c r="K474" t="n">
        <v>2763.0843</v>
      </c>
      <c r="L474" t="inlineStr"/>
      <c r="M474" t="inlineStr"/>
      <c r="N474" t="inlineStr"/>
      <c r="O474" t="inlineStr"/>
      <c r="P474" t="n">
        <v>2019</v>
      </c>
      <c r="Q474" t="n">
        <v>2040</v>
      </c>
      <c r="R474" t="n">
        <v>0.4616</v>
      </c>
      <c r="S474" t="n">
        <v>591.6386</v>
      </c>
      <c r="T474" t="n">
        <v>0.00022349</v>
      </c>
      <c r="U474" t="n">
        <v>0.00047787</v>
      </c>
    </row>
    <row r="475">
      <c r="A475" t="inlineStr">
        <is>
          <t>SUP-0048</t>
        </is>
      </c>
      <c r="B475" t="inlineStr">
        <is>
          <t>Logistics Supplier 048</t>
        </is>
      </c>
      <c r="C475" t="inlineStr">
        <is>
          <t>Logistics</t>
        </is>
      </c>
      <c r="D475" t="n">
        <v>2018</v>
      </c>
      <c r="E475" t="n">
        <v>19371445.38</v>
      </c>
      <c r="F475" t="n">
        <v>81099858.7</v>
      </c>
      <c r="G475" t="n">
        <v>5632.0652</v>
      </c>
      <c r="H475" t="n">
        <v>5632.0652</v>
      </c>
      <c r="I475" t="n">
        <v>825.9596</v>
      </c>
      <c r="J475" t="n">
        <v>493.6809</v>
      </c>
      <c r="K475" t="n">
        <v>4153.8697</v>
      </c>
      <c r="L475" t="inlineStr"/>
      <c r="M475" t="inlineStr"/>
      <c r="N475" t="inlineStr"/>
      <c r="O475" t="inlineStr"/>
      <c r="P475" t="n">
        <v>2019</v>
      </c>
      <c r="Q475" t="n">
        <v>2040</v>
      </c>
      <c r="R475" t="n">
        <v>0.4616</v>
      </c>
      <c r="S475" t="n">
        <v>591.6386</v>
      </c>
      <c r="T475" t="n">
        <v>0.00022349</v>
      </c>
      <c r="U475" t="n">
        <v>0.00047787</v>
      </c>
    </row>
    <row r="476">
      <c r="A476" t="inlineStr">
        <is>
          <t>SUP-0048</t>
        </is>
      </c>
      <c r="B476" t="inlineStr">
        <is>
          <t>Logistics Supplier 048</t>
        </is>
      </c>
      <c r="C476" t="inlineStr">
        <is>
          <t>Logistics</t>
        </is>
      </c>
      <c r="D476" t="n">
        <v>2019</v>
      </c>
      <c r="E476" t="n">
        <v>19151818.03</v>
      </c>
      <c r="F476" t="n">
        <v>72216187.37</v>
      </c>
      <c r="G476" t="n">
        <v>4602.3673</v>
      </c>
      <c r="H476" t="n">
        <v>4602.3673</v>
      </c>
      <c r="I476" t="n">
        <v>438.754</v>
      </c>
      <c r="J476" t="n">
        <v>689.9709</v>
      </c>
      <c r="K476" t="n">
        <v>3660.7472</v>
      </c>
      <c r="L476" t="inlineStr"/>
      <c r="M476" t="inlineStr"/>
      <c r="N476" t="inlineStr"/>
      <c r="O476" t="inlineStr"/>
      <c r="P476" t="n">
        <v>2019</v>
      </c>
      <c r="Q476" t="n">
        <v>2040</v>
      </c>
      <c r="R476" t="n">
        <v>0.4616</v>
      </c>
      <c r="S476" t="n">
        <v>591.6386</v>
      </c>
      <c r="T476" t="n">
        <v>0.00022349</v>
      </c>
      <c r="U476" t="n">
        <v>0.00047787</v>
      </c>
    </row>
    <row r="477">
      <c r="A477" t="inlineStr">
        <is>
          <t>SUP-0048</t>
        </is>
      </c>
      <c r="B477" t="inlineStr">
        <is>
          <t>Logistics Supplier 048</t>
        </is>
      </c>
      <c r="C477" t="inlineStr">
        <is>
          <t>Logistics</t>
        </is>
      </c>
      <c r="D477" t="n">
        <v>2020</v>
      </c>
      <c r="E477" t="n">
        <v>18170142.2</v>
      </c>
      <c r="F477" t="n">
        <v>69459438.14</v>
      </c>
      <c r="G477" t="n">
        <v>4408.7943</v>
      </c>
      <c r="H477" t="n">
        <v>4408.7943</v>
      </c>
      <c r="I477" t="n">
        <v>438.3239</v>
      </c>
      <c r="J477" t="n">
        <v>875.1327</v>
      </c>
      <c r="K477" t="n">
        <v>3379.0135</v>
      </c>
      <c r="L477" t="inlineStr"/>
      <c r="M477" t="inlineStr"/>
      <c r="N477" t="inlineStr"/>
      <c r="O477" t="inlineStr"/>
      <c r="P477" t="n">
        <v>2019</v>
      </c>
      <c r="Q477" t="n">
        <v>2040</v>
      </c>
      <c r="R477" t="n">
        <v>0.4616</v>
      </c>
      <c r="S477" t="n">
        <v>591.6386</v>
      </c>
      <c r="T477" t="n">
        <v>0.00022349</v>
      </c>
      <c r="U477" t="n">
        <v>0.00047787</v>
      </c>
    </row>
    <row r="478">
      <c r="A478" t="inlineStr">
        <is>
          <t>SUP-0048</t>
        </is>
      </c>
      <c r="B478" t="inlineStr">
        <is>
          <t>Logistics Supplier 048</t>
        </is>
      </c>
      <c r="C478" t="inlineStr">
        <is>
          <t>Logistics</t>
        </is>
      </c>
      <c r="D478" t="n">
        <v>2021</v>
      </c>
      <c r="E478" t="n">
        <v>21054115.78</v>
      </c>
      <c r="F478" t="n">
        <v>79200318.70999999</v>
      </c>
      <c r="G478" t="n">
        <v>5073.351</v>
      </c>
      <c r="H478" t="n">
        <v>5073.351</v>
      </c>
      <c r="I478" t="n">
        <v>1364.5192</v>
      </c>
      <c r="J478" t="n">
        <v>821.9184</v>
      </c>
      <c r="K478" t="n">
        <v>2688.5456</v>
      </c>
      <c r="L478" t="inlineStr"/>
      <c r="M478" t="inlineStr"/>
      <c r="N478" t="inlineStr"/>
      <c r="O478" t="inlineStr"/>
      <c r="P478" t="n">
        <v>2019</v>
      </c>
      <c r="Q478" t="n">
        <v>2040</v>
      </c>
      <c r="R478" t="n">
        <v>0.4616</v>
      </c>
      <c r="S478" t="n">
        <v>591.6386</v>
      </c>
      <c r="T478" t="n">
        <v>0.00022349</v>
      </c>
      <c r="U478" t="n">
        <v>0.00047787</v>
      </c>
    </row>
    <row r="479">
      <c r="A479" t="inlineStr">
        <is>
          <t>SUP-0048</t>
        </is>
      </c>
      <c r="B479" t="inlineStr">
        <is>
          <t>Logistics Supplier 048</t>
        </is>
      </c>
      <c r="C479" t="inlineStr">
        <is>
          <t>Logistics</t>
        </is>
      </c>
      <c r="D479" t="n">
        <v>2022</v>
      </c>
      <c r="E479" t="n">
        <v>18413215.31</v>
      </c>
      <c r="F479" t="n">
        <v>66540185.06</v>
      </c>
      <c r="G479" t="n">
        <v>3753.2035</v>
      </c>
      <c r="H479" t="n">
        <v>3753.2035</v>
      </c>
      <c r="I479" t="n">
        <v>328.949</v>
      </c>
      <c r="J479" t="n">
        <v>733.0291999999999</v>
      </c>
      <c r="K479" t="n">
        <v>2560.3257</v>
      </c>
      <c r="L479" t="inlineStr"/>
      <c r="M479" t="inlineStr"/>
      <c r="N479" t="inlineStr"/>
      <c r="O479" t="inlineStr"/>
      <c r="P479" t="n">
        <v>2019</v>
      </c>
      <c r="Q479" t="n">
        <v>2040</v>
      </c>
      <c r="R479" t="n">
        <v>0.4616</v>
      </c>
      <c r="S479" t="n">
        <v>591.6386</v>
      </c>
      <c r="T479" t="n">
        <v>0.00022349</v>
      </c>
      <c r="U479" t="n">
        <v>0.00047787</v>
      </c>
    </row>
    <row r="480">
      <c r="A480" t="inlineStr">
        <is>
          <t>SUP-0048</t>
        </is>
      </c>
      <c r="B480" t="inlineStr">
        <is>
          <t>Logistics Supplier 048</t>
        </is>
      </c>
      <c r="C480" t="inlineStr">
        <is>
          <t>Logistics</t>
        </is>
      </c>
      <c r="D480" t="n">
        <v>2023</v>
      </c>
      <c r="E480" t="n">
        <v>19920817.69</v>
      </c>
      <c r="F480" t="n">
        <v>81951394.42</v>
      </c>
      <c r="G480" t="n">
        <v>4090.8603</v>
      </c>
      <c r="H480" t="n">
        <v>4090.8603</v>
      </c>
      <c r="I480" t="n">
        <v>853.8475</v>
      </c>
      <c r="J480" t="n">
        <v>852.2911</v>
      </c>
      <c r="K480" t="n">
        <v>2409.4907</v>
      </c>
      <c r="L480" t="inlineStr"/>
      <c r="M480" t="inlineStr"/>
      <c r="N480" t="inlineStr"/>
      <c r="O480" t="inlineStr"/>
      <c r="P480" t="n">
        <v>2019</v>
      </c>
      <c r="Q480" t="n">
        <v>2040</v>
      </c>
      <c r="R480" t="n">
        <v>0.4616</v>
      </c>
      <c r="S480" t="n">
        <v>591.6386</v>
      </c>
      <c r="T480" t="n">
        <v>0.00022349</v>
      </c>
      <c r="U480" t="n">
        <v>0.00047787</v>
      </c>
    </row>
    <row r="481">
      <c r="A481" t="inlineStr">
        <is>
          <t>SUP-0048</t>
        </is>
      </c>
      <c r="B481" t="inlineStr">
        <is>
          <t>Logistics Supplier 048</t>
        </is>
      </c>
      <c r="C481" t="inlineStr">
        <is>
          <t>Logistics</t>
        </is>
      </c>
      <c r="D481" t="n">
        <v>2024</v>
      </c>
      <c r="E481" t="n">
        <v>19025466.64</v>
      </c>
      <c r="F481" t="n">
        <v>69879977.98</v>
      </c>
      <c r="G481" t="n">
        <v>3591.2892</v>
      </c>
      <c r="H481" t="n">
        <v>3591.2892</v>
      </c>
      <c r="I481" t="n">
        <v>889.4317</v>
      </c>
      <c r="J481" t="n">
        <v>772.1653</v>
      </c>
      <c r="K481" t="n">
        <v>2020.8447</v>
      </c>
      <c r="L481" t="inlineStr"/>
      <c r="M481" t="inlineStr"/>
      <c r="N481" t="inlineStr"/>
      <c r="O481" t="inlineStr"/>
      <c r="P481" t="n">
        <v>2019</v>
      </c>
      <c r="Q481" t="n">
        <v>2040</v>
      </c>
      <c r="R481" t="n">
        <v>0.4616</v>
      </c>
      <c r="S481" t="n">
        <v>591.6386</v>
      </c>
      <c r="T481" t="n">
        <v>0.00022349</v>
      </c>
      <c r="U481" t="n">
        <v>0.00047787</v>
      </c>
    </row>
    <row r="482">
      <c r="A482" t="inlineStr">
        <is>
          <t>SUP-0049</t>
        </is>
      </c>
      <c r="B482" t="inlineStr">
        <is>
          <t>Logistics Supplier 049</t>
        </is>
      </c>
      <c r="C482" t="inlineStr">
        <is>
          <t>Logistics</t>
        </is>
      </c>
      <c r="D482" t="n">
        <v>2015</v>
      </c>
      <c r="E482" t="n">
        <v>25136871.49</v>
      </c>
      <c r="F482" t="n">
        <v>236160019.89</v>
      </c>
      <c r="G482" t="n">
        <v>3218.5116</v>
      </c>
      <c r="H482" t="n">
        <v>3218.5116</v>
      </c>
      <c r="I482" t="n">
        <v>687.2545</v>
      </c>
      <c r="J482" t="n">
        <v>398.1012</v>
      </c>
      <c r="K482" t="n">
        <v>2856.6177</v>
      </c>
      <c r="L482" t="n">
        <v>2019</v>
      </c>
      <c r="M482" t="n">
        <v>2030</v>
      </c>
      <c r="N482" t="n">
        <v>0.236</v>
      </c>
      <c r="O482" t="n">
        <v>0.1422</v>
      </c>
      <c r="P482" t="n">
        <v>2019</v>
      </c>
      <c r="Q482" t="n">
        <v>2040</v>
      </c>
      <c r="R482" t="n">
        <v>0.4616</v>
      </c>
      <c r="S482" t="n">
        <v>591.6386</v>
      </c>
      <c r="T482" t="n">
        <v>0.00022349</v>
      </c>
      <c r="U482" t="n">
        <v>0.00047787</v>
      </c>
    </row>
    <row r="483">
      <c r="A483" t="inlineStr">
        <is>
          <t>SUP-0049</t>
        </is>
      </c>
      <c r="B483" t="inlineStr">
        <is>
          <t>Logistics Supplier 049</t>
        </is>
      </c>
      <c r="C483" t="inlineStr">
        <is>
          <t>Logistics</t>
        </is>
      </c>
      <c r="D483" t="n">
        <v>2016</v>
      </c>
      <c r="E483" t="n">
        <v>28381783.98</v>
      </c>
      <c r="F483" t="n">
        <v>155777855.01</v>
      </c>
      <c r="G483" t="n">
        <v>5120.1638</v>
      </c>
      <c r="H483" t="n">
        <v>5120.1638</v>
      </c>
      <c r="I483" t="n">
        <v>1121.8729</v>
      </c>
      <c r="J483" t="n">
        <v>856.3129</v>
      </c>
      <c r="K483" t="n">
        <v>2889.5754</v>
      </c>
      <c r="L483" t="n">
        <v>2019</v>
      </c>
      <c r="M483" t="n">
        <v>2030</v>
      </c>
      <c r="N483" t="n">
        <v>0.236</v>
      </c>
      <c r="O483" t="n">
        <v>0.1422</v>
      </c>
      <c r="P483" t="n">
        <v>2019</v>
      </c>
      <c r="Q483" t="n">
        <v>2040</v>
      </c>
      <c r="R483" t="n">
        <v>0.4616</v>
      </c>
      <c r="S483" t="n">
        <v>591.6386</v>
      </c>
      <c r="T483" t="n">
        <v>0.00022349</v>
      </c>
      <c r="U483" t="n">
        <v>0.00047787</v>
      </c>
    </row>
    <row r="484">
      <c r="A484" t="inlineStr">
        <is>
          <t>SUP-0049</t>
        </is>
      </c>
      <c r="B484" t="inlineStr">
        <is>
          <t>Logistics Supplier 049</t>
        </is>
      </c>
      <c r="C484" t="inlineStr">
        <is>
          <t>Logistics</t>
        </is>
      </c>
      <c r="D484" t="n">
        <v>2017</v>
      </c>
      <c r="E484" t="n">
        <v>26166523.43</v>
      </c>
      <c r="F484" t="n">
        <v>190695784.05</v>
      </c>
      <c r="G484" t="n">
        <v>2751.2175</v>
      </c>
      <c r="H484" t="n">
        <v>2751.2175</v>
      </c>
      <c r="I484" t="n">
        <v>287.1195</v>
      </c>
      <c r="J484" t="n">
        <v>587.1898</v>
      </c>
      <c r="K484" t="n">
        <v>1857.0248</v>
      </c>
      <c r="L484" t="n">
        <v>2019</v>
      </c>
      <c r="M484" t="n">
        <v>2030</v>
      </c>
      <c r="N484" t="n">
        <v>0.236</v>
      </c>
      <c r="O484" t="n">
        <v>0.1422</v>
      </c>
      <c r="P484" t="n">
        <v>2019</v>
      </c>
      <c r="Q484" t="n">
        <v>2040</v>
      </c>
      <c r="R484" t="n">
        <v>0.4616</v>
      </c>
      <c r="S484" t="n">
        <v>591.6386</v>
      </c>
      <c r="T484" t="n">
        <v>0.00022349</v>
      </c>
      <c r="U484" t="n">
        <v>0.00047787</v>
      </c>
    </row>
    <row r="485">
      <c r="A485" t="inlineStr">
        <is>
          <t>SUP-0049</t>
        </is>
      </c>
      <c r="B485" t="inlineStr">
        <is>
          <t>Logistics Supplier 049</t>
        </is>
      </c>
      <c r="C485" t="inlineStr">
        <is>
          <t>Logistics</t>
        </is>
      </c>
      <c r="D485" t="n">
        <v>2018</v>
      </c>
      <c r="E485" t="n">
        <v>25484078.87</v>
      </c>
      <c r="F485" t="n">
        <v>191277908.29</v>
      </c>
      <c r="G485" t="n">
        <v>2803.8057</v>
      </c>
      <c r="H485" t="n">
        <v>2803.8057</v>
      </c>
      <c r="I485" t="n">
        <v>482.4047</v>
      </c>
      <c r="J485" t="n">
        <v>540.492</v>
      </c>
      <c r="K485" t="n">
        <v>1702.0519</v>
      </c>
      <c r="L485" t="n">
        <v>2019</v>
      </c>
      <c r="M485" t="n">
        <v>2030</v>
      </c>
      <c r="N485" t="n">
        <v>0.236</v>
      </c>
      <c r="O485" t="n">
        <v>0.1422</v>
      </c>
      <c r="P485" t="n">
        <v>2019</v>
      </c>
      <c r="Q485" t="n">
        <v>2040</v>
      </c>
      <c r="R485" t="n">
        <v>0.4616</v>
      </c>
      <c r="S485" t="n">
        <v>591.6386</v>
      </c>
      <c r="T485" t="n">
        <v>0.00022349</v>
      </c>
      <c r="U485" t="n">
        <v>0.00047787</v>
      </c>
    </row>
    <row r="486">
      <c r="A486" t="inlineStr">
        <is>
          <t>SUP-0049</t>
        </is>
      </c>
      <c r="B486" t="inlineStr">
        <is>
          <t>Logistics Supplier 049</t>
        </is>
      </c>
      <c r="C486" t="inlineStr">
        <is>
          <t>Logistics</t>
        </is>
      </c>
      <c r="D486" t="n">
        <v>2019</v>
      </c>
      <c r="E486" t="n">
        <v>26146183.5</v>
      </c>
      <c r="F486" t="n">
        <v>212510828.33</v>
      </c>
      <c r="G486" t="n">
        <v>3454.0256</v>
      </c>
      <c r="H486" t="n">
        <v>3454.0256</v>
      </c>
      <c r="I486" t="n">
        <v>570.7655999999999</v>
      </c>
      <c r="J486" t="n">
        <v>438.0112</v>
      </c>
      <c r="K486" t="n">
        <v>2510.2535</v>
      </c>
      <c r="L486" t="n">
        <v>2019</v>
      </c>
      <c r="M486" t="n">
        <v>2030</v>
      </c>
      <c r="N486" t="n">
        <v>0.236</v>
      </c>
      <c r="O486" t="n">
        <v>0.1422</v>
      </c>
      <c r="P486" t="n">
        <v>2019</v>
      </c>
      <c r="Q486" t="n">
        <v>2040</v>
      </c>
      <c r="R486" t="n">
        <v>0.4616</v>
      </c>
      <c r="S486" t="n">
        <v>591.6386</v>
      </c>
      <c r="T486" t="n">
        <v>0.00022349</v>
      </c>
      <c r="U486" t="n">
        <v>0.00047787</v>
      </c>
    </row>
    <row r="487">
      <c r="A487" t="inlineStr">
        <is>
          <t>SUP-0049</t>
        </is>
      </c>
      <c r="B487" t="inlineStr">
        <is>
          <t>Logistics Supplier 049</t>
        </is>
      </c>
      <c r="C487" t="inlineStr">
        <is>
          <t>Logistics</t>
        </is>
      </c>
      <c r="D487" t="n">
        <v>2020</v>
      </c>
      <c r="E487" t="n">
        <v>27304231.05</v>
      </c>
      <c r="F487" t="n">
        <v>186325464.96</v>
      </c>
      <c r="G487" t="n">
        <v>3603.0712</v>
      </c>
      <c r="H487" t="n">
        <v>3603.0712</v>
      </c>
      <c r="I487" t="n">
        <v>811.6507</v>
      </c>
      <c r="J487" t="n">
        <v>496.9414</v>
      </c>
      <c r="K487" t="n">
        <v>2114.5396</v>
      </c>
      <c r="L487" t="n">
        <v>2019</v>
      </c>
      <c r="M487" t="n">
        <v>2030</v>
      </c>
      <c r="N487" t="n">
        <v>0.236</v>
      </c>
      <c r="O487" t="n">
        <v>0.1422</v>
      </c>
      <c r="P487" t="n">
        <v>2019</v>
      </c>
      <c r="Q487" t="n">
        <v>2040</v>
      </c>
      <c r="R487" t="n">
        <v>0.4616</v>
      </c>
      <c r="S487" t="n">
        <v>591.6386</v>
      </c>
      <c r="T487" t="n">
        <v>0.00022349</v>
      </c>
      <c r="U487" t="n">
        <v>0.00047787</v>
      </c>
    </row>
    <row r="488">
      <c r="A488" t="inlineStr">
        <is>
          <t>SUP-0049</t>
        </is>
      </c>
      <c r="B488" t="inlineStr">
        <is>
          <t>Logistics Supplier 049</t>
        </is>
      </c>
      <c r="C488" t="inlineStr">
        <is>
          <t>Logistics</t>
        </is>
      </c>
      <c r="D488" t="n">
        <v>2021</v>
      </c>
      <c r="E488" t="n">
        <v>28434249.01</v>
      </c>
      <c r="F488" t="n">
        <v>206949935.98</v>
      </c>
      <c r="G488" t="n">
        <v>4392.9269</v>
      </c>
      <c r="H488" t="n">
        <v>4392.9269</v>
      </c>
      <c r="I488" t="n">
        <v>654.5833</v>
      </c>
      <c r="J488" t="n">
        <v>676.4708000000001</v>
      </c>
      <c r="K488" t="n">
        <v>2903.8948</v>
      </c>
      <c r="L488" t="n">
        <v>2019</v>
      </c>
      <c r="M488" t="n">
        <v>2030</v>
      </c>
      <c r="N488" t="n">
        <v>0.236</v>
      </c>
      <c r="O488" t="n">
        <v>0.1422</v>
      </c>
      <c r="P488" t="n">
        <v>2019</v>
      </c>
      <c r="Q488" t="n">
        <v>2040</v>
      </c>
      <c r="R488" t="n">
        <v>0.4616</v>
      </c>
      <c r="S488" t="n">
        <v>591.6386</v>
      </c>
      <c r="T488" t="n">
        <v>0.00022349</v>
      </c>
      <c r="U488" t="n">
        <v>0.00047787</v>
      </c>
    </row>
    <row r="489">
      <c r="A489" t="inlineStr">
        <is>
          <t>SUP-0049</t>
        </is>
      </c>
      <c r="B489" t="inlineStr">
        <is>
          <t>Logistics Supplier 049</t>
        </is>
      </c>
      <c r="C489" t="inlineStr">
        <is>
          <t>Logistics</t>
        </is>
      </c>
      <c r="D489" t="n">
        <v>2022</v>
      </c>
      <c r="E489" t="n">
        <v>25108682.31</v>
      </c>
      <c r="F489" t="n">
        <v>276868795.36</v>
      </c>
      <c r="G489" t="n">
        <v>2712.7996</v>
      </c>
      <c r="H489" t="n">
        <v>2712.7996</v>
      </c>
      <c r="I489" t="n">
        <v>670.0629</v>
      </c>
      <c r="J489" t="n">
        <v>491.776</v>
      </c>
      <c r="K489" t="n">
        <v>1650.4128</v>
      </c>
      <c r="L489" t="n">
        <v>2019</v>
      </c>
      <c r="M489" t="n">
        <v>2030</v>
      </c>
      <c r="N489" t="n">
        <v>0.236</v>
      </c>
      <c r="O489" t="n">
        <v>0.1422</v>
      </c>
      <c r="P489" t="n">
        <v>2019</v>
      </c>
      <c r="Q489" t="n">
        <v>2040</v>
      </c>
      <c r="R489" t="n">
        <v>0.4616</v>
      </c>
      <c r="S489" t="n">
        <v>591.6386</v>
      </c>
      <c r="T489" t="n">
        <v>0.00022349</v>
      </c>
      <c r="U489" t="n">
        <v>0.00047787</v>
      </c>
    </row>
    <row r="490">
      <c r="A490" t="inlineStr">
        <is>
          <t>SUP-0049</t>
        </is>
      </c>
      <c r="B490" t="inlineStr">
        <is>
          <t>Logistics Supplier 049</t>
        </is>
      </c>
      <c r="C490" t="inlineStr">
        <is>
          <t>Logistics</t>
        </is>
      </c>
      <c r="D490" t="n">
        <v>2023</v>
      </c>
      <c r="E490" t="n">
        <v>23417466.6</v>
      </c>
      <c r="F490" t="n">
        <v>198140798.34</v>
      </c>
      <c r="G490" t="n">
        <v>2983.1812</v>
      </c>
      <c r="H490" t="n">
        <v>2983.1812</v>
      </c>
      <c r="I490" t="n">
        <v>340.5265</v>
      </c>
      <c r="J490" t="n">
        <v>355.2558</v>
      </c>
      <c r="K490" t="n">
        <v>2296.5185</v>
      </c>
      <c r="L490" t="n">
        <v>2019</v>
      </c>
      <c r="M490" t="n">
        <v>2030</v>
      </c>
      <c r="N490" t="n">
        <v>0.236</v>
      </c>
      <c r="O490" t="n">
        <v>0.1422</v>
      </c>
      <c r="P490" t="n">
        <v>2019</v>
      </c>
      <c r="Q490" t="n">
        <v>2040</v>
      </c>
      <c r="R490" t="n">
        <v>0.4616</v>
      </c>
      <c r="S490" t="n">
        <v>591.6386</v>
      </c>
      <c r="T490" t="n">
        <v>0.00022349</v>
      </c>
      <c r="U490" t="n">
        <v>0.00047787</v>
      </c>
    </row>
    <row r="491">
      <c r="A491" t="inlineStr">
        <is>
          <t>SUP-0049</t>
        </is>
      </c>
      <c r="B491" t="inlineStr">
        <is>
          <t>Logistics Supplier 049</t>
        </is>
      </c>
      <c r="C491" t="inlineStr">
        <is>
          <t>Logistics</t>
        </is>
      </c>
      <c r="D491" t="n">
        <v>2024</v>
      </c>
      <c r="E491" t="n">
        <v>26134542.66</v>
      </c>
      <c r="F491" t="n">
        <v>253220040.05</v>
      </c>
      <c r="G491" t="n">
        <v>1693.5044</v>
      </c>
      <c r="H491" t="n">
        <v>1693.5044</v>
      </c>
      <c r="I491" t="n">
        <v>390.5338</v>
      </c>
      <c r="J491" t="n">
        <v>375.4377</v>
      </c>
      <c r="K491" t="n">
        <v>937.9883</v>
      </c>
      <c r="L491" t="n">
        <v>2019</v>
      </c>
      <c r="M491" t="n">
        <v>2030</v>
      </c>
      <c r="N491" t="n">
        <v>0.236</v>
      </c>
      <c r="O491" t="n">
        <v>0.1422</v>
      </c>
      <c r="P491" t="n">
        <v>2019</v>
      </c>
      <c r="Q491" t="n">
        <v>2040</v>
      </c>
      <c r="R491" t="n">
        <v>0.4616</v>
      </c>
      <c r="S491" t="n">
        <v>591.6386</v>
      </c>
      <c r="T491" t="n">
        <v>0.00022349</v>
      </c>
      <c r="U491" t="n">
        <v>0.00047787</v>
      </c>
    </row>
    <row r="492">
      <c r="A492" t="inlineStr">
        <is>
          <t>SUP-0050</t>
        </is>
      </c>
      <c r="B492" t="inlineStr">
        <is>
          <t>Electronics Supplier 050</t>
        </is>
      </c>
      <c r="C492" t="inlineStr">
        <is>
          <t>Electronics</t>
        </is>
      </c>
      <c r="D492" t="n">
        <v>2015</v>
      </c>
      <c r="E492" t="n">
        <v>20795137.9</v>
      </c>
      <c r="F492" t="n">
        <v>107954875.96</v>
      </c>
      <c r="G492" t="n">
        <v>15925.9302</v>
      </c>
      <c r="H492" t="n">
        <v>15925.9302</v>
      </c>
      <c r="I492" t="n">
        <v>3110.3208</v>
      </c>
      <c r="J492" t="n">
        <v>1597.6165</v>
      </c>
      <c r="K492" t="n">
        <v>10159.6303</v>
      </c>
      <c r="L492" t="inlineStr"/>
      <c r="M492" t="inlineStr"/>
      <c r="N492" t="inlineStr"/>
      <c r="O492" t="inlineStr"/>
      <c r="P492" t="n">
        <v>2018</v>
      </c>
      <c r="Q492" t="n">
        <v>2040</v>
      </c>
      <c r="R492" t="n">
        <v>0.3424</v>
      </c>
      <c r="S492" t="n">
        <v>635.1588</v>
      </c>
      <c r="T492" t="n">
        <v>0.00086105</v>
      </c>
      <c r="U492" t="n">
        <v>0.00013947</v>
      </c>
    </row>
    <row r="493">
      <c r="A493" t="inlineStr">
        <is>
          <t>SUP-0050</t>
        </is>
      </c>
      <c r="B493" t="inlineStr">
        <is>
          <t>Electronics Supplier 050</t>
        </is>
      </c>
      <c r="C493" t="inlineStr">
        <is>
          <t>Electronics</t>
        </is>
      </c>
      <c r="D493" t="n">
        <v>2016</v>
      </c>
      <c r="E493" t="n">
        <v>20724332.35</v>
      </c>
      <c r="F493" t="n">
        <v>89854433.56999999</v>
      </c>
      <c r="G493" t="n">
        <v>20295.228</v>
      </c>
      <c r="H493" t="n">
        <v>20295.228</v>
      </c>
      <c r="I493" t="n">
        <v>2319.8601</v>
      </c>
      <c r="J493" t="n">
        <v>2768.2121</v>
      </c>
      <c r="K493" t="n">
        <v>15388.3294</v>
      </c>
      <c r="L493" t="inlineStr"/>
      <c r="M493" t="inlineStr"/>
      <c r="N493" t="inlineStr"/>
      <c r="O493" t="inlineStr"/>
      <c r="P493" t="n">
        <v>2018</v>
      </c>
      <c r="Q493" t="n">
        <v>2040</v>
      </c>
      <c r="R493" t="n">
        <v>0.3424</v>
      </c>
      <c r="S493" t="n">
        <v>635.1588</v>
      </c>
      <c r="T493" t="n">
        <v>0.00086105</v>
      </c>
      <c r="U493" t="n">
        <v>0.00013947</v>
      </c>
    </row>
    <row r="494">
      <c r="A494" t="inlineStr">
        <is>
          <t>SUP-0050</t>
        </is>
      </c>
      <c r="B494" t="inlineStr">
        <is>
          <t>Electronics Supplier 050</t>
        </is>
      </c>
      <c r="C494" t="inlineStr">
        <is>
          <t>Electronics</t>
        </is>
      </c>
      <c r="D494" t="n">
        <v>2017</v>
      </c>
      <c r="E494" t="n">
        <v>22994668.96</v>
      </c>
      <c r="F494" t="n">
        <v>127677953.89</v>
      </c>
      <c r="G494" t="n">
        <v>16936.6704</v>
      </c>
      <c r="H494" t="n">
        <v>16936.6704</v>
      </c>
      <c r="I494" t="n">
        <v>2882.6136</v>
      </c>
      <c r="J494" t="n">
        <v>1094.3562</v>
      </c>
      <c r="K494" t="n">
        <v>12355.7846</v>
      </c>
      <c r="L494" t="inlineStr"/>
      <c r="M494" t="inlineStr"/>
      <c r="N494" t="inlineStr"/>
      <c r="O494" t="inlineStr"/>
      <c r="P494" t="n">
        <v>2018</v>
      </c>
      <c r="Q494" t="n">
        <v>2040</v>
      </c>
      <c r="R494" t="n">
        <v>0.3424</v>
      </c>
      <c r="S494" t="n">
        <v>635.1588</v>
      </c>
      <c r="T494" t="n">
        <v>0.00086105</v>
      </c>
      <c r="U494" t="n">
        <v>0.00013947</v>
      </c>
    </row>
    <row r="495">
      <c r="A495" t="inlineStr">
        <is>
          <t>SUP-0050</t>
        </is>
      </c>
      <c r="B495" t="inlineStr">
        <is>
          <t>Electronics Supplier 050</t>
        </is>
      </c>
      <c r="C495" t="inlineStr">
        <is>
          <t>Electronics</t>
        </is>
      </c>
      <c r="D495" t="n">
        <v>2018</v>
      </c>
      <c r="E495" t="n">
        <v>21284640.41</v>
      </c>
      <c r="F495" t="n">
        <v>129930148.54</v>
      </c>
      <c r="G495" t="n">
        <v>16724.4073</v>
      </c>
      <c r="H495" t="n">
        <v>16724.4073</v>
      </c>
      <c r="I495" t="n">
        <v>1315.1911</v>
      </c>
      <c r="J495" t="n">
        <v>3386.7716</v>
      </c>
      <c r="K495" t="n">
        <v>12721.8956</v>
      </c>
      <c r="L495" t="inlineStr"/>
      <c r="M495" t="inlineStr"/>
      <c r="N495" t="inlineStr"/>
      <c r="O495" t="inlineStr"/>
      <c r="P495" t="n">
        <v>2018</v>
      </c>
      <c r="Q495" t="n">
        <v>2040</v>
      </c>
      <c r="R495" t="n">
        <v>0.3424</v>
      </c>
      <c r="S495" t="n">
        <v>635.1588</v>
      </c>
      <c r="T495" t="n">
        <v>0.00086105</v>
      </c>
      <c r="U495" t="n">
        <v>0.00013947</v>
      </c>
    </row>
    <row r="496">
      <c r="A496" t="inlineStr">
        <is>
          <t>SUP-0050</t>
        </is>
      </c>
      <c r="B496" t="inlineStr">
        <is>
          <t>Electronics Supplier 050</t>
        </is>
      </c>
      <c r="C496" t="inlineStr">
        <is>
          <t>Electronics</t>
        </is>
      </c>
      <c r="D496" t="n">
        <v>2019</v>
      </c>
      <c r="E496" t="n">
        <v>23058301.52</v>
      </c>
      <c r="F496" t="n">
        <v>143937983.25</v>
      </c>
      <c r="G496" t="n">
        <v>19288.0011</v>
      </c>
      <c r="H496" t="n">
        <v>19288.0011</v>
      </c>
      <c r="I496" t="n">
        <v>3358.5902</v>
      </c>
      <c r="J496" t="n">
        <v>4026.092</v>
      </c>
      <c r="K496" t="n">
        <v>12313.081</v>
      </c>
      <c r="L496" t="inlineStr"/>
      <c r="M496" t="inlineStr"/>
      <c r="N496" t="inlineStr"/>
      <c r="O496" t="inlineStr"/>
      <c r="P496" t="n">
        <v>2018</v>
      </c>
      <c r="Q496" t="n">
        <v>2040</v>
      </c>
      <c r="R496" t="n">
        <v>0.3424</v>
      </c>
      <c r="S496" t="n">
        <v>635.1588</v>
      </c>
      <c r="T496" t="n">
        <v>0.00086105</v>
      </c>
      <c r="U496" t="n">
        <v>0.00013947</v>
      </c>
    </row>
    <row r="497">
      <c r="A497" t="inlineStr">
        <is>
          <t>SUP-0050</t>
        </is>
      </c>
      <c r="B497" t="inlineStr">
        <is>
          <t>Electronics Supplier 050</t>
        </is>
      </c>
      <c r="C497" t="inlineStr">
        <is>
          <t>Electronics</t>
        </is>
      </c>
      <c r="D497" t="n">
        <v>2020</v>
      </c>
      <c r="E497" t="n">
        <v>29576501.84</v>
      </c>
      <c r="F497" t="n">
        <v>147250481.16</v>
      </c>
      <c r="G497" t="n">
        <v>25275.0346</v>
      </c>
      <c r="H497" t="n">
        <v>25275.0346</v>
      </c>
      <c r="I497" t="n">
        <v>3460.77</v>
      </c>
      <c r="J497" t="n">
        <v>4081.5543</v>
      </c>
      <c r="K497" t="n">
        <v>18020.0502</v>
      </c>
      <c r="L497" t="inlineStr"/>
      <c r="M497" t="inlineStr"/>
      <c r="N497" t="inlineStr"/>
      <c r="O497" t="inlineStr"/>
      <c r="P497" t="n">
        <v>2018</v>
      </c>
      <c r="Q497" t="n">
        <v>2040</v>
      </c>
      <c r="R497" t="n">
        <v>0.3424</v>
      </c>
      <c r="S497" t="n">
        <v>635.1588</v>
      </c>
      <c r="T497" t="n">
        <v>0.00086105</v>
      </c>
      <c r="U497" t="n">
        <v>0.00013947</v>
      </c>
    </row>
    <row r="498">
      <c r="A498" t="inlineStr">
        <is>
          <t>SUP-0050</t>
        </is>
      </c>
      <c r="B498" t="inlineStr">
        <is>
          <t>Electronics Supplier 050</t>
        </is>
      </c>
      <c r="C498" t="inlineStr">
        <is>
          <t>Electronics</t>
        </is>
      </c>
      <c r="D498" t="n">
        <v>2021</v>
      </c>
      <c r="E498" t="n">
        <v>25368133.72</v>
      </c>
      <c r="F498" t="n">
        <v>150731172.92</v>
      </c>
      <c r="G498" t="n">
        <v>23312.1615</v>
      </c>
      <c r="H498" t="n">
        <v>23312.1615</v>
      </c>
      <c r="I498" t="n">
        <v>4751.8979</v>
      </c>
      <c r="J498" t="n">
        <v>2136.6492</v>
      </c>
      <c r="K498" t="n">
        <v>17116.2143</v>
      </c>
      <c r="L498" t="inlineStr"/>
      <c r="M498" t="inlineStr"/>
      <c r="N498" t="inlineStr"/>
      <c r="O498" t="inlineStr"/>
      <c r="P498" t="n">
        <v>2018</v>
      </c>
      <c r="Q498" t="n">
        <v>2040</v>
      </c>
      <c r="R498" t="n">
        <v>0.3424</v>
      </c>
      <c r="S498" t="n">
        <v>635.1588</v>
      </c>
      <c r="T498" t="n">
        <v>0.00086105</v>
      </c>
      <c r="U498" t="n">
        <v>0.00013947</v>
      </c>
    </row>
    <row r="499">
      <c r="A499" t="inlineStr">
        <is>
          <t>SUP-0050</t>
        </is>
      </c>
      <c r="B499" t="inlineStr">
        <is>
          <t>Electronics Supplier 050</t>
        </is>
      </c>
      <c r="C499" t="inlineStr">
        <is>
          <t>Electronics</t>
        </is>
      </c>
      <c r="D499" t="n">
        <v>2022</v>
      </c>
      <c r="E499" t="n">
        <v>24314180.13</v>
      </c>
      <c r="F499" t="n">
        <v>167414534.24</v>
      </c>
      <c r="G499" t="n">
        <v>27783.6172</v>
      </c>
      <c r="H499" t="n">
        <v>27783.6172</v>
      </c>
      <c r="I499" t="n">
        <v>5212.6755</v>
      </c>
      <c r="J499" t="n">
        <v>2621.0313</v>
      </c>
      <c r="K499" t="n">
        <v>18414.2135</v>
      </c>
      <c r="L499" t="inlineStr"/>
      <c r="M499" t="inlineStr"/>
      <c r="N499" t="inlineStr"/>
      <c r="O499" t="inlineStr"/>
      <c r="P499" t="n">
        <v>2018</v>
      </c>
      <c r="Q499" t="n">
        <v>2040</v>
      </c>
      <c r="R499" t="n">
        <v>0.3424</v>
      </c>
      <c r="S499" t="n">
        <v>635.1588</v>
      </c>
      <c r="T499" t="n">
        <v>0.00086105</v>
      </c>
      <c r="U499" t="n">
        <v>0.00013947</v>
      </c>
    </row>
    <row r="500">
      <c r="A500" t="inlineStr">
        <is>
          <t>SUP-0050</t>
        </is>
      </c>
      <c r="B500" t="inlineStr">
        <is>
          <t>Electronics Supplier 050</t>
        </is>
      </c>
      <c r="C500" t="inlineStr">
        <is>
          <t>Electronics</t>
        </is>
      </c>
      <c r="D500" t="n">
        <v>2023</v>
      </c>
      <c r="E500" t="n">
        <v>26697144.48</v>
      </c>
      <c r="F500" t="n">
        <v>164441018.28</v>
      </c>
      <c r="G500" t="n">
        <v>20962.4768</v>
      </c>
      <c r="H500" t="n">
        <v>20962.4768</v>
      </c>
      <c r="I500" t="n">
        <v>2639.7217</v>
      </c>
      <c r="J500" t="n">
        <v>1497.1062</v>
      </c>
      <c r="K500" t="n">
        <v>16583.1625</v>
      </c>
      <c r="L500" t="inlineStr"/>
      <c r="M500" t="inlineStr"/>
      <c r="N500" t="inlineStr"/>
      <c r="O500" t="inlineStr"/>
      <c r="P500" t="n">
        <v>2018</v>
      </c>
      <c r="Q500" t="n">
        <v>2040</v>
      </c>
      <c r="R500" t="n">
        <v>0.3424</v>
      </c>
      <c r="S500" t="n">
        <v>635.1588</v>
      </c>
      <c r="T500" t="n">
        <v>0.00086105</v>
      </c>
      <c r="U500" t="n">
        <v>0.00013947</v>
      </c>
    </row>
    <row r="501">
      <c r="A501" t="inlineStr">
        <is>
          <t>SUP-0050</t>
        </is>
      </c>
      <c r="B501" t="inlineStr">
        <is>
          <t>Electronics Supplier 050</t>
        </is>
      </c>
      <c r="C501" t="inlineStr">
        <is>
          <t>Electronics</t>
        </is>
      </c>
      <c r="D501" t="n">
        <v>2024</v>
      </c>
      <c r="E501" t="n">
        <v>30128796.93</v>
      </c>
      <c r="F501" t="n">
        <v>167804865.66</v>
      </c>
      <c r="G501" t="n">
        <v>26983.1476</v>
      </c>
      <c r="H501" t="n">
        <v>26983.1476</v>
      </c>
      <c r="I501" t="n">
        <v>5642.8221</v>
      </c>
      <c r="J501" t="n">
        <v>3907.9537</v>
      </c>
      <c r="K501" t="n">
        <v>16597.9242</v>
      </c>
      <c r="L501" t="inlineStr"/>
      <c r="M501" t="inlineStr"/>
      <c r="N501" t="inlineStr"/>
      <c r="O501" t="inlineStr"/>
      <c r="P501" t="n">
        <v>2018</v>
      </c>
      <c r="Q501" t="n">
        <v>2040</v>
      </c>
      <c r="R501" t="n">
        <v>0.3424</v>
      </c>
      <c r="S501" t="n">
        <v>635.1588</v>
      </c>
      <c r="T501" t="n">
        <v>0.00086105</v>
      </c>
      <c r="U501" t="n">
        <v>0.00013947</v>
      </c>
    </row>
    <row r="502">
      <c r="A502" t="inlineStr">
        <is>
          <t>SUP-0051</t>
        </is>
      </c>
      <c r="B502" t="inlineStr">
        <is>
          <t>Textiles Supplier 051</t>
        </is>
      </c>
      <c r="C502" t="inlineStr">
        <is>
          <t>Textiles</t>
        </is>
      </c>
      <c r="D502" t="n">
        <v>2015</v>
      </c>
      <c r="E502" t="n">
        <v>3843448.55</v>
      </c>
      <c r="F502" t="n">
        <v>16367090.18</v>
      </c>
      <c r="G502" t="n">
        <v>1002.279</v>
      </c>
      <c r="H502" t="n">
        <v>1002.279</v>
      </c>
      <c r="I502" t="n">
        <v>161.6254</v>
      </c>
      <c r="J502" t="n">
        <v>65.6512</v>
      </c>
      <c r="K502" t="n">
        <v>824.1725</v>
      </c>
      <c r="L502" t="n">
        <v>2021</v>
      </c>
      <c r="M502" t="n">
        <v>2035</v>
      </c>
      <c r="N502" t="n">
        <v>0.4466</v>
      </c>
      <c r="O502" t="n">
        <v>0.1676</v>
      </c>
      <c r="P502" t="n">
        <v>2019</v>
      </c>
      <c r="Q502" t="n">
        <v>2030</v>
      </c>
      <c r="R502" t="n">
        <v>0.3171</v>
      </c>
      <c r="S502" t="n">
        <v>401.7335</v>
      </c>
      <c r="T502" t="n">
        <v>0.00029221</v>
      </c>
      <c r="U502" t="n">
        <v>0.00017343</v>
      </c>
    </row>
    <row r="503">
      <c r="A503" t="inlineStr">
        <is>
          <t>SUP-0051</t>
        </is>
      </c>
      <c r="B503" t="inlineStr">
        <is>
          <t>Textiles Supplier 051</t>
        </is>
      </c>
      <c r="C503" t="inlineStr">
        <is>
          <t>Textiles</t>
        </is>
      </c>
      <c r="D503" t="n">
        <v>2016</v>
      </c>
      <c r="E503" t="n">
        <v>3747858.91</v>
      </c>
      <c r="F503" t="n">
        <v>18337798.55</v>
      </c>
      <c r="G503" t="n">
        <v>1000.1226</v>
      </c>
      <c r="H503" t="n">
        <v>1000.1226</v>
      </c>
      <c r="I503" t="n">
        <v>177.6966</v>
      </c>
      <c r="J503" t="n">
        <v>141.3352</v>
      </c>
      <c r="K503" t="n">
        <v>655.1781</v>
      </c>
      <c r="L503" t="n">
        <v>2021</v>
      </c>
      <c r="M503" t="n">
        <v>2035</v>
      </c>
      <c r="N503" t="n">
        <v>0.4466</v>
      </c>
      <c r="O503" t="n">
        <v>0.1676</v>
      </c>
      <c r="P503" t="n">
        <v>2019</v>
      </c>
      <c r="Q503" t="n">
        <v>2030</v>
      </c>
      <c r="R503" t="n">
        <v>0.3171</v>
      </c>
      <c r="S503" t="n">
        <v>401.7335</v>
      </c>
      <c r="T503" t="n">
        <v>0.00029221</v>
      </c>
      <c r="U503" t="n">
        <v>0.00017343</v>
      </c>
    </row>
    <row r="504">
      <c r="A504" t="inlineStr">
        <is>
          <t>SUP-0051</t>
        </is>
      </c>
      <c r="B504" t="inlineStr">
        <is>
          <t>Textiles Supplier 051</t>
        </is>
      </c>
      <c r="C504" t="inlineStr">
        <is>
          <t>Textiles</t>
        </is>
      </c>
      <c r="D504" t="n">
        <v>2017</v>
      </c>
      <c r="E504" t="n">
        <v>4443257.64</v>
      </c>
      <c r="F504" t="n">
        <v>23142398.76</v>
      </c>
      <c r="G504" t="n">
        <v>1300.6021</v>
      </c>
      <c r="H504" t="n">
        <v>1300.6021</v>
      </c>
      <c r="I504" t="n">
        <v>128.974</v>
      </c>
      <c r="J504" t="n">
        <v>219.5341</v>
      </c>
      <c r="K504" t="n">
        <v>970.2135</v>
      </c>
      <c r="L504" t="n">
        <v>2021</v>
      </c>
      <c r="M504" t="n">
        <v>2035</v>
      </c>
      <c r="N504" t="n">
        <v>0.4466</v>
      </c>
      <c r="O504" t="n">
        <v>0.1676</v>
      </c>
      <c r="P504" t="n">
        <v>2019</v>
      </c>
      <c r="Q504" t="n">
        <v>2030</v>
      </c>
      <c r="R504" t="n">
        <v>0.3171</v>
      </c>
      <c r="S504" t="n">
        <v>401.7335</v>
      </c>
      <c r="T504" t="n">
        <v>0.00029221</v>
      </c>
      <c r="U504" t="n">
        <v>0.00017343</v>
      </c>
    </row>
    <row r="505">
      <c r="A505" t="inlineStr">
        <is>
          <t>SUP-0051</t>
        </is>
      </c>
      <c r="B505" t="inlineStr">
        <is>
          <t>Textiles Supplier 051</t>
        </is>
      </c>
      <c r="C505" t="inlineStr">
        <is>
          <t>Textiles</t>
        </is>
      </c>
      <c r="D505" t="n">
        <v>2018</v>
      </c>
      <c r="E505" t="n">
        <v>5187878.71</v>
      </c>
      <c r="F505" t="n">
        <v>25884366.25</v>
      </c>
      <c r="G505" t="n">
        <v>1431.4853</v>
      </c>
      <c r="H505" t="n">
        <v>1431.4853</v>
      </c>
      <c r="I505" t="n">
        <v>258.5408</v>
      </c>
      <c r="J505" t="n">
        <v>122.8536</v>
      </c>
      <c r="K505" t="n">
        <v>1128.3149</v>
      </c>
      <c r="L505" t="n">
        <v>2021</v>
      </c>
      <c r="M505" t="n">
        <v>2035</v>
      </c>
      <c r="N505" t="n">
        <v>0.4466</v>
      </c>
      <c r="O505" t="n">
        <v>0.1676</v>
      </c>
      <c r="P505" t="n">
        <v>2019</v>
      </c>
      <c r="Q505" t="n">
        <v>2030</v>
      </c>
      <c r="R505" t="n">
        <v>0.3171</v>
      </c>
      <c r="S505" t="n">
        <v>401.7335</v>
      </c>
      <c r="T505" t="n">
        <v>0.00029221</v>
      </c>
      <c r="U505" t="n">
        <v>0.00017343</v>
      </c>
    </row>
    <row r="506">
      <c r="A506" t="inlineStr">
        <is>
          <t>SUP-0051</t>
        </is>
      </c>
      <c r="B506" t="inlineStr">
        <is>
          <t>Textiles Supplier 051</t>
        </is>
      </c>
      <c r="C506" t="inlineStr">
        <is>
          <t>Textiles</t>
        </is>
      </c>
      <c r="D506" t="n">
        <v>2019</v>
      </c>
      <c r="E506" t="n">
        <v>5468285.13</v>
      </c>
      <c r="F506" t="n">
        <v>23690121.85</v>
      </c>
      <c r="G506" t="n">
        <v>1820.5137</v>
      </c>
      <c r="H506" t="n">
        <v>1820.5137</v>
      </c>
      <c r="I506" t="n">
        <v>406.5727</v>
      </c>
      <c r="J506" t="n">
        <v>300.9163</v>
      </c>
      <c r="K506" t="n">
        <v>998.111</v>
      </c>
      <c r="L506" t="n">
        <v>2021</v>
      </c>
      <c r="M506" t="n">
        <v>2035</v>
      </c>
      <c r="N506" t="n">
        <v>0.4466</v>
      </c>
      <c r="O506" t="n">
        <v>0.1676</v>
      </c>
      <c r="P506" t="n">
        <v>2019</v>
      </c>
      <c r="Q506" t="n">
        <v>2030</v>
      </c>
      <c r="R506" t="n">
        <v>0.3171</v>
      </c>
      <c r="S506" t="n">
        <v>401.7335</v>
      </c>
      <c r="T506" t="n">
        <v>0.00029221</v>
      </c>
      <c r="U506" t="n">
        <v>0.00017343</v>
      </c>
    </row>
    <row r="507">
      <c r="A507" t="inlineStr">
        <is>
          <t>SUP-0051</t>
        </is>
      </c>
      <c r="B507" t="inlineStr">
        <is>
          <t>Textiles Supplier 051</t>
        </is>
      </c>
      <c r="C507" t="inlineStr">
        <is>
          <t>Textiles</t>
        </is>
      </c>
      <c r="D507" t="n">
        <v>2020</v>
      </c>
      <c r="E507" t="n">
        <v>4938369.73</v>
      </c>
      <c r="F507" t="n">
        <v>26416229.92</v>
      </c>
      <c r="G507" t="n">
        <v>1524.4904</v>
      </c>
      <c r="H507" t="n">
        <v>1524.4904</v>
      </c>
      <c r="I507" t="n">
        <v>395.2428</v>
      </c>
      <c r="J507" t="n">
        <v>290.7353</v>
      </c>
      <c r="K507" t="n">
        <v>765.755</v>
      </c>
      <c r="L507" t="n">
        <v>2021</v>
      </c>
      <c r="M507" t="n">
        <v>2035</v>
      </c>
      <c r="N507" t="n">
        <v>0.4466</v>
      </c>
      <c r="O507" t="n">
        <v>0.1676</v>
      </c>
      <c r="P507" t="n">
        <v>2019</v>
      </c>
      <c r="Q507" t="n">
        <v>2030</v>
      </c>
      <c r="R507" t="n">
        <v>0.3171</v>
      </c>
      <c r="S507" t="n">
        <v>401.7335</v>
      </c>
      <c r="T507" t="n">
        <v>0.00029221</v>
      </c>
      <c r="U507" t="n">
        <v>0.00017343</v>
      </c>
    </row>
    <row r="508">
      <c r="A508" t="inlineStr">
        <is>
          <t>SUP-0051</t>
        </is>
      </c>
      <c r="B508" t="inlineStr">
        <is>
          <t>Textiles Supplier 051</t>
        </is>
      </c>
      <c r="C508" t="inlineStr">
        <is>
          <t>Textiles</t>
        </is>
      </c>
      <c r="D508" t="n">
        <v>2021</v>
      </c>
      <c r="E508" t="n">
        <v>6352360.79</v>
      </c>
      <c r="F508" t="n">
        <v>29264276.99</v>
      </c>
      <c r="G508" t="n">
        <v>1552.8311</v>
      </c>
      <c r="H508" t="n">
        <v>1552.8311</v>
      </c>
      <c r="I508" t="n">
        <v>255.2304</v>
      </c>
      <c r="J508" t="n">
        <v>215.6815</v>
      </c>
      <c r="K508" t="n">
        <v>1118.208</v>
      </c>
      <c r="L508" t="n">
        <v>2021</v>
      </c>
      <c r="M508" t="n">
        <v>2035</v>
      </c>
      <c r="N508" t="n">
        <v>0.4466</v>
      </c>
      <c r="O508" t="n">
        <v>0.1676</v>
      </c>
      <c r="P508" t="n">
        <v>2019</v>
      </c>
      <c r="Q508" t="n">
        <v>2030</v>
      </c>
      <c r="R508" t="n">
        <v>0.3171</v>
      </c>
      <c r="S508" t="n">
        <v>401.7335</v>
      </c>
      <c r="T508" t="n">
        <v>0.00029221</v>
      </c>
      <c r="U508" t="n">
        <v>0.00017343</v>
      </c>
    </row>
    <row r="509">
      <c r="A509" t="inlineStr">
        <is>
          <t>SUP-0051</t>
        </is>
      </c>
      <c r="B509" t="inlineStr">
        <is>
          <t>Textiles Supplier 051</t>
        </is>
      </c>
      <c r="C509" t="inlineStr">
        <is>
          <t>Textiles</t>
        </is>
      </c>
      <c r="D509" t="n">
        <v>2022</v>
      </c>
      <c r="E509" t="n">
        <v>6552006.01</v>
      </c>
      <c r="F509" t="n">
        <v>30581564.64</v>
      </c>
      <c r="G509" t="n">
        <v>1726.5506</v>
      </c>
      <c r="H509" t="n">
        <v>1726.5506</v>
      </c>
      <c r="I509" t="n">
        <v>140.7257</v>
      </c>
      <c r="J509" t="n">
        <v>323.2552</v>
      </c>
      <c r="K509" t="n">
        <v>1345.8754</v>
      </c>
      <c r="L509" t="n">
        <v>2021</v>
      </c>
      <c r="M509" t="n">
        <v>2035</v>
      </c>
      <c r="N509" t="n">
        <v>0.4466</v>
      </c>
      <c r="O509" t="n">
        <v>0.1676</v>
      </c>
      <c r="P509" t="n">
        <v>2019</v>
      </c>
      <c r="Q509" t="n">
        <v>2030</v>
      </c>
      <c r="R509" t="n">
        <v>0.3171</v>
      </c>
      <c r="S509" t="n">
        <v>401.7335</v>
      </c>
      <c r="T509" t="n">
        <v>0.00029221</v>
      </c>
      <c r="U509" t="n">
        <v>0.00017343</v>
      </c>
    </row>
    <row r="510">
      <c r="A510" t="inlineStr">
        <is>
          <t>SUP-0051</t>
        </is>
      </c>
      <c r="B510" t="inlineStr">
        <is>
          <t>Textiles Supplier 051</t>
        </is>
      </c>
      <c r="C510" t="inlineStr">
        <is>
          <t>Textiles</t>
        </is>
      </c>
      <c r="D510" t="n">
        <v>2023</v>
      </c>
      <c r="E510" t="n">
        <v>5664971.37</v>
      </c>
      <c r="F510" t="n">
        <v>31272518.87</v>
      </c>
      <c r="G510" t="n">
        <v>1675.0922</v>
      </c>
      <c r="H510" t="n">
        <v>1675.0922</v>
      </c>
      <c r="I510" t="n">
        <v>210.4342</v>
      </c>
      <c r="J510" t="n">
        <v>106.0905</v>
      </c>
      <c r="K510" t="n">
        <v>1362.1053</v>
      </c>
      <c r="L510" t="n">
        <v>2021</v>
      </c>
      <c r="M510" t="n">
        <v>2035</v>
      </c>
      <c r="N510" t="n">
        <v>0.4466</v>
      </c>
      <c r="O510" t="n">
        <v>0.1676</v>
      </c>
      <c r="P510" t="n">
        <v>2019</v>
      </c>
      <c r="Q510" t="n">
        <v>2030</v>
      </c>
      <c r="R510" t="n">
        <v>0.3171</v>
      </c>
      <c r="S510" t="n">
        <v>401.7335</v>
      </c>
      <c r="T510" t="n">
        <v>0.00029221</v>
      </c>
      <c r="U510" t="n">
        <v>0.00017343</v>
      </c>
    </row>
    <row r="511">
      <c r="A511" t="inlineStr">
        <is>
          <t>SUP-0051</t>
        </is>
      </c>
      <c r="B511" t="inlineStr">
        <is>
          <t>Textiles Supplier 051</t>
        </is>
      </c>
      <c r="C511" t="inlineStr">
        <is>
          <t>Textiles</t>
        </is>
      </c>
      <c r="D511" t="n">
        <v>2024</v>
      </c>
      <c r="E511" t="n">
        <v>6481538.48</v>
      </c>
      <c r="F511" t="n">
        <v>32335832.86</v>
      </c>
      <c r="G511" t="n">
        <v>1500.1231</v>
      </c>
      <c r="H511" t="n">
        <v>1500.1231</v>
      </c>
      <c r="I511" t="n">
        <v>270.3479</v>
      </c>
      <c r="J511" t="n">
        <v>170.1741</v>
      </c>
      <c r="K511" t="n">
        <v>1090.4532</v>
      </c>
      <c r="L511" t="n">
        <v>2021</v>
      </c>
      <c r="M511" t="n">
        <v>2035</v>
      </c>
      <c r="N511" t="n">
        <v>0.4466</v>
      </c>
      <c r="O511" t="n">
        <v>0.1676</v>
      </c>
      <c r="P511" t="n">
        <v>2019</v>
      </c>
      <c r="Q511" t="n">
        <v>2030</v>
      </c>
      <c r="R511" t="n">
        <v>0.3171</v>
      </c>
      <c r="S511" t="n">
        <v>401.7335</v>
      </c>
      <c r="T511" t="n">
        <v>0.00029221</v>
      </c>
      <c r="U511" t="n">
        <v>0.00017343</v>
      </c>
    </row>
    <row r="512">
      <c r="A512" t="inlineStr">
        <is>
          <t>SUP-0052</t>
        </is>
      </c>
      <c r="B512" t="inlineStr">
        <is>
          <t>Electronics Supplier 052</t>
        </is>
      </c>
      <c r="C512" t="inlineStr">
        <is>
          <t>Electronics</t>
        </is>
      </c>
      <c r="D512" t="n">
        <v>2015</v>
      </c>
      <c r="E512" t="n">
        <v>3472122.95</v>
      </c>
      <c r="F512" t="n">
        <v>26316758.21</v>
      </c>
      <c r="G512" t="n">
        <v>1548.3883</v>
      </c>
      <c r="H512" t="n">
        <v>1548.3883</v>
      </c>
      <c r="I512" t="n">
        <v>160.259</v>
      </c>
      <c r="J512" t="n">
        <v>331.6604</v>
      </c>
      <c r="K512" t="n">
        <v>1207.2059</v>
      </c>
      <c r="L512" t="inlineStr"/>
      <c r="M512" t="inlineStr"/>
      <c r="N512" t="inlineStr"/>
      <c r="O512" t="inlineStr"/>
      <c r="P512" t="n">
        <v>2018</v>
      </c>
      <c r="Q512" t="n">
        <v>2040</v>
      </c>
      <c r="R512" t="n">
        <v>0.3424</v>
      </c>
      <c r="S512" t="n">
        <v>635.1588</v>
      </c>
      <c r="T512" t="n">
        <v>0.00086105</v>
      </c>
      <c r="U512" t="n">
        <v>0.00013947</v>
      </c>
    </row>
    <row r="513">
      <c r="A513" t="inlineStr">
        <is>
          <t>SUP-0052</t>
        </is>
      </c>
      <c r="B513" t="inlineStr">
        <is>
          <t>Electronics Supplier 052</t>
        </is>
      </c>
      <c r="C513" t="inlineStr">
        <is>
          <t>Electronics</t>
        </is>
      </c>
      <c r="D513" t="n">
        <v>2016</v>
      </c>
      <c r="E513" t="n">
        <v>3623047.78</v>
      </c>
      <c r="F513" t="n">
        <v>18087244.93</v>
      </c>
      <c r="G513" t="n">
        <v>2241.0289</v>
      </c>
      <c r="H513" t="n">
        <v>2241.0289</v>
      </c>
      <c r="I513" t="n">
        <v>359.2606</v>
      </c>
      <c r="J513" t="n">
        <v>449.2499</v>
      </c>
      <c r="K513" t="n">
        <v>1820.3543</v>
      </c>
      <c r="L513" t="inlineStr"/>
      <c r="M513" t="inlineStr"/>
      <c r="N513" t="inlineStr"/>
      <c r="O513" t="inlineStr"/>
      <c r="P513" t="n">
        <v>2018</v>
      </c>
      <c r="Q513" t="n">
        <v>2040</v>
      </c>
      <c r="R513" t="n">
        <v>0.3424</v>
      </c>
      <c r="S513" t="n">
        <v>635.1588</v>
      </c>
      <c r="T513" t="n">
        <v>0.00086105</v>
      </c>
      <c r="U513" t="n">
        <v>0.00013947</v>
      </c>
    </row>
    <row r="514">
      <c r="A514" t="inlineStr">
        <is>
          <t>SUP-0052</t>
        </is>
      </c>
      <c r="B514" t="inlineStr">
        <is>
          <t>Electronics Supplier 052</t>
        </is>
      </c>
      <c r="C514" t="inlineStr">
        <is>
          <t>Electronics</t>
        </is>
      </c>
      <c r="D514" t="n">
        <v>2017</v>
      </c>
      <c r="E514" t="n">
        <v>2859076.61</v>
      </c>
      <c r="F514" t="n">
        <v>26896732.87</v>
      </c>
      <c r="G514" t="n">
        <v>1623.8663</v>
      </c>
      <c r="H514" t="n">
        <v>1623.8663</v>
      </c>
      <c r="I514" t="n">
        <v>182.3371</v>
      </c>
      <c r="J514" t="n">
        <v>234.4386</v>
      </c>
      <c r="K514" t="n">
        <v>1273.3668</v>
      </c>
      <c r="L514" t="inlineStr"/>
      <c r="M514" t="inlineStr"/>
      <c r="N514" t="inlineStr"/>
      <c r="O514" t="inlineStr"/>
      <c r="P514" t="n">
        <v>2018</v>
      </c>
      <c r="Q514" t="n">
        <v>2040</v>
      </c>
      <c r="R514" t="n">
        <v>0.3424</v>
      </c>
      <c r="S514" t="n">
        <v>635.1588</v>
      </c>
      <c r="T514" t="n">
        <v>0.00086105</v>
      </c>
      <c r="U514" t="n">
        <v>0.00013947</v>
      </c>
    </row>
    <row r="515">
      <c r="A515" t="inlineStr">
        <is>
          <t>SUP-0052</t>
        </is>
      </c>
      <c r="B515" t="inlineStr">
        <is>
          <t>Electronics Supplier 052</t>
        </is>
      </c>
      <c r="C515" t="inlineStr">
        <is>
          <t>Electronics</t>
        </is>
      </c>
      <c r="D515" t="n">
        <v>2018</v>
      </c>
      <c r="E515" t="n">
        <v>3661828.19</v>
      </c>
      <c r="F515" t="n">
        <v>22548335.14</v>
      </c>
      <c r="G515" t="n">
        <v>2706.0524</v>
      </c>
      <c r="H515" t="n">
        <v>2706.0524</v>
      </c>
      <c r="I515" t="n">
        <v>530.7162</v>
      </c>
      <c r="J515" t="n">
        <v>196.3814</v>
      </c>
      <c r="K515" t="n">
        <v>2020.2192</v>
      </c>
      <c r="L515" t="inlineStr"/>
      <c r="M515" t="inlineStr"/>
      <c r="N515" t="inlineStr"/>
      <c r="O515" t="inlineStr"/>
      <c r="P515" t="n">
        <v>2018</v>
      </c>
      <c r="Q515" t="n">
        <v>2040</v>
      </c>
      <c r="R515" t="n">
        <v>0.3424</v>
      </c>
      <c r="S515" t="n">
        <v>635.1588</v>
      </c>
      <c r="T515" t="n">
        <v>0.00086105</v>
      </c>
      <c r="U515" t="n">
        <v>0.00013947</v>
      </c>
    </row>
    <row r="516">
      <c r="A516" t="inlineStr">
        <is>
          <t>SUP-0052</t>
        </is>
      </c>
      <c r="B516" t="inlineStr">
        <is>
          <t>Electronics Supplier 052</t>
        </is>
      </c>
      <c r="C516" t="inlineStr">
        <is>
          <t>Electronics</t>
        </is>
      </c>
      <c r="D516" t="n">
        <v>2019</v>
      </c>
      <c r="E516" t="n">
        <v>3104599.42</v>
      </c>
      <c r="F516" t="n">
        <v>24171490.72</v>
      </c>
      <c r="G516" t="n">
        <v>2054.4385</v>
      </c>
      <c r="H516" t="n">
        <v>2054.4385</v>
      </c>
      <c r="I516" t="n">
        <v>166.7449</v>
      </c>
      <c r="J516" t="n">
        <v>143.6119</v>
      </c>
      <c r="K516" t="n">
        <v>1726.5429</v>
      </c>
      <c r="L516" t="inlineStr"/>
      <c r="M516" t="inlineStr"/>
      <c r="N516" t="inlineStr"/>
      <c r="O516" t="inlineStr"/>
      <c r="P516" t="n">
        <v>2018</v>
      </c>
      <c r="Q516" t="n">
        <v>2040</v>
      </c>
      <c r="R516" t="n">
        <v>0.3424</v>
      </c>
      <c r="S516" t="n">
        <v>635.1588</v>
      </c>
      <c r="T516" t="n">
        <v>0.00086105</v>
      </c>
      <c r="U516" t="n">
        <v>0.00013947</v>
      </c>
    </row>
    <row r="517">
      <c r="A517" t="inlineStr">
        <is>
          <t>SUP-0052</t>
        </is>
      </c>
      <c r="B517" t="inlineStr">
        <is>
          <t>Electronics Supplier 052</t>
        </is>
      </c>
      <c r="C517" t="inlineStr">
        <is>
          <t>Electronics</t>
        </is>
      </c>
      <c r="D517" t="n">
        <v>2020</v>
      </c>
      <c r="E517" t="n">
        <v>3014599.53</v>
      </c>
      <c r="F517" t="n">
        <v>28726586.91</v>
      </c>
      <c r="G517" t="n">
        <v>1140.9934</v>
      </c>
      <c r="H517" t="n">
        <v>1140.9934</v>
      </c>
      <c r="I517" t="n">
        <v>168.9751</v>
      </c>
      <c r="J517" t="n">
        <v>203.8388</v>
      </c>
      <c r="K517" t="n">
        <v>859.7547</v>
      </c>
      <c r="L517" t="inlineStr"/>
      <c r="M517" t="inlineStr"/>
      <c r="N517" t="inlineStr"/>
      <c r="O517" t="inlineStr"/>
      <c r="P517" t="n">
        <v>2018</v>
      </c>
      <c r="Q517" t="n">
        <v>2040</v>
      </c>
      <c r="R517" t="n">
        <v>0.3424</v>
      </c>
      <c r="S517" t="n">
        <v>635.1588</v>
      </c>
      <c r="T517" t="n">
        <v>0.00086105</v>
      </c>
      <c r="U517" t="n">
        <v>0.00013947</v>
      </c>
    </row>
    <row r="518">
      <c r="A518" t="inlineStr">
        <is>
          <t>SUP-0052</t>
        </is>
      </c>
      <c r="B518" t="inlineStr">
        <is>
          <t>Electronics Supplier 052</t>
        </is>
      </c>
      <c r="C518" t="inlineStr">
        <is>
          <t>Electronics</t>
        </is>
      </c>
      <c r="D518" t="n">
        <v>2021</v>
      </c>
      <c r="E518" t="n">
        <v>3035926.46</v>
      </c>
      <c r="F518" t="n">
        <v>24508748.4</v>
      </c>
      <c r="G518" t="n">
        <v>1591.3873</v>
      </c>
      <c r="H518" t="n">
        <v>1591.3873</v>
      </c>
      <c r="I518" t="n">
        <v>194.8867</v>
      </c>
      <c r="J518" t="n">
        <v>134.9942</v>
      </c>
      <c r="K518" t="n">
        <v>1204.9709</v>
      </c>
      <c r="L518" t="inlineStr"/>
      <c r="M518" t="inlineStr"/>
      <c r="N518" t="inlineStr"/>
      <c r="O518" t="inlineStr"/>
      <c r="P518" t="n">
        <v>2018</v>
      </c>
      <c r="Q518" t="n">
        <v>2040</v>
      </c>
      <c r="R518" t="n">
        <v>0.3424</v>
      </c>
      <c r="S518" t="n">
        <v>635.1588</v>
      </c>
      <c r="T518" t="n">
        <v>0.00086105</v>
      </c>
      <c r="U518" t="n">
        <v>0.00013947</v>
      </c>
    </row>
    <row r="519">
      <c r="A519" t="inlineStr">
        <is>
          <t>SUP-0052</t>
        </is>
      </c>
      <c r="B519" t="inlineStr">
        <is>
          <t>Electronics Supplier 052</t>
        </is>
      </c>
      <c r="C519" t="inlineStr">
        <is>
          <t>Electronics</t>
        </is>
      </c>
      <c r="D519" t="n">
        <v>2022</v>
      </c>
      <c r="E519" t="n">
        <v>3093272.85</v>
      </c>
      <c r="F519" t="n">
        <v>23525134.53</v>
      </c>
      <c r="G519" t="n">
        <v>1087.8217</v>
      </c>
      <c r="H519" t="n">
        <v>1087.8217</v>
      </c>
      <c r="I519" t="n">
        <v>268.5471</v>
      </c>
      <c r="J519" t="n">
        <v>202.9979</v>
      </c>
      <c r="K519" t="n">
        <v>687.9441</v>
      </c>
      <c r="L519" t="inlineStr"/>
      <c r="M519" t="inlineStr"/>
      <c r="N519" t="inlineStr"/>
      <c r="O519" t="inlineStr"/>
      <c r="P519" t="n">
        <v>2018</v>
      </c>
      <c r="Q519" t="n">
        <v>2040</v>
      </c>
      <c r="R519" t="n">
        <v>0.3424</v>
      </c>
      <c r="S519" t="n">
        <v>635.1588</v>
      </c>
      <c r="T519" t="n">
        <v>0.00086105</v>
      </c>
      <c r="U519" t="n">
        <v>0.00013947</v>
      </c>
    </row>
    <row r="520">
      <c r="A520" t="inlineStr">
        <is>
          <t>SUP-0052</t>
        </is>
      </c>
      <c r="B520" t="inlineStr">
        <is>
          <t>Electronics Supplier 052</t>
        </is>
      </c>
      <c r="C520" t="inlineStr">
        <is>
          <t>Electronics</t>
        </is>
      </c>
      <c r="D520" t="n">
        <v>2023</v>
      </c>
      <c r="E520" t="n">
        <v>2982597.08</v>
      </c>
      <c r="F520" t="n">
        <v>24293955.4</v>
      </c>
      <c r="G520" t="n">
        <v>1558.2705</v>
      </c>
      <c r="H520" t="n">
        <v>1558.2705</v>
      </c>
      <c r="I520" t="n">
        <v>325.3519</v>
      </c>
      <c r="J520" t="n">
        <v>241.9644</v>
      </c>
      <c r="K520" t="n">
        <v>984.0862</v>
      </c>
      <c r="L520" t="inlineStr"/>
      <c r="M520" t="inlineStr"/>
      <c r="N520" t="inlineStr"/>
      <c r="O520" t="inlineStr"/>
      <c r="P520" t="n">
        <v>2018</v>
      </c>
      <c r="Q520" t="n">
        <v>2040</v>
      </c>
      <c r="R520" t="n">
        <v>0.3424</v>
      </c>
      <c r="S520" t="n">
        <v>635.1588</v>
      </c>
      <c r="T520" t="n">
        <v>0.00086105</v>
      </c>
      <c r="U520" t="n">
        <v>0.00013947</v>
      </c>
    </row>
    <row r="521">
      <c r="A521" t="inlineStr">
        <is>
          <t>SUP-0052</t>
        </is>
      </c>
      <c r="B521" t="inlineStr">
        <is>
          <t>Electronics Supplier 052</t>
        </is>
      </c>
      <c r="C521" t="inlineStr">
        <is>
          <t>Electronics</t>
        </is>
      </c>
      <c r="D521" t="n">
        <v>2024</v>
      </c>
      <c r="E521" t="n">
        <v>2698892</v>
      </c>
      <c r="F521" t="n">
        <v>16949044.66</v>
      </c>
      <c r="G521" t="n">
        <v>1342.4416</v>
      </c>
      <c r="H521" t="n">
        <v>1342.4416</v>
      </c>
      <c r="I521" t="n">
        <v>214.191</v>
      </c>
      <c r="J521" t="n">
        <v>166.702</v>
      </c>
      <c r="K521" t="n">
        <v>880.8258</v>
      </c>
      <c r="L521" t="inlineStr"/>
      <c r="M521" t="inlineStr"/>
      <c r="N521" t="inlineStr"/>
      <c r="O521" t="inlineStr"/>
      <c r="P521" t="n">
        <v>2018</v>
      </c>
      <c r="Q521" t="n">
        <v>2040</v>
      </c>
      <c r="R521" t="n">
        <v>0.3424</v>
      </c>
      <c r="S521" t="n">
        <v>635.1588</v>
      </c>
      <c r="T521" t="n">
        <v>0.00086105</v>
      </c>
      <c r="U521" t="n">
        <v>0.00013947</v>
      </c>
    </row>
    <row r="522">
      <c r="A522" t="inlineStr">
        <is>
          <t>SUP-0053</t>
        </is>
      </c>
      <c r="B522" t="inlineStr">
        <is>
          <t>Electronics Supplier 053</t>
        </is>
      </c>
      <c r="C522" t="inlineStr">
        <is>
          <t>Electronics</t>
        </is>
      </c>
      <c r="D522" t="n">
        <v>2015</v>
      </c>
      <c r="E522" t="n">
        <v>9470569.539999999</v>
      </c>
      <c r="F522" t="n">
        <v>31088196.1</v>
      </c>
      <c r="G522" t="n">
        <v>8826.9665</v>
      </c>
      <c r="H522" t="n">
        <v>8826.9665</v>
      </c>
      <c r="I522" t="n">
        <v>1901.1209</v>
      </c>
      <c r="J522" t="n">
        <v>866.1514</v>
      </c>
      <c r="K522" t="n">
        <v>6103.4856</v>
      </c>
      <c r="L522" t="n">
        <v>2021</v>
      </c>
      <c r="M522" t="n">
        <v>2030</v>
      </c>
      <c r="N522" t="n">
        <v>0.5843</v>
      </c>
      <c r="O522" t="n">
        <v>0.3539</v>
      </c>
      <c r="P522" t="n">
        <v>2018</v>
      </c>
      <c r="Q522" t="n">
        <v>2040</v>
      </c>
      <c r="R522" t="n">
        <v>0.3424</v>
      </c>
      <c r="S522" t="n">
        <v>635.1588</v>
      </c>
      <c r="T522" t="n">
        <v>0.00086105</v>
      </c>
      <c r="U522" t="n">
        <v>0.00013947</v>
      </c>
    </row>
    <row r="523">
      <c r="A523" t="inlineStr">
        <is>
          <t>SUP-0053</t>
        </is>
      </c>
      <c r="B523" t="inlineStr">
        <is>
          <t>Electronics Supplier 053</t>
        </is>
      </c>
      <c r="C523" t="inlineStr">
        <is>
          <t>Electronics</t>
        </is>
      </c>
      <c r="D523" t="n">
        <v>2016</v>
      </c>
      <c r="E523" t="n">
        <v>8465911.18</v>
      </c>
      <c r="F523" t="n">
        <v>36450925.09</v>
      </c>
      <c r="G523" t="n">
        <v>7118.7694</v>
      </c>
      <c r="H523" t="n">
        <v>7118.7694</v>
      </c>
      <c r="I523" t="n">
        <v>1589.9879</v>
      </c>
      <c r="J523" t="n">
        <v>616.226</v>
      </c>
      <c r="K523" t="n">
        <v>4695.5056</v>
      </c>
      <c r="L523" t="n">
        <v>2021</v>
      </c>
      <c r="M523" t="n">
        <v>2030</v>
      </c>
      <c r="N523" t="n">
        <v>0.5843</v>
      </c>
      <c r="O523" t="n">
        <v>0.3539</v>
      </c>
      <c r="P523" t="n">
        <v>2018</v>
      </c>
      <c r="Q523" t="n">
        <v>2040</v>
      </c>
      <c r="R523" t="n">
        <v>0.3424</v>
      </c>
      <c r="S523" t="n">
        <v>635.1588</v>
      </c>
      <c r="T523" t="n">
        <v>0.00086105</v>
      </c>
      <c r="U523" t="n">
        <v>0.00013947</v>
      </c>
    </row>
    <row r="524">
      <c r="A524" t="inlineStr">
        <is>
          <t>SUP-0053</t>
        </is>
      </c>
      <c r="B524" t="inlineStr">
        <is>
          <t>Electronics Supplier 053</t>
        </is>
      </c>
      <c r="C524" t="inlineStr">
        <is>
          <t>Electronics</t>
        </is>
      </c>
      <c r="D524" t="n">
        <v>2017</v>
      </c>
      <c r="E524" t="n">
        <v>7891935.07</v>
      </c>
      <c r="F524" t="n">
        <v>31058756.39</v>
      </c>
      <c r="G524" t="n">
        <v>7387.6392</v>
      </c>
      <c r="H524" t="n">
        <v>7387.6392</v>
      </c>
      <c r="I524" t="n">
        <v>631.4311</v>
      </c>
      <c r="J524" t="n">
        <v>1444.4768</v>
      </c>
      <c r="K524" t="n">
        <v>5490.7971</v>
      </c>
      <c r="L524" t="n">
        <v>2021</v>
      </c>
      <c r="M524" t="n">
        <v>2030</v>
      </c>
      <c r="N524" t="n">
        <v>0.5843</v>
      </c>
      <c r="O524" t="n">
        <v>0.3539</v>
      </c>
      <c r="P524" t="n">
        <v>2018</v>
      </c>
      <c r="Q524" t="n">
        <v>2040</v>
      </c>
      <c r="R524" t="n">
        <v>0.3424</v>
      </c>
      <c r="S524" t="n">
        <v>635.1588</v>
      </c>
      <c r="T524" t="n">
        <v>0.00086105</v>
      </c>
      <c r="U524" t="n">
        <v>0.00013947</v>
      </c>
    </row>
    <row r="525">
      <c r="A525" t="inlineStr">
        <is>
          <t>SUP-0053</t>
        </is>
      </c>
      <c r="B525" t="inlineStr">
        <is>
          <t>Electronics Supplier 053</t>
        </is>
      </c>
      <c r="C525" t="inlineStr">
        <is>
          <t>Electronics</t>
        </is>
      </c>
      <c r="D525" t="n">
        <v>2018</v>
      </c>
      <c r="E525" t="n">
        <v>8879704.220000001</v>
      </c>
      <c r="F525" t="n">
        <v>29118064.72</v>
      </c>
      <c r="G525" t="n">
        <v>5599.2244</v>
      </c>
      <c r="H525" t="n">
        <v>5599.2244</v>
      </c>
      <c r="I525" t="n">
        <v>1080.5135</v>
      </c>
      <c r="J525" t="n">
        <v>595.8452</v>
      </c>
      <c r="K525" t="n">
        <v>4612.0415</v>
      </c>
      <c r="L525" t="n">
        <v>2021</v>
      </c>
      <c r="M525" t="n">
        <v>2030</v>
      </c>
      <c r="N525" t="n">
        <v>0.5843</v>
      </c>
      <c r="O525" t="n">
        <v>0.3539</v>
      </c>
      <c r="P525" t="n">
        <v>2018</v>
      </c>
      <c r="Q525" t="n">
        <v>2040</v>
      </c>
      <c r="R525" t="n">
        <v>0.3424</v>
      </c>
      <c r="S525" t="n">
        <v>635.1588</v>
      </c>
      <c r="T525" t="n">
        <v>0.00086105</v>
      </c>
      <c r="U525" t="n">
        <v>0.00013947</v>
      </c>
    </row>
    <row r="526">
      <c r="A526" t="inlineStr">
        <is>
          <t>SUP-0053</t>
        </is>
      </c>
      <c r="B526" t="inlineStr">
        <is>
          <t>Electronics Supplier 053</t>
        </is>
      </c>
      <c r="C526" t="inlineStr">
        <is>
          <t>Electronics</t>
        </is>
      </c>
      <c r="D526" t="n">
        <v>2019</v>
      </c>
      <c r="E526" t="n">
        <v>7596314.77</v>
      </c>
      <c r="F526" t="n">
        <v>43497840.55</v>
      </c>
      <c r="G526" t="n">
        <v>4603.1214</v>
      </c>
      <c r="H526" t="n">
        <v>4603.1214</v>
      </c>
      <c r="I526" t="n">
        <v>1287.9028</v>
      </c>
      <c r="J526" t="n">
        <v>651.7608</v>
      </c>
      <c r="K526" t="n">
        <v>2828.3518</v>
      </c>
      <c r="L526" t="n">
        <v>2021</v>
      </c>
      <c r="M526" t="n">
        <v>2030</v>
      </c>
      <c r="N526" t="n">
        <v>0.5843</v>
      </c>
      <c r="O526" t="n">
        <v>0.3539</v>
      </c>
      <c r="P526" t="n">
        <v>2018</v>
      </c>
      <c r="Q526" t="n">
        <v>2040</v>
      </c>
      <c r="R526" t="n">
        <v>0.3424</v>
      </c>
      <c r="S526" t="n">
        <v>635.1588</v>
      </c>
      <c r="T526" t="n">
        <v>0.00086105</v>
      </c>
      <c r="U526" t="n">
        <v>0.00013947</v>
      </c>
    </row>
    <row r="527">
      <c r="A527" t="inlineStr">
        <is>
          <t>SUP-0053</t>
        </is>
      </c>
      <c r="B527" t="inlineStr">
        <is>
          <t>Electronics Supplier 053</t>
        </is>
      </c>
      <c r="C527" t="inlineStr">
        <is>
          <t>Electronics</t>
        </is>
      </c>
      <c r="D527" t="n">
        <v>2020</v>
      </c>
      <c r="E527" t="n">
        <v>8425995.23</v>
      </c>
      <c r="F527" t="n">
        <v>38644754.4</v>
      </c>
      <c r="G527" t="n">
        <v>6094.0147</v>
      </c>
      <c r="H527" t="n">
        <v>6094.0147</v>
      </c>
      <c r="I527" t="n">
        <v>1205.8474</v>
      </c>
      <c r="J527" t="n">
        <v>509.3801</v>
      </c>
      <c r="K527" t="n">
        <v>4177.6809</v>
      </c>
      <c r="L527" t="n">
        <v>2021</v>
      </c>
      <c r="M527" t="n">
        <v>2030</v>
      </c>
      <c r="N527" t="n">
        <v>0.5843</v>
      </c>
      <c r="O527" t="n">
        <v>0.3539</v>
      </c>
      <c r="P527" t="n">
        <v>2018</v>
      </c>
      <c r="Q527" t="n">
        <v>2040</v>
      </c>
      <c r="R527" t="n">
        <v>0.3424</v>
      </c>
      <c r="S527" t="n">
        <v>635.1588</v>
      </c>
      <c r="T527" t="n">
        <v>0.00086105</v>
      </c>
      <c r="U527" t="n">
        <v>0.00013947</v>
      </c>
    </row>
    <row r="528">
      <c r="A528" t="inlineStr">
        <is>
          <t>SUP-0053</t>
        </is>
      </c>
      <c r="B528" t="inlineStr">
        <is>
          <t>Electronics Supplier 053</t>
        </is>
      </c>
      <c r="C528" t="inlineStr">
        <is>
          <t>Electronics</t>
        </is>
      </c>
      <c r="D528" t="n">
        <v>2021</v>
      </c>
      <c r="E528" t="n">
        <v>7244422.57</v>
      </c>
      <c r="F528" t="n">
        <v>36584093.37</v>
      </c>
      <c r="G528" t="n">
        <v>5361.5757</v>
      </c>
      <c r="H528" t="n">
        <v>5361.5757</v>
      </c>
      <c r="I528" t="n">
        <v>1291.189</v>
      </c>
      <c r="J528" t="n">
        <v>519.6786</v>
      </c>
      <c r="K528" t="n">
        <v>3549.7114</v>
      </c>
      <c r="L528" t="n">
        <v>2021</v>
      </c>
      <c r="M528" t="n">
        <v>2030</v>
      </c>
      <c r="N528" t="n">
        <v>0.5843</v>
      </c>
      <c r="O528" t="n">
        <v>0.3539</v>
      </c>
      <c r="P528" t="n">
        <v>2018</v>
      </c>
      <c r="Q528" t="n">
        <v>2040</v>
      </c>
      <c r="R528" t="n">
        <v>0.3424</v>
      </c>
      <c r="S528" t="n">
        <v>635.1588</v>
      </c>
      <c r="T528" t="n">
        <v>0.00086105</v>
      </c>
      <c r="U528" t="n">
        <v>0.00013947</v>
      </c>
    </row>
    <row r="529">
      <c r="A529" t="inlineStr">
        <is>
          <t>SUP-0053</t>
        </is>
      </c>
      <c r="B529" t="inlineStr">
        <is>
          <t>Electronics Supplier 053</t>
        </is>
      </c>
      <c r="C529" t="inlineStr">
        <is>
          <t>Electronics</t>
        </is>
      </c>
      <c r="D529" t="n">
        <v>2022</v>
      </c>
      <c r="E529" t="n">
        <v>9050530.800000001</v>
      </c>
      <c r="F529" t="n">
        <v>31949994.46</v>
      </c>
      <c r="G529" t="n">
        <v>6306.2578</v>
      </c>
      <c r="H529" t="n">
        <v>6306.2578</v>
      </c>
      <c r="I529" t="n">
        <v>1538.3416</v>
      </c>
      <c r="J529" t="n">
        <v>479.2878</v>
      </c>
      <c r="K529" t="n">
        <v>3990.7026</v>
      </c>
      <c r="L529" t="n">
        <v>2021</v>
      </c>
      <c r="M529" t="n">
        <v>2030</v>
      </c>
      <c r="N529" t="n">
        <v>0.5843</v>
      </c>
      <c r="O529" t="n">
        <v>0.3539</v>
      </c>
      <c r="P529" t="n">
        <v>2018</v>
      </c>
      <c r="Q529" t="n">
        <v>2040</v>
      </c>
      <c r="R529" t="n">
        <v>0.3424</v>
      </c>
      <c r="S529" t="n">
        <v>635.1588</v>
      </c>
      <c r="T529" t="n">
        <v>0.00086105</v>
      </c>
      <c r="U529" t="n">
        <v>0.00013947</v>
      </c>
    </row>
    <row r="530">
      <c r="A530" t="inlineStr">
        <is>
          <t>SUP-0053</t>
        </is>
      </c>
      <c r="B530" t="inlineStr">
        <is>
          <t>Electronics Supplier 053</t>
        </is>
      </c>
      <c r="C530" t="inlineStr">
        <is>
          <t>Electronics</t>
        </is>
      </c>
      <c r="D530" t="n">
        <v>2023</v>
      </c>
      <c r="E530" t="n">
        <v>6709971.13</v>
      </c>
      <c r="F530" t="n">
        <v>22409594.03</v>
      </c>
      <c r="G530" t="n">
        <v>4212.6269</v>
      </c>
      <c r="H530" t="n">
        <v>4212.6269</v>
      </c>
      <c r="I530" t="n">
        <v>792.2428</v>
      </c>
      <c r="J530" t="n">
        <v>423.3055</v>
      </c>
      <c r="K530" t="n">
        <v>3247.0881</v>
      </c>
      <c r="L530" t="n">
        <v>2021</v>
      </c>
      <c r="M530" t="n">
        <v>2030</v>
      </c>
      <c r="N530" t="n">
        <v>0.5843</v>
      </c>
      <c r="O530" t="n">
        <v>0.3539</v>
      </c>
      <c r="P530" t="n">
        <v>2018</v>
      </c>
      <c r="Q530" t="n">
        <v>2040</v>
      </c>
      <c r="R530" t="n">
        <v>0.3424</v>
      </c>
      <c r="S530" t="n">
        <v>635.1588</v>
      </c>
      <c r="T530" t="n">
        <v>0.00086105</v>
      </c>
      <c r="U530" t="n">
        <v>0.00013947</v>
      </c>
    </row>
    <row r="531">
      <c r="A531" t="inlineStr">
        <is>
          <t>SUP-0053</t>
        </is>
      </c>
      <c r="B531" t="inlineStr">
        <is>
          <t>Electronics Supplier 053</t>
        </is>
      </c>
      <c r="C531" t="inlineStr">
        <is>
          <t>Electronics</t>
        </is>
      </c>
      <c r="D531" t="n">
        <v>2024</v>
      </c>
      <c r="E531" t="n">
        <v>7469190.27</v>
      </c>
      <c r="F531" t="n">
        <v>35983983.63</v>
      </c>
      <c r="G531" t="n">
        <v>4992.2479</v>
      </c>
      <c r="H531" t="n">
        <v>4992.2479</v>
      </c>
      <c r="I531" t="n">
        <v>685.8043</v>
      </c>
      <c r="J531" t="n">
        <v>584.2320999999999</v>
      </c>
      <c r="K531" t="n">
        <v>3799.3045</v>
      </c>
      <c r="L531" t="n">
        <v>2021</v>
      </c>
      <c r="M531" t="n">
        <v>2030</v>
      </c>
      <c r="N531" t="n">
        <v>0.5843</v>
      </c>
      <c r="O531" t="n">
        <v>0.3539</v>
      </c>
      <c r="P531" t="n">
        <v>2018</v>
      </c>
      <c r="Q531" t="n">
        <v>2040</v>
      </c>
      <c r="R531" t="n">
        <v>0.3424</v>
      </c>
      <c r="S531" t="n">
        <v>635.1588</v>
      </c>
      <c r="T531" t="n">
        <v>0.00086105</v>
      </c>
      <c r="U531" t="n">
        <v>0.00013947</v>
      </c>
    </row>
    <row r="532">
      <c r="A532" t="inlineStr">
        <is>
          <t>SUP-0054</t>
        </is>
      </c>
      <c r="B532" t="inlineStr">
        <is>
          <t>Chemicals Supplier 054</t>
        </is>
      </c>
      <c r="C532" t="inlineStr">
        <is>
          <t>Chemicals</t>
        </is>
      </c>
      <c r="D532" t="n">
        <v>2015</v>
      </c>
      <c r="E532" t="n">
        <v>28019947.45</v>
      </c>
      <c r="F532" t="n">
        <v>83789498.28</v>
      </c>
      <c r="G532" t="n">
        <v>41518.1188</v>
      </c>
      <c r="H532" t="n">
        <v>41518.1188</v>
      </c>
      <c r="I532" t="n">
        <v>10056.484</v>
      </c>
      <c r="J532" t="n">
        <v>6520.3501</v>
      </c>
      <c r="K532" t="n">
        <v>26377.3042</v>
      </c>
      <c r="L532" t="n">
        <v>2019</v>
      </c>
      <c r="M532" t="n">
        <v>2035</v>
      </c>
      <c r="N532" t="n">
        <v>0.3128</v>
      </c>
      <c r="O532" t="n">
        <v>0.1632</v>
      </c>
      <c r="P532" t="n">
        <v>2019</v>
      </c>
      <c r="Q532" t="n">
        <v>2035</v>
      </c>
      <c r="R532" t="n">
        <v>0.5229</v>
      </c>
      <c r="S532" t="n">
        <v>506.3191</v>
      </c>
      <c r="T532" t="n">
        <v>0.00100149</v>
      </c>
      <c r="U532" t="n">
        <v>0.00047124</v>
      </c>
    </row>
    <row r="533">
      <c r="A533" t="inlineStr">
        <is>
          <t>SUP-0054</t>
        </is>
      </c>
      <c r="B533" t="inlineStr">
        <is>
          <t>Chemicals Supplier 054</t>
        </is>
      </c>
      <c r="C533" t="inlineStr">
        <is>
          <t>Chemicals</t>
        </is>
      </c>
      <c r="D533" t="n">
        <v>2016</v>
      </c>
      <c r="E533" t="n">
        <v>23168573.61</v>
      </c>
      <c r="F533" t="n">
        <v>86300190.90000001</v>
      </c>
      <c r="G533" t="n">
        <v>36795.9297</v>
      </c>
      <c r="H533" t="n">
        <v>36795.9297</v>
      </c>
      <c r="I533" t="n">
        <v>5394.464</v>
      </c>
      <c r="J533" t="n">
        <v>6116.1382</v>
      </c>
      <c r="K533" t="n">
        <v>25344.2665</v>
      </c>
      <c r="L533" t="n">
        <v>2019</v>
      </c>
      <c r="M533" t="n">
        <v>2035</v>
      </c>
      <c r="N533" t="n">
        <v>0.3128</v>
      </c>
      <c r="O533" t="n">
        <v>0.1632</v>
      </c>
      <c r="P533" t="n">
        <v>2019</v>
      </c>
      <c r="Q533" t="n">
        <v>2035</v>
      </c>
      <c r="R533" t="n">
        <v>0.5229</v>
      </c>
      <c r="S533" t="n">
        <v>506.3191</v>
      </c>
      <c r="T533" t="n">
        <v>0.00100149</v>
      </c>
      <c r="U533" t="n">
        <v>0.00047124</v>
      </c>
    </row>
    <row r="534">
      <c r="A534" t="inlineStr">
        <is>
          <t>SUP-0054</t>
        </is>
      </c>
      <c r="B534" t="inlineStr">
        <is>
          <t>Chemicals Supplier 054</t>
        </is>
      </c>
      <c r="C534" t="inlineStr">
        <is>
          <t>Chemicals</t>
        </is>
      </c>
      <c r="D534" t="n">
        <v>2017</v>
      </c>
      <c r="E534" t="n">
        <v>27182471.85</v>
      </c>
      <c r="F534" t="n">
        <v>88330895.40000001</v>
      </c>
      <c r="G534" t="n">
        <v>42051.3808</v>
      </c>
      <c r="H534" t="n">
        <v>42051.3808</v>
      </c>
      <c r="I534" t="n">
        <v>6530.1402</v>
      </c>
      <c r="J534" t="n">
        <v>6219.1663</v>
      </c>
      <c r="K534" t="n">
        <v>28266.0498</v>
      </c>
      <c r="L534" t="n">
        <v>2019</v>
      </c>
      <c r="M534" t="n">
        <v>2035</v>
      </c>
      <c r="N534" t="n">
        <v>0.3128</v>
      </c>
      <c r="O534" t="n">
        <v>0.1632</v>
      </c>
      <c r="P534" t="n">
        <v>2019</v>
      </c>
      <c r="Q534" t="n">
        <v>2035</v>
      </c>
      <c r="R534" t="n">
        <v>0.5229</v>
      </c>
      <c r="S534" t="n">
        <v>506.3191</v>
      </c>
      <c r="T534" t="n">
        <v>0.00100149</v>
      </c>
      <c r="U534" t="n">
        <v>0.00047124</v>
      </c>
    </row>
    <row r="535">
      <c r="A535" t="inlineStr">
        <is>
          <t>SUP-0054</t>
        </is>
      </c>
      <c r="B535" t="inlineStr">
        <is>
          <t>Chemicals Supplier 054</t>
        </is>
      </c>
      <c r="C535" t="inlineStr">
        <is>
          <t>Chemicals</t>
        </is>
      </c>
      <c r="D535" t="n">
        <v>2018</v>
      </c>
      <c r="E535" t="n">
        <v>27832960.84</v>
      </c>
      <c r="F535" t="n">
        <v>80462068.34999999</v>
      </c>
      <c r="G535" t="n">
        <v>35118.7131</v>
      </c>
      <c r="H535" t="n">
        <v>35118.7131</v>
      </c>
      <c r="I535" t="n">
        <v>6361.4525</v>
      </c>
      <c r="J535" t="n">
        <v>3829.403</v>
      </c>
      <c r="K535" t="n">
        <v>29020.7354</v>
      </c>
      <c r="L535" t="n">
        <v>2019</v>
      </c>
      <c r="M535" t="n">
        <v>2035</v>
      </c>
      <c r="N535" t="n">
        <v>0.3128</v>
      </c>
      <c r="O535" t="n">
        <v>0.1632</v>
      </c>
      <c r="P535" t="n">
        <v>2019</v>
      </c>
      <c r="Q535" t="n">
        <v>2035</v>
      </c>
      <c r="R535" t="n">
        <v>0.5229</v>
      </c>
      <c r="S535" t="n">
        <v>506.3191</v>
      </c>
      <c r="T535" t="n">
        <v>0.00100149</v>
      </c>
      <c r="U535" t="n">
        <v>0.00047124</v>
      </c>
    </row>
    <row r="536">
      <c r="A536" t="inlineStr">
        <is>
          <t>SUP-0054</t>
        </is>
      </c>
      <c r="B536" t="inlineStr">
        <is>
          <t>Chemicals Supplier 054</t>
        </is>
      </c>
      <c r="C536" t="inlineStr">
        <is>
          <t>Chemicals</t>
        </is>
      </c>
      <c r="D536" t="n">
        <v>2019</v>
      </c>
      <c r="E536" t="n">
        <v>30245803.25</v>
      </c>
      <c r="F536" t="n">
        <v>107524629.88</v>
      </c>
      <c r="G536" t="n">
        <v>27514.2942</v>
      </c>
      <c r="H536" t="n">
        <v>27514.2942</v>
      </c>
      <c r="I536" t="n">
        <v>2713.5436</v>
      </c>
      <c r="J536" t="n">
        <v>4516.4876</v>
      </c>
      <c r="K536" t="n">
        <v>18462.3221</v>
      </c>
      <c r="L536" t="n">
        <v>2019</v>
      </c>
      <c r="M536" t="n">
        <v>2035</v>
      </c>
      <c r="N536" t="n">
        <v>0.3128</v>
      </c>
      <c r="O536" t="n">
        <v>0.1632</v>
      </c>
      <c r="P536" t="n">
        <v>2019</v>
      </c>
      <c r="Q536" t="n">
        <v>2035</v>
      </c>
      <c r="R536" t="n">
        <v>0.5229</v>
      </c>
      <c r="S536" t="n">
        <v>506.3191</v>
      </c>
      <c r="T536" t="n">
        <v>0.00100149</v>
      </c>
      <c r="U536" t="n">
        <v>0.00047124</v>
      </c>
    </row>
    <row r="537">
      <c r="A537" t="inlineStr">
        <is>
          <t>SUP-0054</t>
        </is>
      </c>
      <c r="B537" t="inlineStr">
        <is>
          <t>Chemicals Supplier 054</t>
        </is>
      </c>
      <c r="C537" t="inlineStr">
        <is>
          <t>Chemicals</t>
        </is>
      </c>
      <c r="D537" t="n">
        <v>2020</v>
      </c>
      <c r="E537" t="n">
        <v>31420309.41</v>
      </c>
      <c r="F537" t="n">
        <v>120646235.65</v>
      </c>
      <c r="G537" t="n">
        <v>28790.3583</v>
      </c>
      <c r="H537" t="n">
        <v>28790.3583</v>
      </c>
      <c r="I537" t="n">
        <v>4950.4584</v>
      </c>
      <c r="J537" t="n">
        <v>4674.7484</v>
      </c>
      <c r="K537" t="n">
        <v>18046.8399</v>
      </c>
      <c r="L537" t="n">
        <v>2019</v>
      </c>
      <c r="M537" t="n">
        <v>2035</v>
      </c>
      <c r="N537" t="n">
        <v>0.3128</v>
      </c>
      <c r="O537" t="n">
        <v>0.1632</v>
      </c>
      <c r="P537" t="n">
        <v>2019</v>
      </c>
      <c r="Q537" t="n">
        <v>2035</v>
      </c>
      <c r="R537" t="n">
        <v>0.5229</v>
      </c>
      <c r="S537" t="n">
        <v>506.3191</v>
      </c>
      <c r="T537" t="n">
        <v>0.00100149</v>
      </c>
      <c r="U537" t="n">
        <v>0.00047124</v>
      </c>
    </row>
    <row r="538">
      <c r="A538" t="inlineStr">
        <is>
          <t>SUP-0054</t>
        </is>
      </c>
      <c r="B538" t="inlineStr">
        <is>
          <t>Chemicals Supplier 054</t>
        </is>
      </c>
      <c r="C538" t="inlineStr">
        <is>
          <t>Chemicals</t>
        </is>
      </c>
      <c r="D538" t="n">
        <v>2021</v>
      </c>
      <c r="E538" t="n">
        <v>31637584.9</v>
      </c>
      <c r="F538" t="n">
        <v>128977156.35</v>
      </c>
      <c r="G538" t="n">
        <v>39436.2797</v>
      </c>
      <c r="H538" t="n">
        <v>39436.2797</v>
      </c>
      <c r="I538" t="n">
        <v>5553.6247</v>
      </c>
      <c r="J538" t="n">
        <v>6047.3563</v>
      </c>
      <c r="K538" t="n">
        <v>24428.4399</v>
      </c>
      <c r="L538" t="n">
        <v>2019</v>
      </c>
      <c r="M538" t="n">
        <v>2035</v>
      </c>
      <c r="N538" t="n">
        <v>0.3128</v>
      </c>
      <c r="O538" t="n">
        <v>0.1632</v>
      </c>
      <c r="P538" t="n">
        <v>2019</v>
      </c>
      <c r="Q538" t="n">
        <v>2035</v>
      </c>
      <c r="R538" t="n">
        <v>0.5229</v>
      </c>
      <c r="S538" t="n">
        <v>506.3191</v>
      </c>
      <c r="T538" t="n">
        <v>0.00100149</v>
      </c>
      <c r="U538" t="n">
        <v>0.00047124</v>
      </c>
    </row>
    <row r="539">
      <c r="A539" t="inlineStr">
        <is>
          <t>SUP-0054</t>
        </is>
      </c>
      <c r="B539" t="inlineStr">
        <is>
          <t>Chemicals Supplier 054</t>
        </is>
      </c>
      <c r="C539" t="inlineStr">
        <is>
          <t>Chemicals</t>
        </is>
      </c>
      <c r="D539" t="n">
        <v>2022</v>
      </c>
      <c r="E539" t="n">
        <v>38468162.74</v>
      </c>
      <c r="F539" t="n">
        <v>109158075.27</v>
      </c>
      <c r="G539" t="n">
        <v>33808.2724</v>
      </c>
      <c r="H539" t="n">
        <v>33808.2724</v>
      </c>
      <c r="I539" t="n">
        <v>9347.254499999999</v>
      </c>
      <c r="J539" t="n">
        <v>5970.9275</v>
      </c>
      <c r="K539" t="n">
        <v>18531.0426</v>
      </c>
      <c r="L539" t="n">
        <v>2019</v>
      </c>
      <c r="M539" t="n">
        <v>2035</v>
      </c>
      <c r="N539" t="n">
        <v>0.3128</v>
      </c>
      <c r="O539" t="n">
        <v>0.1632</v>
      </c>
      <c r="P539" t="n">
        <v>2019</v>
      </c>
      <c r="Q539" t="n">
        <v>2035</v>
      </c>
      <c r="R539" t="n">
        <v>0.5229</v>
      </c>
      <c r="S539" t="n">
        <v>506.3191</v>
      </c>
      <c r="T539" t="n">
        <v>0.00100149</v>
      </c>
      <c r="U539" t="n">
        <v>0.00047124</v>
      </c>
    </row>
    <row r="540">
      <c r="A540" t="inlineStr">
        <is>
          <t>SUP-0054</t>
        </is>
      </c>
      <c r="B540" t="inlineStr">
        <is>
          <t>Chemicals Supplier 054</t>
        </is>
      </c>
      <c r="C540" t="inlineStr">
        <is>
          <t>Chemicals</t>
        </is>
      </c>
      <c r="D540" t="n">
        <v>2023</v>
      </c>
      <c r="E540" t="n">
        <v>40269781.09</v>
      </c>
      <c r="F540" t="n">
        <v>115226906.2</v>
      </c>
      <c r="G540" t="n">
        <v>42775.8394</v>
      </c>
      <c r="H540" t="n">
        <v>42775.8394</v>
      </c>
      <c r="I540" t="n">
        <v>9273.528</v>
      </c>
      <c r="J540" t="n">
        <v>7735.7487</v>
      </c>
      <c r="K540" t="n">
        <v>25797.279</v>
      </c>
      <c r="L540" t="n">
        <v>2019</v>
      </c>
      <c r="M540" t="n">
        <v>2035</v>
      </c>
      <c r="N540" t="n">
        <v>0.3128</v>
      </c>
      <c r="O540" t="n">
        <v>0.1632</v>
      </c>
      <c r="P540" t="n">
        <v>2019</v>
      </c>
      <c r="Q540" t="n">
        <v>2035</v>
      </c>
      <c r="R540" t="n">
        <v>0.5229</v>
      </c>
      <c r="S540" t="n">
        <v>506.3191</v>
      </c>
      <c r="T540" t="n">
        <v>0.00100149</v>
      </c>
      <c r="U540" t="n">
        <v>0.00047124</v>
      </c>
    </row>
    <row r="541">
      <c r="A541" t="inlineStr">
        <is>
          <t>SUP-0054</t>
        </is>
      </c>
      <c r="B541" t="inlineStr">
        <is>
          <t>Chemicals Supplier 054</t>
        </is>
      </c>
      <c r="C541" t="inlineStr">
        <is>
          <t>Chemicals</t>
        </is>
      </c>
      <c r="D541" t="n">
        <v>2024</v>
      </c>
      <c r="E541" t="n">
        <v>37566679.46</v>
      </c>
      <c r="F541" t="n">
        <v>162599786.13</v>
      </c>
      <c r="G541" t="n">
        <v>32020.9372</v>
      </c>
      <c r="H541" t="n">
        <v>32020.9372</v>
      </c>
      <c r="I541" t="n">
        <v>4886.915</v>
      </c>
      <c r="J541" t="n">
        <v>2610.0762</v>
      </c>
      <c r="K541" t="n">
        <v>24805.526</v>
      </c>
      <c r="L541" t="n">
        <v>2019</v>
      </c>
      <c r="M541" t="n">
        <v>2035</v>
      </c>
      <c r="N541" t="n">
        <v>0.3128</v>
      </c>
      <c r="O541" t="n">
        <v>0.1632</v>
      </c>
      <c r="P541" t="n">
        <v>2019</v>
      </c>
      <c r="Q541" t="n">
        <v>2035</v>
      </c>
      <c r="R541" t="n">
        <v>0.5229</v>
      </c>
      <c r="S541" t="n">
        <v>506.3191</v>
      </c>
      <c r="T541" t="n">
        <v>0.00100149</v>
      </c>
      <c r="U541" t="n">
        <v>0.00047124</v>
      </c>
    </row>
    <row r="542">
      <c r="A542" t="inlineStr">
        <is>
          <t>SUP-0055</t>
        </is>
      </c>
      <c r="B542" t="inlineStr">
        <is>
          <t>Chemicals Supplier 055</t>
        </is>
      </c>
      <c r="C542" t="inlineStr">
        <is>
          <t>Chemicals</t>
        </is>
      </c>
      <c r="D542" t="n">
        <v>2015</v>
      </c>
      <c r="E542" t="n">
        <v>15360702.47</v>
      </c>
      <c r="F542" t="n">
        <v>108791726.24</v>
      </c>
      <c r="G542" t="n">
        <v>14182.9707</v>
      </c>
      <c r="H542" t="n">
        <v>14182.9707</v>
      </c>
      <c r="I542" t="n">
        <v>1769.8946</v>
      </c>
      <c r="J542" t="n">
        <v>2275.3892</v>
      </c>
      <c r="K542" t="n">
        <v>9770.136399999999</v>
      </c>
      <c r="L542" t="n">
        <v>2020</v>
      </c>
      <c r="M542" t="n">
        <v>2040</v>
      </c>
      <c r="N542" t="n">
        <v>0.6136</v>
      </c>
      <c r="O542" t="n">
        <v>0.3724</v>
      </c>
      <c r="P542" t="n">
        <v>2019</v>
      </c>
      <c r="Q542" t="n">
        <v>2035</v>
      </c>
      <c r="R542" t="n">
        <v>0.5229</v>
      </c>
      <c r="S542" t="n">
        <v>506.3191</v>
      </c>
      <c r="T542" t="n">
        <v>0.00100149</v>
      </c>
      <c r="U542" t="n">
        <v>0.00047124</v>
      </c>
    </row>
    <row r="543">
      <c r="A543" t="inlineStr">
        <is>
          <t>SUP-0055</t>
        </is>
      </c>
      <c r="B543" t="inlineStr">
        <is>
          <t>Chemicals Supplier 055</t>
        </is>
      </c>
      <c r="C543" t="inlineStr">
        <is>
          <t>Chemicals</t>
        </is>
      </c>
      <c r="D543" t="n">
        <v>2016</v>
      </c>
      <c r="E543" t="n">
        <v>13280878.75</v>
      </c>
      <c r="F543" t="n">
        <v>97986719.2</v>
      </c>
      <c r="G543" t="n">
        <v>11846.4904</v>
      </c>
      <c r="H543" t="n">
        <v>11846.4904</v>
      </c>
      <c r="I543" t="n">
        <v>1354.8191</v>
      </c>
      <c r="J543" t="n">
        <v>2261.7928</v>
      </c>
      <c r="K543" t="n">
        <v>7759.0693</v>
      </c>
      <c r="L543" t="n">
        <v>2020</v>
      </c>
      <c r="M543" t="n">
        <v>2040</v>
      </c>
      <c r="N543" t="n">
        <v>0.6136</v>
      </c>
      <c r="O543" t="n">
        <v>0.3724</v>
      </c>
      <c r="P543" t="n">
        <v>2019</v>
      </c>
      <c r="Q543" t="n">
        <v>2035</v>
      </c>
      <c r="R543" t="n">
        <v>0.5229</v>
      </c>
      <c r="S543" t="n">
        <v>506.3191</v>
      </c>
      <c r="T543" t="n">
        <v>0.00100149</v>
      </c>
      <c r="U543" t="n">
        <v>0.00047124</v>
      </c>
    </row>
    <row r="544">
      <c r="A544" t="inlineStr">
        <is>
          <t>SUP-0055</t>
        </is>
      </c>
      <c r="B544" t="inlineStr">
        <is>
          <t>Chemicals Supplier 055</t>
        </is>
      </c>
      <c r="C544" t="inlineStr">
        <is>
          <t>Chemicals</t>
        </is>
      </c>
      <c r="D544" t="n">
        <v>2017</v>
      </c>
      <c r="E544" t="n">
        <v>13128177.49</v>
      </c>
      <c r="F544" t="n">
        <v>93558931.69</v>
      </c>
      <c r="G544" t="n">
        <v>8274.933999999999</v>
      </c>
      <c r="H544" t="n">
        <v>8274.933999999999</v>
      </c>
      <c r="I544" t="n">
        <v>1428.4879</v>
      </c>
      <c r="J544" t="n">
        <v>1205.4439</v>
      </c>
      <c r="K544" t="n">
        <v>6432.1961</v>
      </c>
      <c r="L544" t="n">
        <v>2020</v>
      </c>
      <c r="M544" t="n">
        <v>2040</v>
      </c>
      <c r="N544" t="n">
        <v>0.6136</v>
      </c>
      <c r="O544" t="n">
        <v>0.3724</v>
      </c>
      <c r="P544" t="n">
        <v>2019</v>
      </c>
      <c r="Q544" t="n">
        <v>2035</v>
      </c>
      <c r="R544" t="n">
        <v>0.5229</v>
      </c>
      <c r="S544" t="n">
        <v>506.3191</v>
      </c>
      <c r="T544" t="n">
        <v>0.00100149</v>
      </c>
      <c r="U544" t="n">
        <v>0.00047124</v>
      </c>
    </row>
    <row r="545">
      <c r="A545" t="inlineStr">
        <is>
          <t>SUP-0055</t>
        </is>
      </c>
      <c r="B545" t="inlineStr">
        <is>
          <t>Chemicals Supplier 055</t>
        </is>
      </c>
      <c r="C545" t="inlineStr">
        <is>
          <t>Chemicals</t>
        </is>
      </c>
      <c r="D545" t="n">
        <v>2018</v>
      </c>
      <c r="E545" t="n">
        <v>17194683.68</v>
      </c>
      <c r="F545" t="n">
        <v>95727572.56</v>
      </c>
      <c r="G545" t="n">
        <v>15015.5622</v>
      </c>
      <c r="H545" t="n">
        <v>15015.5622</v>
      </c>
      <c r="I545" t="n">
        <v>2001.6273</v>
      </c>
      <c r="J545" t="n">
        <v>2504.7764</v>
      </c>
      <c r="K545" t="n">
        <v>9144.1849</v>
      </c>
      <c r="L545" t="n">
        <v>2020</v>
      </c>
      <c r="M545" t="n">
        <v>2040</v>
      </c>
      <c r="N545" t="n">
        <v>0.6136</v>
      </c>
      <c r="O545" t="n">
        <v>0.3724</v>
      </c>
      <c r="P545" t="n">
        <v>2019</v>
      </c>
      <c r="Q545" t="n">
        <v>2035</v>
      </c>
      <c r="R545" t="n">
        <v>0.5229</v>
      </c>
      <c r="S545" t="n">
        <v>506.3191</v>
      </c>
      <c r="T545" t="n">
        <v>0.00100149</v>
      </c>
      <c r="U545" t="n">
        <v>0.00047124</v>
      </c>
    </row>
    <row r="546">
      <c r="A546" t="inlineStr">
        <is>
          <t>SUP-0055</t>
        </is>
      </c>
      <c r="B546" t="inlineStr">
        <is>
          <t>Chemicals Supplier 055</t>
        </is>
      </c>
      <c r="C546" t="inlineStr">
        <is>
          <t>Chemicals</t>
        </is>
      </c>
      <c r="D546" t="n">
        <v>2019</v>
      </c>
      <c r="E546" t="n">
        <v>12440155.6</v>
      </c>
      <c r="F546" t="n">
        <v>101218713.03</v>
      </c>
      <c r="G546" t="n">
        <v>9048.2636</v>
      </c>
      <c r="H546" t="n">
        <v>9048.2636</v>
      </c>
      <c r="I546" t="n">
        <v>1487.0432</v>
      </c>
      <c r="J546" t="n">
        <v>1409.4911</v>
      </c>
      <c r="K546" t="n">
        <v>5518.1337</v>
      </c>
      <c r="L546" t="n">
        <v>2020</v>
      </c>
      <c r="M546" t="n">
        <v>2040</v>
      </c>
      <c r="N546" t="n">
        <v>0.6136</v>
      </c>
      <c r="O546" t="n">
        <v>0.3724</v>
      </c>
      <c r="P546" t="n">
        <v>2019</v>
      </c>
      <c r="Q546" t="n">
        <v>2035</v>
      </c>
      <c r="R546" t="n">
        <v>0.5229</v>
      </c>
      <c r="S546" t="n">
        <v>506.3191</v>
      </c>
      <c r="T546" t="n">
        <v>0.00100149</v>
      </c>
      <c r="U546" t="n">
        <v>0.00047124</v>
      </c>
    </row>
    <row r="547">
      <c r="A547" t="inlineStr">
        <is>
          <t>SUP-0055</t>
        </is>
      </c>
      <c r="B547" t="inlineStr">
        <is>
          <t>Chemicals Supplier 055</t>
        </is>
      </c>
      <c r="C547" t="inlineStr">
        <is>
          <t>Chemicals</t>
        </is>
      </c>
      <c r="D547" t="n">
        <v>2020</v>
      </c>
      <c r="E547" t="n">
        <v>13026519.25</v>
      </c>
      <c r="F547" t="n">
        <v>84142939.36</v>
      </c>
      <c r="G547" t="n">
        <v>8036.8609</v>
      </c>
      <c r="H547" t="n">
        <v>8036.8609</v>
      </c>
      <c r="I547" t="n">
        <v>1914.4284</v>
      </c>
      <c r="J547" t="n">
        <v>1152.5193</v>
      </c>
      <c r="K547" t="n">
        <v>5489.3715</v>
      </c>
      <c r="L547" t="n">
        <v>2020</v>
      </c>
      <c r="M547" t="n">
        <v>2040</v>
      </c>
      <c r="N547" t="n">
        <v>0.6136</v>
      </c>
      <c r="O547" t="n">
        <v>0.3724</v>
      </c>
      <c r="P547" t="n">
        <v>2019</v>
      </c>
      <c r="Q547" t="n">
        <v>2035</v>
      </c>
      <c r="R547" t="n">
        <v>0.5229</v>
      </c>
      <c r="S547" t="n">
        <v>506.3191</v>
      </c>
      <c r="T547" t="n">
        <v>0.00100149</v>
      </c>
      <c r="U547" t="n">
        <v>0.00047124</v>
      </c>
    </row>
    <row r="548">
      <c r="A548" t="inlineStr">
        <is>
          <t>SUP-0055</t>
        </is>
      </c>
      <c r="B548" t="inlineStr">
        <is>
          <t>Chemicals Supplier 055</t>
        </is>
      </c>
      <c r="C548" t="inlineStr">
        <is>
          <t>Chemicals</t>
        </is>
      </c>
      <c r="D548" t="n">
        <v>2021</v>
      </c>
      <c r="E548" t="n">
        <v>12395562.21</v>
      </c>
      <c r="F548" t="n">
        <v>100833608.13</v>
      </c>
      <c r="G548" t="n">
        <v>13462.2976</v>
      </c>
      <c r="H548" t="n">
        <v>13462.2976</v>
      </c>
      <c r="I548" t="n">
        <v>3373.8244</v>
      </c>
      <c r="J548" t="n">
        <v>1525.4619</v>
      </c>
      <c r="K548" t="n">
        <v>8125.8447</v>
      </c>
      <c r="L548" t="n">
        <v>2020</v>
      </c>
      <c r="M548" t="n">
        <v>2040</v>
      </c>
      <c r="N548" t="n">
        <v>0.6136</v>
      </c>
      <c r="O548" t="n">
        <v>0.3724</v>
      </c>
      <c r="P548" t="n">
        <v>2019</v>
      </c>
      <c r="Q548" t="n">
        <v>2035</v>
      </c>
      <c r="R548" t="n">
        <v>0.5229</v>
      </c>
      <c r="S548" t="n">
        <v>506.3191</v>
      </c>
      <c r="T548" t="n">
        <v>0.00100149</v>
      </c>
      <c r="U548" t="n">
        <v>0.00047124</v>
      </c>
    </row>
    <row r="549">
      <c r="A549" t="inlineStr">
        <is>
          <t>SUP-0055</t>
        </is>
      </c>
      <c r="B549" t="inlineStr">
        <is>
          <t>Chemicals Supplier 055</t>
        </is>
      </c>
      <c r="C549" t="inlineStr">
        <is>
          <t>Chemicals</t>
        </is>
      </c>
      <c r="D549" t="n">
        <v>2022</v>
      </c>
      <c r="E549" t="n">
        <v>14092637.24</v>
      </c>
      <c r="F549" t="n">
        <v>111802323.98</v>
      </c>
      <c r="G549" t="n">
        <v>14378.7182</v>
      </c>
      <c r="H549" t="n">
        <v>14378.7182</v>
      </c>
      <c r="I549" t="n">
        <v>3269.4798</v>
      </c>
      <c r="J549" t="n">
        <v>2010.0322</v>
      </c>
      <c r="K549" t="n">
        <v>8831.356299999999</v>
      </c>
      <c r="L549" t="n">
        <v>2020</v>
      </c>
      <c r="M549" t="n">
        <v>2040</v>
      </c>
      <c r="N549" t="n">
        <v>0.6136</v>
      </c>
      <c r="O549" t="n">
        <v>0.3724</v>
      </c>
      <c r="P549" t="n">
        <v>2019</v>
      </c>
      <c r="Q549" t="n">
        <v>2035</v>
      </c>
      <c r="R549" t="n">
        <v>0.5229</v>
      </c>
      <c r="S549" t="n">
        <v>506.3191</v>
      </c>
      <c r="T549" t="n">
        <v>0.00100149</v>
      </c>
      <c r="U549" t="n">
        <v>0.00047124</v>
      </c>
    </row>
    <row r="550">
      <c r="A550" t="inlineStr">
        <is>
          <t>SUP-0055</t>
        </is>
      </c>
      <c r="B550" t="inlineStr">
        <is>
          <t>Chemicals Supplier 055</t>
        </is>
      </c>
      <c r="C550" t="inlineStr">
        <is>
          <t>Chemicals</t>
        </is>
      </c>
      <c r="D550" t="n">
        <v>2023</v>
      </c>
      <c r="E550" t="n">
        <v>12889454.92</v>
      </c>
      <c r="F550" t="n">
        <v>98197472.98</v>
      </c>
      <c r="G550" t="n">
        <v>14313.6755</v>
      </c>
      <c r="H550" t="n">
        <v>14313.6755</v>
      </c>
      <c r="I550" t="n">
        <v>1937.1632</v>
      </c>
      <c r="J550" t="n">
        <v>2382.7458</v>
      </c>
      <c r="K550" t="n">
        <v>10405.0512</v>
      </c>
      <c r="L550" t="n">
        <v>2020</v>
      </c>
      <c r="M550" t="n">
        <v>2040</v>
      </c>
      <c r="N550" t="n">
        <v>0.6136</v>
      </c>
      <c r="O550" t="n">
        <v>0.3724</v>
      </c>
      <c r="P550" t="n">
        <v>2019</v>
      </c>
      <c r="Q550" t="n">
        <v>2035</v>
      </c>
      <c r="R550" t="n">
        <v>0.5229</v>
      </c>
      <c r="S550" t="n">
        <v>506.3191</v>
      </c>
      <c r="T550" t="n">
        <v>0.00100149</v>
      </c>
      <c r="U550" t="n">
        <v>0.00047124</v>
      </c>
    </row>
    <row r="551">
      <c r="A551" t="inlineStr">
        <is>
          <t>SUP-0055</t>
        </is>
      </c>
      <c r="B551" t="inlineStr">
        <is>
          <t>Chemicals Supplier 055</t>
        </is>
      </c>
      <c r="C551" t="inlineStr">
        <is>
          <t>Chemicals</t>
        </is>
      </c>
      <c r="D551" t="n">
        <v>2024</v>
      </c>
      <c r="E551" t="n">
        <v>11454992.68</v>
      </c>
      <c r="F551" t="n">
        <v>75753628.87</v>
      </c>
      <c r="G551" t="n">
        <v>7352.1791</v>
      </c>
      <c r="H551" t="n">
        <v>7352.1791</v>
      </c>
      <c r="I551" t="n">
        <v>2076.3008</v>
      </c>
      <c r="J551" t="n">
        <v>855.4068</v>
      </c>
      <c r="K551" t="n">
        <v>4718.631</v>
      </c>
      <c r="L551" t="n">
        <v>2020</v>
      </c>
      <c r="M551" t="n">
        <v>2040</v>
      </c>
      <c r="N551" t="n">
        <v>0.6136</v>
      </c>
      <c r="O551" t="n">
        <v>0.3724</v>
      </c>
      <c r="P551" t="n">
        <v>2019</v>
      </c>
      <c r="Q551" t="n">
        <v>2035</v>
      </c>
      <c r="R551" t="n">
        <v>0.5229</v>
      </c>
      <c r="S551" t="n">
        <v>506.3191</v>
      </c>
      <c r="T551" t="n">
        <v>0.00100149</v>
      </c>
      <c r="U551" t="n">
        <v>0.00047124</v>
      </c>
    </row>
    <row r="552">
      <c r="A552" t="inlineStr">
        <is>
          <t>SUP-0056</t>
        </is>
      </c>
      <c r="B552" t="inlineStr">
        <is>
          <t>Metals Supplier 056</t>
        </is>
      </c>
      <c r="C552" t="inlineStr">
        <is>
          <t>Metals</t>
        </is>
      </c>
      <c r="D552" t="n">
        <v>2015</v>
      </c>
      <c r="E552" t="n">
        <v>24788265.03</v>
      </c>
      <c r="F552" t="n">
        <v>35805000.61</v>
      </c>
      <c r="G552" t="n">
        <v>30211.8386</v>
      </c>
      <c r="H552" t="n">
        <v>30211.8386</v>
      </c>
      <c r="I552" t="n">
        <v>5000.7136</v>
      </c>
      <c r="J552" t="n">
        <v>5424.0247</v>
      </c>
      <c r="K552" t="n">
        <v>18888.0274</v>
      </c>
      <c r="L552" t="inlineStr"/>
      <c r="M552" t="inlineStr"/>
      <c r="N552" t="inlineStr"/>
      <c r="O552" t="inlineStr"/>
      <c r="P552" t="n">
        <v>2019</v>
      </c>
      <c r="Q552" t="n">
        <v>2030</v>
      </c>
      <c r="R552" t="n">
        <v>0.3852</v>
      </c>
      <c r="S552" t="n">
        <v>158.2904</v>
      </c>
      <c r="T552" t="n">
        <v>0.00100695</v>
      </c>
      <c r="U552" t="n">
        <v>0.00065008</v>
      </c>
    </row>
    <row r="553">
      <c r="A553" t="inlineStr">
        <is>
          <t>SUP-0056</t>
        </is>
      </c>
      <c r="B553" t="inlineStr">
        <is>
          <t>Metals Supplier 056</t>
        </is>
      </c>
      <c r="C553" t="inlineStr">
        <is>
          <t>Metals</t>
        </is>
      </c>
      <c r="D553" t="n">
        <v>2016</v>
      </c>
      <c r="E553" t="n">
        <v>26746635.82</v>
      </c>
      <c r="F553" t="n">
        <v>34642005.13</v>
      </c>
      <c r="G553" t="n">
        <v>32234.0325</v>
      </c>
      <c r="H553" t="n">
        <v>32234.0325</v>
      </c>
      <c r="I553" t="n">
        <v>9078.015799999999</v>
      </c>
      <c r="J553" t="n">
        <v>3547.9618</v>
      </c>
      <c r="K553" t="n">
        <v>19679.7307</v>
      </c>
      <c r="L553" t="inlineStr"/>
      <c r="M553" t="inlineStr"/>
      <c r="N553" t="inlineStr"/>
      <c r="O553" t="inlineStr"/>
      <c r="P553" t="n">
        <v>2019</v>
      </c>
      <c r="Q553" t="n">
        <v>2030</v>
      </c>
      <c r="R553" t="n">
        <v>0.3852</v>
      </c>
      <c r="S553" t="n">
        <v>158.2904</v>
      </c>
      <c r="T553" t="n">
        <v>0.00100695</v>
      </c>
      <c r="U553" t="n">
        <v>0.00065008</v>
      </c>
    </row>
    <row r="554">
      <c r="A554" t="inlineStr">
        <is>
          <t>SUP-0056</t>
        </is>
      </c>
      <c r="B554" t="inlineStr">
        <is>
          <t>Metals Supplier 056</t>
        </is>
      </c>
      <c r="C554" t="inlineStr">
        <is>
          <t>Metals</t>
        </is>
      </c>
      <c r="D554" t="n">
        <v>2017</v>
      </c>
      <c r="E554" t="n">
        <v>23410348.03</v>
      </c>
      <c r="F554" t="n">
        <v>37434903.09</v>
      </c>
      <c r="G554" t="n">
        <v>29160.2751</v>
      </c>
      <c r="H554" t="n">
        <v>29160.2751</v>
      </c>
      <c r="I554" t="n">
        <v>3270.027</v>
      </c>
      <c r="J554" t="n">
        <v>2318.7428</v>
      </c>
      <c r="K554" t="n">
        <v>22906.0813</v>
      </c>
      <c r="L554" t="inlineStr"/>
      <c r="M554" t="inlineStr"/>
      <c r="N554" t="inlineStr"/>
      <c r="O554" t="inlineStr"/>
      <c r="P554" t="n">
        <v>2019</v>
      </c>
      <c r="Q554" t="n">
        <v>2030</v>
      </c>
      <c r="R554" t="n">
        <v>0.3852</v>
      </c>
      <c r="S554" t="n">
        <v>158.2904</v>
      </c>
      <c r="T554" t="n">
        <v>0.00100695</v>
      </c>
      <c r="U554" t="n">
        <v>0.00065008</v>
      </c>
    </row>
    <row r="555">
      <c r="A555" t="inlineStr">
        <is>
          <t>SUP-0056</t>
        </is>
      </c>
      <c r="B555" t="inlineStr">
        <is>
          <t>Metals Supplier 056</t>
        </is>
      </c>
      <c r="C555" t="inlineStr">
        <is>
          <t>Metals</t>
        </is>
      </c>
      <c r="D555" t="n">
        <v>2018</v>
      </c>
      <c r="E555" t="n">
        <v>27898567.03</v>
      </c>
      <c r="F555" t="n">
        <v>38288053.7</v>
      </c>
      <c r="G555" t="n">
        <v>29861.1749</v>
      </c>
      <c r="H555" t="n">
        <v>29861.1749</v>
      </c>
      <c r="I555" t="n">
        <v>7020.0444</v>
      </c>
      <c r="J555" t="n">
        <v>1747.5098</v>
      </c>
      <c r="K555" t="n">
        <v>19182.1247</v>
      </c>
      <c r="L555" t="inlineStr"/>
      <c r="M555" t="inlineStr"/>
      <c r="N555" t="inlineStr"/>
      <c r="O555" t="inlineStr"/>
      <c r="P555" t="n">
        <v>2019</v>
      </c>
      <c r="Q555" t="n">
        <v>2030</v>
      </c>
      <c r="R555" t="n">
        <v>0.3852</v>
      </c>
      <c r="S555" t="n">
        <v>158.2904</v>
      </c>
      <c r="T555" t="n">
        <v>0.00100695</v>
      </c>
      <c r="U555" t="n">
        <v>0.00065008</v>
      </c>
    </row>
    <row r="556">
      <c r="A556" t="inlineStr">
        <is>
          <t>SUP-0056</t>
        </is>
      </c>
      <c r="B556" t="inlineStr">
        <is>
          <t>Metals Supplier 056</t>
        </is>
      </c>
      <c r="C556" t="inlineStr">
        <is>
          <t>Metals</t>
        </is>
      </c>
      <c r="D556" t="n">
        <v>2019</v>
      </c>
      <c r="E556" t="n">
        <v>24172786.93</v>
      </c>
      <c r="F556" t="n">
        <v>44504176.75</v>
      </c>
      <c r="G556" t="n">
        <v>23989.0765</v>
      </c>
      <c r="H556" t="n">
        <v>23989.0765</v>
      </c>
      <c r="I556" t="n">
        <v>3829.1191</v>
      </c>
      <c r="J556" t="n">
        <v>4764.2654</v>
      </c>
      <c r="K556" t="n">
        <v>16584.1913</v>
      </c>
      <c r="L556" t="inlineStr"/>
      <c r="M556" t="inlineStr"/>
      <c r="N556" t="inlineStr"/>
      <c r="O556" t="inlineStr"/>
      <c r="P556" t="n">
        <v>2019</v>
      </c>
      <c r="Q556" t="n">
        <v>2030</v>
      </c>
      <c r="R556" t="n">
        <v>0.3852</v>
      </c>
      <c r="S556" t="n">
        <v>158.2904</v>
      </c>
      <c r="T556" t="n">
        <v>0.00100695</v>
      </c>
      <c r="U556" t="n">
        <v>0.00065008</v>
      </c>
    </row>
    <row r="557">
      <c r="A557" t="inlineStr">
        <is>
          <t>SUP-0056</t>
        </is>
      </c>
      <c r="B557" t="inlineStr">
        <is>
          <t>Metals Supplier 056</t>
        </is>
      </c>
      <c r="C557" t="inlineStr">
        <is>
          <t>Metals</t>
        </is>
      </c>
      <c r="D557" t="n">
        <v>2020</v>
      </c>
      <c r="E557" t="n">
        <v>25660326</v>
      </c>
      <c r="F557" t="n">
        <v>43987409.06</v>
      </c>
      <c r="G557" t="n">
        <v>26368.1929</v>
      </c>
      <c r="H557" t="n">
        <v>26368.1929</v>
      </c>
      <c r="I557" t="n">
        <v>5567.7745</v>
      </c>
      <c r="J557" t="n">
        <v>3718.4461</v>
      </c>
      <c r="K557" t="n">
        <v>15983.7034</v>
      </c>
      <c r="L557" t="inlineStr"/>
      <c r="M557" t="inlineStr"/>
      <c r="N557" t="inlineStr"/>
      <c r="O557" t="inlineStr"/>
      <c r="P557" t="n">
        <v>2019</v>
      </c>
      <c r="Q557" t="n">
        <v>2030</v>
      </c>
      <c r="R557" t="n">
        <v>0.3852</v>
      </c>
      <c r="S557" t="n">
        <v>158.2904</v>
      </c>
      <c r="T557" t="n">
        <v>0.00100695</v>
      </c>
      <c r="U557" t="n">
        <v>0.00065008</v>
      </c>
    </row>
    <row r="558">
      <c r="A558" t="inlineStr">
        <is>
          <t>SUP-0056</t>
        </is>
      </c>
      <c r="B558" t="inlineStr">
        <is>
          <t>Metals Supplier 056</t>
        </is>
      </c>
      <c r="C558" t="inlineStr">
        <is>
          <t>Metals</t>
        </is>
      </c>
      <c r="D558" t="n">
        <v>2021</v>
      </c>
      <c r="E558" t="n">
        <v>29078595.26</v>
      </c>
      <c r="F558" t="n">
        <v>39281156.45</v>
      </c>
      <c r="G558" t="n">
        <v>22025.9685</v>
      </c>
      <c r="H558" t="n">
        <v>22025.9685</v>
      </c>
      <c r="I558" t="n">
        <v>4832.9731</v>
      </c>
      <c r="J558" t="n">
        <v>2989.0134</v>
      </c>
      <c r="K558" t="n">
        <v>15477.7787</v>
      </c>
      <c r="L558" t="inlineStr"/>
      <c r="M558" t="inlineStr"/>
      <c r="N558" t="inlineStr"/>
      <c r="O558" t="inlineStr"/>
      <c r="P558" t="n">
        <v>2019</v>
      </c>
      <c r="Q558" t="n">
        <v>2030</v>
      </c>
      <c r="R558" t="n">
        <v>0.3852</v>
      </c>
      <c r="S558" t="n">
        <v>158.2904</v>
      </c>
      <c r="T558" t="n">
        <v>0.00100695</v>
      </c>
      <c r="U558" t="n">
        <v>0.00065008</v>
      </c>
    </row>
    <row r="559">
      <c r="A559" t="inlineStr">
        <is>
          <t>SUP-0056</t>
        </is>
      </c>
      <c r="B559" t="inlineStr">
        <is>
          <t>Metals Supplier 056</t>
        </is>
      </c>
      <c r="C559" t="inlineStr">
        <is>
          <t>Metals</t>
        </is>
      </c>
      <c r="D559" t="n">
        <v>2022</v>
      </c>
      <c r="E559" t="n">
        <v>34183007.73</v>
      </c>
      <c r="F559" t="n">
        <v>42143005.81</v>
      </c>
      <c r="G559" t="n">
        <v>35216.3145</v>
      </c>
      <c r="H559" t="n">
        <v>35216.3145</v>
      </c>
      <c r="I559" t="n">
        <v>4727.8462</v>
      </c>
      <c r="J559" t="n">
        <v>1965.5305</v>
      </c>
      <c r="K559" t="n">
        <v>28685.2208</v>
      </c>
      <c r="L559" t="inlineStr"/>
      <c r="M559" t="inlineStr"/>
      <c r="N559" t="inlineStr"/>
      <c r="O559" t="inlineStr"/>
      <c r="P559" t="n">
        <v>2019</v>
      </c>
      <c r="Q559" t="n">
        <v>2030</v>
      </c>
      <c r="R559" t="n">
        <v>0.3852</v>
      </c>
      <c r="S559" t="n">
        <v>158.2904</v>
      </c>
      <c r="T559" t="n">
        <v>0.00100695</v>
      </c>
      <c r="U559" t="n">
        <v>0.00065008</v>
      </c>
    </row>
    <row r="560">
      <c r="A560" t="inlineStr">
        <is>
          <t>SUP-0056</t>
        </is>
      </c>
      <c r="B560" t="inlineStr">
        <is>
          <t>Metals Supplier 056</t>
        </is>
      </c>
      <c r="C560" t="inlineStr">
        <is>
          <t>Metals</t>
        </is>
      </c>
      <c r="D560" t="n">
        <v>2023</v>
      </c>
      <c r="E560" t="n">
        <v>34503702.37</v>
      </c>
      <c r="F560" t="n">
        <v>54819733.04</v>
      </c>
      <c r="G560" t="n">
        <v>32421.3742</v>
      </c>
      <c r="H560" t="n">
        <v>32421.3742</v>
      </c>
      <c r="I560" t="n">
        <v>4294.5674</v>
      </c>
      <c r="J560" t="n">
        <v>2382.2716</v>
      </c>
      <c r="K560" t="n">
        <v>26487.9908</v>
      </c>
      <c r="L560" t="inlineStr"/>
      <c r="M560" t="inlineStr"/>
      <c r="N560" t="inlineStr"/>
      <c r="O560" t="inlineStr"/>
      <c r="P560" t="n">
        <v>2019</v>
      </c>
      <c r="Q560" t="n">
        <v>2030</v>
      </c>
      <c r="R560" t="n">
        <v>0.3852</v>
      </c>
      <c r="S560" t="n">
        <v>158.2904</v>
      </c>
      <c r="T560" t="n">
        <v>0.00100695</v>
      </c>
      <c r="U560" t="n">
        <v>0.00065008</v>
      </c>
    </row>
    <row r="561">
      <c r="A561" t="inlineStr">
        <is>
          <t>SUP-0056</t>
        </is>
      </c>
      <c r="B561" t="inlineStr">
        <is>
          <t>Metals Supplier 056</t>
        </is>
      </c>
      <c r="C561" t="inlineStr">
        <is>
          <t>Metals</t>
        </is>
      </c>
      <c r="D561" t="n">
        <v>2024</v>
      </c>
      <c r="E561" t="n">
        <v>35680319.64</v>
      </c>
      <c r="F561" t="n">
        <v>60380635.83</v>
      </c>
      <c r="G561" t="n">
        <v>30237.7557</v>
      </c>
      <c r="H561" t="n">
        <v>30237.7557</v>
      </c>
      <c r="I561" t="n">
        <v>3770.1001</v>
      </c>
      <c r="J561" t="n">
        <v>2423.3846</v>
      </c>
      <c r="K561" t="n">
        <v>24044.0953</v>
      </c>
      <c r="L561" t="inlineStr"/>
      <c r="M561" t="inlineStr"/>
      <c r="N561" t="inlineStr"/>
      <c r="O561" t="inlineStr"/>
      <c r="P561" t="n">
        <v>2019</v>
      </c>
      <c r="Q561" t="n">
        <v>2030</v>
      </c>
      <c r="R561" t="n">
        <v>0.3852</v>
      </c>
      <c r="S561" t="n">
        <v>158.2904</v>
      </c>
      <c r="T561" t="n">
        <v>0.00100695</v>
      </c>
      <c r="U561" t="n">
        <v>0.00065008</v>
      </c>
    </row>
    <row r="562">
      <c r="A562" t="inlineStr">
        <is>
          <t>SUP-0057</t>
        </is>
      </c>
      <c r="B562" t="inlineStr">
        <is>
          <t>Logistics Supplier 057</t>
        </is>
      </c>
      <c r="C562" t="inlineStr">
        <is>
          <t>Logistics</t>
        </is>
      </c>
      <c r="D562" t="n">
        <v>2015</v>
      </c>
      <c r="E562" t="n">
        <v>2997470.91</v>
      </c>
      <c r="F562" t="n">
        <v>22353512.63</v>
      </c>
      <c r="G562" t="n">
        <v>541.5365</v>
      </c>
      <c r="H562" t="n">
        <v>541.5365</v>
      </c>
      <c r="I562" t="n">
        <v>42.2745</v>
      </c>
      <c r="J562" t="n">
        <v>67.6764</v>
      </c>
      <c r="K562" t="n">
        <v>408.7327</v>
      </c>
      <c r="L562" t="inlineStr"/>
      <c r="M562" t="inlineStr"/>
      <c r="N562" t="inlineStr"/>
      <c r="O562" t="inlineStr"/>
      <c r="P562" t="n">
        <v>2019</v>
      </c>
      <c r="Q562" t="n">
        <v>2040</v>
      </c>
      <c r="R562" t="n">
        <v>0.4616</v>
      </c>
      <c r="S562" t="n">
        <v>591.6386</v>
      </c>
      <c r="T562" t="n">
        <v>0.00022349</v>
      </c>
      <c r="U562" t="n">
        <v>0.00047787</v>
      </c>
    </row>
    <row r="563">
      <c r="A563" t="inlineStr">
        <is>
          <t>SUP-0057</t>
        </is>
      </c>
      <c r="B563" t="inlineStr">
        <is>
          <t>Logistics Supplier 057</t>
        </is>
      </c>
      <c r="C563" t="inlineStr">
        <is>
          <t>Logistics</t>
        </is>
      </c>
      <c r="D563" t="n">
        <v>2016</v>
      </c>
      <c r="E563" t="n">
        <v>3211728.68</v>
      </c>
      <c r="F563" t="n">
        <v>23528609.95</v>
      </c>
      <c r="G563" t="n">
        <v>593.454</v>
      </c>
      <c r="H563" t="n">
        <v>593.454</v>
      </c>
      <c r="I563" t="n">
        <v>146.5503</v>
      </c>
      <c r="J563" t="n">
        <v>86.00790000000001</v>
      </c>
      <c r="K563" t="n">
        <v>357.2743</v>
      </c>
      <c r="L563" t="inlineStr"/>
      <c r="M563" t="inlineStr"/>
      <c r="N563" t="inlineStr"/>
      <c r="O563" t="inlineStr"/>
      <c r="P563" t="n">
        <v>2019</v>
      </c>
      <c r="Q563" t="n">
        <v>2040</v>
      </c>
      <c r="R563" t="n">
        <v>0.4616</v>
      </c>
      <c r="S563" t="n">
        <v>591.6386</v>
      </c>
      <c r="T563" t="n">
        <v>0.00022349</v>
      </c>
      <c r="U563" t="n">
        <v>0.00047787</v>
      </c>
    </row>
    <row r="564">
      <c r="A564" t="inlineStr">
        <is>
          <t>SUP-0057</t>
        </is>
      </c>
      <c r="B564" t="inlineStr">
        <is>
          <t>Logistics Supplier 057</t>
        </is>
      </c>
      <c r="C564" t="inlineStr">
        <is>
          <t>Logistics</t>
        </is>
      </c>
      <c r="D564" t="n">
        <v>2017</v>
      </c>
      <c r="E564" t="n">
        <v>3098948.54</v>
      </c>
      <c r="F564" t="n">
        <v>25255670.02</v>
      </c>
      <c r="G564" t="n">
        <v>412.4154</v>
      </c>
      <c r="H564" t="n">
        <v>412.4154</v>
      </c>
      <c r="I564" t="n">
        <v>50.4203</v>
      </c>
      <c r="J564" t="n">
        <v>44.5818</v>
      </c>
      <c r="K564" t="n">
        <v>313.2603</v>
      </c>
      <c r="L564" t="inlineStr"/>
      <c r="M564" t="inlineStr"/>
      <c r="N564" t="inlineStr"/>
      <c r="O564" t="inlineStr"/>
      <c r="P564" t="n">
        <v>2019</v>
      </c>
      <c r="Q564" t="n">
        <v>2040</v>
      </c>
      <c r="R564" t="n">
        <v>0.4616</v>
      </c>
      <c r="S564" t="n">
        <v>591.6386</v>
      </c>
      <c r="T564" t="n">
        <v>0.00022349</v>
      </c>
      <c r="U564" t="n">
        <v>0.00047787</v>
      </c>
    </row>
    <row r="565">
      <c r="A565" t="inlineStr">
        <is>
          <t>SUP-0057</t>
        </is>
      </c>
      <c r="B565" t="inlineStr">
        <is>
          <t>Logistics Supplier 057</t>
        </is>
      </c>
      <c r="C565" t="inlineStr">
        <is>
          <t>Logistics</t>
        </is>
      </c>
      <c r="D565" t="n">
        <v>2018</v>
      </c>
      <c r="E565" t="n">
        <v>2933450.7</v>
      </c>
      <c r="F565" t="n">
        <v>23712140.26</v>
      </c>
      <c r="G565" t="n">
        <v>500.5962</v>
      </c>
      <c r="H565" t="n">
        <v>500.5962</v>
      </c>
      <c r="I565" t="n">
        <v>110.2448</v>
      </c>
      <c r="J565" t="n">
        <v>74.3186</v>
      </c>
      <c r="K565" t="n">
        <v>323.9925</v>
      </c>
      <c r="L565" t="inlineStr"/>
      <c r="M565" t="inlineStr"/>
      <c r="N565" t="inlineStr"/>
      <c r="O565" t="inlineStr"/>
      <c r="P565" t="n">
        <v>2019</v>
      </c>
      <c r="Q565" t="n">
        <v>2040</v>
      </c>
      <c r="R565" t="n">
        <v>0.4616</v>
      </c>
      <c r="S565" t="n">
        <v>591.6386</v>
      </c>
      <c r="T565" t="n">
        <v>0.00022349</v>
      </c>
      <c r="U565" t="n">
        <v>0.00047787</v>
      </c>
    </row>
    <row r="566">
      <c r="A566" t="inlineStr">
        <is>
          <t>SUP-0057</t>
        </is>
      </c>
      <c r="B566" t="inlineStr">
        <is>
          <t>Logistics Supplier 057</t>
        </is>
      </c>
      <c r="C566" t="inlineStr">
        <is>
          <t>Logistics</t>
        </is>
      </c>
      <c r="D566" t="n">
        <v>2019</v>
      </c>
      <c r="E566" t="n">
        <v>3051566.85</v>
      </c>
      <c r="F566" t="n">
        <v>24305708.8</v>
      </c>
      <c r="G566" t="n">
        <v>460.5049</v>
      </c>
      <c r="H566" t="n">
        <v>460.5049</v>
      </c>
      <c r="I566" t="n">
        <v>45.2501</v>
      </c>
      <c r="J566" t="n">
        <v>84.9969</v>
      </c>
      <c r="K566" t="n">
        <v>298.6384</v>
      </c>
      <c r="L566" t="inlineStr"/>
      <c r="M566" t="inlineStr"/>
      <c r="N566" t="inlineStr"/>
      <c r="O566" t="inlineStr"/>
      <c r="P566" t="n">
        <v>2019</v>
      </c>
      <c r="Q566" t="n">
        <v>2040</v>
      </c>
      <c r="R566" t="n">
        <v>0.4616</v>
      </c>
      <c r="S566" t="n">
        <v>591.6386</v>
      </c>
      <c r="T566" t="n">
        <v>0.00022349</v>
      </c>
      <c r="U566" t="n">
        <v>0.00047787</v>
      </c>
    </row>
    <row r="567">
      <c r="A567" t="inlineStr">
        <is>
          <t>SUP-0057</t>
        </is>
      </c>
      <c r="B567" t="inlineStr">
        <is>
          <t>Logistics Supplier 057</t>
        </is>
      </c>
      <c r="C567" t="inlineStr">
        <is>
          <t>Logistics</t>
        </is>
      </c>
      <c r="D567" t="n">
        <v>2020</v>
      </c>
      <c r="E567" t="n">
        <v>3592089.14</v>
      </c>
      <c r="F567" t="n">
        <v>37187696.98</v>
      </c>
      <c r="G567" t="n">
        <v>529.3278</v>
      </c>
      <c r="H567" t="n">
        <v>529.3278</v>
      </c>
      <c r="I567" t="n">
        <v>93.2388</v>
      </c>
      <c r="J567" t="n">
        <v>67.7513</v>
      </c>
      <c r="K567" t="n">
        <v>351.7008</v>
      </c>
      <c r="L567" t="inlineStr"/>
      <c r="M567" t="inlineStr"/>
      <c r="N567" t="inlineStr"/>
      <c r="O567" t="inlineStr"/>
      <c r="P567" t="n">
        <v>2019</v>
      </c>
      <c r="Q567" t="n">
        <v>2040</v>
      </c>
      <c r="R567" t="n">
        <v>0.4616</v>
      </c>
      <c r="S567" t="n">
        <v>591.6386</v>
      </c>
      <c r="T567" t="n">
        <v>0.00022349</v>
      </c>
      <c r="U567" t="n">
        <v>0.00047787</v>
      </c>
    </row>
    <row r="568">
      <c r="A568" t="inlineStr">
        <is>
          <t>SUP-0057</t>
        </is>
      </c>
      <c r="B568" t="inlineStr">
        <is>
          <t>Logistics Supplier 057</t>
        </is>
      </c>
      <c r="C568" t="inlineStr">
        <is>
          <t>Logistics</t>
        </is>
      </c>
      <c r="D568" t="n">
        <v>2021</v>
      </c>
      <c r="E568" t="n">
        <v>3101178.76</v>
      </c>
      <c r="F568" t="n">
        <v>25943379.39</v>
      </c>
      <c r="G568" t="n">
        <v>390.4988</v>
      </c>
      <c r="H568" t="n">
        <v>390.4988</v>
      </c>
      <c r="I568" t="n">
        <v>74.2925</v>
      </c>
      <c r="J568" t="n">
        <v>72.325</v>
      </c>
      <c r="K568" t="n">
        <v>238.8076</v>
      </c>
      <c r="L568" t="inlineStr"/>
      <c r="M568" t="inlineStr"/>
      <c r="N568" t="inlineStr"/>
      <c r="O568" t="inlineStr"/>
      <c r="P568" t="n">
        <v>2019</v>
      </c>
      <c r="Q568" t="n">
        <v>2040</v>
      </c>
      <c r="R568" t="n">
        <v>0.4616</v>
      </c>
      <c r="S568" t="n">
        <v>591.6386</v>
      </c>
      <c r="T568" t="n">
        <v>0.00022349</v>
      </c>
      <c r="U568" t="n">
        <v>0.00047787</v>
      </c>
    </row>
    <row r="569">
      <c r="A569" t="inlineStr">
        <is>
          <t>SUP-0057</t>
        </is>
      </c>
      <c r="B569" t="inlineStr">
        <is>
          <t>Logistics Supplier 057</t>
        </is>
      </c>
      <c r="C569" t="inlineStr">
        <is>
          <t>Logistics</t>
        </is>
      </c>
      <c r="D569" t="n">
        <v>2022</v>
      </c>
      <c r="E569" t="n">
        <v>3546741.66</v>
      </c>
      <c r="F569" t="n">
        <v>34477288.06</v>
      </c>
      <c r="G569" t="n">
        <v>417.8545</v>
      </c>
      <c r="H569" t="n">
        <v>417.8545</v>
      </c>
      <c r="I569" t="n">
        <v>122.4763</v>
      </c>
      <c r="J569" t="n">
        <v>89.02330000000001</v>
      </c>
      <c r="K569" t="n">
        <v>263.5854</v>
      </c>
      <c r="L569" t="inlineStr"/>
      <c r="M569" t="inlineStr"/>
      <c r="N569" t="inlineStr"/>
      <c r="O569" t="inlineStr"/>
      <c r="P569" t="n">
        <v>2019</v>
      </c>
      <c r="Q569" t="n">
        <v>2040</v>
      </c>
      <c r="R569" t="n">
        <v>0.4616</v>
      </c>
      <c r="S569" t="n">
        <v>591.6386</v>
      </c>
      <c r="T569" t="n">
        <v>0.00022349</v>
      </c>
      <c r="U569" t="n">
        <v>0.00047787</v>
      </c>
    </row>
    <row r="570">
      <c r="A570" t="inlineStr">
        <is>
          <t>SUP-0057</t>
        </is>
      </c>
      <c r="B570" t="inlineStr">
        <is>
          <t>Logistics Supplier 057</t>
        </is>
      </c>
      <c r="C570" t="inlineStr">
        <is>
          <t>Logistics</t>
        </is>
      </c>
      <c r="D570" t="n">
        <v>2023</v>
      </c>
      <c r="E570" t="n">
        <v>3326851.29</v>
      </c>
      <c r="F570" t="n">
        <v>29992908.17</v>
      </c>
      <c r="G570" t="n">
        <v>451.5633</v>
      </c>
      <c r="H570" t="n">
        <v>451.5633</v>
      </c>
      <c r="I570" t="n">
        <v>121.7339</v>
      </c>
      <c r="J570" t="n">
        <v>35.154</v>
      </c>
      <c r="K570" t="n">
        <v>292.7448</v>
      </c>
      <c r="L570" t="inlineStr"/>
      <c r="M570" t="inlineStr"/>
      <c r="N570" t="inlineStr"/>
      <c r="O570" t="inlineStr"/>
      <c r="P570" t="n">
        <v>2019</v>
      </c>
      <c r="Q570" t="n">
        <v>2040</v>
      </c>
      <c r="R570" t="n">
        <v>0.4616</v>
      </c>
      <c r="S570" t="n">
        <v>591.6386</v>
      </c>
      <c r="T570" t="n">
        <v>0.00022349</v>
      </c>
      <c r="U570" t="n">
        <v>0.00047787</v>
      </c>
    </row>
    <row r="571">
      <c r="A571" t="inlineStr">
        <is>
          <t>SUP-0057</t>
        </is>
      </c>
      <c r="B571" t="inlineStr">
        <is>
          <t>Logistics Supplier 057</t>
        </is>
      </c>
      <c r="C571" t="inlineStr">
        <is>
          <t>Logistics</t>
        </is>
      </c>
      <c r="D571" t="n">
        <v>2024</v>
      </c>
      <c r="E571" t="n">
        <v>3657289.52</v>
      </c>
      <c r="F571" t="n">
        <v>23873981.07</v>
      </c>
      <c r="G571" t="n">
        <v>437.5221</v>
      </c>
      <c r="H571" t="n">
        <v>437.5221</v>
      </c>
      <c r="I571" t="n">
        <v>64.6681</v>
      </c>
      <c r="J571" t="n">
        <v>76.8837</v>
      </c>
      <c r="K571" t="n">
        <v>290.0746</v>
      </c>
      <c r="L571" t="inlineStr"/>
      <c r="M571" t="inlineStr"/>
      <c r="N571" t="inlineStr"/>
      <c r="O571" t="inlineStr"/>
      <c r="P571" t="n">
        <v>2019</v>
      </c>
      <c r="Q571" t="n">
        <v>2040</v>
      </c>
      <c r="R571" t="n">
        <v>0.4616</v>
      </c>
      <c r="S571" t="n">
        <v>591.6386</v>
      </c>
      <c r="T571" t="n">
        <v>0.00022349</v>
      </c>
      <c r="U571" t="n">
        <v>0.00047787</v>
      </c>
    </row>
    <row r="572">
      <c r="A572" t="inlineStr">
        <is>
          <t>SUP-0058</t>
        </is>
      </c>
      <c r="B572" t="inlineStr">
        <is>
          <t>Textiles Supplier 058</t>
        </is>
      </c>
      <c r="C572" t="inlineStr">
        <is>
          <t>Textiles</t>
        </is>
      </c>
      <c r="D572" t="n">
        <v>2015</v>
      </c>
      <c r="E572" t="n">
        <v>16474869.01</v>
      </c>
      <c r="F572" t="n">
        <v>65189479.61</v>
      </c>
      <c r="G572" t="n">
        <v>4613.9565</v>
      </c>
      <c r="H572" t="n">
        <v>4613.9565</v>
      </c>
      <c r="I572" t="n">
        <v>562.1130000000001</v>
      </c>
      <c r="J572" t="n">
        <v>802.9226</v>
      </c>
      <c r="K572" t="n">
        <v>2966.5916</v>
      </c>
      <c r="L572" t="inlineStr"/>
      <c r="M572" t="inlineStr"/>
      <c r="N572" t="inlineStr"/>
      <c r="O572" t="inlineStr"/>
      <c r="P572" t="n">
        <v>2019</v>
      </c>
      <c r="Q572" t="n">
        <v>2030</v>
      </c>
      <c r="R572" t="n">
        <v>0.3171</v>
      </c>
      <c r="S572" t="n">
        <v>401.7335</v>
      </c>
      <c r="T572" t="n">
        <v>0.00029221</v>
      </c>
      <c r="U572" t="n">
        <v>0.00017343</v>
      </c>
    </row>
    <row r="573">
      <c r="A573" t="inlineStr">
        <is>
          <t>SUP-0058</t>
        </is>
      </c>
      <c r="B573" t="inlineStr">
        <is>
          <t>Textiles Supplier 058</t>
        </is>
      </c>
      <c r="C573" t="inlineStr">
        <is>
          <t>Textiles</t>
        </is>
      </c>
      <c r="D573" t="n">
        <v>2016</v>
      </c>
      <c r="E573" t="n">
        <v>17420555.13</v>
      </c>
      <c r="F573" t="n">
        <v>61884668.69</v>
      </c>
      <c r="G573" t="n">
        <v>4527.4219</v>
      </c>
      <c r="H573" t="n">
        <v>4527.4219</v>
      </c>
      <c r="I573" t="n">
        <v>954.0146999999999</v>
      </c>
      <c r="J573" t="n">
        <v>899.9687</v>
      </c>
      <c r="K573" t="n">
        <v>2733.4549</v>
      </c>
      <c r="L573" t="inlineStr"/>
      <c r="M573" t="inlineStr"/>
      <c r="N573" t="inlineStr"/>
      <c r="O573" t="inlineStr"/>
      <c r="P573" t="n">
        <v>2019</v>
      </c>
      <c r="Q573" t="n">
        <v>2030</v>
      </c>
      <c r="R573" t="n">
        <v>0.3171</v>
      </c>
      <c r="S573" t="n">
        <v>401.7335</v>
      </c>
      <c r="T573" t="n">
        <v>0.00029221</v>
      </c>
      <c r="U573" t="n">
        <v>0.00017343</v>
      </c>
    </row>
    <row r="574">
      <c r="A574" t="inlineStr">
        <is>
          <t>SUP-0058</t>
        </is>
      </c>
      <c r="B574" t="inlineStr">
        <is>
          <t>Textiles Supplier 058</t>
        </is>
      </c>
      <c r="C574" t="inlineStr">
        <is>
          <t>Textiles</t>
        </is>
      </c>
      <c r="D574" t="n">
        <v>2017</v>
      </c>
      <c r="E574" t="n">
        <v>16933943.09</v>
      </c>
      <c r="F574" t="n">
        <v>57140321.55</v>
      </c>
      <c r="G574" t="n">
        <v>3703.3739</v>
      </c>
      <c r="H574" t="n">
        <v>3703.3739</v>
      </c>
      <c r="I574" t="n">
        <v>680.4303</v>
      </c>
      <c r="J574" t="n">
        <v>497.2945</v>
      </c>
      <c r="K574" t="n">
        <v>2571.5972</v>
      </c>
      <c r="L574" t="inlineStr"/>
      <c r="M574" t="inlineStr"/>
      <c r="N574" t="inlineStr"/>
      <c r="O574" t="inlineStr"/>
      <c r="P574" t="n">
        <v>2019</v>
      </c>
      <c r="Q574" t="n">
        <v>2030</v>
      </c>
      <c r="R574" t="n">
        <v>0.3171</v>
      </c>
      <c r="S574" t="n">
        <v>401.7335</v>
      </c>
      <c r="T574" t="n">
        <v>0.00029221</v>
      </c>
      <c r="U574" t="n">
        <v>0.00017343</v>
      </c>
    </row>
    <row r="575">
      <c r="A575" t="inlineStr">
        <is>
          <t>SUP-0058</t>
        </is>
      </c>
      <c r="B575" t="inlineStr">
        <is>
          <t>Textiles Supplier 058</t>
        </is>
      </c>
      <c r="C575" t="inlineStr">
        <is>
          <t>Textiles</t>
        </is>
      </c>
      <c r="D575" t="n">
        <v>2018</v>
      </c>
      <c r="E575" t="n">
        <v>17536454.07</v>
      </c>
      <c r="F575" t="n">
        <v>71574758.7</v>
      </c>
      <c r="G575" t="n">
        <v>4223.3779</v>
      </c>
      <c r="H575" t="n">
        <v>4223.3779</v>
      </c>
      <c r="I575" t="n">
        <v>1170.0877</v>
      </c>
      <c r="J575" t="n">
        <v>559.1584</v>
      </c>
      <c r="K575" t="n">
        <v>2767.4018</v>
      </c>
      <c r="L575" t="inlineStr"/>
      <c r="M575" t="inlineStr"/>
      <c r="N575" t="inlineStr"/>
      <c r="O575" t="inlineStr"/>
      <c r="P575" t="n">
        <v>2019</v>
      </c>
      <c r="Q575" t="n">
        <v>2030</v>
      </c>
      <c r="R575" t="n">
        <v>0.3171</v>
      </c>
      <c r="S575" t="n">
        <v>401.7335</v>
      </c>
      <c r="T575" t="n">
        <v>0.00029221</v>
      </c>
      <c r="U575" t="n">
        <v>0.00017343</v>
      </c>
    </row>
    <row r="576">
      <c r="A576" t="inlineStr">
        <is>
          <t>SUP-0058</t>
        </is>
      </c>
      <c r="B576" t="inlineStr">
        <is>
          <t>Textiles Supplier 058</t>
        </is>
      </c>
      <c r="C576" t="inlineStr">
        <is>
          <t>Textiles</t>
        </is>
      </c>
      <c r="D576" t="n">
        <v>2019</v>
      </c>
      <c r="E576" t="n">
        <v>16366814.83</v>
      </c>
      <c r="F576" t="n">
        <v>68765198.09999999</v>
      </c>
      <c r="G576" t="n">
        <v>3893.3564</v>
      </c>
      <c r="H576" t="n">
        <v>3893.3564</v>
      </c>
      <c r="I576" t="n">
        <v>656.8179</v>
      </c>
      <c r="J576" t="n">
        <v>737.3502999999999</v>
      </c>
      <c r="K576" t="n">
        <v>2414.1075</v>
      </c>
      <c r="L576" t="inlineStr"/>
      <c r="M576" t="inlineStr"/>
      <c r="N576" t="inlineStr"/>
      <c r="O576" t="inlineStr"/>
      <c r="P576" t="n">
        <v>2019</v>
      </c>
      <c r="Q576" t="n">
        <v>2030</v>
      </c>
      <c r="R576" t="n">
        <v>0.3171</v>
      </c>
      <c r="S576" t="n">
        <v>401.7335</v>
      </c>
      <c r="T576" t="n">
        <v>0.00029221</v>
      </c>
      <c r="U576" t="n">
        <v>0.00017343</v>
      </c>
    </row>
    <row r="577">
      <c r="A577" t="inlineStr">
        <is>
          <t>SUP-0058</t>
        </is>
      </c>
      <c r="B577" t="inlineStr">
        <is>
          <t>Textiles Supplier 058</t>
        </is>
      </c>
      <c r="C577" t="inlineStr">
        <is>
          <t>Textiles</t>
        </is>
      </c>
      <c r="D577" t="n">
        <v>2020</v>
      </c>
      <c r="E577" t="n">
        <v>16741812.95</v>
      </c>
      <c r="F577" t="n">
        <v>65155923.38</v>
      </c>
      <c r="G577" t="n">
        <v>4965.281</v>
      </c>
      <c r="H577" t="n">
        <v>4965.281</v>
      </c>
      <c r="I577" t="n">
        <v>853.3374</v>
      </c>
      <c r="J577" t="n">
        <v>542.2898</v>
      </c>
      <c r="K577" t="n">
        <v>3232.9126</v>
      </c>
      <c r="L577" t="inlineStr"/>
      <c r="M577" t="inlineStr"/>
      <c r="N577" t="inlineStr"/>
      <c r="O577" t="inlineStr"/>
      <c r="P577" t="n">
        <v>2019</v>
      </c>
      <c r="Q577" t="n">
        <v>2030</v>
      </c>
      <c r="R577" t="n">
        <v>0.3171</v>
      </c>
      <c r="S577" t="n">
        <v>401.7335</v>
      </c>
      <c r="T577" t="n">
        <v>0.00029221</v>
      </c>
      <c r="U577" t="n">
        <v>0.00017343</v>
      </c>
    </row>
    <row r="578">
      <c r="A578" t="inlineStr">
        <is>
          <t>SUP-0058</t>
        </is>
      </c>
      <c r="B578" t="inlineStr">
        <is>
          <t>Textiles Supplier 058</t>
        </is>
      </c>
      <c r="C578" t="inlineStr">
        <is>
          <t>Textiles</t>
        </is>
      </c>
      <c r="D578" t="n">
        <v>2021</v>
      </c>
      <c r="E578" t="n">
        <v>17313678.27</v>
      </c>
      <c r="F578" t="n">
        <v>79916480.05</v>
      </c>
      <c r="G578" t="n">
        <v>4840.822</v>
      </c>
      <c r="H578" t="n">
        <v>4840.822</v>
      </c>
      <c r="I578" t="n">
        <v>1078.74</v>
      </c>
      <c r="J578" t="n">
        <v>941.758</v>
      </c>
      <c r="K578" t="n">
        <v>2998.2166</v>
      </c>
      <c r="L578" t="inlineStr"/>
      <c r="M578" t="inlineStr"/>
      <c r="N578" t="inlineStr"/>
      <c r="O578" t="inlineStr"/>
      <c r="P578" t="n">
        <v>2019</v>
      </c>
      <c r="Q578" t="n">
        <v>2030</v>
      </c>
      <c r="R578" t="n">
        <v>0.3171</v>
      </c>
      <c r="S578" t="n">
        <v>401.7335</v>
      </c>
      <c r="T578" t="n">
        <v>0.00029221</v>
      </c>
      <c r="U578" t="n">
        <v>0.00017343</v>
      </c>
    </row>
    <row r="579">
      <c r="A579" t="inlineStr">
        <is>
          <t>SUP-0058</t>
        </is>
      </c>
      <c r="B579" t="inlineStr">
        <is>
          <t>Textiles Supplier 058</t>
        </is>
      </c>
      <c r="C579" t="inlineStr">
        <is>
          <t>Textiles</t>
        </is>
      </c>
      <c r="D579" t="n">
        <v>2022</v>
      </c>
      <c r="E579" t="n">
        <v>18180022.49</v>
      </c>
      <c r="F579" t="n">
        <v>73966099.68000001</v>
      </c>
      <c r="G579" t="n">
        <v>4261.6691</v>
      </c>
      <c r="H579" t="n">
        <v>4261.6691</v>
      </c>
      <c r="I579" t="n">
        <v>803.3409</v>
      </c>
      <c r="J579" t="n">
        <v>357.4462</v>
      </c>
      <c r="K579" t="n">
        <v>2950.8191</v>
      </c>
      <c r="L579" t="inlineStr"/>
      <c r="M579" t="inlineStr"/>
      <c r="N579" t="inlineStr"/>
      <c r="O579" t="inlineStr"/>
      <c r="P579" t="n">
        <v>2019</v>
      </c>
      <c r="Q579" t="n">
        <v>2030</v>
      </c>
      <c r="R579" t="n">
        <v>0.3171</v>
      </c>
      <c r="S579" t="n">
        <v>401.7335</v>
      </c>
      <c r="T579" t="n">
        <v>0.00029221</v>
      </c>
      <c r="U579" t="n">
        <v>0.00017343</v>
      </c>
    </row>
    <row r="580">
      <c r="A580" t="inlineStr">
        <is>
          <t>SUP-0058</t>
        </is>
      </c>
      <c r="B580" t="inlineStr">
        <is>
          <t>Textiles Supplier 058</t>
        </is>
      </c>
      <c r="C580" t="inlineStr">
        <is>
          <t>Textiles</t>
        </is>
      </c>
      <c r="D580" t="n">
        <v>2023</v>
      </c>
      <c r="E580" t="n">
        <v>17281848.36</v>
      </c>
      <c r="F580" t="n">
        <v>78060951.28</v>
      </c>
      <c r="G580" t="n">
        <v>4512.1757</v>
      </c>
      <c r="H580" t="n">
        <v>4512.1757</v>
      </c>
      <c r="I580" t="n">
        <v>756.5142</v>
      </c>
      <c r="J580" t="n">
        <v>845.4549</v>
      </c>
      <c r="K580" t="n">
        <v>2905.7896</v>
      </c>
      <c r="L580" t="inlineStr"/>
      <c r="M580" t="inlineStr"/>
      <c r="N580" t="inlineStr"/>
      <c r="O580" t="inlineStr"/>
      <c r="P580" t="n">
        <v>2019</v>
      </c>
      <c r="Q580" t="n">
        <v>2030</v>
      </c>
      <c r="R580" t="n">
        <v>0.3171</v>
      </c>
      <c r="S580" t="n">
        <v>401.7335</v>
      </c>
      <c r="T580" t="n">
        <v>0.00029221</v>
      </c>
      <c r="U580" t="n">
        <v>0.00017343</v>
      </c>
    </row>
    <row r="581">
      <c r="A581" t="inlineStr">
        <is>
          <t>SUP-0058</t>
        </is>
      </c>
      <c r="B581" t="inlineStr">
        <is>
          <t>Textiles Supplier 058</t>
        </is>
      </c>
      <c r="C581" t="inlineStr">
        <is>
          <t>Textiles</t>
        </is>
      </c>
      <c r="D581" t="n">
        <v>2024</v>
      </c>
      <c r="E581" t="n">
        <v>16879873.73</v>
      </c>
      <c r="F581" t="n">
        <v>81156267.66</v>
      </c>
      <c r="G581" t="n">
        <v>3660.5011</v>
      </c>
      <c r="H581" t="n">
        <v>3660.5011</v>
      </c>
      <c r="I581" t="n">
        <v>371.5177</v>
      </c>
      <c r="J581" t="n">
        <v>754.6674</v>
      </c>
      <c r="K581" t="n">
        <v>2368.2513</v>
      </c>
      <c r="L581" t="inlineStr"/>
      <c r="M581" t="inlineStr"/>
      <c r="N581" t="inlineStr"/>
      <c r="O581" t="inlineStr"/>
      <c r="P581" t="n">
        <v>2019</v>
      </c>
      <c r="Q581" t="n">
        <v>2030</v>
      </c>
      <c r="R581" t="n">
        <v>0.3171</v>
      </c>
      <c r="S581" t="n">
        <v>401.7335</v>
      </c>
      <c r="T581" t="n">
        <v>0.00029221</v>
      </c>
      <c r="U581" t="n">
        <v>0.00017343</v>
      </c>
    </row>
    <row r="582">
      <c r="A582" t="inlineStr">
        <is>
          <t>SUP-0059</t>
        </is>
      </c>
      <c r="B582" t="inlineStr">
        <is>
          <t>Agriculture Supplier 059</t>
        </is>
      </c>
      <c r="C582" t="inlineStr">
        <is>
          <t>Agriculture</t>
        </is>
      </c>
      <c r="D582" t="n">
        <v>2015</v>
      </c>
      <c r="E582" t="n">
        <v>17243248.44</v>
      </c>
      <c r="F582" t="n">
        <v>52563313.73</v>
      </c>
      <c r="G582" t="n">
        <v>9936.6798</v>
      </c>
      <c r="H582" t="n">
        <v>9936.6798</v>
      </c>
      <c r="I582" t="n">
        <v>2797.7922</v>
      </c>
      <c r="J582" t="n">
        <v>1311.0987</v>
      </c>
      <c r="K582" t="n">
        <v>6178.2072</v>
      </c>
      <c r="L582" t="n">
        <v>2021</v>
      </c>
      <c r="M582" t="n">
        <v>2030</v>
      </c>
      <c r="N582" t="n">
        <v>0.495</v>
      </c>
      <c r="O582" t="n">
        <v>0.1874</v>
      </c>
      <c r="P582" t="n">
        <v>2018</v>
      </c>
      <c r="Q582" t="inlineStr"/>
      <c r="R582" t="inlineStr"/>
      <c r="S582" t="n">
        <v>529.8294</v>
      </c>
      <c r="T582" t="n">
        <v>0.00091413</v>
      </c>
      <c r="U582" t="n">
        <v>0.00096913</v>
      </c>
    </row>
    <row r="583">
      <c r="A583" t="inlineStr">
        <is>
          <t>SUP-0059</t>
        </is>
      </c>
      <c r="B583" t="inlineStr">
        <is>
          <t>Agriculture Supplier 059</t>
        </is>
      </c>
      <c r="C583" t="inlineStr">
        <is>
          <t>Agriculture</t>
        </is>
      </c>
      <c r="D583" t="n">
        <v>2016</v>
      </c>
      <c r="E583" t="n">
        <v>16118597.8</v>
      </c>
      <c r="F583" t="n">
        <v>68317461.26000001</v>
      </c>
      <c r="G583" t="n">
        <v>8128.1427</v>
      </c>
      <c r="H583" t="n">
        <v>8128.1427</v>
      </c>
      <c r="I583" t="n">
        <v>1117.5487</v>
      </c>
      <c r="J583" t="n">
        <v>1171.3605</v>
      </c>
      <c r="K583" t="n">
        <v>5369.1019</v>
      </c>
      <c r="L583" t="n">
        <v>2021</v>
      </c>
      <c r="M583" t="n">
        <v>2030</v>
      </c>
      <c r="N583" t="n">
        <v>0.495</v>
      </c>
      <c r="O583" t="n">
        <v>0.1874</v>
      </c>
      <c r="P583" t="n">
        <v>2018</v>
      </c>
      <c r="Q583" t="inlineStr"/>
      <c r="R583" t="inlineStr"/>
      <c r="S583" t="n">
        <v>529.8294</v>
      </c>
      <c r="T583" t="n">
        <v>0.00091413</v>
      </c>
      <c r="U583" t="n">
        <v>0.00096913</v>
      </c>
    </row>
    <row r="584">
      <c r="A584" t="inlineStr">
        <is>
          <t>SUP-0059</t>
        </is>
      </c>
      <c r="B584" t="inlineStr">
        <is>
          <t>Agriculture Supplier 059</t>
        </is>
      </c>
      <c r="C584" t="inlineStr">
        <is>
          <t>Agriculture</t>
        </is>
      </c>
      <c r="D584" t="n">
        <v>2017</v>
      </c>
      <c r="E584" t="n">
        <v>14598164.71</v>
      </c>
      <c r="F584" t="n">
        <v>73607671.41</v>
      </c>
      <c r="G584" t="n">
        <v>8484.9743</v>
      </c>
      <c r="H584" t="n">
        <v>8484.9743</v>
      </c>
      <c r="I584" t="n">
        <v>874.3722</v>
      </c>
      <c r="J584" t="n">
        <v>871.5406</v>
      </c>
      <c r="K584" t="n">
        <v>6430.4277</v>
      </c>
      <c r="L584" t="n">
        <v>2021</v>
      </c>
      <c r="M584" t="n">
        <v>2030</v>
      </c>
      <c r="N584" t="n">
        <v>0.495</v>
      </c>
      <c r="O584" t="n">
        <v>0.1874</v>
      </c>
      <c r="P584" t="n">
        <v>2018</v>
      </c>
      <c r="Q584" t="inlineStr"/>
      <c r="R584" t="inlineStr"/>
      <c r="S584" t="n">
        <v>529.8294</v>
      </c>
      <c r="T584" t="n">
        <v>0.00091413</v>
      </c>
      <c r="U584" t="n">
        <v>0.00096913</v>
      </c>
    </row>
    <row r="585">
      <c r="A585" t="inlineStr">
        <is>
          <t>SUP-0059</t>
        </is>
      </c>
      <c r="B585" t="inlineStr">
        <is>
          <t>Agriculture Supplier 059</t>
        </is>
      </c>
      <c r="C585" t="inlineStr">
        <is>
          <t>Agriculture</t>
        </is>
      </c>
      <c r="D585" t="n">
        <v>2018</v>
      </c>
      <c r="E585" t="n">
        <v>18461714.45</v>
      </c>
      <c r="F585" t="n">
        <v>78254275.88</v>
      </c>
      <c r="G585" t="n">
        <v>11365.1772</v>
      </c>
      <c r="H585" t="n">
        <v>11365.1772</v>
      </c>
      <c r="I585" t="n">
        <v>2015.5173</v>
      </c>
      <c r="J585" t="n">
        <v>1260.1611</v>
      </c>
      <c r="K585" t="n">
        <v>7563.555</v>
      </c>
      <c r="L585" t="n">
        <v>2021</v>
      </c>
      <c r="M585" t="n">
        <v>2030</v>
      </c>
      <c r="N585" t="n">
        <v>0.495</v>
      </c>
      <c r="O585" t="n">
        <v>0.1874</v>
      </c>
      <c r="P585" t="n">
        <v>2018</v>
      </c>
      <c r="Q585" t="inlineStr"/>
      <c r="R585" t="inlineStr"/>
      <c r="S585" t="n">
        <v>529.8294</v>
      </c>
      <c r="T585" t="n">
        <v>0.00091413</v>
      </c>
      <c r="U585" t="n">
        <v>0.00096913</v>
      </c>
    </row>
    <row r="586">
      <c r="A586" t="inlineStr">
        <is>
          <t>SUP-0059</t>
        </is>
      </c>
      <c r="B586" t="inlineStr">
        <is>
          <t>Agriculture Supplier 059</t>
        </is>
      </c>
      <c r="C586" t="inlineStr">
        <is>
          <t>Agriculture</t>
        </is>
      </c>
      <c r="D586" t="n">
        <v>2019</v>
      </c>
      <c r="E586" t="n">
        <v>21800747.38</v>
      </c>
      <c r="F586" t="n">
        <v>80189709.92</v>
      </c>
      <c r="G586" t="n">
        <v>14761.5143</v>
      </c>
      <c r="H586" t="n">
        <v>14761.5143</v>
      </c>
      <c r="I586" t="n">
        <v>1719.0952</v>
      </c>
      <c r="J586" t="n">
        <v>1929.6916</v>
      </c>
      <c r="K586" t="n">
        <v>10477.4695</v>
      </c>
      <c r="L586" t="n">
        <v>2021</v>
      </c>
      <c r="M586" t="n">
        <v>2030</v>
      </c>
      <c r="N586" t="n">
        <v>0.495</v>
      </c>
      <c r="O586" t="n">
        <v>0.1874</v>
      </c>
      <c r="P586" t="n">
        <v>2018</v>
      </c>
      <c r="Q586" t="inlineStr"/>
      <c r="R586" t="inlineStr"/>
      <c r="S586" t="n">
        <v>529.8294</v>
      </c>
      <c r="T586" t="n">
        <v>0.00091413</v>
      </c>
      <c r="U586" t="n">
        <v>0.00096913</v>
      </c>
    </row>
    <row r="587">
      <c r="A587" t="inlineStr">
        <is>
          <t>SUP-0059</t>
        </is>
      </c>
      <c r="B587" t="inlineStr">
        <is>
          <t>Agriculture Supplier 059</t>
        </is>
      </c>
      <c r="C587" t="inlineStr">
        <is>
          <t>Agriculture</t>
        </is>
      </c>
      <c r="D587" t="n">
        <v>2020</v>
      </c>
      <c r="E587" t="n">
        <v>19882235.56</v>
      </c>
      <c r="F587" t="n">
        <v>118084380.57</v>
      </c>
      <c r="G587" t="n">
        <v>9330.480799999999</v>
      </c>
      <c r="H587" t="n">
        <v>9330.480799999999</v>
      </c>
      <c r="I587" t="n">
        <v>2467.3668</v>
      </c>
      <c r="J587" t="n">
        <v>2007.1848</v>
      </c>
      <c r="K587" t="n">
        <v>4576.8829</v>
      </c>
      <c r="L587" t="n">
        <v>2021</v>
      </c>
      <c r="M587" t="n">
        <v>2030</v>
      </c>
      <c r="N587" t="n">
        <v>0.495</v>
      </c>
      <c r="O587" t="n">
        <v>0.1874</v>
      </c>
      <c r="P587" t="n">
        <v>2018</v>
      </c>
      <c r="Q587" t="inlineStr"/>
      <c r="R587" t="inlineStr"/>
      <c r="S587" t="n">
        <v>529.8294</v>
      </c>
      <c r="T587" t="n">
        <v>0.00091413</v>
      </c>
      <c r="U587" t="n">
        <v>0.00096913</v>
      </c>
    </row>
    <row r="588">
      <c r="A588" t="inlineStr">
        <is>
          <t>SUP-0059</t>
        </is>
      </c>
      <c r="B588" t="inlineStr">
        <is>
          <t>Agriculture Supplier 059</t>
        </is>
      </c>
      <c r="C588" t="inlineStr">
        <is>
          <t>Agriculture</t>
        </is>
      </c>
      <c r="D588" t="n">
        <v>2021</v>
      </c>
      <c r="E588" t="n">
        <v>24034395.23</v>
      </c>
      <c r="F588" t="n">
        <v>123943987.5</v>
      </c>
      <c r="G588" t="n">
        <v>9370.181500000001</v>
      </c>
      <c r="H588" t="n">
        <v>9370.181500000001</v>
      </c>
      <c r="I588" t="n">
        <v>1153.2722</v>
      </c>
      <c r="J588" t="n">
        <v>798.3201</v>
      </c>
      <c r="K588" t="n">
        <v>8593.451499999999</v>
      </c>
      <c r="L588" t="n">
        <v>2021</v>
      </c>
      <c r="M588" t="n">
        <v>2030</v>
      </c>
      <c r="N588" t="n">
        <v>0.495</v>
      </c>
      <c r="O588" t="n">
        <v>0.1874</v>
      </c>
      <c r="P588" t="n">
        <v>2018</v>
      </c>
      <c r="Q588" t="inlineStr"/>
      <c r="R588" t="inlineStr"/>
      <c r="S588" t="n">
        <v>529.8294</v>
      </c>
      <c r="T588" t="n">
        <v>0.00091413</v>
      </c>
      <c r="U588" t="n">
        <v>0.00096913</v>
      </c>
    </row>
    <row r="589">
      <c r="A589" t="inlineStr">
        <is>
          <t>SUP-0059</t>
        </is>
      </c>
      <c r="B589" t="inlineStr">
        <is>
          <t>Agriculture Supplier 059</t>
        </is>
      </c>
      <c r="C589" t="inlineStr">
        <is>
          <t>Agriculture</t>
        </is>
      </c>
      <c r="D589" t="n">
        <v>2022</v>
      </c>
      <c r="E589" t="n">
        <v>23482265.59</v>
      </c>
      <c r="F589" t="n">
        <v>131422589.99</v>
      </c>
      <c r="G589" t="n">
        <v>9189.0458</v>
      </c>
      <c r="H589" t="n">
        <v>9189.0458</v>
      </c>
      <c r="I589" t="n">
        <v>1770.4275</v>
      </c>
      <c r="J589" t="n">
        <v>1881.2297</v>
      </c>
      <c r="K589" t="n">
        <v>5958.9258</v>
      </c>
      <c r="L589" t="n">
        <v>2021</v>
      </c>
      <c r="M589" t="n">
        <v>2030</v>
      </c>
      <c r="N589" t="n">
        <v>0.495</v>
      </c>
      <c r="O589" t="n">
        <v>0.1874</v>
      </c>
      <c r="P589" t="n">
        <v>2018</v>
      </c>
      <c r="Q589" t="inlineStr"/>
      <c r="R589" t="inlineStr"/>
      <c r="S589" t="n">
        <v>529.8294</v>
      </c>
      <c r="T589" t="n">
        <v>0.00091413</v>
      </c>
      <c r="U589" t="n">
        <v>0.00096913</v>
      </c>
    </row>
    <row r="590">
      <c r="A590" t="inlineStr">
        <is>
          <t>SUP-0059</t>
        </is>
      </c>
      <c r="B590" t="inlineStr">
        <is>
          <t>Agriculture Supplier 059</t>
        </is>
      </c>
      <c r="C590" t="inlineStr">
        <is>
          <t>Agriculture</t>
        </is>
      </c>
      <c r="D590" t="n">
        <v>2023</v>
      </c>
      <c r="E590" t="n">
        <v>28403622.92</v>
      </c>
      <c r="F590" t="n">
        <v>101005085.27</v>
      </c>
      <c r="G590" t="n">
        <v>16243.0987</v>
      </c>
      <c r="H590" t="n">
        <v>16243.0987</v>
      </c>
      <c r="I590" t="n">
        <v>3696.1957</v>
      </c>
      <c r="J590" t="n">
        <v>3223.779</v>
      </c>
      <c r="K590" t="n">
        <v>8911.036599999999</v>
      </c>
      <c r="L590" t="n">
        <v>2021</v>
      </c>
      <c r="M590" t="n">
        <v>2030</v>
      </c>
      <c r="N590" t="n">
        <v>0.495</v>
      </c>
      <c r="O590" t="n">
        <v>0.1874</v>
      </c>
      <c r="P590" t="n">
        <v>2018</v>
      </c>
      <c r="Q590" t="inlineStr"/>
      <c r="R590" t="inlineStr"/>
      <c r="S590" t="n">
        <v>529.8294</v>
      </c>
      <c r="T590" t="n">
        <v>0.00091413</v>
      </c>
      <c r="U590" t="n">
        <v>0.00096913</v>
      </c>
    </row>
    <row r="591">
      <c r="A591" t="inlineStr">
        <is>
          <t>SUP-0059</t>
        </is>
      </c>
      <c r="B591" t="inlineStr">
        <is>
          <t>Agriculture Supplier 059</t>
        </is>
      </c>
      <c r="C591" t="inlineStr">
        <is>
          <t>Agriculture</t>
        </is>
      </c>
      <c r="D591" t="n">
        <v>2024</v>
      </c>
      <c r="E591" t="n">
        <v>26467142.02</v>
      </c>
      <c r="F591" t="n">
        <v>151629388.58</v>
      </c>
      <c r="G591" t="n">
        <v>11355.498</v>
      </c>
      <c r="H591" t="n">
        <v>11355.498</v>
      </c>
      <c r="I591" t="n">
        <v>1747.988</v>
      </c>
      <c r="J591" t="n">
        <v>1053.9191</v>
      </c>
      <c r="K591" t="n">
        <v>9018.0995</v>
      </c>
      <c r="L591" t="n">
        <v>2021</v>
      </c>
      <c r="M591" t="n">
        <v>2030</v>
      </c>
      <c r="N591" t="n">
        <v>0.495</v>
      </c>
      <c r="O591" t="n">
        <v>0.1874</v>
      </c>
      <c r="P591" t="n">
        <v>2018</v>
      </c>
      <c r="Q591" t="inlineStr"/>
      <c r="R591" t="inlineStr"/>
      <c r="S591" t="n">
        <v>529.8294</v>
      </c>
      <c r="T591" t="n">
        <v>0.00091413</v>
      </c>
      <c r="U591" t="n">
        <v>0.00096913</v>
      </c>
    </row>
    <row r="592">
      <c r="A592" t="inlineStr">
        <is>
          <t>SUP-0060</t>
        </is>
      </c>
      <c r="B592" t="inlineStr">
        <is>
          <t>Electronics Supplier 060</t>
        </is>
      </c>
      <c r="C592" t="inlineStr">
        <is>
          <t>Electronics</t>
        </is>
      </c>
      <c r="D592" t="n">
        <v>2015</v>
      </c>
      <c r="E592" t="n">
        <v>5976625.36</v>
      </c>
      <c r="F592" t="n">
        <v>35243416.16</v>
      </c>
      <c r="G592" t="n">
        <v>6998.4025</v>
      </c>
      <c r="H592" t="n">
        <v>6998.4025</v>
      </c>
      <c r="I592" t="n">
        <v>898.4818</v>
      </c>
      <c r="J592" t="n">
        <v>1230.3199</v>
      </c>
      <c r="K592" t="n">
        <v>5141.5413</v>
      </c>
      <c r="L592" t="n">
        <v>2020</v>
      </c>
      <c r="M592" t="n">
        <v>2040</v>
      </c>
      <c r="N592" t="n">
        <v>0.5996</v>
      </c>
      <c r="O592" t="n">
        <v>0.2984</v>
      </c>
      <c r="P592" t="n">
        <v>2018</v>
      </c>
      <c r="Q592" t="n">
        <v>2040</v>
      </c>
      <c r="R592" t="n">
        <v>0.3424</v>
      </c>
      <c r="S592" t="n">
        <v>635.1588</v>
      </c>
      <c r="T592" t="n">
        <v>0.00086105</v>
      </c>
      <c r="U592" t="n">
        <v>0.00013947</v>
      </c>
    </row>
    <row r="593">
      <c r="A593" t="inlineStr">
        <is>
          <t>SUP-0060</t>
        </is>
      </c>
      <c r="B593" t="inlineStr">
        <is>
          <t>Electronics Supplier 060</t>
        </is>
      </c>
      <c r="C593" t="inlineStr">
        <is>
          <t>Electronics</t>
        </is>
      </c>
      <c r="D593" t="n">
        <v>2016</v>
      </c>
      <c r="E593" t="n">
        <v>5875144.8</v>
      </c>
      <c r="F593" t="n">
        <v>43941662.48</v>
      </c>
      <c r="G593" t="n">
        <v>4702.4681</v>
      </c>
      <c r="H593" t="n">
        <v>4702.4681</v>
      </c>
      <c r="I593" t="n">
        <v>1331.7365</v>
      </c>
      <c r="J593" t="n">
        <v>791.977</v>
      </c>
      <c r="K593" t="n">
        <v>2889.5614</v>
      </c>
      <c r="L593" t="n">
        <v>2020</v>
      </c>
      <c r="M593" t="n">
        <v>2040</v>
      </c>
      <c r="N593" t="n">
        <v>0.5996</v>
      </c>
      <c r="O593" t="n">
        <v>0.2984</v>
      </c>
      <c r="P593" t="n">
        <v>2018</v>
      </c>
      <c r="Q593" t="n">
        <v>2040</v>
      </c>
      <c r="R593" t="n">
        <v>0.3424</v>
      </c>
      <c r="S593" t="n">
        <v>635.1588</v>
      </c>
      <c r="T593" t="n">
        <v>0.00086105</v>
      </c>
      <c r="U593" t="n">
        <v>0.00013947</v>
      </c>
    </row>
    <row r="594">
      <c r="A594" t="inlineStr">
        <is>
          <t>SUP-0060</t>
        </is>
      </c>
      <c r="B594" t="inlineStr">
        <is>
          <t>Electronics Supplier 060</t>
        </is>
      </c>
      <c r="C594" t="inlineStr">
        <is>
          <t>Electronics</t>
        </is>
      </c>
      <c r="D594" t="n">
        <v>2017</v>
      </c>
      <c r="E594" t="n">
        <v>6628187.08</v>
      </c>
      <c r="F594" t="n">
        <v>39488351.38</v>
      </c>
      <c r="G594" t="n">
        <v>4745.084</v>
      </c>
      <c r="H594" t="n">
        <v>4745.084</v>
      </c>
      <c r="I594" t="n">
        <v>1202.0647</v>
      </c>
      <c r="J594" t="n">
        <v>560.0262</v>
      </c>
      <c r="K594" t="n">
        <v>2873.0492</v>
      </c>
      <c r="L594" t="n">
        <v>2020</v>
      </c>
      <c r="M594" t="n">
        <v>2040</v>
      </c>
      <c r="N594" t="n">
        <v>0.5996</v>
      </c>
      <c r="O594" t="n">
        <v>0.2984</v>
      </c>
      <c r="P594" t="n">
        <v>2018</v>
      </c>
      <c r="Q594" t="n">
        <v>2040</v>
      </c>
      <c r="R594" t="n">
        <v>0.3424</v>
      </c>
      <c r="S594" t="n">
        <v>635.1588</v>
      </c>
      <c r="T594" t="n">
        <v>0.00086105</v>
      </c>
      <c r="U594" t="n">
        <v>0.00013947</v>
      </c>
    </row>
    <row r="595">
      <c r="A595" t="inlineStr">
        <is>
          <t>SUP-0060</t>
        </is>
      </c>
      <c r="B595" t="inlineStr">
        <is>
          <t>Electronics Supplier 060</t>
        </is>
      </c>
      <c r="C595" t="inlineStr">
        <is>
          <t>Electronics</t>
        </is>
      </c>
      <c r="D595" t="n">
        <v>2018</v>
      </c>
      <c r="E595" t="n">
        <v>7231734.64</v>
      </c>
      <c r="F595" t="n">
        <v>51270570.88</v>
      </c>
      <c r="G595" t="n">
        <v>5975.4594</v>
      </c>
      <c r="H595" t="n">
        <v>5975.4594</v>
      </c>
      <c r="I595" t="n">
        <v>1473.7985</v>
      </c>
      <c r="J595" t="n">
        <v>697.5703999999999</v>
      </c>
      <c r="K595" t="n">
        <v>4010.3544</v>
      </c>
      <c r="L595" t="n">
        <v>2020</v>
      </c>
      <c r="M595" t="n">
        <v>2040</v>
      </c>
      <c r="N595" t="n">
        <v>0.5996</v>
      </c>
      <c r="O595" t="n">
        <v>0.2984</v>
      </c>
      <c r="P595" t="n">
        <v>2018</v>
      </c>
      <c r="Q595" t="n">
        <v>2040</v>
      </c>
      <c r="R595" t="n">
        <v>0.3424</v>
      </c>
      <c r="S595" t="n">
        <v>635.1588</v>
      </c>
      <c r="T595" t="n">
        <v>0.00086105</v>
      </c>
      <c r="U595" t="n">
        <v>0.00013947</v>
      </c>
    </row>
    <row r="596">
      <c r="A596" t="inlineStr">
        <is>
          <t>SUP-0060</t>
        </is>
      </c>
      <c r="B596" t="inlineStr">
        <is>
          <t>Electronics Supplier 060</t>
        </is>
      </c>
      <c r="C596" t="inlineStr">
        <is>
          <t>Electronics</t>
        </is>
      </c>
      <c r="D596" t="n">
        <v>2019</v>
      </c>
      <c r="E596" t="n">
        <v>7986916.19</v>
      </c>
      <c r="F596" t="n">
        <v>47020601.36</v>
      </c>
      <c r="G596" t="n">
        <v>7594.2622</v>
      </c>
      <c r="H596" t="n">
        <v>7594.2622</v>
      </c>
      <c r="I596" t="n">
        <v>2050.5894</v>
      </c>
      <c r="J596" t="n">
        <v>1642.7119</v>
      </c>
      <c r="K596" t="n">
        <v>3824.8128</v>
      </c>
      <c r="L596" t="n">
        <v>2020</v>
      </c>
      <c r="M596" t="n">
        <v>2040</v>
      </c>
      <c r="N596" t="n">
        <v>0.5996</v>
      </c>
      <c r="O596" t="n">
        <v>0.2984</v>
      </c>
      <c r="P596" t="n">
        <v>2018</v>
      </c>
      <c r="Q596" t="n">
        <v>2040</v>
      </c>
      <c r="R596" t="n">
        <v>0.3424</v>
      </c>
      <c r="S596" t="n">
        <v>635.1588</v>
      </c>
      <c r="T596" t="n">
        <v>0.00086105</v>
      </c>
      <c r="U596" t="n">
        <v>0.00013947</v>
      </c>
    </row>
    <row r="597">
      <c r="A597" t="inlineStr">
        <is>
          <t>SUP-0060</t>
        </is>
      </c>
      <c r="B597" t="inlineStr">
        <is>
          <t>Electronics Supplier 060</t>
        </is>
      </c>
      <c r="C597" t="inlineStr">
        <is>
          <t>Electronics</t>
        </is>
      </c>
      <c r="D597" t="n">
        <v>2020</v>
      </c>
      <c r="E597" t="n">
        <v>8144656.1</v>
      </c>
      <c r="F597" t="n">
        <v>45817817.74</v>
      </c>
      <c r="G597" t="n">
        <v>6767.4202</v>
      </c>
      <c r="H597" t="n">
        <v>6767.4202</v>
      </c>
      <c r="I597" t="n">
        <v>641.1863</v>
      </c>
      <c r="J597" t="n">
        <v>623.8468</v>
      </c>
      <c r="K597" t="n">
        <v>4759.3367</v>
      </c>
      <c r="L597" t="n">
        <v>2020</v>
      </c>
      <c r="M597" t="n">
        <v>2040</v>
      </c>
      <c r="N597" t="n">
        <v>0.5996</v>
      </c>
      <c r="O597" t="n">
        <v>0.2984</v>
      </c>
      <c r="P597" t="n">
        <v>2018</v>
      </c>
      <c r="Q597" t="n">
        <v>2040</v>
      </c>
      <c r="R597" t="n">
        <v>0.3424</v>
      </c>
      <c r="S597" t="n">
        <v>635.1588</v>
      </c>
      <c r="T597" t="n">
        <v>0.00086105</v>
      </c>
      <c r="U597" t="n">
        <v>0.00013947</v>
      </c>
    </row>
    <row r="598">
      <c r="A598" t="inlineStr">
        <is>
          <t>SUP-0060</t>
        </is>
      </c>
      <c r="B598" t="inlineStr">
        <is>
          <t>Electronics Supplier 060</t>
        </is>
      </c>
      <c r="C598" t="inlineStr">
        <is>
          <t>Electronics</t>
        </is>
      </c>
      <c r="D598" t="n">
        <v>2021</v>
      </c>
      <c r="E598" t="n">
        <v>8598599.539999999</v>
      </c>
      <c r="F598" t="n">
        <v>65849397.17</v>
      </c>
      <c r="G598" t="n">
        <v>5345.7411</v>
      </c>
      <c r="H598" t="n">
        <v>5345.7411</v>
      </c>
      <c r="I598" t="n">
        <v>1130.0475</v>
      </c>
      <c r="J598" t="n">
        <v>1045.6309</v>
      </c>
      <c r="K598" t="n">
        <v>2942.0532</v>
      </c>
      <c r="L598" t="n">
        <v>2020</v>
      </c>
      <c r="M598" t="n">
        <v>2040</v>
      </c>
      <c r="N598" t="n">
        <v>0.5996</v>
      </c>
      <c r="O598" t="n">
        <v>0.2984</v>
      </c>
      <c r="P598" t="n">
        <v>2018</v>
      </c>
      <c r="Q598" t="n">
        <v>2040</v>
      </c>
      <c r="R598" t="n">
        <v>0.3424</v>
      </c>
      <c r="S598" t="n">
        <v>635.1588</v>
      </c>
      <c r="T598" t="n">
        <v>0.00086105</v>
      </c>
      <c r="U598" t="n">
        <v>0.00013947</v>
      </c>
    </row>
    <row r="599">
      <c r="A599" t="inlineStr">
        <is>
          <t>SUP-0060</t>
        </is>
      </c>
      <c r="B599" t="inlineStr">
        <is>
          <t>Electronics Supplier 060</t>
        </is>
      </c>
      <c r="C599" t="inlineStr">
        <is>
          <t>Electronics</t>
        </is>
      </c>
      <c r="D599" t="n">
        <v>2022</v>
      </c>
      <c r="E599" t="n">
        <v>9149444.140000001</v>
      </c>
      <c r="F599" t="n">
        <v>48962110.53</v>
      </c>
      <c r="G599" t="n">
        <v>7472.0152</v>
      </c>
      <c r="H599" t="n">
        <v>7472.0152</v>
      </c>
      <c r="I599" t="n">
        <v>685.2096</v>
      </c>
      <c r="J599" t="n">
        <v>1652.695</v>
      </c>
      <c r="K599" t="n">
        <v>4881.3305</v>
      </c>
      <c r="L599" t="n">
        <v>2020</v>
      </c>
      <c r="M599" t="n">
        <v>2040</v>
      </c>
      <c r="N599" t="n">
        <v>0.5996</v>
      </c>
      <c r="O599" t="n">
        <v>0.2984</v>
      </c>
      <c r="P599" t="n">
        <v>2018</v>
      </c>
      <c r="Q599" t="n">
        <v>2040</v>
      </c>
      <c r="R599" t="n">
        <v>0.3424</v>
      </c>
      <c r="S599" t="n">
        <v>635.1588</v>
      </c>
      <c r="T599" t="n">
        <v>0.00086105</v>
      </c>
      <c r="U599" t="n">
        <v>0.00013947</v>
      </c>
    </row>
    <row r="600">
      <c r="A600" t="inlineStr">
        <is>
          <t>SUP-0060</t>
        </is>
      </c>
      <c r="B600" t="inlineStr">
        <is>
          <t>Electronics Supplier 060</t>
        </is>
      </c>
      <c r="C600" t="inlineStr">
        <is>
          <t>Electronics</t>
        </is>
      </c>
      <c r="D600" t="n">
        <v>2023</v>
      </c>
      <c r="E600" t="n">
        <v>9096501.380000001</v>
      </c>
      <c r="F600" t="n">
        <v>62588313.04</v>
      </c>
      <c r="G600" t="n">
        <v>6459.7329</v>
      </c>
      <c r="H600" t="n">
        <v>6459.7329</v>
      </c>
      <c r="I600" t="n">
        <v>1861.2513</v>
      </c>
      <c r="J600" t="n">
        <v>1452.9343</v>
      </c>
      <c r="K600" t="n">
        <v>3455.3932</v>
      </c>
      <c r="L600" t="n">
        <v>2020</v>
      </c>
      <c r="M600" t="n">
        <v>2040</v>
      </c>
      <c r="N600" t="n">
        <v>0.5996</v>
      </c>
      <c r="O600" t="n">
        <v>0.2984</v>
      </c>
      <c r="P600" t="n">
        <v>2018</v>
      </c>
      <c r="Q600" t="n">
        <v>2040</v>
      </c>
      <c r="R600" t="n">
        <v>0.3424</v>
      </c>
      <c r="S600" t="n">
        <v>635.1588</v>
      </c>
      <c r="T600" t="n">
        <v>0.00086105</v>
      </c>
      <c r="U600" t="n">
        <v>0.00013947</v>
      </c>
    </row>
    <row r="601">
      <c r="A601" t="inlineStr">
        <is>
          <t>SUP-0060</t>
        </is>
      </c>
      <c r="B601" t="inlineStr">
        <is>
          <t>Electronics Supplier 060</t>
        </is>
      </c>
      <c r="C601" t="inlineStr">
        <is>
          <t>Electronics</t>
        </is>
      </c>
      <c r="D601" t="n">
        <v>2024</v>
      </c>
      <c r="E601" t="n">
        <v>9511980.970000001</v>
      </c>
      <c r="F601" t="n">
        <v>51494851.6</v>
      </c>
      <c r="G601" t="n">
        <v>6336.7308</v>
      </c>
      <c r="H601" t="n">
        <v>6336.7308</v>
      </c>
      <c r="I601" t="n">
        <v>738.3951</v>
      </c>
      <c r="J601" t="n">
        <v>476.1886</v>
      </c>
      <c r="K601" t="n">
        <v>4578.248</v>
      </c>
      <c r="L601" t="n">
        <v>2020</v>
      </c>
      <c r="M601" t="n">
        <v>2040</v>
      </c>
      <c r="N601" t="n">
        <v>0.5996</v>
      </c>
      <c r="O601" t="n">
        <v>0.2984</v>
      </c>
      <c r="P601" t="n">
        <v>2018</v>
      </c>
      <c r="Q601" t="n">
        <v>2040</v>
      </c>
      <c r="R601" t="n">
        <v>0.3424</v>
      </c>
      <c r="S601" t="n">
        <v>635.1588</v>
      </c>
      <c r="T601" t="n">
        <v>0.00086105</v>
      </c>
      <c r="U601" t="n">
        <v>0.00013947</v>
      </c>
    </row>
    <row r="602">
      <c r="A602" t="inlineStr">
        <is>
          <t>SUP-0061</t>
        </is>
      </c>
      <c r="B602" t="inlineStr">
        <is>
          <t>Metals Supplier 061</t>
        </is>
      </c>
      <c r="C602" t="inlineStr">
        <is>
          <t>Metals</t>
        </is>
      </c>
      <c r="D602" t="n">
        <v>2015</v>
      </c>
      <c r="E602" t="n">
        <v>19631554.42</v>
      </c>
      <c r="F602" t="n">
        <v>184557329.93</v>
      </c>
      <c r="G602" t="n">
        <v>22191.9842</v>
      </c>
      <c r="H602" t="n">
        <v>22191.9842</v>
      </c>
      <c r="I602" t="n">
        <v>3324.6634</v>
      </c>
      <c r="J602" t="n">
        <v>3138.0721</v>
      </c>
      <c r="K602" t="n">
        <v>16776.7278</v>
      </c>
      <c r="L602" t="n">
        <v>2018</v>
      </c>
      <c r="M602" t="n">
        <v>2040</v>
      </c>
      <c r="N602" t="n">
        <v>0.342</v>
      </c>
      <c r="O602" t="n">
        <v>0.2056</v>
      </c>
      <c r="P602" t="n">
        <v>2019</v>
      </c>
      <c r="Q602" t="n">
        <v>2030</v>
      </c>
      <c r="R602" t="n">
        <v>0.3852</v>
      </c>
      <c r="S602" t="n">
        <v>158.2904</v>
      </c>
      <c r="T602" t="n">
        <v>0.00100695</v>
      </c>
      <c r="U602" t="n">
        <v>0.00065008</v>
      </c>
    </row>
    <row r="603">
      <c r="A603" t="inlineStr">
        <is>
          <t>SUP-0061</t>
        </is>
      </c>
      <c r="B603" t="inlineStr">
        <is>
          <t>Metals Supplier 061</t>
        </is>
      </c>
      <c r="C603" t="inlineStr">
        <is>
          <t>Metals</t>
        </is>
      </c>
      <c r="D603" t="n">
        <v>2016</v>
      </c>
      <c r="E603" t="n">
        <v>22054270.12</v>
      </c>
      <c r="F603" t="n">
        <v>166783171.77</v>
      </c>
      <c r="G603" t="n">
        <v>20794.5035</v>
      </c>
      <c r="H603" t="n">
        <v>20794.5035</v>
      </c>
      <c r="I603" t="n">
        <v>2233.0515</v>
      </c>
      <c r="J603" t="n">
        <v>3185.3185</v>
      </c>
      <c r="K603" t="n">
        <v>15509.376</v>
      </c>
      <c r="L603" t="n">
        <v>2018</v>
      </c>
      <c r="M603" t="n">
        <v>2040</v>
      </c>
      <c r="N603" t="n">
        <v>0.342</v>
      </c>
      <c r="O603" t="n">
        <v>0.2056</v>
      </c>
      <c r="P603" t="n">
        <v>2019</v>
      </c>
      <c r="Q603" t="n">
        <v>2030</v>
      </c>
      <c r="R603" t="n">
        <v>0.3852</v>
      </c>
      <c r="S603" t="n">
        <v>158.2904</v>
      </c>
      <c r="T603" t="n">
        <v>0.00100695</v>
      </c>
      <c r="U603" t="n">
        <v>0.00065008</v>
      </c>
    </row>
    <row r="604">
      <c r="A604" t="inlineStr">
        <is>
          <t>SUP-0061</t>
        </is>
      </c>
      <c r="B604" t="inlineStr">
        <is>
          <t>Metals Supplier 061</t>
        </is>
      </c>
      <c r="C604" t="inlineStr">
        <is>
          <t>Metals</t>
        </is>
      </c>
      <c r="D604" t="n">
        <v>2017</v>
      </c>
      <c r="E604" t="n">
        <v>21849501.45</v>
      </c>
      <c r="F604" t="n">
        <v>175811455.81</v>
      </c>
      <c r="G604" t="n">
        <v>22937.6725</v>
      </c>
      <c r="H604" t="n">
        <v>22937.6725</v>
      </c>
      <c r="I604" t="n">
        <v>6332.3641</v>
      </c>
      <c r="J604" t="n">
        <v>2924.4701</v>
      </c>
      <c r="K604" t="n">
        <v>13411.2722</v>
      </c>
      <c r="L604" t="n">
        <v>2018</v>
      </c>
      <c r="M604" t="n">
        <v>2040</v>
      </c>
      <c r="N604" t="n">
        <v>0.342</v>
      </c>
      <c r="O604" t="n">
        <v>0.2056</v>
      </c>
      <c r="P604" t="n">
        <v>2019</v>
      </c>
      <c r="Q604" t="n">
        <v>2030</v>
      </c>
      <c r="R604" t="n">
        <v>0.3852</v>
      </c>
      <c r="S604" t="n">
        <v>158.2904</v>
      </c>
      <c r="T604" t="n">
        <v>0.00100695</v>
      </c>
      <c r="U604" t="n">
        <v>0.00065008</v>
      </c>
    </row>
    <row r="605">
      <c r="A605" t="inlineStr">
        <is>
          <t>SUP-0061</t>
        </is>
      </c>
      <c r="B605" t="inlineStr">
        <is>
          <t>Metals Supplier 061</t>
        </is>
      </c>
      <c r="C605" t="inlineStr">
        <is>
          <t>Metals</t>
        </is>
      </c>
      <c r="D605" t="n">
        <v>2018</v>
      </c>
      <c r="E605" t="n">
        <v>19974552.28</v>
      </c>
      <c r="F605" t="n">
        <v>132580290.24</v>
      </c>
      <c r="G605" t="n">
        <v>20080.9039</v>
      </c>
      <c r="H605" t="n">
        <v>20080.9039</v>
      </c>
      <c r="I605" t="n">
        <v>2189.483</v>
      </c>
      <c r="J605" t="n">
        <v>4347.2137</v>
      </c>
      <c r="K605" t="n">
        <v>14648.3367</v>
      </c>
      <c r="L605" t="n">
        <v>2018</v>
      </c>
      <c r="M605" t="n">
        <v>2040</v>
      </c>
      <c r="N605" t="n">
        <v>0.342</v>
      </c>
      <c r="O605" t="n">
        <v>0.2056</v>
      </c>
      <c r="P605" t="n">
        <v>2019</v>
      </c>
      <c r="Q605" t="n">
        <v>2030</v>
      </c>
      <c r="R605" t="n">
        <v>0.3852</v>
      </c>
      <c r="S605" t="n">
        <v>158.2904</v>
      </c>
      <c r="T605" t="n">
        <v>0.00100695</v>
      </c>
      <c r="U605" t="n">
        <v>0.00065008</v>
      </c>
    </row>
    <row r="606">
      <c r="A606" t="inlineStr">
        <is>
          <t>SUP-0061</t>
        </is>
      </c>
      <c r="B606" t="inlineStr">
        <is>
          <t>Metals Supplier 061</t>
        </is>
      </c>
      <c r="C606" t="inlineStr">
        <is>
          <t>Metals</t>
        </is>
      </c>
      <c r="D606" t="n">
        <v>2019</v>
      </c>
      <c r="E606" t="n">
        <v>21728925.48</v>
      </c>
      <c r="F606" t="n">
        <v>204713264.77</v>
      </c>
      <c r="G606" t="n">
        <v>27957.7961</v>
      </c>
      <c r="H606" t="n">
        <v>27957.7961</v>
      </c>
      <c r="I606" t="n">
        <v>3490.8738</v>
      </c>
      <c r="J606" t="n">
        <v>3020.0931</v>
      </c>
      <c r="K606" t="n">
        <v>21219.2632</v>
      </c>
      <c r="L606" t="n">
        <v>2018</v>
      </c>
      <c r="M606" t="n">
        <v>2040</v>
      </c>
      <c r="N606" t="n">
        <v>0.342</v>
      </c>
      <c r="O606" t="n">
        <v>0.2056</v>
      </c>
      <c r="P606" t="n">
        <v>2019</v>
      </c>
      <c r="Q606" t="n">
        <v>2030</v>
      </c>
      <c r="R606" t="n">
        <v>0.3852</v>
      </c>
      <c r="S606" t="n">
        <v>158.2904</v>
      </c>
      <c r="T606" t="n">
        <v>0.00100695</v>
      </c>
      <c r="U606" t="n">
        <v>0.00065008</v>
      </c>
    </row>
    <row r="607">
      <c r="A607" t="inlineStr">
        <is>
          <t>SUP-0061</t>
        </is>
      </c>
      <c r="B607" t="inlineStr">
        <is>
          <t>Metals Supplier 061</t>
        </is>
      </c>
      <c r="C607" t="inlineStr">
        <is>
          <t>Metals</t>
        </is>
      </c>
      <c r="D607" t="n">
        <v>2020</v>
      </c>
      <c r="E607" t="n">
        <v>20928490.99</v>
      </c>
      <c r="F607" t="n">
        <v>138479146.1</v>
      </c>
      <c r="G607" t="n">
        <v>28062.847</v>
      </c>
      <c r="H607" t="n">
        <v>28062.847</v>
      </c>
      <c r="I607" t="n">
        <v>3884.9679</v>
      </c>
      <c r="J607" t="n">
        <v>1826.7546</v>
      </c>
      <c r="K607" t="n">
        <v>23360.7279</v>
      </c>
      <c r="L607" t="n">
        <v>2018</v>
      </c>
      <c r="M607" t="n">
        <v>2040</v>
      </c>
      <c r="N607" t="n">
        <v>0.342</v>
      </c>
      <c r="O607" t="n">
        <v>0.2056</v>
      </c>
      <c r="P607" t="n">
        <v>2019</v>
      </c>
      <c r="Q607" t="n">
        <v>2030</v>
      </c>
      <c r="R607" t="n">
        <v>0.3852</v>
      </c>
      <c r="S607" t="n">
        <v>158.2904</v>
      </c>
      <c r="T607" t="n">
        <v>0.00100695</v>
      </c>
      <c r="U607" t="n">
        <v>0.00065008</v>
      </c>
    </row>
    <row r="608">
      <c r="A608" t="inlineStr">
        <is>
          <t>SUP-0061</t>
        </is>
      </c>
      <c r="B608" t="inlineStr">
        <is>
          <t>Metals Supplier 061</t>
        </is>
      </c>
      <c r="C608" t="inlineStr">
        <is>
          <t>Metals</t>
        </is>
      </c>
      <c r="D608" t="n">
        <v>2021</v>
      </c>
      <c r="E608" t="n">
        <v>20071209.65</v>
      </c>
      <c r="F608" t="n">
        <v>164395558.05</v>
      </c>
      <c r="G608" t="n">
        <v>19751.5152</v>
      </c>
      <c r="H608" t="n">
        <v>19751.5152</v>
      </c>
      <c r="I608" t="n">
        <v>3017.466</v>
      </c>
      <c r="J608" t="n">
        <v>1773.5588</v>
      </c>
      <c r="K608" t="n">
        <v>15436.2253</v>
      </c>
      <c r="L608" t="n">
        <v>2018</v>
      </c>
      <c r="M608" t="n">
        <v>2040</v>
      </c>
      <c r="N608" t="n">
        <v>0.342</v>
      </c>
      <c r="O608" t="n">
        <v>0.2056</v>
      </c>
      <c r="P608" t="n">
        <v>2019</v>
      </c>
      <c r="Q608" t="n">
        <v>2030</v>
      </c>
      <c r="R608" t="n">
        <v>0.3852</v>
      </c>
      <c r="S608" t="n">
        <v>158.2904</v>
      </c>
      <c r="T608" t="n">
        <v>0.00100695</v>
      </c>
      <c r="U608" t="n">
        <v>0.00065008</v>
      </c>
    </row>
    <row r="609">
      <c r="A609" t="inlineStr">
        <is>
          <t>SUP-0061</t>
        </is>
      </c>
      <c r="B609" t="inlineStr">
        <is>
          <t>Metals Supplier 061</t>
        </is>
      </c>
      <c r="C609" t="inlineStr">
        <is>
          <t>Metals</t>
        </is>
      </c>
      <c r="D609" t="n">
        <v>2022</v>
      </c>
      <c r="E609" t="n">
        <v>20903275.47</v>
      </c>
      <c r="F609" t="n">
        <v>152471948.47</v>
      </c>
      <c r="G609" t="n">
        <v>24833.4603</v>
      </c>
      <c r="H609" t="n">
        <v>24833.4603</v>
      </c>
      <c r="I609" t="n">
        <v>2932.8242</v>
      </c>
      <c r="J609" t="n">
        <v>3799.5386</v>
      </c>
      <c r="K609" t="n">
        <v>16934.5926</v>
      </c>
      <c r="L609" t="n">
        <v>2018</v>
      </c>
      <c r="M609" t="n">
        <v>2040</v>
      </c>
      <c r="N609" t="n">
        <v>0.342</v>
      </c>
      <c r="O609" t="n">
        <v>0.2056</v>
      </c>
      <c r="P609" t="n">
        <v>2019</v>
      </c>
      <c r="Q609" t="n">
        <v>2030</v>
      </c>
      <c r="R609" t="n">
        <v>0.3852</v>
      </c>
      <c r="S609" t="n">
        <v>158.2904</v>
      </c>
      <c r="T609" t="n">
        <v>0.00100695</v>
      </c>
      <c r="U609" t="n">
        <v>0.00065008</v>
      </c>
    </row>
    <row r="610">
      <c r="A610" t="inlineStr">
        <is>
          <t>SUP-0061</t>
        </is>
      </c>
      <c r="B610" t="inlineStr">
        <is>
          <t>Metals Supplier 061</t>
        </is>
      </c>
      <c r="C610" t="inlineStr">
        <is>
          <t>Metals</t>
        </is>
      </c>
      <c r="D610" t="n">
        <v>2023</v>
      </c>
      <c r="E610" t="n">
        <v>23429532.43</v>
      </c>
      <c r="F610" t="n">
        <v>197726137.49</v>
      </c>
      <c r="G610" t="n">
        <v>34242.1452</v>
      </c>
      <c r="H610" t="n">
        <v>34242.1452</v>
      </c>
      <c r="I610" t="n">
        <v>8870.624299999999</v>
      </c>
      <c r="J610" t="n">
        <v>3751.0999</v>
      </c>
      <c r="K610" t="n">
        <v>22222.7393</v>
      </c>
      <c r="L610" t="n">
        <v>2018</v>
      </c>
      <c r="M610" t="n">
        <v>2040</v>
      </c>
      <c r="N610" t="n">
        <v>0.342</v>
      </c>
      <c r="O610" t="n">
        <v>0.2056</v>
      </c>
      <c r="P610" t="n">
        <v>2019</v>
      </c>
      <c r="Q610" t="n">
        <v>2030</v>
      </c>
      <c r="R610" t="n">
        <v>0.3852</v>
      </c>
      <c r="S610" t="n">
        <v>158.2904</v>
      </c>
      <c r="T610" t="n">
        <v>0.00100695</v>
      </c>
      <c r="U610" t="n">
        <v>0.00065008</v>
      </c>
    </row>
    <row r="611">
      <c r="A611" t="inlineStr">
        <is>
          <t>SUP-0061</t>
        </is>
      </c>
      <c r="B611" t="inlineStr">
        <is>
          <t>Metals Supplier 061</t>
        </is>
      </c>
      <c r="C611" t="inlineStr">
        <is>
          <t>Metals</t>
        </is>
      </c>
      <c r="D611" t="n">
        <v>2024</v>
      </c>
      <c r="E611" t="n">
        <v>19755026.2</v>
      </c>
      <c r="F611" t="n">
        <v>178370687.43</v>
      </c>
      <c r="G611" t="n">
        <v>18509.7967</v>
      </c>
      <c r="H611" t="n">
        <v>18509.7967</v>
      </c>
      <c r="I611" t="n">
        <v>3942.7155</v>
      </c>
      <c r="J611" t="n">
        <v>1552.3745</v>
      </c>
      <c r="K611" t="n">
        <v>12231.1446</v>
      </c>
      <c r="L611" t="n">
        <v>2018</v>
      </c>
      <c r="M611" t="n">
        <v>2040</v>
      </c>
      <c r="N611" t="n">
        <v>0.342</v>
      </c>
      <c r="O611" t="n">
        <v>0.2056</v>
      </c>
      <c r="P611" t="n">
        <v>2019</v>
      </c>
      <c r="Q611" t="n">
        <v>2030</v>
      </c>
      <c r="R611" t="n">
        <v>0.3852</v>
      </c>
      <c r="S611" t="n">
        <v>158.2904</v>
      </c>
      <c r="T611" t="n">
        <v>0.00100695</v>
      </c>
      <c r="U611" t="n">
        <v>0.00065008</v>
      </c>
    </row>
    <row r="612">
      <c r="A612" t="inlineStr">
        <is>
          <t>SUP-0062</t>
        </is>
      </c>
      <c r="B612" t="inlineStr">
        <is>
          <t>Textiles Supplier 062</t>
        </is>
      </c>
      <c r="C612" t="inlineStr">
        <is>
          <t>Textiles</t>
        </is>
      </c>
      <c r="D612" t="n">
        <v>2015</v>
      </c>
      <c r="E612" t="n">
        <v>20829781.08</v>
      </c>
      <c r="F612" t="n">
        <v>149410881.29</v>
      </c>
      <c r="G612" t="n">
        <v>4254.5212</v>
      </c>
      <c r="H612" t="n">
        <v>4254.5212</v>
      </c>
      <c r="I612" t="n">
        <v>902.0312</v>
      </c>
      <c r="J612" t="n">
        <v>785.0882</v>
      </c>
      <c r="K612" t="n">
        <v>2805.1871</v>
      </c>
      <c r="L612" t="n">
        <v>2018</v>
      </c>
      <c r="M612" t="n">
        <v>2030</v>
      </c>
      <c r="N612" t="n">
        <v>0.5281</v>
      </c>
      <c r="O612" t="n">
        <v>0.1906</v>
      </c>
      <c r="P612" t="n">
        <v>2019</v>
      </c>
      <c r="Q612" t="n">
        <v>2030</v>
      </c>
      <c r="R612" t="n">
        <v>0.3171</v>
      </c>
      <c r="S612" t="n">
        <v>401.7335</v>
      </c>
      <c r="T612" t="n">
        <v>0.00029221</v>
      </c>
      <c r="U612" t="n">
        <v>0.00017343</v>
      </c>
    </row>
    <row r="613">
      <c r="A613" t="inlineStr">
        <is>
          <t>SUP-0062</t>
        </is>
      </c>
      <c r="B613" t="inlineStr">
        <is>
          <t>Textiles Supplier 062</t>
        </is>
      </c>
      <c r="C613" t="inlineStr">
        <is>
          <t>Textiles</t>
        </is>
      </c>
      <c r="D613" t="n">
        <v>2016</v>
      </c>
      <c r="E613" t="n">
        <v>20423758.06</v>
      </c>
      <c r="F613" t="n">
        <v>123172378.22</v>
      </c>
      <c r="G613" t="n">
        <v>5624.9091</v>
      </c>
      <c r="H613" t="n">
        <v>5624.9091</v>
      </c>
      <c r="I613" t="n">
        <v>1303.4156</v>
      </c>
      <c r="J613" t="n">
        <v>1118.1675</v>
      </c>
      <c r="K613" t="n">
        <v>3011.446</v>
      </c>
      <c r="L613" t="n">
        <v>2018</v>
      </c>
      <c r="M613" t="n">
        <v>2030</v>
      </c>
      <c r="N613" t="n">
        <v>0.5281</v>
      </c>
      <c r="O613" t="n">
        <v>0.1906</v>
      </c>
      <c r="P613" t="n">
        <v>2019</v>
      </c>
      <c r="Q613" t="n">
        <v>2030</v>
      </c>
      <c r="R613" t="n">
        <v>0.3171</v>
      </c>
      <c r="S613" t="n">
        <v>401.7335</v>
      </c>
      <c r="T613" t="n">
        <v>0.00029221</v>
      </c>
      <c r="U613" t="n">
        <v>0.00017343</v>
      </c>
    </row>
    <row r="614">
      <c r="A614" t="inlineStr">
        <is>
          <t>SUP-0062</t>
        </is>
      </c>
      <c r="B614" t="inlineStr">
        <is>
          <t>Textiles Supplier 062</t>
        </is>
      </c>
      <c r="C614" t="inlineStr">
        <is>
          <t>Textiles</t>
        </is>
      </c>
      <c r="D614" t="n">
        <v>2017</v>
      </c>
      <c r="E614" t="n">
        <v>24098203.37</v>
      </c>
      <c r="F614" t="n">
        <v>157397874.21</v>
      </c>
      <c r="G614" t="n">
        <v>6551.9981</v>
      </c>
      <c r="H614" t="n">
        <v>6551.9981</v>
      </c>
      <c r="I614" t="n">
        <v>1429.3018</v>
      </c>
      <c r="J614" t="n">
        <v>808.4918</v>
      </c>
      <c r="K614" t="n">
        <v>4370.451</v>
      </c>
      <c r="L614" t="n">
        <v>2018</v>
      </c>
      <c r="M614" t="n">
        <v>2030</v>
      </c>
      <c r="N614" t="n">
        <v>0.5281</v>
      </c>
      <c r="O614" t="n">
        <v>0.1906</v>
      </c>
      <c r="P614" t="n">
        <v>2019</v>
      </c>
      <c r="Q614" t="n">
        <v>2030</v>
      </c>
      <c r="R614" t="n">
        <v>0.3171</v>
      </c>
      <c r="S614" t="n">
        <v>401.7335</v>
      </c>
      <c r="T614" t="n">
        <v>0.00029221</v>
      </c>
      <c r="U614" t="n">
        <v>0.00017343</v>
      </c>
    </row>
    <row r="615">
      <c r="A615" t="inlineStr">
        <is>
          <t>SUP-0062</t>
        </is>
      </c>
      <c r="B615" t="inlineStr">
        <is>
          <t>Textiles Supplier 062</t>
        </is>
      </c>
      <c r="C615" t="inlineStr">
        <is>
          <t>Textiles</t>
        </is>
      </c>
      <c r="D615" t="n">
        <v>2018</v>
      </c>
      <c r="E615" t="n">
        <v>25089989.92</v>
      </c>
      <c r="F615" t="n">
        <v>141118114.05</v>
      </c>
      <c r="G615" t="n">
        <v>6379.3652</v>
      </c>
      <c r="H615" t="n">
        <v>6379.3652</v>
      </c>
      <c r="I615" t="n">
        <v>979.7216</v>
      </c>
      <c r="J615" t="n">
        <v>460.2397</v>
      </c>
      <c r="K615" t="n">
        <v>4863.7932</v>
      </c>
      <c r="L615" t="n">
        <v>2018</v>
      </c>
      <c r="M615" t="n">
        <v>2030</v>
      </c>
      <c r="N615" t="n">
        <v>0.5281</v>
      </c>
      <c r="O615" t="n">
        <v>0.1906</v>
      </c>
      <c r="P615" t="n">
        <v>2019</v>
      </c>
      <c r="Q615" t="n">
        <v>2030</v>
      </c>
      <c r="R615" t="n">
        <v>0.3171</v>
      </c>
      <c r="S615" t="n">
        <v>401.7335</v>
      </c>
      <c r="T615" t="n">
        <v>0.00029221</v>
      </c>
      <c r="U615" t="n">
        <v>0.00017343</v>
      </c>
    </row>
    <row r="616">
      <c r="A616" t="inlineStr">
        <is>
          <t>SUP-0062</t>
        </is>
      </c>
      <c r="B616" t="inlineStr">
        <is>
          <t>Textiles Supplier 062</t>
        </is>
      </c>
      <c r="C616" t="inlineStr">
        <is>
          <t>Textiles</t>
        </is>
      </c>
      <c r="D616" t="n">
        <v>2019</v>
      </c>
      <c r="E616" t="n">
        <v>26235024.02</v>
      </c>
      <c r="F616" t="n">
        <v>166971699.53</v>
      </c>
      <c r="G616" t="n">
        <v>5856.1944</v>
      </c>
      <c r="H616" t="n">
        <v>5856.1944</v>
      </c>
      <c r="I616" t="n">
        <v>972.9811999999999</v>
      </c>
      <c r="J616" t="n">
        <v>1049.3187</v>
      </c>
      <c r="K616" t="n">
        <v>3554.5322</v>
      </c>
      <c r="L616" t="n">
        <v>2018</v>
      </c>
      <c r="M616" t="n">
        <v>2030</v>
      </c>
      <c r="N616" t="n">
        <v>0.5281</v>
      </c>
      <c r="O616" t="n">
        <v>0.1906</v>
      </c>
      <c r="P616" t="n">
        <v>2019</v>
      </c>
      <c r="Q616" t="n">
        <v>2030</v>
      </c>
      <c r="R616" t="n">
        <v>0.3171</v>
      </c>
      <c r="S616" t="n">
        <v>401.7335</v>
      </c>
      <c r="T616" t="n">
        <v>0.00029221</v>
      </c>
      <c r="U616" t="n">
        <v>0.00017343</v>
      </c>
    </row>
    <row r="617">
      <c r="A617" t="inlineStr">
        <is>
          <t>SUP-0062</t>
        </is>
      </c>
      <c r="B617" t="inlineStr">
        <is>
          <t>Textiles Supplier 062</t>
        </is>
      </c>
      <c r="C617" t="inlineStr">
        <is>
          <t>Textiles</t>
        </is>
      </c>
      <c r="D617" t="n">
        <v>2020</v>
      </c>
      <c r="E617" t="n">
        <v>30522730.8</v>
      </c>
      <c r="F617" t="n">
        <v>172035790.4</v>
      </c>
      <c r="G617" t="n">
        <v>8548.887500000001</v>
      </c>
      <c r="H617" t="n">
        <v>8548.887500000001</v>
      </c>
      <c r="I617" t="n">
        <v>1599.8318</v>
      </c>
      <c r="J617" t="n">
        <v>1011.4263</v>
      </c>
      <c r="K617" t="n">
        <v>5372.438</v>
      </c>
      <c r="L617" t="n">
        <v>2018</v>
      </c>
      <c r="M617" t="n">
        <v>2030</v>
      </c>
      <c r="N617" t="n">
        <v>0.5281</v>
      </c>
      <c r="O617" t="n">
        <v>0.1906</v>
      </c>
      <c r="P617" t="n">
        <v>2019</v>
      </c>
      <c r="Q617" t="n">
        <v>2030</v>
      </c>
      <c r="R617" t="n">
        <v>0.3171</v>
      </c>
      <c r="S617" t="n">
        <v>401.7335</v>
      </c>
      <c r="T617" t="n">
        <v>0.00029221</v>
      </c>
      <c r="U617" t="n">
        <v>0.00017343</v>
      </c>
    </row>
    <row r="618">
      <c r="A618" t="inlineStr">
        <is>
          <t>SUP-0062</t>
        </is>
      </c>
      <c r="B618" t="inlineStr">
        <is>
          <t>Textiles Supplier 062</t>
        </is>
      </c>
      <c r="C618" t="inlineStr">
        <is>
          <t>Textiles</t>
        </is>
      </c>
      <c r="D618" t="n">
        <v>2021</v>
      </c>
      <c r="E618" t="n">
        <v>29539716.69</v>
      </c>
      <c r="F618" t="n">
        <v>184908193.14</v>
      </c>
      <c r="G618" t="n">
        <v>5657.4449</v>
      </c>
      <c r="H618" t="n">
        <v>5657.4449</v>
      </c>
      <c r="I618" t="n">
        <v>1357.8855</v>
      </c>
      <c r="J618" t="n">
        <v>368.7106</v>
      </c>
      <c r="K618" t="n">
        <v>3724.5978</v>
      </c>
      <c r="L618" t="n">
        <v>2018</v>
      </c>
      <c r="M618" t="n">
        <v>2030</v>
      </c>
      <c r="N618" t="n">
        <v>0.5281</v>
      </c>
      <c r="O618" t="n">
        <v>0.1906</v>
      </c>
      <c r="P618" t="n">
        <v>2019</v>
      </c>
      <c r="Q618" t="n">
        <v>2030</v>
      </c>
      <c r="R618" t="n">
        <v>0.3171</v>
      </c>
      <c r="S618" t="n">
        <v>401.7335</v>
      </c>
      <c r="T618" t="n">
        <v>0.00029221</v>
      </c>
      <c r="U618" t="n">
        <v>0.00017343</v>
      </c>
    </row>
    <row r="619">
      <c r="A619" t="inlineStr">
        <is>
          <t>SUP-0062</t>
        </is>
      </c>
      <c r="B619" t="inlineStr">
        <is>
          <t>Textiles Supplier 062</t>
        </is>
      </c>
      <c r="C619" t="inlineStr">
        <is>
          <t>Textiles</t>
        </is>
      </c>
      <c r="D619" t="n">
        <v>2022</v>
      </c>
      <c r="E619" t="n">
        <v>37646293.41</v>
      </c>
      <c r="F619" t="n">
        <v>151573680.16</v>
      </c>
      <c r="G619" t="n">
        <v>8453.6973</v>
      </c>
      <c r="H619" t="n">
        <v>8453.6973</v>
      </c>
      <c r="I619" t="n">
        <v>1686.8764</v>
      </c>
      <c r="J619" t="n">
        <v>624.7732999999999</v>
      </c>
      <c r="K619" t="n">
        <v>5705.1672</v>
      </c>
      <c r="L619" t="n">
        <v>2018</v>
      </c>
      <c r="M619" t="n">
        <v>2030</v>
      </c>
      <c r="N619" t="n">
        <v>0.5281</v>
      </c>
      <c r="O619" t="n">
        <v>0.1906</v>
      </c>
      <c r="P619" t="n">
        <v>2019</v>
      </c>
      <c r="Q619" t="n">
        <v>2030</v>
      </c>
      <c r="R619" t="n">
        <v>0.3171</v>
      </c>
      <c r="S619" t="n">
        <v>401.7335</v>
      </c>
      <c r="T619" t="n">
        <v>0.00029221</v>
      </c>
      <c r="U619" t="n">
        <v>0.00017343</v>
      </c>
    </row>
    <row r="620">
      <c r="A620" t="inlineStr">
        <is>
          <t>SUP-0062</t>
        </is>
      </c>
      <c r="B620" t="inlineStr">
        <is>
          <t>Textiles Supplier 062</t>
        </is>
      </c>
      <c r="C620" t="inlineStr">
        <is>
          <t>Textiles</t>
        </is>
      </c>
      <c r="D620" t="n">
        <v>2023</v>
      </c>
      <c r="E620" t="n">
        <v>39819787.72</v>
      </c>
      <c r="F620" t="n">
        <v>255829469.46</v>
      </c>
      <c r="G620" t="n">
        <v>6023.5193</v>
      </c>
      <c r="H620" t="n">
        <v>6023.5193</v>
      </c>
      <c r="I620" t="n">
        <v>1301.972</v>
      </c>
      <c r="J620" t="n">
        <v>1147.5191</v>
      </c>
      <c r="K620" t="n">
        <v>3922.4465</v>
      </c>
      <c r="L620" t="n">
        <v>2018</v>
      </c>
      <c r="M620" t="n">
        <v>2030</v>
      </c>
      <c r="N620" t="n">
        <v>0.5281</v>
      </c>
      <c r="O620" t="n">
        <v>0.1906</v>
      </c>
      <c r="P620" t="n">
        <v>2019</v>
      </c>
      <c r="Q620" t="n">
        <v>2030</v>
      </c>
      <c r="R620" t="n">
        <v>0.3171</v>
      </c>
      <c r="S620" t="n">
        <v>401.7335</v>
      </c>
      <c r="T620" t="n">
        <v>0.00029221</v>
      </c>
      <c r="U620" t="n">
        <v>0.00017343</v>
      </c>
    </row>
    <row r="621">
      <c r="A621" t="inlineStr">
        <is>
          <t>SUP-0062</t>
        </is>
      </c>
      <c r="B621" t="inlineStr">
        <is>
          <t>Textiles Supplier 062</t>
        </is>
      </c>
      <c r="C621" t="inlineStr">
        <is>
          <t>Textiles</t>
        </is>
      </c>
      <c r="D621" t="n">
        <v>2024</v>
      </c>
      <c r="E621" t="n">
        <v>35793021.81</v>
      </c>
      <c r="F621" t="n">
        <v>296991410.25</v>
      </c>
      <c r="G621" t="n">
        <v>7479.6472</v>
      </c>
      <c r="H621" t="n">
        <v>7479.6472</v>
      </c>
      <c r="I621" t="n">
        <v>1243.5064</v>
      </c>
      <c r="J621" t="n">
        <v>1589.1811</v>
      </c>
      <c r="K621" t="n">
        <v>4415.6005</v>
      </c>
      <c r="L621" t="n">
        <v>2018</v>
      </c>
      <c r="M621" t="n">
        <v>2030</v>
      </c>
      <c r="N621" t="n">
        <v>0.5281</v>
      </c>
      <c r="O621" t="n">
        <v>0.1906</v>
      </c>
      <c r="P621" t="n">
        <v>2019</v>
      </c>
      <c r="Q621" t="n">
        <v>2030</v>
      </c>
      <c r="R621" t="n">
        <v>0.3171</v>
      </c>
      <c r="S621" t="n">
        <v>401.7335</v>
      </c>
      <c r="T621" t="n">
        <v>0.00029221</v>
      </c>
      <c r="U621" t="n">
        <v>0.00017343</v>
      </c>
    </row>
    <row r="622">
      <c r="A622" t="inlineStr">
        <is>
          <t>SUP-0063</t>
        </is>
      </c>
      <c r="B622" t="inlineStr">
        <is>
          <t>Chemicals Supplier 063</t>
        </is>
      </c>
      <c r="C622" t="inlineStr">
        <is>
          <t>Chemicals</t>
        </is>
      </c>
      <c r="D622" t="n">
        <v>2015</v>
      </c>
      <c r="E622" t="n">
        <v>12459131.87</v>
      </c>
      <c r="F622" t="n">
        <v>65221692.66</v>
      </c>
      <c r="G622" t="n">
        <v>18549.8719</v>
      </c>
      <c r="H622" t="n">
        <v>18549.8719</v>
      </c>
      <c r="I622" t="n">
        <v>1765.9394</v>
      </c>
      <c r="J622" t="n">
        <v>3943.2944</v>
      </c>
      <c r="K622" t="n">
        <v>13479.4319</v>
      </c>
      <c r="L622" t="n">
        <v>2020</v>
      </c>
      <c r="M622" t="n">
        <v>2030</v>
      </c>
      <c r="N622" t="n">
        <v>0.5004</v>
      </c>
      <c r="O622" t="n">
        <v>0.1931</v>
      </c>
      <c r="P622" t="n">
        <v>2019</v>
      </c>
      <c r="Q622" t="n">
        <v>2035</v>
      </c>
      <c r="R622" t="n">
        <v>0.5229</v>
      </c>
      <c r="S622" t="n">
        <v>506.3191</v>
      </c>
      <c r="T622" t="n">
        <v>0.00100149</v>
      </c>
      <c r="U622" t="n">
        <v>0.00047124</v>
      </c>
    </row>
    <row r="623">
      <c r="A623" t="inlineStr">
        <is>
          <t>SUP-0063</t>
        </is>
      </c>
      <c r="B623" t="inlineStr">
        <is>
          <t>Chemicals Supplier 063</t>
        </is>
      </c>
      <c r="C623" t="inlineStr">
        <is>
          <t>Chemicals</t>
        </is>
      </c>
      <c r="D623" t="n">
        <v>2016</v>
      </c>
      <c r="E623" t="n">
        <v>14961954.68</v>
      </c>
      <c r="F623" t="n">
        <v>65148878.7</v>
      </c>
      <c r="G623" t="n">
        <v>16135.6719</v>
      </c>
      <c r="H623" t="n">
        <v>16135.6719</v>
      </c>
      <c r="I623" t="n">
        <v>2538.2911</v>
      </c>
      <c r="J623" t="n">
        <v>3397.9811</v>
      </c>
      <c r="K623" t="n">
        <v>11494.0582</v>
      </c>
      <c r="L623" t="n">
        <v>2020</v>
      </c>
      <c r="M623" t="n">
        <v>2030</v>
      </c>
      <c r="N623" t="n">
        <v>0.5004</v>
      </c>
      <c r="O623" t="n">
        <v>0.1931</v>
      </c>
      <c r="P623" t="n">
        <v>2019</v>
      </c>
      <c r="Q623" t="n">
        <v>2035</v>
      </c>
      <c r="R623" t="n">
        <v>0.5229</v>
      </c>
      <c r="S623" t="n">
        <v>506.3191</v>
      </c>
      <c r="T623" t="n">
        <v>0.00100149</v>
      </c>
      <c r="U623" t="n">
        <v>0.00047124</v>
      </c>
    </row>
    <row r="624">
      <c r="A624" t="inlineStr">
        <is>
          <t>SUP-0063</t>
        </is>
      </c>
      <c r="B624" t="inlineStr">
        <is>
          <t>Chemicals Supplier 063</t>
        </is>
      </c>
      <c r="C624" t="inlineStr">
        <is>
          <t>Chemicals</t>
        </is>
      </c>
      <c r="D624" t="n">
        <v>2017</v>
      </c>
      <c r="E624" t="n">
        <v>14429530.54</v>
      </c>
      <c r="F624" t="n">
        <v>71862933.37</v>
      </c>
      <c r="G624" t="n">
        <v>21384.9866</v>
      </c>
      <c r="H624" t="n">
        <v>21384.9866</v>
      </c>
      <c r="I624" t="n">
        <v>4942.9344</v>
      </c>
      <c r="J624" t="n">
        <v>3659.8774</v>
      </c>
      <c r="K624" t="n">
        <v>12506.1373</v>
      </c>
      <c r="L624" t="n">
        <v>2020</v>
      </c>
      <c r="M624" t="n">
        <v>2030</v>
      </c>
      <c r="N624" t="n">
        <v>0.5004</v>
      </c>
      <c r="O624" t="n">
        <v>0.1931</v>
      </c>
      <c r="P624" t="n">
        <v>2019</v>
      </c>
      <c r="Q624" t="n">
        <v>2035</v>
      </c>
      <c r="R624" t="n">
        <v>0.5229</v>
      </c>
      <c r="S624" t="n">
        <v>506.3191</v>
      </c>
      <c r="T624" t="n">
        <v>0.00100149</v>
      </c>
      <c r="U624" t="n">
        <v>0.00047124</v>
      </c>
    </row>
    <row r="625">
      <c r="A625" t="inlineStr">
        <is>
          <t>SUP-0063</t>
        </is>
      </c>
      <c r="B625" t="inlineStr">
        <is>
          <t>Chemicals Supplier 063</t>
        </is>
      </c>
      <c r="C625" t="inlineStr">
        <is>
          <t>Chemicals</t>
        </is>
      </c>
      <c r="D625" t="n">
        <v>2018</v>
      </c>
      <c r="E625" t="n">
        <v>15973886.86</v>
      </c>
      <c r="F625" t="n">
        <v>78142475.69</v>
      </c>
      <c r="G625" t="n">
        <v>17570.8036</v>
      </c>
      <c r="H625" t="n">
        <v>17570.8036</v>
      </c>
      <c r="I625" t="n">
        <v>2059.1307</v>
      </c>
      <c r="J625" t="n">
        <v>1980.8143</v>
      </c>
      <c r="K625" t="n">
        <v>13267.9225</v>
      </c>
      <c r="L625" t="n">
        <v>2020</v>
      </c>
      <c r="M625" t="n">
        <v>2030</v>
      </c>
      <c r="N625" t="n">
        <v>0.5004</v>
      </c>
      <c r="O625" t="n">
        <v>0.1931</v>
      </c>
      <c r="P625" t="n">
        <v>2019</v>
      </c>
      <c r="Q625" t="n">
        <v>2035</v>
      </c>
      <c r="R625" t="n">
        <v>0.5229</v>
      </c>
      <c r="S625" t="n">
        <v>506.3191</v>
      </c>
      <c r="T625" t="n">
        <v>0.00100149</v>
      </c>
      <c r="U625" t="n">
        <v>0.00047124</v>
      </c>
    </row>
    <row r="626">
      <c r="A626" t="inlineStr">
        <is>
          <t>SUP-0063</t>
        </is>
      </c>
      <c r="B626" t="inlineStr">
        <is>
          <t>Chemicals Supplier 063</t>
        </is>
      </c>
      <c r="C626" t="inlineStr">
        <is>
          <t>Chemicals</t>
        </is>
      </c>
      <c r="D626" t="n">
        <v>2019</v>
      </c>
      <c r="E626" t="n">
        <v>15464991.28</v>
      </c>
      <c r="F626" t="n">
        <v>60465887.68</v>
      </c>
      <c r="G626" t="n">
        <v>19703.2466</v>
      </c>
      <c r="H626" t="n">
        <v>19703.2466</v>
      </c>
      <c r="I626" t="n">
        <v>4219.8393</v>
      </c>
      <c r="J626" t="n">
        <v>2657.9075</v>
      </c>
      <c r="K626" t="n">
        <v>13382.6708</v>
      </c>
      <c r="L626" t="n">
        <v>2020</v>
      </c>
      <c r="M626" t="n">
        <v>2030</v>
      </c>
      <c r="N626" t="n">
        <v>0.5004</v>
      </c>
      <c r="O626" t="n">
        <v>0.1931</v>
      </c>
      <c r="P626" t="n">
        <v>2019</v>
      </c>
      <c r="Q626" t="n">
        <v>2035</v>
      </c>
      <c r="R626" t="n">
        <v>0.5229</v>
      </c>
      <c r="S626" t="n">
        <v>506.3191</v>
      </c>
      <c r="T626" t="n">
        <v>0.00100149</v>
      </c>
      <c r="U626" t="n">
        <v>0.00047124</v>
      </c>
    </row>
    <row r="627">
      <c r="A627" t="inlineStr">
        <is>
          <t>SUP-0063</t>
        </is>
      </c>
      <c r="B627" t="inlineStr">
        <is>
          <t>Chemicals Supplier 063</t>
        </is>
      </c>
      <c r="C627" t="inlineStr">
        <is>
          <t>Chemicals</t>
        </is>
      </c>
      <c r="D627" t="n">
        <v>2020</v>
      </c>
      <c r="E627" t="n">
        <v>15588841.79</v>
      </c>
      <c r="F627" t="n">
        <v>70524257.27</v>
      </c>
      <c r="G627" t="n">
        <v>17812.0997</v>
      </c>
      <c r="H627" t="n">
        <v>17812.0997</v>
      </c>
      <c r="I627" t="n">
        <v>2883.5414</v>
      </c>
      <c r="J627" t="n">
        <v>2216.5932</v>
      </c>
      <c r="K627" t="n">
        <v>14212.2569</v>
      </c>
      <c r="L627" t="n">
        <v>2020</v>
      </c>
      <c r="M627" t="n">
        <v>2030</v>
      </c>
      <c r="N627" t="n">
        <v>0.5004</v>
      </c>
      <c r="O627" t="n">
        <v>0.1931</v>
      </c>
      <c r="P627" t="n">
        <v>2019</v>
      </c>
      <c r="Q627" t="n">
        <v>2035</v>
      </c>
      <c r="R627" t="n">
        <v>0.5229</v>
      </c>
      <c r="S627" t="n">
        <v>506.3191</v>
      </c>
      <c r="T627" t="n">
        <v>0.00100149</v>
      </c>
      <c r="U627" t="n">
        <v>0.00047124</v>
      </c>
    </row>
    <row r="628">
      <c r="A628" t="inlineStr">
        <is>
          <t>SUP-0063</t>
        </is>
      </c>
      <c r="B628" t="inlineStr">
        <is>
          <t>Chemicals Supplier 063</t>
        </is>
      </c>
      <c r="C628" t="inlineStr">
        <is>
          <t>Chemicals</t>
        </is>
      </c>
      <c r="D628" t="n">
        <v>2021</v>
      </c>
      <c r="E628" t="n">
        <v>21900115.76</v>
      </c>
      <c r="F628" t="n">
        <v>82369512.08</v>
      </c>
      <c r="G628" t="n">
        <v>22307.9947</v>
      </c>
      <c r="H628" t="n">
        <v>22307.9947</v>
      </c>
      <c r="I628" t="n">
        <v>3130.6237</v>
      </c>
      <c r="J628" t="n">
        <v>1407.7977</v>
      </c>
      <c r="K628" t="n">
        <v>16277.034</v>
      </c>
      <c r="L628" t="n">
        <v>2020</v>
      </c>
      <c r="M628" t="n">
        <v>2030</v>
      </c>
      <c r="N628" t="n">
        <v>0.5004</v>
      </c>
      <c r="O628" t="n">
        <v>0.1931</v>
      </c>
      <c r="P628" t="n">
        <v>2019</v>
      </c>
      <c r="Q628" t="n">
        <v>2035</v>
      </c>
      <c r="R628" t="n">
        <v>0.5229</v>
      </c>
      <c r="S628" t="n">
        <v>506.3191</v>
      </c>
      <c r="T628" t="n">
        <v>0.00100149</v>
      </c>
      <c r="U628" t="n">
        <v>0.00047124</v>
      </c>
    </row>
    <row r="629">
      <c r="A629" t="inlineStr">
        <is>
          <t>SUP-0063</t>
        </is>
      </c>
      <c r="B629" t="inlineStr">
        <is>
          <t>Chemicals Supplier 063</t>
        </is>
      </c>
      <c r="C629" t="inlineStr">
        <is>
          <t>Chemicals</t>
        </is>
      </c>
      <c r="D629" t="n">
        <v>2022</v>
      </c>
      <c r="E629" t="n">
        <v>19490969.24</v>
      </c>
      <c r="F629" t="n">
        <v>98026100.77</v>
      </c>
      <c r="G629" t="n">
        <v>20809.9664</v>
      </c>
      <c r="H629" t="n">
        <v>20809.9664</v>
      </c>
      <c r="I629" t="n">
        <v>3424.1443</v>
      </c>
      <c r="J629" t="n">
        <v>2041.1988</v>
      </c>
      <c r="K629" t="n">
        <v>15678.1762</v>
      </c>
      <c r="L629" t="n">
        <v>2020</v>
      </c>
      <c r="M629" t="n">
        <v>2030</v>
      </c>
      <c r="N629" t="n">
        <v>0.5004</v>
      </c>
      <c r="O629" t="n">
        <v>0.1931</v>
      </c>
      <c r="P629" t="n">
        <v>2019</v>
      </c>
      <c r="Q629" t="n">
        <v>2035</v>
      </c>
      <c r="R629" t="n">
        <v>0.5229</v>
      </c>
      <c r="S629" t="n">
        <v>506.3191</v>
      </c>
      <c r="T629" t="n">
        <v>0.00100149</v>
      </c>
      <c r="U629" t="n">
        <v>0.00047124</v>
      </c>
    </row>
    <row r="630">
      <c r="A630" t="inlineStr">
        <is>
          <t>SUP-0063</t>
        </is>
      </c>
      <c r="B630" t="inlineStr">
        <is>
          <t>Chemicals Supplier 063</t>
        </is>
      </c>
      <c r="C630" t="inlineStr">
        <is>
          <t>Chemicals</t>
        </is>
      </c>
      <c r="D630" t="n">
        <v>2023</v>
      </c>
      <c r="E630" t="n">
        <v>19073604.79</v>
      </c>
      <c r="F630" t="n">
        <v>83336296.86</v>
      </c>
      <c r="G630" t="n">
        <v>21119.4578</v>
      </c>
      <c r="H630" t="n">
        <v>21119.4578</v>
      </c>
      <c r="I630" t="n">
        <v>5411.3301</v>
      </c>
      <c r="J630" t="n">
        <v>3036.3764</v>
      </c>
      <c r="K630" t="n">
        <v>12465.0106</v>
      </c>
      <c r="L630" t="n">
        <v>2020</v>
      </c>
      <c r="M630" t="n">
        <v>2030</v>
      </c>
      <c r="N630" t="n">
        <v>0.5004</v>
      </c>
      <c r="O630" t="n">
        <v>0.1931</v>
      </c>
      <c r="P630" t="n">
        <v>2019</v>
      </c>
      <c r="Q630" t="n">
        <v>2035</v>
      </c>
      <c r="R630" t="n">
        <v>0.5229</v>
      </c>
      <c r="S630" t="n">
        <v>506.3191</v>
      </c>
      <c r="T630" t="n">
        <v>0.00100149</v>
      </c>
      <c r="U630" t="n">
        <v>0.00047124</v>
      </c>
    </row>
    <row r="631">
      <c r="A631" t="inlineStr">
        <is>
          <t>SUP-0063</t>
        </is>
      </c>
      <c r="B631" t="inlineStr">
        <is>
          <t>Chemicals Supplier 063</t>
        </is>
      </c>
      <c r="C631" t="inlineStr">
        <is>
          <t>Chemicals</t>
        </is>
      </c>
      <c r="D631" t="n">
        <v>2024</v>
      </c>
      <c r="E631" t="n">
        <v>17530557.49</v>
      </c>
      <c r="F631" t="n">
        <v>116720536.19</v>
      </c>
      <c r="G631" t="n">
        <v>18647.3146</v>
      </c>
      <c r="H631" t="n">
        <v>18647.3146</v>
      </c>
      <c r="I631" t="n">
        <v>1913.937</v>
      </c>
      <c r="J631" t="n">
        <v>1263.2604</v>
      </c>
      <c r="K631" t="n">
        <v>15802.7697</v>
      </c>
      <c r="L631" t="n">
        <v>2020</v>
      </c>
      <c r="M631" t="n">
        <v>2030</v>
      </c>
      <c r="N631" t="n">
        <v>0.5004</v>
      </c>
      <c r="O631" t="n">
        <v>0.1931</v>
      </c>
      <c r="P631" t="n">
        <v>2019</v>
      </c>
      <c r="Q631" t="n">
        <v>2035</v>
      </c>
      <c r="R631" t="n">
        <v>0.5229</v>
      </c>
      <c r="S631" t="n">
        <v>506.3191</v>
      </c>
      <c r="T631" t="n">
        <v>0.00100149</v>
      </c>
      <c r="U631" t="n">
        <v>0.00047124</v>
      </c>
    </row>
    <row r="632">
      <c r="A632" t="inlineStr">
        <is>
          <t>SUP-0064</t>
        </is>
      </c>
      <c r="B632" t="inlineStr">
        <is>
          <t>Metals Supplier 064</t>
        </is>
      </c>
      <c r="C632" t="inlineStr">
        <is>
          <t>Metals</t>
        </is>
      </c>
      <c r="D632" t="n">
        <v>2015</v>
      </c>
      <c r="E632" t="n">
        <v>9896213.5</v>
      </c>
      <c r="F632" t="n">
        <v>59562124.27</v>
      </c>
      <c r="G632" t="n">
        <v>7803.8473</v>
      </c>
      <c r="H632" t="n">
        <v>7803.8473</v>
      </c>
      <c r="I632" t="n">
        <v>926.7635</v>
      </c>
      <c r="J632" t="n">
        <v>598.0845</v>
      </c>
      <c r="K632" t="n">
        <v>6487.6778</v>
      </c>
      <c r="L632" t="inlineStr"/>
      <c r="M632" t="inlineStr"/>
      <c r="N632" t="inlineStr"/>
      <c r="O632" t="inlineStr"/>
      <c r="P632" t="n">
        <v>2019</v>
      </c>
      <c r="Q632" t="n">
        <v>2030</v>
      </c>
      <c r="R632" t="n">
        <v>0.3852</v>
      </c>
      <c r="S632" t="n">
        <v>158.2904</v>
      </c>
      <c r="T632" t="n">
        <v>0.00100695</v>
      </c>
      <c r="U632" t="n">
        <v>0.00065008</v>
      </c>
    </row>
    <row r="633">
      <c r="A633" t="inlineStr">
        <is>
          <t>SUP-0064</t>
        </is>
      </c>
      <c r="B633" t="inlineStr">
        <is>
          <t>Metals Supplier 064</t>
        </is>
      </c>
      <c r="C633" t="inlineStr">
        <is>
          <t>Metals</t>
        </is>
      </c>
      <c r="D633" t="n">
        <v>2016</v>
      </c>
      <c r="E633" t="n">
        <v>8976486.550000001</v>
      </c>
      <c r="F633" t="n">
        <v>55724724.07</v>
      </c>
      <c r="G633" t="n">
        <v>7903.6502</v>
      </c>
      <c r="H633" t="n">
        <v>7903.6502</v>
      </c>
      <c r="I633" t="n">
        <v>1411.8629</v>
      </c>
      <c r="J633" t="n">
        <v>655.7898</v>
      </c>
      <c r="K633" t="n">
        <v>5722.6354</v>
      </c>
      <c r="L633" t="inlineStr"/>
      <c r="M633" t="inlineStr"/>
      <c r="N633" t="inlineStr"/>
      <c r="O633" t="inlineStr"/>
      <c r="P633" t="n">
        <v>2019</v>
      </c>
      <c r="Q633" t="n">
        <v>2030</v>
      </c>
      <c r="R633" t="n">
        <v>0.3852</v>
      </c>
      <c r="S633" t="n">
        <v>158.2904</v>
      </c>
      <c r="T633" t="n">
        <v>0.00100695</v>
      </c>
      <c r="U633" t="n">
        <v>0.00065008</v>
      </c>
    </row>
    <row r="634">
      <c r="A634" t="inlineStr">
        <is>
          <t>SUP-0064</t>
        </is>
      </c>
      <c r="B634" t="inlineStr">
        <is>
          <t>Metals Supplier 064</t>
        </is>
      </c>
      <c r="C634" t="inlineStr">
        <is>
          <t>Metals</t>
        </is>
      </c>
      <c r="D634" t="n">
        <v>2017</v>
      </c>
      <c r="E634" t="n">
        <v>9818842.4</v>
      </c>
      <c r="F634" t="n">
        <v>57297081.09</v>
      </c>
      <c r="G634" t="n">
        <v>6081.7501</v>
      </c>
      <c r="H634" t="n">
        <v>6081.7501</v>
      </c>
      <c r="I634" t="n">
        <v>647.4467</v>
      </c>
      <c r="J634" t="n">
        <v>1188.2785</v>
      </c>
      <c r="K634" t="n">
        <v>4480.4162</v>
      </c>
      <c r="L634" t="inlineStr"/>
      <c r="M634" t="inlineStr"/>
      <c r="N634" t="inlineStr"/>
      <c r="O634" t="inlineStr"/>
      <c r="P634" t="n">
        <v>2019</v>
      </c>
      <c r="Q634" t="n">
        <v>2030</v>
      </c>
      <c r="R634" t="n">
        <v>0.3852</v>
      </c>
      <c r="S634" t="n">
        <v>158.2904</v>
      </c>
      <c r="T634" t="n">
        <v>0.00100695</v>
      </c>
      <c r="U634" t="n">
        <v>0.00065008</v>
      </c>
    </row>
    <row r="635">
      <c r="A635" t="inlineStr">
        <is>
          <t>SUP-0064</t>
        </is>
      </c>
      <c r="B635" t="inlineStr">
        <is>
          <t>Metals Supplier 064</t>
        </is>
      </c>
      <c r="C635" t="inlineStr">
        <is>
          <t>Metals</t>
        </is>
      </c>
      <c r="D635" t="n">
        <v>2018</v>
      </c>
      <c r="E635" t="n">
        <v>9466503.75</v>
      </c>
      <c r="F635" t="n">
        <v>54626086.88</v>
      </c>
      <c r="G635" t="n">
        <v>5401.2867</v>
      </c>
      <c r="H635" t="n">
        <v>5401.2867</v>
      </c>
      <c r="I635" t="n">
        <v>1356.2853</v>
      </c>
      <c r="J635" t="n">
        <v>1074.2606</v>
      </c>
      <c r="K635" t="n">
        <v>3010.1376</v>
      </c>
      <c r="L635" t="inlineStr"/>
      <c r="M635" t="inlineStr"/>
      <c r="N635" t="inlineStr"/>
      <c r="O635" t="inlineStr"/>
      <c r="P635" t="n">
        <v>2019</v>
      </c>
      <c r="Q635" t="n">
        <v>2030</v>
      </c>
      <c r="R635" t="n">
        <v>0.3852</v>
      </c>
      <c r="S635" t="n">
        <v>158.2904</v>
      </c>
      <c r="T635" t="n">
        <v>0.00100695</v>
      </c>
      <c r="U635" t="n">
        <v>0.00065008</v>
      </c>
    </row>
    <row r="636">
      <c r="A636" t="inlineStr">
        <is>
          <t>SUP-0064</t>
        </is>
      </c>
      <c r="B636" t="inlineStr">
        <is>
          <t>Metals Supplier 064</t>
        </is>
      </c>
      <c r="C636" t="inlineStr">
        <is>
          <t>Metals</t>
        </is>
      </c>
      <c r="D636" t="n">
        <v>2019</v>
      </c>
      <c r="E636" t="n">
        <v>9678953.08</v>
      </c>
      <c r="F636" t="n">
        <v>57871305.27</v>
      </c>
      <c r="G636" t="n">
        <v>6881.9675</v>
      </c>
      <c r="H636" t="n">
        <v>6881.9675</v>
      </c>
      <c r="I636" t="n">
        <v>1744.329</v>
      </c>
      <c r="J636" t="n">
        <v>1031.7116</v>
      </c>
      <c r="K636" t="n">
        <v>3763.9477</v>
      </c>
      <c r="L636" t="inlineStr"/>
      <c r="M636" t="inlineStr"/>
      <c r="N636" t="inlineStr"/>
      <c r="O636" t="inlineStr"/>
      <c r="P636" t="n">
        <v>2019</v>
      </c>
      <c r="Q636" t="n">
        <v>2030</v>
      </c>
      <c r="R636" t="n">
        <v>0.3852</v>
      </c>
      <c r="S636" t="n">
        <v>158.2904</v>
      </c>
      <c r="T636" t="n">
        <v>0.00100695</v>
      </c>
      <c r="U636" t="n">
        <v>0.00065008</v>
      </c>
    </row>
    <row r="637">
      <c r="A637" t="inlineStr">
        <is>
          <t>SUP-0064</t>
        </is>
      </c>
      <c r="B637" t="inlineStr">
        <is>
          <t>Metals Supplier 064</t>
        </is>
      </c>
      <c r="C637" t="inlineStr">
        <is>
          <t>Metals</t>
        </is>
      </c>
      <c r="D637" t="n">
        <v>2020</v>
      </c>
      <c r="E637" t="n">
        <v>9319215.390000001</v>
      </c>
      <c r="F637" t="n">
        <v>57023526.71</v>
      </c>
      <c r="G637" t="n">
        <v>6656.8257</v>
      </c>
      <c r="H637" t="n">
        <v>6656.8257</v>
      </c>
      <c r="I637" t="n">
        <v>884.7607</v>
      </c>
      <c r="J637" t="n">
        <v>1374.3739</v>
      </c>
      <c r="K637" t="n">
        <v>4847.2573</v>
      </c>
      <c r="L637" t="inlineStr"/>
      <c r="M637" t="inlineStr"/>
      <c r="N637" t="inlineStr"/>
      <c r="O637" t="inlineStr"/>
      <c r="P637" t="n">
        <v>2019</v>
      </c>
      <c r="Q637" t="n">
        <v>2030</v>
      </c>
      <c r="R637" t="n">
        <v>0.3852</v>
      </c>
      <c r="S637" t="n">
        <v>158.2904</v>
      </c>
      <c r="T637" t="n">
        <v>0.00100695</v>
      </c>
      <c r="U637" t="n">
        <v>0.00065008</v>
      </c>
    </row>
    <row r="638">
      <c r="A638" t="inlineStr">
        <is>
          <t>SUP-0064</t>
        </is>
      </c>
      <c r="B638" t="inlineStr">
        <is>
          <t>Metals Supplier 064</t>
        </is>
      </c>
      <c r="C638" t="inlineStr">
        <is>
          <t>Metals</t>
        </is>
      </c>
      <c r="D638" t="n">
        <v>2021</v>
      </c>
      <c r="E638" t="n">
        <v>8032688.07</v>
      </c>
      <c r="F638" t="n">
        <v>56900504.6</v>
      </c>
      <c r="G638" t="n">
        <v>5239.5185</v>
      </c>
      <c r="H638" t="n">
        <v>5239.5185</v>
      </c>
      <c r="I638" t="n">
        <v>1528.0335</v>
      </c>
      <c r="J638" t="n">
        <v>451.5795</v>
      </c>
      <c r="K638" t="n">
        <v>3296.084</v>
      </c>
      <c r="L638" t="inlineStr"/>
      <c r="M638" t="inlineStr"/>
      <c r="N638" t="inlineStr"/>
      <c r="O638" t="inlineStr"/>
      <c r="P638" t="n">
        <v>2019</v>
      </c>
      <c r="Q638" t="n">
        <v>2030</v>
      </c>
      <c r="R638" t="n">
        <v>0.3852</v>
      </c>
      <c r="S638" t="n">
        <v>158.2904</v>
      </c>
      <c r="T638" t="n">
        <v>0.00100695</v>
      </c>
      <c r="U638" t="n">
        <v>0.00065008</v>
      </c>
    </row>
    <row r="639">
      <c r="A639" t="inlineStr">
        <is>
          <t>SUP-0064</t>
        </is>
      </c>
      <c r="B639" t="inlineStr">
        <is>
          <t>Metals Supplier 064</t>
        </is>
      </c>
      <c r="C639" t="inlineStr">
        <is>
          <t>Metals</t>
        </is>
      </c>
      <c r="D639" t="n">
        <v>2022</v>
      </c>
      <c r="E639" t="n">
        <v>9835091.09</v>
      </c>
      <c r="F639" t="n">
        <v>55252649.19</v>
      </c>
      <c r="G639" t="n">
        <v>6043.4531</v>
      </c>
      <c r="H639" t="n">
        <v>6043.4531</v>
      </c>
      <c r="I639" t="n">
        <v>588.5239</v>
      </c>
      <c r="J639" t="n">
        <v>655.3885</v>
      </c>
      <c r="K639" t="n">
        <v>4538.8002</v>
      </c>
      <c r="L639" t="inlineStr"/>
      <c r="M639" t="inlineStr"/>
      <c r="N639" t="inlineStr"/>
      <c r="O639" t="inlineStr"/>
      <c r="P639" t="n">
        <v>2019</v>
      </c>
      <c r="Q639" t="n">
        <v>2030</v>
      </c>
      <c r="R639" t="n">
        <v>0.3852</v>
      </c>
      <c r="S639" t="n">
        <v>158.2904</v>
      </c>
      <c r="T639" t="n">
        <v>0.00100695</v>
      </c>
      <c r="U639" t="n">
        <v>0.00065008</v>
      </c>
    </row>
    <row r="640">
      <c r="A640" t="inlineStr">
        <is>
          <t>SUP-0064</t>
        </is>
      </c>
      <c r="B640" t="inlineStr">
        <is>
          <t>Metals Supplier 064</t>
        </is>
      </c>
      <c r="C640" t="inlineStr">
        <is>
          <t>Metals</t>
        </is>
      </c>
      <c r="D640" t="n">
        <v>2023</v>
      </c>
      <c r="E640" t="n">
        <v>9612060.720000001</v>
      </c>
      <c r="F640" t="n">
        <v>77141102.89</v>
      </c>
      <c r="G640" t="n">
        <v>6061.9488</v>
      </c>
      <c r="H640" t="n">
        <v>6061.9488</v>
      </c>
      <c r="I640" t="n">
        <v>1217.7853</v>
      </c>
      <c r="J640" t="n">
        <v>721.7499</v>
      </c>
      <c r="K640" t="n">
        <v>4224.3568</v>
      </c>
      <c r="L640" t="inlineStr"/>
      <c r="M640" t="inlineStr"/>
      <c r="N640" t="inlineStr"/>
      <c r="O640" t="inlineStr"/>
      <c r="P640" t="n">
        <v>2019</v>
      </c>
      <c r="Q640" t="n">
        <v>2030</v>
      </c>
      <c r="R640" t="n">
        <v>0.3852</v>
      </c>
      <c r="S640" t="n">
        <v>158.2904</v>
      </c>
      <c r="T640" t="n">
        <v>0.00100695</v>
      </c>
      <c r="U640" t="n">
        <v>0.00065008</v>
      </c>
    </row>
    <row r="641">
      <c r="A641" t="inlineStr">
        <is>
          <t>SUP-0064</t>
        </is>
      </c>
      <c r="B641" t="inlineStr">
        <is>
          <t>Metals Supplier 064</t>
        </is>
      </c>
      <c r="C641" t="inlineStr">
        <is>
          <t>Metals</t>
        </is>
      </c>
      <c r="D641" t="n">
        <v>2024</v>
      </c>
      <c r="E641" t="n">
        <v>10514177.67</v>
      </c>
      <c r="F641" t="n">
        <v>58694224.57</v>
      </c>
      <c r="G641" t="n">
        <v>6615.3276</v>
      </c>
      <c r="H641" t="n">
        <v>6615.3276</v>
      </c>
      <c r="I641" t="n">
        <v>1523.4357</v>
      </c>
      <c r="J641" t="n">
        <v>1186.8678</v>
      </c>
      <c r="K641" t="n">
        <v>3615.0829</v>
      </c>
      <c r="L641" t="inlineStr"/>
      <c r="M641" t="inlineStr"/>
      <c r="N641" t="inlineStr"/>
      <c r="O641" t="inlineStr"/>
      <c r="P641" t="n">
        <v>2019</v>
      </c>
      <c r="Q641" t="n">
        <v>2030</v>
      </c>
      <c r="R641" t="n">
        <v>0.3852</v>
      </c>
      <c r="S641" t="n">
        <v>158.2904</v>
      </c>
      <c r="T641" t="n">
        <v>0.00100695</v>
      </c>
      <c r="U641" t="n">
        <v>0.00065008</v>
      </c>
    </row>
    <row r="642">
      <c r="A642" t="inlineStr">
        <is>
          <t>SUP-0065</t>
        </is>
      </c>
      <c r="B642" t="inlineStr">
        <is>
          <t>Agriculture Supplier 065</t>
        </is>
      </c>
      <c r="C642" t="inlineStr">
        <is>
          <t>Agriculture</t>
        </is>
      </c>
      <c r="D642" t="n">
        <v>2015</v>
      </c>
      <c r="E642" t="n">
        <v>1069624.03</v>
      </c>
      <c r="F642" t="n">
        <v>9385139.83</v>
      </c>
      <c r="G642" t="n">
        <v>1236.4857</v>
      </c>
      <c r="H642" t="n">
        <v>1236.4857</v>
      </c>
      <c r="I642" t="n">
        <v>302.9365</v>
      </c>
      <c r="J642" t="n">
        <v>148.3727</v>
      </c>
      <c r="K642" t="n">
        <v>829.8486</v>
      </c>
      <c r="L642" t="n">
        <v>2018</v>
      </c>
      <c r="M642" t="n">
        <v>2035</v>
      </c>
      <c r="N642" t="n">
        <v>0.42</v>
      </c>
      <c r="O642" t="n">
        <v>0.2167</v>
      </c>
      <c r="P642" t="n">
        <v>2018</v>
      </c>
      <c r="Q642" t="inlineStr"/>
      <c r="R642" t="inlineStr"/>
      <c r="S642" t="n">
        <v>529.8294</v>
      </c>
      <c r="T642" t="n">
        <v>0.00091413</v>
      </c>
      <c r="U642" t="n">
        <v>0.00096913</v>
      </c>
    </row>
    <row r="643">
      <c r="A643" t="inlineStr">
        <is>
          <t>SUP-0065</t>
        </is>
      </c>
      <c r="B643" t="inlineStr">
        <is>
          <t>Agriculture Supplier 065</t>
        </is>
      </c>
      <c r="C643" t="inlineStr">
        <is>
          <t>Agriculture</t>
        </is>
      </c>
      <c r="D643" t="n">
        <v>2016</v>
      </c>
      <c r="E643" t="n">
        <v>1052693.74</v>
      </c>
      <c r="F643" t="n">
        <v>7777075.71</v>
      </c>
      <c r="G643" t="n">
        <v>1355.2688</v>
      </c>
      <c r="H643" t="n">
        <v>1355.2688</v>
      </c>
      <c r="I643" t="n">
        <v>360.2747</v>
      </c>
      <c r="J643" t="n">
        <v>197.9424</v>
      </c>
      <c r="K643" t="n">
        <v>788.301</v>
      </c>
      <c r="L643" t="n">
        <v>2018</v>
      </c>
      <c r="M643" t="n">
        <v>2035</v>
      </c>
      <c r="N643" t="n">
        <v>0.42</v>
      </c>
      <c r="O643" t="n">
        <v>0.2167</v>
      </c>
      <c r="P643" t="n">
        <v>2018</v>
      </c>
      <c r="Q643" t="inlineStr"/>
      <c r="R643" t="inlineStr"/>
      <c r="S643" t="n">
        <v>529.8294</v>
      </c>
      <c r="T643" t="n">
        <v>0.00091413</v>
      </c>
      <c r="U643" t="n">
        <v>0.00096913</v>
      </c>
    </row>
    <row r="644">
      <c r="A644" t="inlineStr">
        <is>
          <t>SUP-0065</t>
        </is>
      </c>
      <c r="B644" t="inlineStr">
        <is>
          <t>Agriculture Supplier 065</t>
        </is>
      </c>
      <c r="C644" t="inlineStr">
        <is>
          <t>Agriculture</t>
        </is>
      </c>
      <c r="D644" t="n">
        <v>2017</v>
      </c>
      <c r="E644" t="n">
        <v>1003749.24</v>
      </c>
      <c r="F644" t="n">
        <v>7975348.43</v>
      </c>
      <c r="G644" t="n">
        <v>1071.4088</v>
      </c>
      <c r="H644" t="n">
        <v>1071.4088</v>
      </c>
      <c r="I644" t="n">
        <v>275.4641</v>
      </c>
      <c r="J644" t="n">
        <v>181.4859</v>
      </c>
      <c r="K644" t="n">
        <v>527.3003</v>
      </c>
      <c r="L644" t="n">
        <v>2018</v>
      </c>
      <c r="M644" t="n">
        <v>2035</v>
      </c>
      <c r="N644" t="n">
        <v>0.42</v>
      </c>
      <c r="O644" t="n">
        <v>0.2167</v>
      </c>
      <c r="P644" t="n">
        <v>2018</v>
      </c>
      <c r="Q644" t="inlineStr"/>
      <c r="R644" t="inlineStr"/>
      <c r="S644" t="n">
        <v>529.8294</v>
      </c>
      <c r="T644" t="n">
        <v>0.00091413</v>
      </c>
      <c r="U644" t="n">
        <v>0.00096913</v>
      </c>
    </row>
    <row r="645">
      <c r="A645" t="inlineStr">
        <is>
          <t>SUP-0065</t>
        </is>
      </c>
      <c r="B645" t="inlineStr">
        <is>
          <t>Agriculture Supplier 065</t>
        </is>
      </c>
      <c r="C645" t="inlineStr">
        <is>
          <t>Agriculture</t>
        </is>
      </c>
      <c r="D645" t="n">
        <v>2018</v>
      </c>
      <c r="E645" t="n">
        <v>1023773.43</v>
      </c>
      <c r="F645" t="n">
        <v>7190441.47</v>
      </c>
      <c r="G645" t="n">
        <v>1245.2041</v>
      </c>
      <c r="H645" t="n">
        <v>1245.2041</v>
      </c>
      <c r="I645" t="n">
        <v>287.0364</v>
      </c>
      <c r="J645" t="n">
        <v>116.5372</v>
      </c>
      <c r="K645" t="n">
        <v>822.748</v>
      </c>
      <c r="L645" t="n">
        <v>2018</v>
      </c>
      <c r="M645" t="n">
        <v>2035</v>
      </c>
      <c r="N645" t="n">
        <v>0.42</v>
      </c>
      <c r="O645" t="n">
        <v>0.2167</v>
      </c>
      <c r="P645" t="n">
        <v>2018</v>
      </c>
      <c r="Q645" t="inlineStr"/>
      <c r="R645" t="inlineStr"/>
      <c r="S645" t="n">
        <v>529.8294</v>
      </c>
      <c r="T645" t="n">
        <v>0.00091413</v>
      </c>
      <c r="U645" t="n">
        <v>0.00096913</v>
      </c>
    </row>
    <row r="646">
      <c r="A646" t="inlineStr">
        <is>
          <t>SUP-0065</t>
        </is>
      </c>
      <c r="B646" t="inlineStr">
        <is>
          <t>Agriculture Supplier 065</t>
        </is>
      </c>
      <c r="C646" t="inlineStr">
        <is>
          <t>Agriculture</t>
        </is>
      </c>
      <c r="D646" t="n">
        <v>2019</v>
      </c>
      <c r="E646" t="n">
        <v>1044713.32</v>
      </c>
      <c r="F646" t="n">
        <v>9270850.84</v>
      </c>
      <c r="G646" t="n">
        <v>1703.86</v>
      </c>
      <c r="H646" t="n">
        <v>1703.86</v>
      </c>
      <c r="I646" t="n">
        <v>283.7596</v>
      </c>
      <c r="J646" t="n">
        <v>111.3776</v>
      </c>
      <c r="K646" t="n">
        <v>1150.9791</v>
      </c>
      <c r="L646" t="n">
        <v>2018</v>
      </c>
      <c r="M646" t="n">
        <v>2035</v>
      </c>
      <c r="N646" t="n">
        <v>0.42</v>
      </c>
      <c r="O646" t="n">
        <v>0.2167</v>
      </c>
      <c r="P646" t="n">
        <v>2018</v>
      </c>
      <c r="Q646" t="inlineStr"/>
      <c r="R646" t="inlineStr"/>
      <c r="S646" t="n">
        <v>529.8294</v>
      </c>
      <c r="T646" t="n">
        <v>0.00091413</v>
      </c>
      <c r="U646" t="n">
        <v>0.00096913</v>
      </c>
    </row>
    <row r="647">
      <c r="A647" t="inlineStr">
        <is>
          <t>SUP-0065</t>
        </is>
      </c>
      <c r="B647" t="inlineStr">
        <is>
          <t>Agriculture Supplier 065</t>
        </is>
      </c>
      <c r="C647" t="inlineStr">
        <is>
          <t>Agriculture</t>
        </is>
      </c>
      <c r="D647" t="n">
        <v>2020</v>
      </c>
      <c r="E647" t="n">
        <v>1100698.13</v>
      </c>
      <c r="F647" t="n">
        <v>6833624.38</v>
      </c>
      <c r="G647" t="n">
        <v>1660.585</v>
      </c>
      <c r="H647" t="n">
        <v>1660.585</v>
      </c>
      <c r="I647" t="n">
        <v>239.6574</v>
      </c>
      <c r="J647" t="n">
        <v>209.9199</v>
      </c>
      <c r="K647" t="n">
        <v>1114.8852</v>
      </c>
      <c r="L647" t="n">
        <v>2018</v>
      </c>
      <c r="M647" t="n">
        <v>2035</v>
      </c>
      <c r="N647" t="n">
        <v>0.42</v>
      </c>
      <c r="O647" t="n">
        <v>0.2167</v>
      </c>
      <c r="P647" t="n">
        <v>2018</v>
      </c>
      <c r="Q647" t="inlineStr"/>
      <c r="R647" t="inlineStr"/>
      <c r="S647" t="n">
        <v>529.8294</v>
      </c>
      <c r="T647" t="n">
        <v>0.00091413</v>
      </c>
      <c r="U647" t="n">
        <v>0.00096913</v>
      </c>
    </row>
    <row r="648">
      <c r="A648" t="inlineStr">
        <is>
          <t>SUP-0065</t>
        </is>
      </c>
      <c r="B648" t="inlineStr">
        <is>
          <t>Agriculture Supplier 065</t>
        </is>
      </c>
      <c r="C648" t="inlineStr">
        <is>
          <t>Agriculture</t>
        </is>
      </c>
      <c r="D648" t="n">
        <v>2021</v>
      </c>
      <c r="E648" t="n">
        <v>926397.05</v>
      </c>
      <c r="F648" t="n">
        <v>7234718.71</v>
      </c>
      <c r="G648" t="n">
        <v>904.4109</v>
      </c>
      <c r="H648" t="n">
        <v>904.4109</v>
      </c>
      <c r="I648" t="n">
        <v>89.8974</v>
      </c>
      <c r="J648" t="n">
        <v>113.4256</v>
      </c>
      <c r="K648" t="n">
        <v>737.5155999999999</v>
      </c>
      <c r="L648" t="n">
        <v>2018</v>
      </c>
      <c r="M648" t="n">
        <v>2035</v>
      </c>
      <c r="N648" t="n">
        <v>0.42</v>
      </c>
      <c r="O648" t="n">
        <v>0.2167</v>
      </c>
      <c r="P648" t="n">
        <v>2018</v>
      </c>
      <c r="Q648" t="inlineStr"/>
      <c r="R648" t="inlineStr"/>
      <c r="S648" t="n">
        <v>529.8294</v>
      </c>
      <c r="T648" t="n">
        <v>0.00091413</v>
      </c>
      <c r="U648" t="n">
        <v>0.00096913</v>
      </c>
    </row>
    <row r="649">
      <c r="A649" t="inlineStr">
        <is>
          <t>SUP-0065</t>
        </is>
      </c>
      <c r="B649" t="inlineStr">
        <is>
          <t>Agriculture Supplier 065</t>
        </is>
      </c>
      <c r="C649" t="inlineStr">
        <is>
          <t>Agriculture</t>
        </is>
      </c>
      <c r="D649" t="n">
        <v>2022</v>
      </c>
      <c r="E649" t="n">
        <v>899333.22</v>
      </c>
      <c r="F649" t="n">
        <v>5268317.75</v>
      </c>
      <c r="G649" t="n">
        <v>973.8551</v>
      </c>
      <c r="H649" t="n">
        <v>973.8551</v>
      </c>
      <c r="I649" t="n">
        <v>148.8857</v>
      </c>
      <c r="J649" t="n">
        <v>165.3642</v>
      </c>
      <c r="K649" t="n">
        <v>661.3364</v>
      </c>
      <c r="L649" t="n">
        <v>2018</v>
      </c>
      <c r="M649" t="n">
        <v>2035</v>
      </c>
      <c r="N649" t="n">
        <v>0.42</v>
      </c>
      <c r="O649" t="n">
        <v>0.2167</v>
      </c>
      <c r="P649" t="n">
        <v>2018</v>
      </c>
      <c r="Q649" t="inlineStr"/>
      <c r="R649" t="inlineStr"/>
      <c r="S649" t="n">
        <v>529.8294</v>
      </c>
      <c r="T649" t="n">
        <v>0.00091413</v>
      </c>
      <c r="U649" t="n">
        <v>0.00096913</v>
      </c>
    </row>
    <row r="650">
      <c r="A650" t="inlineStr">
        <is>
          <t>SUP-0065</t>
        </is>
      </c>
      <c r="B650" t="inlineStr">
        <is>
          <t>Agriculture Supplier 065</t>
        </is>
      </c>
      <c r="C650" t="inlineStr">
        <is>
          <t>Agriculture</t>
        </is>
      </c>
      <c r="D650" t="n">
        <v>2023</v>
      </c>
      <c r="E650" t="n">
        <v>954625.1899999999</v>
      </c>
      <c r="F650" t="n">
        <v>6197265.87</v>
      </c>
      <c r="G650" t="n">
        <v>1235.71</v>
      </c>
      <c r="H650" t="n">
        <v>1235.71</v>
      </c>
      <c r="I650" t="n">
        <v>268.9538</v>
      </c>
      <c r="J650" t="n">
        <v>132.5008</v>
      </c>
      <c r="K650" t="n">
        <v>834.8451</v>
      </c>
      <c r="L650" t="n">
        <v>2018</v>
      </c>
      <c r="M650" t="n">
        <v>2035</v>
      </c>
      <c r="N650" t="n">
        <v>0.42</v>
      </c>
      <c r="O650" t="n">
        <v>0.2167</v>
      </c>
      <c r="P650" t="n">
        <v>2018</v>
      </c>
      <c r="Q650" t="inlineStr"/>
      <c r="R650" t="inlineStr"/>
      <c r="S650" t="n">
        <v>529.8294</v>
      </c>
      <c r="T650" t="n">
        <v>0.00091413</v>
      </c>
      <c r="U650" t="n">
        <v>0.00096913</v>
      </c>
    </row>
    <row r="651">
      <c r="A651" t="inlineStr">
        <is>
          <t>SUP-0065</t>
        </is>
      </c>
      <c r="B651" t="inlineStr">
        <is>
          <t>Agriculture Supplier 065</t>
        </is>
      </c>
      <c r="C651" t="inlineStr">
        <is>
          <t>Agriculture</t>
        </is>
      </c>
      <c r="D651" t="n">
        <v>2024</v>
      </c>
      <c r="E651" t="n">
        <v>783969.24</v>
      </c>
      <c r="F651" t="n">
        <v>5047969.27</v>
      </c>
      <c r="G651" t="n">
        <v>864.2283</v>
      </c>
      <c r="H651" t="n">
        <v>864.2283</v>
      </c>
      <c r="I651" t="n">
        <v>118.7355</v>
      </c>
      <c r="J651" t="n">
        <v>70.1896</v>
      </c>
      <c r="K651" t="n">
        <v>696.6199</v>
      </c>
      <c r="L651" t="n">
        <v>2018</v>
      </c>
      <c r="M651" t="n">
        <v>2035</v>
      </c>
      <c r="N651" t="n">
        <v>0.42</v>
      </c>
      <c r="O651" t="n">
        <v>0.2167</v>
      </c>
      <c r="P651" t="n">
        <v>2018</v>
      </c>
      <c r="Q651" t="inlineStr"/>
      <c r="R651" t="inlineStr"/>
      <c r="S651" t="n">
        <v>529.8294</v>
      </c>
      <c r="T651" t="n">
        <v>0.00091413</v>
      </c>
      <c r="U651" t="n">
        <v>0.00096913</v>
      </c>
    </row>
    <row r="652">
      <c r="A652" t="inlineStr">
        <is>
          <t>SUP-0066</t>
        </is>
      </c>
      <c r="B652" t="inlineStr">
        <is>
          <t>Electronics Supplier 066</t>
        </is>
      </c>
      <c r="C652" t="inlineStr">
        <is>
          <t>Electronics</t>
        </is>
      </c>
      <c r="D652" t="n">
        <v>2015</v>
      </c>
      <c r="E652" t="n">
        <v>14118278.87</v>
      </c>
      <c r="F652" t="n">
        <v>116009195.44</v>
      </c>
      <c r="G652" t="n">
        <v>15159.4347</v>
      </c>
      <c r="H652" t="n">
        <v>15159.4347</v>
      </c>
      <c r="I652" t="n">
        <v>3905.5548</v>
      </c>
      <c r="J652" t="n">
        <v>917.2373</v>
      </c>
      <c r="K652" t="n">
        <v>10007.4828</v>
      </c>
      <c r="L652" t="n">
        <v>2020</v>
      </c>
      <c r="M652" t="n">
        <v>2030</v>
      </c>
      <c r="N652" t="n">
        <v>0.339</v>
      </c>
      <c r="O652" t="n">
        <v>0.1901</v>
      </c>
      <c r="P652" t="n">
        <v>2018</v>
      </c>
      <c r="Q652" t="n">
        <v>2040</v>
      </c>
      <c r="R652" t="n">
        <v>0.3424</v>
      </c>
      <c r="S652" t="n">
        <v>635.1588</v>
      </c>
      <c r="T652" t="n">
        <v>0.00086105</v>
      </c>
      <c r="U652" t="n">
        <v>0.00013947</v>
      </c>
    </row>
    <row r="653">
      <c r="A653" t="inlineStr">
        <is>
          <t>SUP-0066</t>
        </is>
      </c>
      <c r="B653" t="inlineStr">
        <is>
          <t>Electronics Supplier 066</t>
        </is>
      </c>
      <c r="C653" t="inlineStr">
        <is>
          <t>Electronics</t>
        </is>
      </c>
      <c r="D653" t="n">
        <v>2016</v>
      </c>
      <c r="E653" t="n">
        <v>15646654.23</v>
      </c>
      <c r="F653" t="n">
        <v>125411881.07</v>
      </c>
      <c r="G653" t="n">
        <v>17276.2838</v>
      </c>
      <c r="H653" t="n">
        <v>17276.2838</v>
      </c>
      <c r="I653" t="n">
        <v>5081.7638</v>
      </c>
      <c r="J653" t="n">
        <v>3219.2533</v>
      </c>
      <c r="K653" t="n">
        <v>10410.0057</v>
      </c>
      <c r="L653" t="n">
        <v>2020</v>
      </c>
      <c r="M653" t="n">
        <v>2030</v>
      </c>
      <c r="N653" t="n">
        <v>0.339</v>
      </c>
      <c r="O653" t="n">
        <v>0.1901</v>
      </c>
      <c r="P653" t="n">
        <v>2018</v>
      </c>
      <c r="Q653" t="n">
        <v>2040</v>
      </c>
      <c r="R653" t="n">
        <v>0.3424</v>
      </c>
      <c r="S653" t="n">
        <v>635.1588</v>
      </c>
      <c r="T653" t="n">
        <v>0.00086105</v>
      </c>
      <c r="U653" t="n">
        <v>0.00013947</v>
      </c>
    </row>
    <row r="654">
      <c r="A654" t="inlineStr">
        <is>
          <t>SUP-0066</t>
        </is>
      </c>
      <c r="B654" t="inlineStr">
        <is>
          <t>Electronics Supplier 066</t>
        </is>
      </c>
      <c r="C654" t="inlineStr">
        <is>
          <t>Electronics</t>
        </is>
      </c>
      <c r="D654" t="n">
        <v>2017</v>
      </c>
      <c r="E654" t="n">
        <v>13596856.07</v>
      </c>
      <c r="F654" t="n">
        <v>130305737.62</v>
      </c>
      <c r="G654" t="n">
        <v>16381.4923</v>
      </c>
      <c r="H654" t="n">
        <v>16381.4923</v>
      </c>
      <c r="I654" t="n">
        <v>3750.4925</v>
      </c>
      <c r="J654" t="n">
        <v>1953.5191</v>
      </c>
      <c r="K654" t="n">
        <v>10392.1685</v>
      </c>
      <c r="L654" t="n">
        <v>2020</v>
      </c>
      <c r="M654" t="n">
        <v>2030</v>
      </c>
      <c r="N654" t="n">
        <v>0.339</v>
      </c>
      <c r="O654" t="n">
        <v>0.1901</v>
      </c>
      <c r="P654" t="n">
        <v>2018</v>
      </c>
      <c r="Q654" t="n">
        <v>2040</v>
      </c>
      <c r="R654" t="n">
        <v>0.3424</v>
      </c>
      <c r="S654" t="n">
        <v>635.1588</v>
      </c>
      <c r="T654" t="n">
        <v>0.00086105</v>
      </c>
      <c r="U654" t="n">
        <v>0.00013947</v>
      </c>
    </row>
    <row r="655">
      <c r="A655" t="inlineStr">
        <is>
          <t>SUP-0066</t>
        </is>
      </c>
      <c r="B655" t="inlineStr">
        <is>
          <t>Electronics Supplier 066</t>
        </is>
      </c>
      <c r="C655" t="inlineStr">
        <is>
          <t>Electronics</t>
        </is>
      </c>
      <c r="D655" t="n">
        <v>2018</v>
      </c>
      <c r="E655" t="n">
        <v>17873979.19</v>
      </c>
      <c r="F655" t="n">
        <v>114871711.14</v>
      </c>
      <c r="G655" t="n">
        <v>19645.7463</v>
      </c>
      <c r="H655" t="n">
        <v>19645.7463</v>
      </c>
      <c r="I655" t="n">
        <v>1803.2374</v>
      </c>
      <c r="J655" t="n">
        <v>2163.866</v>
      </c>
      <c r="K655" t="n">
        <v>14658.2815</v>
      </c>
      <c r="L655" t="n">
        <v>2020</v>
      </c>
      <c r="M655" t="n">
        <v>2030</v>
      </c>
      <c r="N655" t="n">
        <v>0.339</v>
      </c>
      <c r="O655" t="n">
        <v>0.1901</v>
      </c>
      <c r="P655" t="n">
        <v>2018</v>
      </c>
      <c r="Q655" t="n">
        <v>2040</v>
      </c>
      <c r="R655" t="n">
        <v>0.3424</v>
      </c>
      <c r="S655" t="n">
        <v>635.1588</v>
      </c>
      <c r="T655" t="n">
        <v>0.00086105</v>
      </c>
      <c r="U655" t="n">
        <v>0.00013947</v>
      </c>
    </row>
    <row r="656">
      <c r="A656" t="inlineStr">
        <is>
          <t>SUP-0066</t>
        </is>
      </c>
      <c r="B656" t="inlineStr">
        <is>
          <t>Electronics Supplier 066</t>
        </is>
      </c>
      <c r="C656" t="inlineStr">
        <is>
          <t>Electronics</t>
        </is>
      </c>
      <c r="D656" t="n">
        <v>2019</v>
      </c>
      <c r="E656" t="n">
        <v>18927523.77</v>
      </c>
      <c r="F656" t="n">
        <v>155463365.8</v>
      </c>
      <c r="G656" t="n">
        <v>17976.3245</v>
      </c>
      <c r="H656" t="n">
        <v>17976.3245</v>
      </c>
      <c r="I656" t="n">
        <v>3823.3491</v>
      </c>
      <c r="J656" t="n">
        <v>2946.9599</v>
      </c>
      <c r="K656" t="n">
        <v>9771.588</v>
      </c>
      <c r="L656" t="n">
        <v>2020</v>
      </c>
      <c r="M656" t="n">
        <v>2030</v>
      </c>
      <c r="N656" t="n">
        <v>0.339</v>
      </c>
      <c r="O656" t="n">
        <v>0.1901</v>
      </c>
      <c r="P656" t="n">
        <v>2018</v>
      </c>
      <c r="Q656" t="n">
        <v>2040</v>
      </c>
      <c r="R656" t="n">
        <v>0.3424</v>
      </c>
      <c r="S656" t="n">
        <v>635.1588</v>
      </c>
      <c r="T656" t="n">
        <v>0.00086105</v>
      </c>
      <c r="U656" t="n">
        <v>0.00013947</v>
      </c>
    </row>
    <row r="657">
      <c r="A657" t="inlineStr">
        <is>
          <t>SUP-0066</t>
        </is>
      </c>
      <c r="B657" t="inlineStr">
        <is>
          <t>Electronics Supplier 066</t>
        </is>
      </c>
      <c r="C657" t="inlineStr">
        <is>
          <t>Electronics</t>
        </is>
      </c>
      <c r="D657" t="n">
        <v>2020</v>
      </c>
      <c r="E657" t="n">
        <v>18905755.57</v>
      </c>
      <c r="F657" t="n">
        <v>170979469.76</v>
      </c>
      <c r="G657" t="n">
        <v>16152.7618</v>
      </c>
      <c r="H657" t="n">
        <v>16152.7618</v>
      </c>
      <c r="I657" t="n">
        <v>4031.2915</v>
      </c>
      <c r="J657" t="n">
        <v>1082.8891</v>
      </c>
      <c r="K657" t="n">
        <v>11112.0089</v>
      </c>
      <c r="L657" t="n">
        <v>2020</v>
      </c>
      <c r="M657" t="n">
        <v>2030</v>
      </c>
      <c r="N657" t="n">
        <v>0.339</v>
      </c>
      <c r="O657" t="n">
        <v>0.1901</v>
      </c>
      <c r="P657" t="n">
        <v>2018</v>
      </c>
      <c r="Q657" t="n">
        <v>2040</v>
      </c>
      <c r="R657" t="n">
        <v>0.3424</v>
      </c>
      <c r="S657" t="n">
        <v>635.1588</v>
      </c>
      <c r="T657" t="n">
        <v>0.00086105</v>
      </c>
      <c r="U657" t="n">
        <v>0.00013947</v>
      </c>
    </row>
    <row r="658">
      <c r="A658" t="inlineStr">
        <is>
          <t>SUP-0066</t>
        </is>
      </c>
      <c r="B658" t="inlineStr">
        <is>
          <t>Electronics Supplier 066</t>
        </is>
      </c>
      <c r="C658" t="inlineStr">
        <is>
          <t>Electronics</t>
        </is>
      </c>
      <c r="D658" t="n">
        <v>2021</v>
      </c>
      <c r="E658" t="n">
        <v>22980374.45</v>
      </c>
      <c r="F658" t="n">
        <v>181289129.74</v>
      </c>
      <c r="G658" t="n">
        <v>15688.1112</v>
      </c>
      <c r="H658" t="n">
        <v>15688.1112</v>
      </c>
      <c r="I658" t="n">
        <v>3812.3933</v>
      </c>
      <c r="J658" t="n">
        <v>2224.5461</v>
      </c>
      <c r="K658" t="n">
        <v>8659.254000000001</v>
      </c>
      <c r="L658" t="n">
        <v>2020</v>
      </c>
      <c r="M658" t="n">
        <v>2030</v>
      </c>
      <c r="N658" t="n">
        <v>0.339</v>
      </c>
      <c r="O658" t="n">
        <v>0.1901</v>
      </c>
      <c r="P658" t="n">
        <v>2018</v>
      </c>
      <c r="Q658" t="n">
        <v>2040</v>
      </c>
      <c r="R658" t="n">
        <v>0.3424</v>
      </c>
      <c r="S658" t="n">
        <v>635.1588</v>
      </c>
      <c r="T658" t="n">
        <v>0.00086105</v>
      </c>
      <c r="U658" t="n">
        <v>0.00013947</v>
      </c>
    </row>
    <row r="659">
      <c r="A659" t="inlineStr">
        <is>
          <t>SUP-0066</t>
        </is>
      </c>
      <c r="B659" t="inlineStr">
        <is>
          <t>Electronics Supplier 066</t>
        </is>
      </c>
      <c r="C659" t="inlineStr">
        <is>
          <t>Electronics</t>
        </is>
      </c>
      <c r="D659" t="n">
        <v>2022</v>
      </c>
      <c r="E659" t="n">
        <v>20944558.54</v>
      </c>
      <c r="F659" t="n">
        <v>156019332.07</v>
      </c>
      <c r="G659" t="n">
        <v>18248.2678</v>
      </c>
      <c r="H659" t="n">
        <v>18248.2678</v>
      </c>
      <c r="I659" t="n">
        <v>2841.7886</v>
      </c>
      <c r="J659" t="n">
        <v>2061.1125</v>
      </c>
      <c r="K659" t="n">
        <v>13761.2397</v>
      </c>
      <c r="L659" t="n">
        <v>2020</v>
      </c>
      <c r="M659" t="n">
        <v>2030</v>
      </c>
      <c r="N659" t="n">
        <v>0.339</v>
      </c>
      <c r="O659" t="n">
        <v>0.1901</v>
      </c>
      <c r="P659" t="n">
        <v>2018</v>
      </c>
      <c r="Q659" t="n">
        <v>2040</v>
      </c>
      <c r="R659" t="n">
        <v>0.3424</v>
      </c>
      <c r="S659" t="n">
        <v>635.1588</v>
      </c>
      <c r="T659" t="n">
        <v>0.00086105</v>
      </c>
      <c r="U659" t="n">
        <v>0.00013947</v>
      </c>
    </row>
    <row r="660">
      <c r="A660" t="inlineStr">
        <is>
          <t>SUP-0066</t>
        </is>
      </c>
      <c r="B660" t="inlineStr">
        <is>
          <t>Electronics Supplier 066</t>
        </is>
      </c>
      <c r="C660" t="inlineStr">
        <is>
          <t>Electronics</t>
        </is>
      </c>
      <c r="D660" t="n">
        <v>2023</v>
      </c>
      <c r="E660" t="n">
        <v>23417299</v>
      </c>
      <c r="F660" t="n">
        <v>214001569.32</v>
      </c>
      <c r="G660" t="n">
        <v>18516.6863</v>
      </c>
      <c r="H660" t="n">
        <v>18516.6863</v>
      </c>
      <c r="I660" t="n">
        <v>2054.7114</v>
      </c>
      <c r="J660" t="n">
        <v>2965.6611</v>
      </c>
      <c r="K660" t="n">
        <v>14625.3806</v>
      </c>
      <c r="L660" t="n">
        <v>2020</v>
      </c>
      <c r="M660" t="n">
        <v>2030</v>
      </c>
      <c r="N660" t="n">
        <v>0.339</v>
      </c>
      <c r="O660" t="n">
        <v>0.1901</v>
      </c>
      <c r="P660" t="n">
        <v>2018</v>
      </c>
      <c r="Q660" t="n">
        <v>2040</v>
      </c>
      <c r="R660" t="n">
        <v>0.3424</v>
      </c>
      <c r="S660" t="n">
        <v>635.1588</v>
      </c>
      <c r="T660" t="n">
        <v>0.00086105</v>
      </c>
      <c r="U660" t="n">
        <v>0.00013947</v>
      </c>
    </row>
    <row r="661">
      <c r="A661" t="inlineStr">
        <is>
          <t>SUP-0066</t>
        </is>
      </c>
      <c r="B661" t="inlineStr">
        <is>
          <t>Electronics Supplier 066</t>
        </is>
      </c>
      <c r="C661" t="inlineStr">
        <is>
          <t>Electronics</t>
        </is>
      </c>
      <c r="D661" t="n">
        <v>2024</v>
      </c>
      <c r="E661" t="n">
        <v>19647049.39</v>
      </c>
      <c r="F661" t="n">
        <v>180616239.14</v>
      </c>
      <c r="G661" t="n">
        <v>17053.0904</v>
      </c>
      <c r="H661" t="n">
        <v>17053.0904</v>
      </c>
      <c r="I661" t="n">
        <v>3144.3067</v>
      </c>
      <c r="J661" t="n">
        <v>2347.2066</v>
      </c>
      <c r="K661" t="n">
        <v>11019.9071</v>
      </c>
      <c r="L661" t="n">
        <v>2020</v>
      </c>
      <c r="M661" t="n">
        <v>2030</v>
      </c>
      <c r="N661" t="n">
        <v>0.339</v>
      </c>
      <c r="O661" t="n">
        <v>0.1901</v>
      </c>
      <c r="P661" t="n">
        <v>2018</v>
      </c>
      <c r="Q661" t="n">
        <v>2040</v>
      </c>
      <c r="R661" t="n">
        <v>0.3424</v>
      </c>
      <c r="S661" t="n">
        <v>635.1588</v>
      </c>
      <c r="T661" t="n">
        <v>0.00086105</v>
      </c>
      <c r="U661" t="n">
        <v>0.00013947</v>
      </c>
    </row>
    <row r="662">
      <c r="A662" t="inlineStr">
        <is>
          <t>SUP-0067</t>
        </is>
      </c>
      <c r="B662" t="inlineStr">
        <is>
          <t>Professional Supplier 067</t>
        </is>
      </c>
      <c r="C662" t="inlineStr">
        <is>
          <t>Professional Services</t>
        </is>
      </c>
      <c r="D662" t="n">
        <v>2015</v>
      </c>
      <c r="E662" t="n">
        <v>10038247.82</v>
      </c>
      <c r="F662" t="n">
        <v>50348525.22</v>
      </c>
      <c r="G662" t="n">
        <v>1204.742</v>
      </c>
      <c r="H662" t="n">
        <v>1204.742</v>
      </c>
      <c r="I662" t="n">
        <v>324.9545</v>
      </c>
      <c r="J662" t="n">
        <v>79.6658</v>
      </c>
      <c r="K662" t="n">
        <v>930.5732</v>
      </c>
      <c r="L662" t="inlineStr"/>
      <c r="M662" t="inlineStr"/>
      <c r="N662" t="inlineStr"/>
      <c r="O662" t="inlineStr"/>
      <c r="P662" t="n">
        <v>2020</v>
      </c>
      <c r="Q662" t="inlineStr"/>
      <c r="R662" t="inlineStr"/>
      <c r="S662" t="n">
        <v>400.0326</v>
      </c>
      <c r="T662" t="n">
        <v>0.00012906</v>
      </c>
      <c r="U662" t="n">
        <v>0.00019658</v>
      </c>
    </row>
    <row r="663">
      <c r="A663" t="inlineStr">
        <is>
          <t>SUP-0067</t>
        </is>
      </c>
      <c r="B663" t="inlineStr">
        <is>
          <t>Professional Supplier 067</t>
        </is>
      </c>
      <c r="C663" t="inlineStr">
        <is>
          <t>Professional Services</t>
        </is>
      </c>
      <c r="D663" t="n">
        <v>2016</v>
      </c>
      <c r="E663" t="n">
        <v>12732544.24</v>
      </c>
      <c r="F663" t="n">
        <v>62439106.16</v>
      </c>
      <c r="G663" t="n">
        <v>1170.0522</v>
      </c>
      <c r="H663" t="n">
        <v>1170.0522</v>
      </c>
      <c r="I663" t="n">
        <v>155.6328</v>
      </c>
      <c r="J663" t="n">
        <v>184.3432</v>
      </c>
      <c r="K663" t="n">
        <v>907.4825</v>
      </c>
      <c r="L663" t="inlineStr"/>
      <c r="M663" t="inlineStr"/>
      <c r="N663" t="inlineStr"/>
      <c r="O663" t="inlineStr"/>
      <c r="P663" t="n">
        <v>2020</v>
      </c>
      <c r="Q663" t="inlineStr"/>
      <c r="R663" t="inlineStr"/>
      <c r="S663" t="n">
        <v>400.0326</v>
      </c>
      <c r="T663" t="n">
        <v>0.00012906</v>
      </c>
      <c r="U663" t="n">
        <v>0.00019658</v>
      </c>
    </row>
    <row r="664">
      <c r="A664" t="inlineStr">
        <is>
          <t>SUP-0067</t>
        </is>
      </c>
      <c r="B664" t="inlineStr">
        <is>
          <t>Professional Supplier 067</t>
        </is>
      </c>
      <c r="C664" t="inlineStr">
        <is>
          <t>Professional Services</t>
        </is>
      </c>
      <c r="D664" t="n">
        <v>2017</v>
      </c>
      <c r="E664" t="n">
        <v>14059424.04</v>
      </c>
      <c r="F664" t="n">
        <v>74365008.3</v>
      </c>
      <c r="G664" t="n">
        <v>1412.7499</v>
      </c>
      <c r="H664" t="n">
        <v>1412.7499</v>
      </c>
      <c r="I664" t="n">
        <v>233.3121</v>
      </c>
      <c r="J664" t="n">
        <v>188.0721</v>
      </c>
      <c r="K664" t="n">
        <v>888.1328999999999</v>
      </c>
      <c r="L664" t="inlineStr"/>
      <c r="M664" t="inlineStr"/>
      <c r="N664" t="inlineStr"/>
      <c r="O664" t="inlineStr"/>
      <c r="P664" t="n">
        <v>2020</v>
      </c>
      <c r="Q664" t="inlineStr"/>
      <c r="R664" t="inlineStr"/>
      <c r="S664" t="n">
        <v>400.0326</v>
      </c>
      <c r="T664" t="n">
        <v>0.00012906</v>
      </c>
      <c r="U664" t="n">
        <v>0.00019658</v>
      </c>
    </row>
    <row r="665">
      <c r="A665" t="inlineStr">
        <is>
          <t>SUP-0067</t>
        </is>
      </c>
      <c r="B665" t="inlineStr">
        <is>
          <t>Professional Supplier 067</t>
        </is>
      </c>
      <c r="C665" t="inlineStr">
        <is>
          <t>Professional Services</t>
        </is>
      </c>
      <c r="D665" t="n">
        <v>2018</v>
      </c>
      <c r="E665" t="n">
        <v>15645945.78</v>
      </c>
      <c r="F665" t="n">
        <v>70915023.93000001</v>
      </c>
      <c r="G665" t="n">
        <v>1717.8367</v>
      </c>
      <c r="H665" t="n">
        <v>1717.8367</v>
      </c>
      <c r="I665" t="n">
        <v>241.9069</v>
      </c>
      <c r="J665" t="n">
        <v>124.7323</v>
      </c>
      <c r="K665" t="n">
        <v>1394.2528</v>
      </c>
      <c r="L665" t="inlineStr"/>
      <c r="M665" t="inlineStr"/>
      <c r="N665" t="inlineStr"/>
      <c r="O665" t="inlineStr"/>
      <c r="P665" t="n">
        <v>2020</v>
      </c>
      <c r="Q665" t="inlineStr"/>
      <c r="R665" t="inlineStr"/>
      <c r="S665" t="n">
        <v>400.0326</v>
      </c>
      <c r="T665" t="n">
        <v>0.00012906</v>
      </c>
      <c r="U665" t="n">
        <v>0.00019658</v>
      </c>
    </row>
    <row r="666">
      <c r="A666" t="inlineStr">
        <is>
          <t>SUP-0067</t>
        </is>
      </c>
      <c r="B666" t="inlineStr">
        <is>
          <t>Professional Supplier 067</t>
        </is>
      </c>
      <c r="C666" t="inlineStr">
        <is>
          <t>Professional Services</t>
        </is>
      </c>
      <c r="D666" t="n">
        <v>2019</v>
      </c>
      <c r="E666" t="n">
        <v>18395539.02</v>
      </c>
      <c r="F666" t="n">
        <v>75341111.67</v>
      </c>
      <c r="G666" t="n">
        <v>1735.7635</v>
      </c>
      <c r="H666" t="n">
        <v>1735.7635</v>
      </c>
      <c r="I666" t="n">
        <v>425.9383</v>
      </c>
      <c r="J666" t="n">
        <v>215.4982</v>
      </c>
      <c r="K666" t="n">
        <v>1071.3878</v>
      </c>
      <c r="L666" t="inlineStr"/>
      <c r="M666" t="inlineStr"/>
      <c r="N666" t="inlineStr"/>
      <c r="O666" t="inlineStr"/>
      <c r="P666" t="n">
        <v>2020</v>
      </c>
      <c r="Q666" t="inlineStr"/>
      <c r="R666" t="inlineStr"/>
      <c r="S666" t="n">
        <v>400.0326</v>
      </c>
      <c r="T666" t="n">
        <v>0.00012906</v>
      </c>
      <c r="U666" t="n">
        <v>0.00019658</v>
      </c>
    </row>
    <row r="667">
      <c r="A667" t="inlineStr">
        <is>
          <t>SUP-0067</t>
        </is>
      </c>
      <c r="B667" t="inlineStr">
        <is>
          <t>Professional Supplier 067</t>
        </is>
      </c>
      <c r="C667" t="inlineStr">
        <is>
          <t>Professional Services</t>
        </is>
      </c>
      <c r="D667" t="n">
        <v>2020</v>
      </c>
      <c r="E667" t="n">
        <v>16930456.97</v>
      </c>
      <c r="F667" t="n">
        <v>72550494.34999999</v>
      </c>
      <c r="G667" t="n">
        <v>1791.1932</v>
      </c>
      <c r="H667" t="n">
        <v>1791.1932</v>
      </c>
      <c r="I667" t="n">
        <v>436.2517</v>
      </c>
      <c r="J667" t="n">
        <v>218.2987</v>
      </c>
      <c r="K667" t="n">
        <v>1110.7215</v>
      </c>
      <c r="L667" t="inlineStr"/>
      <c r="M667" t="inlineStr"/>
      <c r="N667" t="inlineStr"/>
      <c r="O667" t="inlineStr"/>
      <c r="P667" t="n">
        <v>2020</v>
      </c>
      <c r="Q667" t="inlineStr"/>
      <c r="R667" t="inlineStr"/>
      <c r="S667" t="n">
        <v>400.0326</v>
      </c>
      <c r="T667" t="n">
        <v>0.00012906</v>
      </c>
      <c r="U667" t="n">
        <v>0.00019658</v>
      </c>
    </row>
    <row r="668">
      <c r="A668" t="inlineStr">
        <is>
          <t>SUP-0067</t>
        </is>
      </c>
      <c r="B668" t="inlineStr">
        <is>
          <t>Professional Supplier 067</t>
        </is>
      </c>
      <c r="C668" t="inlineStr">
        <is>
          <t>Professional Services</t>
        </is>
      </c>
      <c r="D668" t="n">
        <v>2021</v>
      </c>
      <c r="E668" t="n">
        <v>20320149.51</v>
      </c>
      <c r="F668" t="n">
        <v>103573303.02</v>
      </c>
      <c r="G668" t="n">
        <v>1661.3409</v>
      </c>
      <c r="H668" t="n">
        <v>1661.3409</v>
      </c>
      <c r="I668" t="n">
        <v>398.3889</v>
      </c>
      <c r="J668" t="n">
        <v>264.0185</v>
      </c>
      <c r="K668" t="n">
        <v>1050.6075</v>
      </c>
      <c r="L668" t="inlineStr"/>
      <c r="M668" t="inlineStr"/>
      <c r="N668" t="inlineStr"/>
      <c r="O668" t="inlineStr"/>
      <c r="P668" t="n">
        <v>2020</v>
      </c>
      <c r="Q668" t="inlineStr"/>
      <c r="R668" t="inlineStr"/>
      <c r="S668" t="n">
        <v>400.0326</v>
      </c>
      <c r="T668" t="n">
        <v>0.00012906</v>
      </c>
      <c r="U668" t="n">
        <v>0.00019658</v>
      </c>
    </row>
    <row r="669">
      <c r="A669" t="inlineStr">
        <is>
          <t>SUP-0067</t>
        </is>
      </c>
      <c r="B669" t="inlineStr">
        <is>
          <t>Professional Supplier 067</t>
        </is>
      </c>
      <c r="C669" t="inlineStr">
        <is>
          <t>Professional Services</t>
        </is>
      </c>
      <c r="D669" t="n">
        <v>2022</v>
      </c>
      <c r="E669" t="n">
        <v>20345004.15</v>
      </c>
      <c r="F669" t="n">
        <v>89725613.55</v>
      </c>
      <c r="G669" t="n">
        <v>1345.384</v>
      </c>
      <c r="H669" t="n">
        <v>1345.384</v>
      </c>
      <c r="I669" t="n">
        <v>224.5164</v>
      </c>
      <c r="J669" t="n">
        <v>273.9649</v>
      </c>
      <c r="K669" t="n">
        <v>761.538</v>
      </c>
      <c r="L669" t="inlineStr"/>
      <c r="M669" t="inlineStr"/>
      <c r="N669" t="inlineStr"/>
      <c r="O669" t="inlineStr"/>
      <c r="P669" t="n">
        <v>2020</v>
      </c>
      <c r="Q669" t="inlineStr"/>
      <c r="R669" t="inlineStr"/>
      <c r="S669" t="n">
        <v>400.0326</v>
      </c>
      <c r="T669" t="n">
        <v>0.00012906</v>
      </c>
      <c r="U669" t="n">
        <v>0.00019658</v>
      </c>
    </row>
    <row r="670">
      <c r="A670" t="inlineStr">
        <is>
          <t>SUP-0067</t>
        </is>
      </c>
      <c r="B670" t="inlineStr">
        <is>
          <t>Professional Supplier 067</t>
        </is>
      </c>
      <c r="C670" t="inlineStr">
        <is>
          <t>Professional Services</t>
        </is>
      </c>
      <c r="D670" t="n">
        <v>2023</v>
      </c>
      <c r="E670" t="n">
        <v>23554704.42</v>
      </c>
      <c r="F670" t="n">
        <v>104846593.63</v>
      </c>
      <c r="G670" t="n">
        <v>1773.9266</v>
      </c>
      <c r="H670" t="n">
        <v>1773.9266</v>
      </c>
      <c r="I670" t="n">
        <v>368.1097</v>
      </c>
      <c r="J670" t="n">
        <v>103.5748</v>
      </c>
      <c r="K670" t="n">
        <v>1292.954</v>
      </c>
      <c r="L670" t="inlineStr"/>
      <c r="M670" t="inlineStr"/>
      <c r="N670" t="inlineStr"/>
      <c r="O670" t="inlineStr"/>
      <c r="P670" t="n">
        <v>2020</v>
      </c>
      <c r="Q670" t="inlineStr"/>
      <c r="R670" t="inlineStr"/>
      <c r="S670" t="n">
        <v>400.0326</v>
      </c>
      <c r="T670" t="n">
        <v>0.00012906</v>
      </c>
      <c r="U670" t="n">
        <v>0.00019658</v>
      </c>
    </row>
    <row r="671">
      <c r="A671" t="inlineStr">
        <is>
          <t>SUP-0067</t>
        </is>
      </c>
      <c r="B671" t="inlineStr">
        <is>
          <t>Professional Supplier 067</t>
        </is>
      </c>
      <c r="C671" t="inlineStr">
        <is>
          <t>Professional Services</t>
        </is>
      </c>
      <c r="D671" t="n">
        <v>2024</v>
      </c>
      <c r="E671" t="n">
        <v>21150301.34</v>
      </c>
      <c r="F671" t="n">
        <v>151276455.11</v>
      </c>
      <c r="G671" t="n">
        <v>1476.7146</v>
      </c>
      <c r="H671" t="n">
        <v>1476.7146</v>
      </c>
      <c r="I671" t="n">
        <v>295.2488</v>
      </c>
      <c r="J671" t="n">
        <v>192.0735</v>
      </c>
      <c r="K671" t="n">
        <v>897.9854</v>
      </c>
      <c r="L671" t="inlineStr"/>
      <c r="M671" t="inlineStr"/>
      <c r="N671" t="inlineStr"/>
      <c r="O671" t="inlineStr"/>
      <c r="P671" t="n">
        <v>2020</v>
      </c>
      <c r="Q671" t="inlineStr"/>
      <c r="R671" t="inlineStr"/>
      <c r="S671" t="n">
        <v>400.0326</v>
      </c>
      <c r="T671" t="n">
        <v>0.00012906</v>
      </c>
      <c r="U671" t="n">
        <v>0.00019658</v>
      </c>
    </row>
    <row r="672">
      <c r="A672" t="inlineStr">
        <is>
          <t>SUP-0068</t>
        </is>
      </c>
      <c r="B672" t="inlineStr">
        <is>
          <t>Agriculture Supplier 068</t>
        </is>
      </c>
      <c r="C672" t="inlineStr">
        <is>
          <t>Agriculture</t>
        </is>
      </c>
      <c r="D672" t="n">
        <v>2015</v>
      </c>
      <c r="E672" t="n">
        <v>18513783.52</v>
      </c>
      <c r="F672" t="n">
        <v>66916972.77</v>
      </c>
      <c r="G672" t="n">
        <v>18257.883</v>
      </c>
      <c r="H672" t="n">
        <v>18257.883</v>
      </c>
      <c r="I672" t="n">
        <v>2348.7144</v>
      </c>
      <c r="J672" t="n">
        <v>3147.3399</v>
      </c>
      <c r="K672" t="n">
        <v>13119.6701</v>
      </c>
      <c r="L672" t="inlineStr"/>
      <c r="M672" t="inlineStr"/>
      <c r="N672" t="inlineStr"/>
      <c r="O672" t="inlineStr"/>
      <c r="P672" t="n">
        <v>2018</v>
      </c>
      <c r="Q672" t="inlineStr"/>
      <c r="R672" t="inlineStr"/>
      <c r="S672" t="n">
        <v>529.8294</v>
      </c>
      <c r="T672" t="n">
        <v>0.00091413</v>
      </c>
      <c r="U672" t="n">
        <v>0.00096913</v>
      </c>
    </row>
    <row r="673">
      <c r="A673" t="inlineStr">
        <is>
          <t>SUP-0068</t>
        </is>
      </c>
      <c r="B673" t="inlineStr">
        <is>
          <t>Agriculture Supplier 068</t>
        </is>
      </c>
      <c r="C673" t="inlineStr">
        <is>
          <t>Agriculture</t>
        </is>
      </c>
      <c r="D673" t="n">
        <v>2016</v>
      </c>
      <c r="E673" t="n">
        <v>21873685.28</v>
      </c>
      <c r="F673" t="n">
        <v>59968292.99</v>
      </c>
      <c r="G673" t="n">
        <v>21653.9413</v>
      </c>
      <c r="H673" t="n">
        <v>21653.9413</v>
      </c>
      <c r="I673" t="n">
        <v>2716.6103</v>
      </c>
      <c r="J673" t="n">
        <v>1788.7716</v>
      </c>
      <c r="K673" t="n">
        <v>15602.6032</v>
      </c>
      <c r="L673" t="inlineStr"/>
      <c r="M673" t="inlineStr"/>
      <c r="N673" t="inlineStr"/>
      <c r="O673" t="inlineStr"/>
      <c r="P673" t="n">
        <v>2018</v>
      </c>
      <c r="Q673" t="inlineStr"/>
      <c r="R673" t="inlineStr"/>
      <c r="S673" t="n">
        <v>529.8294</v>
      </c>
      <c r="T673" t="n">
        <v>0.00091413</v>
      </c>
      <c r="U673" t="n">
        <v>0.00096913</v>
      </c>
    </row>
    <row r="674">
      <c r="A674" t="inlineStr">
        <is>
          <t>SUP-0068</t>
        </is>
      </c>
      <c r="B674" t="inlineStr">
        <is>
          <t>Agriculture Supplier 068</t>
        </is>
      </c>
      <c r="C674" t="inlineStr">
        <is>
          <t>Agriculture</t>
        </is>
      </c>
      <c r="D674" t="n">
        <v>2017</v>
      </c>
      <c r="E674" t="n">
        <v>18607354.27</v>
      </c>
      <c r="F674" t="n">
        <v>72012029.33</v>
      </c>
      <c r="G674" t="n">
        <v>19202.515</v>
      </c>
      <c r="H674" t="n">
        <v>19202.515</v>
      </c>
      <c r="I674" t="n">
        <v>1649.741</v>
      </c>
      <c r="J674" t="n">
        <v>1503.109</v>
      </c>
      <c r="K674" t="n">
        <v>15795.3854</v>
      </c>
      <c r="L674" t="inlineStr"/>
      <c r="M674" t="inlineStr"/>
      <c r="N674" t="inlineStr"/>
      <c r="O674" t="inlineStr"/>
      <c r="P674" t="n">
        <v>2018</v>
      </c>
      <c r="Q674" t="inlineStr"/>
      <c r="R674" t="inlineStr"/>
      <c r="S674" t="n">
        <v>529.8294</v>
      </c>
      <c r="T674" t="n">
        <v>0.00091413</v>
      </c>
      <c r="U674" t="n">
        <v>0.00096913</v>
      </c>
    </row>
    <row r="675">
      <c r="A675" t="inlineStr">
        <is>
          <t>SUP-0068</t>
        </is>
      </c>
      <c r="B675" t="inlineStr">
        <is>
          <t>Agriculture Supplier 068</t>
        </is>
      </c>
      <c r="C675" t="inlineStr">
        <is>
          <t>Agriculture</t>
        </is>
      </c>
      <c r="D675" t="n">
        <v>2018</v>
      </c>
      <c r="E675" t="n">
        <v>18646548.89</v>
      </c>
      <c r="F675" t="n">
        <v>54440631.12</v>
      </c>
      <c r="G675" t="n">
        <v>20695.2167</v>
      </c>
      <c r="H675" t="n">
        <v>20695.2167</v>
      </c>
      <c r="I675" t="n">
        <v>3256.6112</v>
      </c>
      <c r="J675" t="n">
        <v>3252.0533</v>
      </c>
      <c r="K675" t="n">
        <v>12825.8978</v>
      </c>
      <c r="L675" t="inlineStr"/>
      <c r="M675" t="inlineStr"/>
      <c r="N675" t="inlineStr"/>
      <c r="O675" t="inlineStr"/>
      <c r="P675" t="n">
        <v>2018</v>
      </c>
      <c r="Q675" t="inlineStr"/>
      <c r="R675" t="inlineStr"/>
      <c r="S675" t="n">
        <v>529.8294</v>
      </c>
      <c r="T675" t="n">
        <v>0.00091413</v>
      </c>
      <c r="U675" t="n">
        <v>0.00096913</v>
      </c>
    </row>
    <row r="676">
      <c r="A676" t="inlineStr">
        <is>
          <t>SUP-0068</t>
        </is>
      </c>
      <c r="B676" t="inlineStr">
        <is>
          <t>Agriculture Supplier 068</t>
        </is>
      </c>
      <c r="C676" t="inlineStr">
        <is>
          <t>Agriculture</t>
        </is>
      </c>
      <c r="D676" t="n">
        <v>2019</v>
      </c>
      <c r="E676" t="n">
        <v>18252601.18</v>
      </c>
      <c r="F676" t="n">
        <v>66220041.42</v>
      </c>
      <c r="G676" t="n">
        <v>14475.8231</v>
      </c>
      <c r="H676" t="n">
        <v>14475.8231</v>
      </c>
      <c r="I676" t="n">
        <v>1813.6172</v>
      </c>
      <c r="J676" t="n">
        <v>3455.4611</v>
      </c>
      <c r="K676" t="n">
        <v>10995.5501</v>
      </c>
      <c r="L676" t="inlineStr"/>
      <c r="M676" t="inlineStr"/>
      <c r="N676" t="inlineStr"/>
      <c r="O676" t="inlineStr"/>
      <c r="P676" t="n">
        <v>2018</v>
      </c>
      <c r="Q676" t="inlineStr"/>
      <c r="R676" t="inlineStr"/>
      <c r="S676" t="n">
        <v>529.8294</v>
      </c>
      <c r="T676" t="n">
        <v>0.00091413</v>
      </c>
      <c r="U676" t="n">
        <v>0.00096913</v>
      </c>
    </row>
    <row r="677">
      <c r="A677" t="inlineStr">
        <is>
          <t>SUP-0068</t>
        </is>
      </c>
      <c r="B677" t="inlineStr">
        <is>
          <t>Agriculture Supplier 068</t>
        </is>
      </c>
      <c r="C677" t="inlineStr">
        <is>
          <t>Agriculture</t>
        </is>
      </c>
      <c r="D677" t="n">
        <v>2020</v>
      </c>
      <c r="E677" t="n">
        <v>18599884.09</v>
      </c>
      <c r="F677" t="n">
        <v>56655845.94</v>
      </c>
      <c r="G677" t="n">
        <v>10178.3517</v>
      </c>
      <c r="H677" t="n">
        <v>10178.3517</v>
      </c>
      <c r="I677" t="n">
        <v>1545.9435</v>
      </c>
      <c r="J677" t="n">
        <v>2172.6727</v>
      </c>
      <c r="K677" t="n">
        <v>6854.3338</v>
      </c>
      <c r="L677" t="inlineStr"/>
      <c r="M677" t="inlineStr"/>
      <c r="N677" t="inlineStr"/>
      <c r="O677" t="inlineStr"/>
      <c r="P677" t="n">
        <v>2018</v>
      </c>
      <c r="Q677" t="inlineStr"/>
      <c r="R677" t="inlineStr"/>
      <c r="S677" t="n">
        <v>529.8294</v>
      </c>
      <c r="T677" t="n">
        <v>0.00091413</v>
      </c>
      <c r="U677" t="n">
        <v>0.00096913</v>
      </c>
    </row>
    <row r="678">
      <c r="A678" t="inlineStr">
        <is>
          <t>SUP-0068</t>
        </is>
      </c>
      <c r="B678" t="inlineStr">
        <is>
          <t>Agriculture Supplier 068</t>
        </is>
      </c>
      <c r="C678" t="inlineStr">
        <is>
          <t>Agriculture</t>
        </is>
      </c>
      <c r="D678" t="n">
        <v>2021</v>
      </c>
      <c r="E678" t="n">
        <v>18800211.84</v>
      </c>
      <c r="F678" t="n">
        <v>60558721.85</v>
      </c>
      <c r="G678" t="n">
        <v>14929.9264</v>
      </c>
      <c r="H678" t="n">
        <v>14929.9264</v>
      </c>
      <c r="I678" t="n">
        <v>3225.2797</v>
      </c>
      <c r="J678" t="n">
        <v>2178.1935</v>
      </c>
      <c r="K678" t="n">
        <v>9789.5515</v>
      </c>
      <c r="L678" t="inlineStr"/>
      <c r="M678" t="inlineStr"/>
      <c r="N678" t="inlineStr"/>
      <c r="O678" t="inlineStr"/>
      <c r="P678" t="n">
        <v>2018</v>
      </c>
      <c r="Q678" t="inlineStr"/>
      <c r="R678" t="inlineStr"/>
      <c r="S678" t="n">
        <v>529.8294</v>
      </c>
      <c r="T678" t="n">
        <v>0.00091413</v>
      </c>
      <c r="U678" t="n">
        <v>0.00096913</v>
      </c>
    </row>
    <row r="679">
      <c r="A679" t="inlineStr">
        <is>
          <t>SUP-0068</t>
        </is>
      </c>
      <c r="B679" t="inlineStr">
        <is>
          <t>Agriculture Supplier 068</t>
        </is>
      </c>
      <c r="C679" t="inlineStr">
        <is>
          <t>Agriculture</t>
        </is>
      </c>
      <c r="D679" t="n">
        <v>2022</v>
      </c>
      <c r="E679" t="n">
        <v>20073667.46</v>
      </c>
      <c r="F679" t="n">
        <v>68958102.8</v>
      </c>
      <c r="G679" t="n">
        <v>17736.1275</v>
      </c>
      <c r="H679" t="n">
        <v>17736.1275</v>
      </c>
      <c r="I679" t="n">
        <v>4007.3683</v>
      </c>
      <c r="J679" t="n">
        <v>2828.7976</v>
      </c>
      <c r="K679" t="n">
        <v>10552.3944</v>
      </c>
      <c r="L679" t="inlineStr"/>
      <c r="M679" t="inlineStr"/>
      <c r="N679" t="inlineStr"/>
      <c r="O679" t="inlineStr"/>
      <c r="P679" t="n">
        <v>2018</v>
      </c>
      <c r="Q679" t="inlineStr"/>
      <c r="R679" t="inlineStr"/>
      <c r="S679" t="n">
        <v>529.8294</v>
      </c>
      <c r="T679" t="n">
        <v>0.00091413</v>
      </c>
      <c r="U679" t="n">
        <v>0.00096913</v>
      </c>
    </row>
    <row r="680">
      <c r="A680" t="inlineStr">
        <is>
          <t>SUP-0068</t>
        </is>
      </c>
      <c r="B680" t="inlineStr">
        <is>
          <t>Agriculture Supplier 068</t>
        </is>
      </c>
      <c r="C680" t="inlineStr">
        <is>
          <t>Agriculture</t>
        </is>
      </c>
      <c r="D680" t="n">
        <v>2023</v>
      </c>
      <c r="E680" t="n">
        <v>18028035.85</v>
      </c>
      <c r="F680" t="n">
        <v>52485681.36</v>
      </c>
      <c r="G680" t="n">
        <v>15050.6514</v>
      </c>
      <c r="H680" t="n">
        <v>15050.6514</v>
      </c>
      <c r="I680" t="n">
        <v>1247.6667</v>
      </c>
      <c r="J680" t="n">
        <v>1483.5199</v>
      </c>
      <c r="K680" t="n">
        <v>11516.0747</v>
      </c>
      <c r="L680" t="inlineStr"/>
      <c r="M680" t="inlineStr"/>
      <c r="N680" t="inlineStr"/>
      <c r="O680" t="inlineStr"/>
      <c r="P680" t="n">
        <v>2018</v>
      </c>
      <c r="Q680" t="inlineStr"/>
      <c r="R680" t="inlineStr"/>
      <c r="S680" t="n">
        <v>529.8294</v>
      </c>
      <c r="T680" t="n">
        <v>0.00091413</v>
      </c>
      <c r="U680" t="n">
        <v>0.00096913</v>
      </c>
    </row>
    <row r="681">
      <c r="A681" t="inlineStr">
        <is>
          <t>SUP-0068</t>
        </is>
      </c>
      <c r="B681" t="inlineStr">
        <is>
          <t>Agriculture Supplier 068</t>
        </is>
      </c>
      <c r="C681" t="inlineStr">
        <is>
          <t>Agriculture</t>
        </is>
      </c>
      <c r="D681" t="n">
        <v>2024</v>
      </c>
      <c r="E681" t="n">
        <v>18949155.27</v>
      </c>
      <c r="F681" t="n">
        <v>62164621.18</v>
      </c>
      <c r="G681" t="n">
        <v>16061.3429</v>
      </c>
      <c r="H681" t="n">
        <v>16061.3429</v>
      </c>
      <c r="I681" t="n">
        <v>1445.2497</v>
      </c>
      <c r="J681" t="n">
        <v>1900.8892</v>
      </c>
      <c r="K681" t="n">
        <v>13568.3448</v>
      </c>
      <c r="L681" t="inlineStr"/>
      <c r="M681" t="inlineStr"/>
      <c r="N681" t="inlineStr"/>
      <c r="O681" t="inlineStr"/>
      <c r="P681" t="n">
        <v>2018</v>
      </c>
      <c r="Q681" t="inlineStr"/>
      <c r="R681" t="inlineStr"/>
      <c r="S681" t="n">
        <v>529.8294</v>
      </c>
      <c r="T681" t="n">
        <v>0.00091413</v>
      </c>
      <c r="U681" t="n">
        <v>0.00096913</v>
      </c>
    </row>
    <row r="682">
      <c r="A682" t="inlineStr">
        <is>
          <t>SUP-0069</t>
        </is>
      </c>
      <c r="B682" t="inlineStr">
        <is>
          <t>Chemicals Supplier 069</t>
        </is>
      </c>
      <c r="C682" t="inlineStr">
        <is>
          <t>Chemicals</t>
        </is>
      </c>
      <c r="D682" t="n">
        <v>2015</v>
      </c>
      <c r="E682" t="n">
        <v>5465464.08</v>
      </c>
      <c r="F682" t="n">
        <v>33920083.54</v>
      </c>
      <c r="G682" t="n">
        <v>6379.6482</v>
      </c>
      <c r="H682" t="n">
        <v>6379.6482</v>
      </c>
      <c r="I682" t="n">
        <v>1185.478</v>
      </c>
      <c r="J682" t="n">
        <v>428.2469</v>
      </c>
      <c r="K682" t="n">
        <v>4405.0267</v>
      </c>
      <c r="L682" t="inlineStr"/>
      <c r="M682" t="inlineStr"/>
      <c r="N682" t="inlineStr"/>
      <c r="O682" t="inlineStr"/>
      <c r="P682" t="n">
        <v>2019</v>
      </c>
      <c r="Q682" t="n">
        <v>2035</v>
      </c>
      <c r="R682" t="n">
        <v>0.5229</v>
      </c>
      <c r="S682" t="n">
        <v>506.3191</v>
      </c>
      <c r="T682" t="n">
        <v>0.00100149</v>
      </c>
      <c r="U682" t="n">
        <v>0.00047124</v>
      </c>
    </row>
    <row r="683">
      <c r="A683" t="inlineStr">
        <is>
          <t>SUP-0069</t>
        </is>
      </c>
      <c r="B683" t="inlineStr">
        <is>
          <t>Chemicals Supplier 069</t>
        </is>
      </c>
      <c r="C683" t="inlineStr">
        <is>
          <t>Chemicals</t>
        </is>
      </c>
      <c r="D683" t="n">
        <v>2016</v>
      </c>
      <c r="E683" t="n">
        <v>5467862.58</v>
      </c>
      <c r="F683" t="n">
        <v>33237456.12</v>
      </c>
      <c r="G683" t="n">
        <v>5314.4978</v>
      </c>
      <c r="H683" t="n">
        <v>5314.4978</v>
      </c>
      <c r="I683" t="n">
        <v>1072.1321</v>
      </c>
      <c r="J683" t="n">
        <v>974.1582</v>
      </c>
      <c r="K683" t="n">
        <v>3061.2793</v>
      </c>
      <c r="L683" t="inlineStr"/>
      <c r="M683" t="inlineStr"/>
      <c r="N683" t="inlineStr"/>
      <c r="O683" t="inlineStr"/>
      <c r="P683" t="n">
        <v>2019</v>
      </c>
      <c r="Q683" t="n">
        <v>2035</v>
      </c>
      <c r="R683" t="n">
        <v>0.5229</v>
      </c>
      <c r="S683" t="n">
        <v>506.3191</v>
      </c>
      <c r="T683" t="n">
        <v>0.00100149</v>
      </c>
      <c r="U683" t="n">
        <v>0.00047124</v>
      </c>
    </row>
    <row r="684">
      <c r="A684" t="inlineStr">
        <is>
          <t>SUP-0069</t>
        </is>
      </c>
      <c r="B684" t="inlineStr">
        <is>
          <t>Chemicals Supplier 069</t>
        </is>
      </c>
      <c r="C684" t="inlineStr">
        <is>
          <t>Chemicals</t>
        </is>
      </c>
      <c r="D684" t="n">
        <v>2017</v>
      </c>
      <c r="E684" t="n">
        <v>5000794.32</v>
      </c>
      <c r="F684" t="n">
        <v>35810337.56</v>
      </c>
      <c r="G684" t="n">
        <v>6332.5194</v>
      </c>
      <c r="H684" t="n">
        <v>6332.5194</v>
      </c>
      <c r="I684" t="n">
        <v>1667.5336</v>
      </c>
      <c r="J684" t="n">
        <v>419.7029</v>
      </c>
      <c r="K684" t="n">
        <v>4258.0701</v>
      </c>
      <c r="L684" t="inlineStr"/>
      <c r="M684" t="inlineStr"/>
      <c r="N684" t="inlineStr"/>
      <c r="O684" t="inlineStr"/>
      <c r="P684" t="n">
        <v>2019</v>
      </c>
      <c r="Q684" t="n">
        <v>2035</v>
      </c>
      <c r="R684" t="n">
        <v>0.5229</v>
      </c>
      <c r="S684" t="n">
        <v>506.3191</v>
      </c>
      <c r="T684" t="n">
        <v>0.00100149</v>
      </c>
      <c r="U684" t="n">
        <v>0.00047124</v>
      </c>
    </row>
    <row r="685">
      <c r="A685" t="inlineStr">
        <is>
          <t>SUP-0069</t>
        </is>
      </c>
      <c r="B685" t="inlineStr">
        <is>
          <t>Chemicals Supplier 069</t>
        </is>
      </c>
      <c r="C685" t="inlineStr">
        <is>
          <t>Chemicals</t>
        </is>
      </c>
      <c r="D685" t="n">
        <v>2018</v>
      </c>
      <c r="E685" t="n">
        <v>5715548.27</v>
      </c>
      <c r="F685" t="n">
        <v>41301928.54</v>
      </c>
      <c r="G685" t="n">
        <v>5229.0996</v>
      </c>
      <c r="H685" t="n">
        <v>5229.0996</v>
      </c>
      <c r="I685" t="n">
        <v>597.7381</v>
      </c>
      <c r="J685" t="n">
        <v>678.2804</v>
      </c>
      <c r="K685" t="n">
        <v>3778.6248</v>
      </c>
      <c r="L685" t="inlineStr"/>
      <c r="M685" t="inlineStr"/>
      <c r="N685" t="inlineStr"/>
      <c r="O685" t="inlineStr"/>
      <c r="P685" t="n">
        <v>2019</v>
      </c>
      <c r="Q685" t="n">
        <v>2035</v>
      </c>
      <c r="R685" t="n">
        <v>0.5229</v>
      </c>
      <c r="S685" t="n">
        <v>506.3191</v>
      </c>
      <c r="T685" t="n">
        <v>0.00100149</v>
      </c>
      <c r="U685" t="n">
        <v>0.00047124</v>
      </c>
    </row>
    <row r="686">
      <c r="A686" t="inlineStr">
        <is>
          <t>SUP-0069</t>
        </is>
      </c>
      <c r="B686" t="inlineStr">
        <is>
          <t>Chemicals Supplier 069</t>
        </is>
      </c>
      <c r="C686" t="inlineStr">
        <is>
          <t>Chemicals</t>
        </is>
      </c>
      <c r="D686" t="n">
        <v>2019</v>
      </c>
      <c r="E686" t="n">
        <v>6634031.13</v>
      </c>
      <c r="F686" t="n">
        <v>25562518.17</v>
      </c>
      <c r="G686" t="n">
        <v>6264.6366</v>
      </c>
      <c r="H686" t="n">
        <v>6264.6366</v>
      </c>
      <c r="I686" t="n">
        <v>734.728</v>
      </c>
      <c r="J686" t="n">
        <v>579.7041</v>
      </c>
      <c r="K686" t="n">
        <v>4752.7613</v>
      </c>
      <c r="L686" t="inlineStr"/>
      <c r="M686" t="inlineStr"/>
      <c r="N686" t="inlineStr"/>
      <c r="O686" t="inlineStr"/>
      <c r="P686" t="n">
        <v>2019</v>
      </c>
      <c r="Q686" t="n">
        <v>2035</v>
      </c>
      <c r="R686" t="n">
        <v>0.5229</v>
      </c>
      <c r="S686" t="n">
        <v>506.3191</v>
      </c>
      <c r="T686" t="n">
        <v>0.00100149</v>
      </c>
      <c r="U686" t="n">
        <v>0.00047124</v>
      </c>
    </row>
    <row r="687">
      <c r="A687" t="inlineStr">
        <is>
          <t>SUP-0069</t>
        </is>
      </c>
      <c r="B687" t="inlineStr">
        <is>
          <t>Chemicals Supplier 069</t>
        </is>
      </c>
      <c r="C687" t="inlineStr">
        <is>
          <t>Chemicals</t>
        </is>
      </c>
      <c r="D687" t="n">
        <v>2020</v>
      </c>
      <c r="E687" t="n">
        <v>6621140.7</v>
      </c>
      <c r="F687" t="n">
        <v>35128467.24</v>
      </c>
      <c r="G687" t="n">
        <v>5636.5844</v>
      </c>
      <c r="H687" t="n">
        <v>5636.5844</v>
      </c>
      <c r="I687" t="n">
        <v>792.0367</v>
      </c>
      <c r="J687" t="n">
        <v>1129.8197</v>
      </c>
      <c r="K687" t="n">
        <v>3870.8027</v>
      </c>
      <c r="L687" t="inlineStr"/>
      <c r="M687" t="inlineStr"/>
      <c r="N687" t="inlineStr"/>
      <c r="O687" t="inlineStr"/>
      <c r="P687" t="n">
        <v>2019</v>
      </c>
      <c r="Q687" t="n">
        <v>2035</v>
      </c>
      <c r="R687" t="n">
        <v>0.5229</v>
      </c>
      <c r="S687" t="n">
        <v>506.3191</v>
      </c>
      <c r="T687" t="n">
        <v>0.00100149</v>
      </c>
      <c r="U687" t="n">
        <v>0.00047124</v>
      </c>
    </row>
    <row r="688">
      <c r="A688" t="inlineStr">
        <is>
          <t>SUP-0069</t>
        </is>
      </c>
      <c r="B688" t="inlineStr">
        <is>
          <t>Chemicals Supplier 069</t>
        </is>
      </c>
      <c r="C688" t="inlineStr">
        <is>
          <t>Chemicals</t>
        </is>
      </c>
      <c r="D688" t="n">
        <v>2021</v>
      </c>
      <c r="E688" t="n">
        <v>7117988.81</v>
      </c>
      <c r="F688" t="n">
        <v>45519100.41</v>
      </c>
      <c r="G688" t="n">
        <v>6038.6119</v>
      </c>
      <c r="H688" t="n">
        <v>6038.6119</v>
      </c>
      <c r="I688" t="n">
        <v>627.7264</v>
      </c>
      <c r="J688" t="n">
        <v>1297.3225</v>
      </c>
      <c r="K688" t="n">
        <v>4405.9451</v>
      </c>
      <c r="L688" t="inlineStr"/>
      <c r="M688" t="inlineStr"/>
      <c r="N688" t="inlineStr"/>
      <c r="O688" t="inlineStr"/>
      <c r="P688" t="n">
        <v>2019</v>
      </c>
      <c r="Q688" t="n">
        <v>2035</v>
      </c>
      <c r="R688" t="n">
        <v>0.5229</v>
      </c>
      <c r="S688" t="n">
        <v>506.3191</v>
      </c>
      <c r="T688" t="n">
        <v>0.00100149</v>
      </c>
      <c r="U688" t="n">
        <v>0.00047124</v>
      </c>
    </row>
    <row r="689">
      <c r="A689" t="inlineStr">
        <is>
          <t>SUP-0069</t>
        </is>
      </c>
      <c r="B689" t="inlineStr">
        <is>
          <t>Chemicals Supplier 069</t>
        </is>
      </c>
      <c r="C689" t="inlineStr">
        <is>
          <t>Chemicals</t>
        </is>
      </c>
      <c r="D689" t="n">
        <v>2022</v>
      </c>
      <c r="E689" t="n">
        <v>7690650.25</v>
      </c>
      <c r="F689" t="n">
        <v>42346828.48</v>
      </c>
      <c r="G689" t="n">
        <v>5480.1374</v>
      </c>
      <c r="H689" t="n">
        <v>5480.1374</v>
      </c>
      <c r="I689" t="n">
        <v>537.1181</v>
      </c>
      <c r="J689" t="n">
        <v>373.0039</v>
      </c>
      <c r="K689" t="n">
        <v>4651.7707</v>
      </c>
      <c r="L689" t="inlineStr"/>
      <c r="M689" t="inlineStr"/>
      <c r="N689" t="inlineStr"/>
      <c r="O689" t="inlineStr"/>
      <c r="P689" t="n">
        <v>2019</v>
      </c>
      <c r="Q689" t="n">
        <v>2035</v>
      </c>
      <c r="R689" t="n">
        <v>0.5229</v>
      </c>
      <c r="S689" t="n">
        <v>506.3191</v>
      </c>
      <c r="T689" t="n">
        <v>0.00100149</v>
      </c>
      <c r="U689" t="n">
        <v>0.00047124</v>
      </c>
    </row>
    <row r="690">
      <c r="A690" t="inlineStr">
        <is>
          <t>SUP-0069</t>
        </is>
      </c>
      <c r="B690" t="inlineStr">
        <is>
          <t>Chemicals Supplier 069</t>
        </is>
      </c>
      <c r="C690" t="inlineStr">
        <is>
          <t>Chemicals</t>
        </is>
      </c>
      <c r="D690" t="n">
        <v>2023</v>
      </c>
      <c r="E690" t="n">
        <v>7195164.69</v>
      </c>
      <c r="F690" t="n">
        <v>39608280.52</v>
      </c>
      <c r="G690" t="n">
        <v>6686.1137</v>
      </c>
      <c r="H690" t="n">
        <v>6686.1137</v>
      </c>
      <c r="I690" t="n">
        <v>1839.0444</v>
      </c>
      <c r="J690" t="n">
        <v>924.1332</v>
      </c>
      <c r="K690" t="n">
        <v>4276.9894</v>
      </c>
      <c r="L690" t="inlineStr"/>
      <c r="M690" t="inlineStr"/>
      <c r="N690" t="inlineStr"/>
      <c r="O690" t="inlineStr"/>
      <c r="P690" t="n">
        <v>2019</v>
      </c>
      <c r="Q690" t="n">
        <v>2035</v>
      </c>
      <c r="R690" t="n">
        <v>0.5229</v>
      </c>
      <c r="S690" t="n">
        <v>506.3191</v>
      </c>
      <c r="T690" t="n">
        <v>0.00100149</v>
      </c>
      <c r="U690" t="n">
        <v>0.00047124</v>
      </c>
    </row>
    <row r="691">
      <c r="A691" t="inlineStr">
        <is>
          <t>SUP-0069</t>
        </is>
      </c>
      <c r="B691" t="inlineStr">
        <is>
          <t>Chemicals Supplier 069</t>
        </is>
      </c>
      <c r="C691" t="inlineStr">
        <is>
          <t>Chemicals</t>
        </is>
      </c>
      <c r="D691" t="n">
        <v>2024</v>
      </c>
      <c r="E691" t="n">
        <v>7337261.26</v>
      </c>
      <c r="F691" t="n">
        <v>51791399.73</v>
      </c>
      <c r="G691" t="n">
        <v>4541.1221</v>
      </c>
      <c r="H691" t="n">
        <v>4541.1221</v>
      </c>
      <c r="I691" t="n">
        <v>1021.9259</v>
      </c>
      <c r="J691" t="n">
        <v>902.6064</v>
      </c>
      <c r="K691" t="n">
        <v>2893.9993</v>
      </c>
      <c r="L691" t="inlineStr"/>
      <c r="M691" t="inlineStr"/>
      <c r="N691" t="inlineStr"/>
      <c r="O691" t="inlineStr"/>
      <c r="P691" t="n">
        <v>2019</v>
      </c>
      <c r="Q691" t="n">
        <v>2035</v>
      </c>
      <c r="R691" t="n">
        <v>0.5229</v>
      </c>
      <c r="S691" t="n">
        <v>506.3191</v>
      </c>
      <c r="T691" t="n">
        <v>0.00100149</v>
      </c>
      <c r="U691" t="n">
        <v>0.00047124</v>
      </c>
    </row>
    <row r="692">
      <c r="A692" t="inlineStr">
        <is>
          <t>SUP-0070</t>
        </is>
      </c>
      <c r="B692" t="inlineStr">
        <is>
          <t>Agriculture Supplier 070</t>
        </is>
      </c>
      <c r="C692" t="inlineStr">
        <is>
          <t>Agriculture</t>
        </is>
      </c>
      <c r="D692" t="n">
        <v>2015</v>
      </c>
      <c r="E692" t="n">
        <v>1375042.58</v>
      </c>
      <c r="F692" t="n">
        <v>5571678.37</v>
      </c>
      <c r="G692" t="n">
        <v>941.8647999999999</v>
      </c>
      <c r="H692" t="n">
        <v>941.8647999999999</v>
      </c>
      <c r="I692" t="n">
        <v>80.00920000000001</v>
      </c>
      <c r="J692" t="n">
        <v>172.6739</v>
      </c>
      <c r="K692" t="n">
        <v>721.1348</v>
      </c>
      <c r="L692" t="n">
        <v>2020</v>
      </c>
      <c r="M692" t="n">
        <v>2035</v>
      </c>
      <c r="N692" t="n">
        <v>0.5262</v>
      </c>
      <c r="O692" t="n">
        <v>0.2341</v>
      </c>
      <c r="P692" t="n">
        <v>2018</v>
      </c>
      <c r="Q692" t="inlineStr"/>
      <c r="R692" t="inlineStr"/>
      <c r="S692" t="n">
        <v>529.8294</v>
      </c>
      <c r="T692" t="n">
        <v>0.00091413</v>
      </c>
      <c r="U692" t="n">
        <v>0.00096913</v>
      </c>
    </row>
    <row r="693">
      <c r="A693" t="inlineStr">
        <is>
          <t>SUP-0070</t>
        </is>
      </c>
      <c r="B693" t="inlineStr">
        <is>
          <t>Agriculture Supplier 070</t>
        </is>
      </c>
      <c r="C693" t="inlineStr">
        <is>
          <t>Agriculture</t>
        </is>
      </c>
      <c r="D693" t="n">
        <v>2016</v>
      </c>
      <c r="E693" t="n">
        <v>1652866.05</v>
      </c>
      <c r="F693" t="n">
        <v>4724171.33</v>
      </c>
      <c r="G693" t="n">
        <v>1152.599</v>
      </c>
      <c r="H693" t="n">
        <v>1152.599</v>
      </c>
      <c r="I693" t="n">
        <v>188.7866</v>
      </c>
      <c r="J693" t="n">
        <v>72.99460000000001</v>
      </c>
      <c r="K693" t="n">
        <v>992.9045</v>
      </c>
      <c r="L693" t="n">
        <v>2020</v>
      </c>
      <c r="M693" t="n">
        <v>2035</v>
      </c>
      <c r="N693" t="n">
        <v>0.5262</v>
      </c>
      <c r="O693" t="n">
        <v>0.2341</v>
      </c>
      <c r="P693" t="n">
        <v>2018</v>
      </c>
      <c r="Q693" t="inlineStr"/>
      <c r="R693" t="inlineStr"/>
      <c r="S693" t="n">
        <v>529.8294</v>
      </c>
      <c r="T693" t="n">
        <v>0.00091413</v>
      </c>
      <c r="U693" t="n">
        <v>0.00096913</v>
      </c>
    </row>
    <row r="694">
      <c r="A694" t="inlineStr">
        <is>
          <t>SUP-0070</t>
        </is>
      </c>
      <c r="B694" t="inlineStr">
        <is>
          <t>Agriculture Supplier 070</t>
        </is>
      </c>
      <c r="C694" t="inlineStr">
        <is>
          <t>Agriculture</t>
        </is>
      </c>
      <c r="D694" t="n">
        <v>2017</v>
      </c>
      <c r="E694" t="n">
        <v>1701465.96</v>
      </c>
      <c r="F694" t="n">
        <v>5605173.95</v>
      </c>
      <c r="G694" t="n">
        <v>1392.1278</v>
      </c>
      <c r="H694" t="n">
        <v>1392.1278</v>
      </c>
      <c r="I694" t="n">
        <v>229.8678</v>
      </c>
      <c r="J694" t="n">
        <v>132.9286</v>
      </c>
      <c r="K694" t="n">
        <v>997.1272</v>
      </c>
      <c r="L694" t="n">
        <v>2020</v>
      </c>
      <c r="M694" t="n">
        <v>2035</v>
      </c>
      <c r="N694" t="n">
        <v>0.5262</v>
      </c>
      <c r="O694" t="n">
        <v>0.2341</v>
      </c>
      <c r="P694" t="n">
        <v>2018</v>
      </c>
      <c r="Q694" t="inlineStr"/>
      <c r="R694" t="inlineStr"/>
      <c r="S694" t="n">
        <v>529.8294</v>
      </c>
      <c r="T694" t="n">
        <v>0.00091413</v>
      </c>
      <c r="U694" t="n">
        <v>0.00096913</v>
      </c>
    </row>
    <row r="695">
      <c r="A695" t="inlineStr">
        <is>
          <t>SUP-0070</t>
        </is>
      </c>
      <c r="B695" t="inlineStr">
        <is>
          <t>Agriculture Supplier 070</t>
        </is>
      </c>
      <c r="C695" t="inlineStr">
        <is>
          <t>Agriculture</t>
        </is>
      </c>
      <c r="D695" t="n">
        <v>2018</v>
      </c>
      <c r="E695" t="n">
        <v>1484793.07</v>
      </c>
      <c r="F695" t="n">
        <v>6238823.75</v>
      </c>
      <c r="G695" t="n">
        <v>1085.2951</v>
      </c>
      <c r="H695" t="n">
        <v>1085.2951</v>
      </c>
      <c r="I695" t="n">
        <v>139.8256</v>
      </c>
      <c r="J695" t="n">
        <v>62.6339</v>
      </c>
      <c r="K695" t="n">
        <v>814.4272</v>
      </c>
      <c r="L695" t="n">
        <v>2020</v>
      </c>
      <c r="M695" t="n">
        <v>2035</v>
      </c>
      <c r="N695" t="n">
        <v>0.5262</v>
      </c>
      <c r="O695" t="n">
        <v>0.2341</v>
      </c>
      <c r="P695" t="n">
        <v>2018</v>
      </c>
      <c r="Q695" t="inlineStr"/>
      <c r="R695" t="inlineStr"/>
      <c r="S695" t="n">
        <v>529.8294</v>
      </c>
      <c r="T695" t="n">
        <v>0.00091413</v>
      </c>
      <c r="U695" t="n">
        <v>0.00096913</v>
      </c>
    </row>
    <row r="696">
      <c r="A696" t="inlineStr">
        <is>
          <t>SUP-0070</t>
        </is>
      </c>
      <c r="B696" t="inlineStr">
        <is>
          <t>Agriculture Supplier 070</t>
        </is>
      </c>
      <c r="C696" t="inlineStr">
        <is>
          <t>Agriculture</t>
        </is>
      </c>
      <c r="D696" t="n">
        <v>2019</v>
      </c>
      <c r="E696" t="n">
        <v>1783163.67</v>
      </c>
      <c r="F696" t="n">
        <v>6785150.48</v>
      </c>
      <c r="G696" t="n">
        <v>977.9648999999999</v>
      </c>
      <c r="H696" t="n">
        <v>977.9648999999999</v>
      </c>
      <c r="I696" t="n">
        <v>176.7909</v>
      </c>
      <c r="J696" t="n">
        <v>220.7979</v>
      </c>
      <c r="K696" t="n">
        <v>584.1249</v>
      </c>
      <c r="L696" t="n">
        <v>2020</v>
      </c>
      <c r="M696" t="n">
        <v>2035</v>
      </c>
      <c r="N696" t="n">
        <v>0.5262</v>
      </c>
      <c r="O696" t="n">
        <v>0.2341</v>
      </c>
      <c r="P696" t="n">
        <v>2018</v>
      </c>
      <c r="Q696" t="inlineStr"/>
      <c r="R696" t="inlineStr"/>
      <c r="S696" t="n">
        <v>529.8294</v>
      </c>
      <c r="T696" t="n">
        <v>0.00091413</v>
      </c>
      <c r="U696" t="n">
        <v>0.00096913</v>
      </c>
    </row>
    <row r="697">
      <c r="A697" t="inlineStr">
        <is>
          <t>SUP-0070</t>
        </is>
      </c>
      <c r="B697" t="inlineStr">
        <is>
          <t>Agriculture Supplier 070</t>
        </is>
      </c>
      <c r="C697" t="inlineStr">
        <is>
          <t>Agriculture</t>
        </is>
      </c>
      <c r="D697" t="n">
        <v>2020</v>
      </c>
      <c r="E697" t="n">
        <v>1775564.61</v>
      </c>
      <c r="F697" t="n">
        <v>5902376.3</v>
      </c>
      <c r="G697" t="n">
        <v>1108.6892</v>
      </c>
      <c r="H697" t="n">
        <v>1108.6892</v>
      </c>
      <c r="I697" t="n">
        <v>249.1961</v>
      </c>
      <c r="J697" t="n">
        <v>237.0501</v>
      </c>
      <c r="K697" t="n">
        <v>657.0151</v>
      </c>
      <c r="L697" t="n">
        <v>2020</v>
      </c>
      <c r="M697" t="n">
        <v>2035</v>
      </c>
      <c r="N697" t="n">
        <v>0.5262</v>
      </c>
      <c r="O697" t="n">
        <v>0.2341</v>
      </c>
      <c r="P697" t="n">
        <v>2018</v>
      </c>
      <c r="Q697" t="inlineStr"/>
      <c r="R697" t="inlineStr"/>
      <c r="S697" t="n">
        <v>529.8294</v>
      </c>
      <c r="T697" t="n">
        <v>0.00091413</v>
      </c>
      <c r="U697" t="n">
        <v>0.00096913</v>
      </c>
    </row>
    <row r="698">
      <c r="A698" t="inlineStr">
        <is>
          <t>SUP-0070</t>
        </is>
      </c>
      <c r="B698" t="inlineStr">
        <is>
          <t>Agriculture Supplier 070</t>
        </is>
      </c>
      <c r="C698" t="inlineStr">
        <is>
          <t>Agriculture</t>
        </is>
      </c>
      <c r="D698" t="n">
        <v>2021</v>
      </c>
      <c r="E698" t="n">
        <v>1775726.42</v>
      </c>
      <c r="F698" t="n">
        <v>5954332.68</v>
      </c>
      <c r="G698" t="n">
        <v>1318.4728</v>
      </c>
      <c r="H698" t="n">
        <v>1318.4728</v>
      </c>
      <c r="I698" t="n">
        <v>303.1162</v>
      </c>
      <c r="J698" t="n">
        <v>277.1492</v>
      </c>
      <c r="K698" t="n">
        <v>724.1574000000001</v>
      </c>
      <c r="L698" t="n">
        <v>2020</v>
      </c>
      <c r="M698" t="n">
        <v>2035</v>
      </c>
      <c r="N698" t="n">
        <v>0.5262</v>
      </c>
      <c r="O698" t="n">
        <v>0.2341</v>
      </c>
      <c r="P698" t="n">
        <v>2018</v>
      </c>
      <c r="Q698" t="inlineStr"/>
      <c r="R698" t="inlineStr"/>
      <c r="S698" t="n">
        <v>529.8294</v>
      </c>
      <c r="T698" t="n">
        <v>0.00091413</v>
      </c>
      <c r="U698" t="n">
        <v>0.00096913</v>
      </c>
    </row>
    <row r="699">
      <c r="A699" t="inlineStr">
        <is>
          <t>SUP-0070</t>
        </is>
      </c>
      <c r="B699" t="inlineStr">
        <is>
          <t>Agriculture Supplier 070</t>
        </is>
      </c>
      <c r="C699" t="inlineStr">
        <is>
          <t>Agriculture</t>
        </is>
      </c>
      <c r="D699" t="n">
        <v>2022</v>
      </c>
      <c r="E699" t="n">
        <v>1788186.29</v>
      </c>
      <c r="F699" t="n">
        <v>7690777.36</v>
      </c>
      <c r="G699" t="n">
        <v>1029.4723</v>
      </c>
      <c r="H699" t="n">
        <v>1029.4723</v>
      </c>
      <c r="I699" t="n">
        <v>187.9748</v>
      </c>
      <c r="J699" t="n">
        <v>235.2314</v>
      </c>
      <c r="K699" t="n">
        <v>691.3718</v>
      </c>
      <c r="L699" t="n">
        <v>2020</v>
      </c>
      <c r="M699" t="n">
        <v>2035</v>
      </c>
      <c r="N699" t="n">
        <v>0.5262</v>
      </c>
      <c r="O699" t="n">
        <v>0.2341</v>
      </c>
      <c r="P699" t="n">
        <v>2018</v>
      </c>
      <c r="Q699" t="inlineStr"/>
      <c r="R699" t="inlineStr"/>
      <c r="S699" t="n">
        <v>529.8294</v>
      </c>
      <c r="T699" t="n">
        <v>0.00091413</v>
      </c>
      <c r="U699" t="n">
        <v>0.00096913</v>
      </c>
    </row>
    <row r="700">
      <c r="A700" t="inlineStr">
        <is>
          <t>SUP-0070</t>
        </is>
      </c>
      <c r="B700" t="inlineStr">
        <is>
          <t>Agriculture Supplier 070</t>
        </is>
      </c>
      <c r="C700" t="inlineStr">
        <is>
          <t>Agriculture</t>
        </is>
      </c>
      <c r="D700" t="n">
        <v>2023</v>
      </c>
      <c r="E700" t="n">
        <v>1806214.5</v>
      </c>
      <c r="F700" t="n">
        <v>4842678.04</v>
      </c>
      <c r="G700" t="n">
        <v>1068.5917</v>
      </c>
      <c r="H700" t="n">
        <v>1068.5917</v>
      </c>
      <c r="I700" t="n">
        <v>193.1409</v>
      </c>
      <c r="J700" t="n">
        <v>79.4084</v>
      </c>
      <c r="K700" t="n">
        <v>713.1055</v>
      </c>
      <c r="L700" t="n">
        <v>2020</v>
      </c>
      <c r="M700" t="n">
        <v>2035</v>
      </c>
      <c r="N700" t="n">
        <v>0.5262</v>
      </c>
      <c r="O700" t="n">
        <v>0.2341</v>
      </c>
      <c r="P700" t="n">
        <v>2018</v>
      </c>
      <c r="Q700" t="inlineStr"/>
      <c r="R700" t="inlineStr"/>
      <c r="S700" t="n">
        <v>529.8294</v>
      </c>
      <c r="T700" t="n">
        <v>0.00091413</v>
      </c>
      <c r="U700" t="n">
        <v>0.00096913</v>
      </c>
    </row>
    <row r="701">
      <c r="A701" t="inlineStr">
        <is>
          <t>SUP-0070</t>
        </is>
      </c>
      <c r="B701" t="inlineStr">
        <is>
          <t>Agriculture Supplier 070</t>
        </is>
      </c>
      <c r="C701" t="inlineStr">
        <is>
          <t>Agriculture</t>
        </is>
      </c>
      <c r="D701" t="n">
        <v>2024</v>
      </c>
      <c r="E701" t="n">
        <v>1745636.25</v>
      </c>
      <c r="F701" t="n">
        <v>6872336.88</v>
      </c>
      <c r="G701" t="n">
        <v>1092.2372</v>
      </c>
      <c r="H701" t="n">
        <v>1092.2372</v>
      </c>
      <c r="I701" t="n">
        <v>320.9355</v>
      </c>
      <c r="J701" t="n">
        <v>78.02849999999999</v>
      </c>
      <c r="K701" t="n">
        <v>725.5937</v>
      </c>
      <c r="L701" t="n">
        <v>2020</v>
      </c>
      <c r="M701" t="n">
        <v>2035</v>
      </c>
      <c r="N701" t="n">
        <v>0.5262</v>
      </c>
      <c r="O701" t="n">
        <v>0.2341</v>
      </c>
      <c r="P701" t="n">
        <v>2018</v>
      </c>
      <c r="Q701" t="inlineStr"/>
      <c r="R701" t="inlineStr"/>
      <c r="S701" t="n">
        <v>529.8294</v>
      </c>
      <c r="T701" t="n">
        <v>0.00091413</v>
      </c>
      <c r="U701" t="n">
        <v>0.00096913</v>
      </c>
    </row>
    <row r="702">
      <c r="A702" t="inlineStr">
        <is>
          <t>SUP-0071</t>
        </is>
      </c>
      <c r="B702" t="inlineStr">
        <is>
          <t>Chemicals Supplier 071</t>
        </is>
      </c>
      <c r="C702" t="inlineStr">
        <is>
          <t>Chemicals</t>
        </is>
      </c>
      <c r="D702" t="n">
        <v>2015</v>
      </c>
      <c r="E702" t="n">
        <v>22811105.57</v>
      </c>
      <c r="F702" t="n">
        <v>58530529.1</v>
      </c>
      <c r="G702" t="n">
        <v>15764.715</v>
      </c>
      <c r="H702" t="n">
        <v>15764.715</v>
      </c>
      <c r="I702" t="n">
        <v>2834.657</v>
      </c>
      <c r="J702" t="n">
        <v>2267.6755</v>
      </c>
      <c r="K702" t="n">
        <v>9462.730299999999</v>
      </c>
      <c r="L702" t="n">
        <v>2021</v>
      </c>
      <c r="M702" t="n">
        <v>2040</v>
      </c>
      <c r="N702" t="n">
        <v>0.5246</v>
      </c>
      <c r="O702" t="n">
        <v>0.2891</v>
      </c>
      <c r="P702" t="n">
        <v>2019</v>
      </c>
      <c r="Q702" t="n">
        <v>2035</v>
      </c>
      <c r="R702" t="n">
        <v>0.5229</v>
      </c>
      <c r="S702" t="n">
        <v>506.3191</v>
      </c>
      <c r="T702" t="n">
        <v>0.00100149</v>
      </c>
      <c r="U702" t="n">
        <v>0.00047124</v>
      </c>
    </row>
    <row r="703">
      <c r="A703" t="inlineStr">
        <is>
          <t>SUP-0071</t>
        </is>
      </c>
      <c r="B703" t="inlineStr">
        <is>
          <t>Chemicals Supplier 071</t>
        </is>
      </c>
      <c r="C703" t="inlineStr">
        <is>
          <t>Chemicals</t>
        </is>
      </c>
      <c r="D703" t="n">
        <v>2016</v>
      </c>
      <c r="E703" t="n">
        <v>26896940.43</v>
      </c>
      <c r="F703" t="n">
        <v>58075452.16</v>
      </c>
      <c r="G703" t="n">
        <v>17590.8476</v>
      </c>
      <c r="H703" t="n">
        <v>17590.8476</v>
      </c>
      <c r="I703" t="n">
        <v>2623.5259</v>
      </c>
      <c r="J703" t="n">
        <v>2828.2184</v>
      </c>
      <c r="K703" t="n">
        <v>10289.4215</v>
      </c>
      <c r="L703" t="n">
        <v>2021</v>
      </c>
      <c r="M703" t="n">
        <v>2040</v>
      </c>
      <c r="N703" t="n">
        <v>0.5246</v>
      </c>
      <c r="O703" t="n">
        <v>0.2891</v>
      </c>
      <c r="P703" t="n">
        <v>2019</v>
      </c>
      <c r="Q703" t="n">
        <v>2035</v>
      </c>
      <c r="R703" t="n">
        <v>0.5229</v>
      </c>
      <c r="S703" t="n">
        <v>506.3191</v>
      </c>
      <c r="T703" t="n">
        <v>0.00100149</v>
      </c>
      <c r="U703" t="n">
        <v>0.00047124</v>
      </c>
    </row>
    <row r="704">
      <c r="A704" t="inlineStr">
        <is>
          <t>SUP-0071</t>
        </is>
      </c>
      <c r="B704" t="inlineStr">
        <is>
          <t>Chemicals Supplier 071</t>
        </is>
      </c>
      <c r="C704" t="inlineStr">
        <is>
          <t>Chemicals</t>
        </is>
      </c>
      <c r="D704" t="n">
        <v>2017</v>
      </c>
      <c r="E704" t="n">
        <v>22742596.66</v>
      </c>
      <c r="F704" t="n">
        <v>72190565.84</v>
      </c>
      <c r="G704" t="n">
        <v>15764.4531</v>
      </c>
      <c r="H704" t="n">
        <v>15764.4531</v>
      </c>
      <c r="I704" t="n">
        <v>3035.6635</v>
      </c>
      <c r="J704" t="n">
        <v>2015.3068</v>
      </c>
      <c r="K704" t="n">
        <v>10395.6809</v>
      </c>
      <c r="L704" t="n">
        <v>2021</v>
      </c>
      <c r="M704" t="n">
        <v>2040</v>
      </c>
      <c r="N704" t="n">
        <v>0.5246</v>
      </c>
      <c r="O704" t="n">
        <v>0.2891</v>
      </c>
      <c r="P704" t="n">
        <v>2019</v>
      </c>
      <c r="Q704" t="n">
        <v>2035</v>
      </c>
      <c r="R704" t="n">
        <v>0.5229</v>
      </c>
      <c r="S704" t="n">
        <v>506.3191</v>
      </c>
      <c r="T704" t="n">
        <v>0.00100149</v>
      </c>
      <c r="U704" t="n">
        <v>0.00047124</v>
      </c>
    </row>
    <row r="705">
      <c r="A705" t="inlineStr">
        <is>
          <t>SUP-0071</t>
        </is>
      </c>
      <c r="B705" t="inlineStr">
        <is>
          <t>Chemicals Supplier 071</t>
        </is>
      </c>
      <c r="C705" t="inlineStr">
        <is>
          <t>Chemicals</t>
        </is>
      </c>
      <c r="D705" t="n">
        <v>2018</v>
      </c>
      <c r="E705" t="n">
        <v>28910524.85</v>
      </c>
      <c r="F705" t="n">
        <v>76841563.66</v>
      </c>
      <c r="G705" t="n">
        <v>22080.4409</v>
      </c>
      <c r="H705" t="n">
        <v>22080.4409</v>
      </c>
      <c r="I705" t="n">
        <v>5003.0544</v>
      </c>
      <c r="J705" t="n">
        <v>2350.564</v>
      </c>
      <c r="K705" t="n">
        <v>13573.9181</v>
      </c>
      <c r="L705" t="n">
        <v>2021</v>
      </c>
      <c r="M705" t="n">
        <v>2040</v>
      </c>
      <c r="N705" t="n">
        <v>0.5246</v>
      </c>
      <c r="O705" t="n">
        <v>0.2891</v>
      </c>
      <c r="P705" t="n">
        <v>2019</v>
      </c>
      <c r="Q705" t="n">
        <v>2035</v>
      </c>
      <c r="R705" t="n">
        <v>0.5229</v>
      </c>
      <c r="S705" t="n">
        <v>506.3191</v>
      </c>
      <c r="T705" t="n">
        <v>0.00100149</v>
      </c>
      <c r="U705" t="n">
        <v>0.00047124</v>
      </c>
    </row>
    <row r="706">
      <c r="A706" t="inlineStr">
        <is>
          <t>SUP-0071</t>
        </is>
      </c>
      <c r="B706" t="inlineStr">
        <is>
          <t>Chemicals Supplier 071</t>
        </is>
      </c>
      <c r="C706" t="inlineStr">
        <is>
          <t>Chemicals</t>
        </is>
      </c>
      <c r="D706" t="n">
        <v>2019</v>
      </c>
      <c r="E706" t="n">
        <v>33263938.5</v>
      </c>
      <c r="F706" t="n">
        <v>69217826.81999999</v>
      </c>
      <c r="G706" t="n">
        <v>23403.6238</v>
      </c>
      <c r="H706" t="n">
        <v>23403.6238</v>
      </c>
      <c r="I706" t="n">
        <v>5761.8448</v>
      </c>
      <c r="J706" t="n">
        <v>1783.1407</v>
      </c>
      <c r="K706" t="n">
        <v>16364.3809</v>
      </c>
      <c r="L706" t="n">
        <v>2021</v>
      </c>
      <c r="M706" t="n">
        <v>2040</v>
      </c>
      <c r="N706" t="n">
        <v>0.5246</v>
      </c>
      <c r="O706" t="n">
        <v>0.2891</v>
      </c>
      <c r="P706" t="n">
        <v>2019</v>
      </c>
      <c r="Q706" t="n">
        <v>2035</v>
      </c>
      <c r="R706" t="n">
        <v>0.5229</v>
      </c>
      <c r="S706" t="n">
        <v>506.3191</v>
      </c>
      <c r="T706" t="n">
        <v>0.00100149</v>
      </c>
      <c r="U706" t="n">
        <v>0.00047124</v>
      </c>
    </row>
    <row r="707">
      <c r="A707" t="inlineStr">
        <is>
          <t>SUP-0071</t>
        </is>
      </c>
      <c r="B707" t="inlineStr">
        <is>
          <t>Chemicals Supplier 071</t>
        </is>
      </c>
      <c r="C707" t="inlineStr">
        <is>
          <t>Chemicals</t>
        </is>
      </c>
      <c r="D707" t="n">
        <v>2020</v>
      </c>
      <c r="E707" t="n">
        <v>27314148.25</v>
      </c>
      <c r="F707" t="n">
        <v>81276736.59</v>
      </c>
      <c r="G707" t="n">
        <v>16605.1135</v>
      </c>
      <c r="H707" t="n">
        <v>16605.1135</v>
      </c>
      <c r="I707" t="n">
        <v>1990.9293</v>
      </c>
      <c r="J707" t="n">
        <v>1831.5292</v>
      </c>
      <c r="K707" t="n">
        <v>11520.5585</v>
      </c>
      <c r="L707" t="n">
        <v>2021</v>
      </c>
      <c r="M707" t="n">
        <v>2040</v>
      </c>
      <c r="N707" t="n">
        <v>0.5246</v>
      </c>
      <c r="O707" t="n">
        <v>0.2891</v>
      </c>
      <c r="P707" t="n">
        <v>2019</v>
      </c>
      <c r="Q707" t="n">
        <v>2035</v>
      </c>
      <c r="R707" t="n">
        <v>0.5229</v>
      </c>
      <c r="S707" t="n">
        <v>506.3191</v>
      </c>
      <c r="T707" t="n">
        <v>0.00100149</v>
      </c>
      <c r="U707" t="n">
        <v>0.00047124</v>
      </c>
    </row>
    <row r="708">
      <c r="A708" t="inlineStr">
        <is>
          <t>SUP-0071</t>
        </is>
      </c>
      <c r="B708" t="inlineStr">
        <is>
          <t>Chemicals Supplier 071</t>
        </is>
      </c>
      <c r="C708" t="inlineStr">
        <is>
          <t>Chemicals</t>
        </is>
      </c>
      <c r="D708" t="n">
        <v>2021</v>
      </c>
      <c r="E708" t="n">
        <v>34238844.19</v>
      </c>
      <c r="F708" t="n">
        <v>85065897.43000001</v>
      </c>
      <c r="G708" t="n">
        <v>23855.8461</v>
      </c>
      <c r="H708" t="n">
        <v>23855.8461</v>
      </c>
      <c r="I708" t="n">
        <v>2965.3576</v>
      </c>
      <c r="J708" t="n">
        <v>2821.8846</v>
      </c>
      <c r="K708" t="n">
        <v>18110.2081</v>
      </c>
      <c r="L708" t="n">
        <v>2021</v>
      </c>
      <c r="M708" t="n">
        <v>2040</v>
      </c>
      <c r="N708" t="n">
        <v>0.5246</v>
      </c>
      <c r="O708" t="n">
        <v>0.2891</v>
      </c>
      <c r="P708" t="n">
        <v>2019</v>
      </c>
      <c r="Q708" t="n">
        <v>2035</v>
      </c>
      <c r="R708" t="n">
        <v>0.5229</v>
      </c>
      <c r="S708" t="n">
        <v>506.3191</v>
      </c>
      <c r="T708" t="n">
        <v>0.00100149</v>
      </c>
      <c r="U708" t="n">
        <v>0.00047124</v>
      </c>
    </row>
    <row r="709">
      <c r="A709" t="inlineStr">
        <is>
          <t>SUP-0071</t>
        </is>
      </c>
      <c r="B709" t="inlineStr">
        <is>
          <t>Chemicals Supplier 071</t>
        </is>
      </c>
      <c r="C709" t="inlineStr">
        <is>
          <t>Chemicals</t>
        </is>
      </c>
      <c r="D709" t="n">
        <v>2022</v>
      </c>
      <c r="E709" t="n">
        <v>35596223.75</v>
      </c>
      <c r="F709" t="n">
        <v>81356766.12</v>
      </c>
      <c r="G709" t="n">
        <v>19196.8338</v>
      </c>
      <c r="H709" t="n">
        <v>19196.8338</v>
      </c>
      <c r="I709" t="n">
        <v>3652.9592</v>
      </c>
      <c r="J709" t="n">
        <v>2385.8163</v>
      </c>
      <c r="K709" t="n">
        <v>13395.4594</v>
      </c>
      <c r="L709" t="n">
        <v>2021</v>
      </c>
      <c r="M709" t="n">
        <v>2040</v>
      </c>
      <c r="N709" t="n">
        <v>0.5246</v>
      </c>
      <c r="O709" t="n">
        <v>0.2891</v>
      </c>
      <c r="P709" t="n">
        <v>2019</v>
      </c>
      <c r="Q709" t="n">
        <v>2035</v>
      </c>
      <c r="R709" t="n">
        <v>0.5229</v>
      </c>
      <c r="S709" t="n">
        <v>506.3191</v>
      </c>
      <c r="T709" t="n">
        <v>0.00100149</v>
      </c>
      <c r="U709" t="n">
        <v>0.00047124</v>
      </c>
    </row>
    <row r="710">
      <c r="A710" t="inlineStr">
        <is>
          <t>SUP-0071</t>
        </is>
      </c>
      <c r="B710" t="inlineStr">
        <is>
          <t>Chemicals Supplier 071</t>
        </is>
      </c>
      <c r="C710" t="inlineStr">
        <is>
          <t>Chemicals</t>
        </is>
      </c>
      <c r="D710" t="n">
        <v>2023</v>
      </c>
      <c r="E710" t="n">
        <v>35181325.06</v>
      </c>
      <c r="F710" t="n">
        <v>126853573.13</v>
      </c>
      <c r="G710" t="n">
        <v>17332.5614</v>
      </c>
      <c r="H710" t="n">
        <v>17332.5614</v>
      </c>
      <c r="I710" t="n">
        <v>4377.128</v>
      </c>
      <c r="J710" t="n">
        <v>2751.7918</v>
      </c>
      <c r="K710" t="n">
        <v>10302.1126</v>
      </c>
      <c r="L710" t="n">
        <v>2021</v>
      </c>
      <c r="M710" t="n">
        <v>2040</v>
      </c>
      <c r="N710" t="n">
        <v>0.5246</v>
      </c>
      <c r="O710" t="n">
        <v>0.2891</v>
      </c>
      <c r="P710" t="n">
        <v>2019</v>
      </c>
      <c r="Q710" t="n">
        <v>2035</v>
      </c>
      <c r="R710" t="n">
        <v>0.5229</v>
      </c>
      <c r="S710" t="n">
        <v>506.3191</v>
      </c>
      <c r="T710" t="n">
        <v>0.00100149</v>
      </c>
      <c r="U710" t="n">
        <v>0.00047124</v>
      </c>
    </row>
    <row r="711">
      <c r="A711" t="inlineStr">
        <is>
          <t>SUP-0071</t>
        </is>
      </c>
      <c r="B711" t="inlineStr">
        <is>
          <t>Chemicals Supplier 071</t>
        </is>
      </c>
      <c r="C711" t="inlineStr">
        <is>
          <t>Chemicals</t>
        </is>
      </c>
      <c r="D711" t="n">
        <v>2024</v>
      </c>
      <c r="E711" t="n">
        <v>43200087.82</v>
      </c>
      <c r="F711" t="n">
        <v>123558713.2</v>
      </c>
      <c r="G711" t="n">
        <v>21541.644</v>
      </c>
      <c r="H711" t="n">
        <v>21541.644</v>
      </c>
      <c r="I711" t="n">
        <v>1955.2305</v>
      </c>
      <c r="J711" t="n">
        <v>4891.8038</v>
      </c>
      <c r="K711" t="n">
        <v>16048.01</v>
      </c>
      <c r="L711" t="n">
        <v>2021</v>
      </c>
      <c r="M711" t="n">
        <v>2040</v>
      </c>
      <c r="N711" t="n">
        <v>0.5246</v>
      </c>
      <c r="O711" t="n">
        <v>0.2891</v>
      </c>
      <c r="P711" t="n">
        <v>2019</v>
      </c>
      <c r="Q711" t="n">
        <v>2035</v>
      </c>
      <c r="R711" t="n">
        <v>0.5229</v>
      </c>
      <c r="S711" t="n">
        <v>506.3191</v>
      </c>
      <c r="T711" t="n">
        <v>0.00100149</v>
      </c>
      <c r="U711" t="n">
        <v>0.00047124</v>
      </c>
    </row>
    <row r="712">
      <c r="A712" t="inlineStr">
        <is>
          <t>SUP-0072</t>
        </is>
      </c>
      <c r="B712" t="inlineStr">
        <is>
          <t>Electronics Supplier 072</t>
        </is>
      </c>
      <c r="C712" t="inlineStr">
        <is>
          <t>Electronics</t>
        </is>
      </c>
      <c r="D712" t="n">
        <v>2015</v>
      </c>
      <c r="E712" t="n">
        <v>10506325.85</v>
      </c>
      <c r="F712" t="n">
        <v>38913778.26</v>
      </c>
      <c r="G712" t="n">
        <v>11993.606</v>
      </c>
      <c r="H712" t="n">
        <v>11993.606</v>
      </c>
      <c r="I712" t="n">
        <v>1102.629</v>
      </c>
      <c r="J712" t="n">
        <v>2500.1968</v>
      </c>
      <c r="K712" t="n">
        <v>8727.2613</v>
      </c>
      <c r="L712" t="n">
        <v>2018</v>
      </c>
      <c r="M712" t="n">
        <v>2040</v>
      </c>
      <c r="N712" t="n">
        <v>0.5726</v>
      </c>
      <c r="O712" t="n">
        <v>0.3086</v>
      </c>
      <c r="P712" t="n">
        <v>2018</v>
      </c>
      <c r="Q712" t="n">
        <v>2040</v>
      </c>
      <c r="R712" t="n">
        <v>0.3424</v>
      </c>
      <c r="S712" t="n">
        <v>635.1588</v>
      </c>
      <c r="T712" t="n">
        <v>0.00086105</v>
      </c>
      <c r="U712" t="n">
        <v>0.00013947</v>
      </c>
    </row>
    <row r="713">
      <c r="A713" t="inlineStr">
        <is>
          <t>SUP-0072</t>
        </is>
      </c>
      <c r="B713" t="inlineStr">
        <is>
          <t>Electronics Supplier 072</t>
        </is>
      </c>
      <c r="C713" t="inlineStr">
        <is>
          <t>Electronics</t>
        </is>
      </c>
      <c r="D713" t="n">
        <v>2016</v>
      </c>
      <c r="E713" t="n">
        <v>11713705.18</v>
      </c>
      <c r="F713" t="n">
        <v>41959310.29</v>
      </c>
      <c r="G713" t="n">
        <v>12183.6758</v>
      </c>
      <c r="H713" t="n">
        <v>12183.6758</v>
      </c>
      <c r="I713" t="n">
        <v>1278.7069</v>
      </c>
      <c r="J713" t="n">
        <v>2056.5272</v>
      </c>
      <c r="K713" t="n">
        <v>8547.5137</v>
      </c>
      <c r="L713" t="n">
        <v>2018</v>
      </c>
      <c r="M713" t="n">
        <v>2040</v>
      </c>
      <c r="N713" t="n">
        <v>0.5726</v>
      </c>
      <c r="O713" t="n">
        <v>0.3086</v>
      </c>
      <c r="P713" t="n">
        <v>2018</v>
      </c>
      <c r="Q713" t="n">
        <v>2040</v>
      </c>
      <c r="R713" t="n">
        <v>0.3424</v>
      </c>
      <c r="S713" t="n">
        <v>635.1588</v>
      </c>
      <c r="T713" t="n">
        <v>0.00086105</v>
      </c>
      <c r="U713" t="n">
        <v>0.00013947</v>
      </c>
    </row>
    <row r="714">
      <c r="A714" t="inlineStr">
        <is>
          <t>SUP-0072</t>
        </is>
      </c>
      <c r="B714" t="inlineStr">
        <is>
          <t>Electronics Supplier 072</t>
        </is>
      </c>
      <c r="C714" t="inlineStr">
        <is>
          <t>Electronics</t>
        </is>
      </c>
      <c r="D714" t="n">
        <v>2017</v>
      </c>
      <c r="E714" t="n">
        <v>11695391.97</v>
      </c>
      <c r="F714" t="n">
        <v>33854957.91</v>
      </c>
      <c r="G714" t="n">
        <v>11398.2178</v>
      </c>
      <c r="H714" t="n">
        <v>11398.2178</v>
      </c>
      <c r="I714" t="n">
        <v>1192.4761</v>
      </c>
      <c r="J714" t="n">
        <v>2477.0986</v>
      </c>
      <c r="K714" t="n">
        <v>7533.0768</v>
      </c>
      <c r="L714" t="n">
        <v>2018</v>
      </c>
      <c r="M714" t="n">
        <v>2040</v>
      </c>
      <c r="N714" t="n">
        <v>0.5726</v>
      </c>
      <c r="O714" t="n">
        <v>0.3086</v>
      </c>
      <c r="P714" t="n">
        <v>2018</v>
      </c>
      <c r="Q714" t="n">
        <v>2040</v>
      </c>
      <c r="R714" t="n">
        <v>0.3424</v>
      </c>
      <c r="S714" t="n">
        <v>635.1588</v>
      </c>
      <c r="T714" t="n">
        <v>0.00086105</v>
      </c>
      <c r="U714" t="n">
        <v>0.00013947</v>
      </c>
    </row>
    <row r="715">
      <c r="A715" t="inlineStr">
        <is>
          <t>SUP-0072</t>
        </is>
      </c>
      <c r="B715" t="inlineStr">
        <is>
          <t>Electronics Supplier 072</t>
        </is>
      </c>
      <c r="C715" t="inlineStr">
        <is>
          <t>Electronics</t>
        </is>
      </c>
      <c r="D715" t="n">
        <v>2018</v>
      </c>
      <c r="E715" t="n">
        <v>9854888.34</v>
      </c>
      <c r="F715" t="n">
        <v>41561339.73</v>
      </c>
      <c r="G715" t="n">
        <v>10423.0333</v>
      </c>
      <c r="H715" t="n">
        <v>10423.0333</v>
      </c>
      <c r="I715" t="n">
        <v>1230.3426</v>
      </c>
      <c r="J715" t="n">
        <v>900.4161</v>
      </c>
      <c r="K715" t="n">
        <v>8604.0663</v>
      </c>
      <c r="L715" t="n">
        <v>2018</v>
      </c>
      <c r="M715" t="n">
        <v>2040</v>
      </c>
      <c r="N715" t="n">
        <v>0.5726</v>
      </c>
      <c r="O715" t="n">
        <v>0.3086</v>
      </c>
      <c r="P715" t="n">
        <v>2018</v>
      </c>
      <c r="Q715" t="n">
        <v>2040</v>
      </c>
      <c r="R715" t="n">
        <v>0.3424</v>
      </c>
      <c r="S715" t="n">
        <v>635.1588</v>
      </c>
      <c r="T715" t="n">
        <v>0.00086105</v>
      </c>
      <c r="U715" t="n">
        <v>0.00013947</v>
      </c>
    </row>
    <row r="716">
      <c r="A716" t="inlineStr">
        <is>
          <t>SUP-0072</t>
        </is>
      </c>
      <c r="B716" t="inlineStr">
        <is>
          <t>Electronics Supplier 072</t>
        </is>
      </c>
      <c r="C716" t="inlineStr">
        <is>
          <t>Electronics</t>
        </is>
      </c>
      <c r="D716" t="n">
        <v>2019</v>
      </c>
      <c r="E716" t="n">
        <v>13217924.6</v>
      </c>
      <c r="F716" t="n">
        <v>55982753.74</v>
      </c>
      <c r="G716" t="n">
        <v>14716.8561</v>
      </c>
      <c r="H716" t="n">
        <v>14716.8561</v>
      </c>
      <c r="I716" t="n">
        <v>1694.6308</v>
      </c>
      <c r="J716" t="n">
        <v>2755.4922</v>
      </c>
      <c r="K716" t="n">
        <v>10292.8157</v>
      </c>
      <c r="L716" t="n">
        <v>2018</v>
      </c>
      <c r="M716" t="n">
        <v>2040</v>
      </c>
      <c r="N716" t="n">
        <v>0.5726</v>
      </c>
      <c r="O716" t="n">
        <v>0.3086</v>
      </c>
      <c r="P716" t="n">
        <v>2018</v>
      </c>
      <c r="Q716" t="n">
        <v>2040</v>
      </c>
      <c r="R716" t="n">
        <v>0.3424</v>
      </c>
      <c r="S716" t="n">
        <v>635.1588</v>
      </c>
      <c r="T716" t="n">
        <v>0.00086105</v>
      </c>
      <c r="U716" t="n">
        <v>0.00013947</v>
      </c>
    </row>
    <row r="717">
      <c r="A717" t="inlineStr">
        <is>
          <t>SUP-0072</t>
        </is>
      </c>
      <c r="B717" t="inlineStr">
        <is>
          <t>Electronics Supplier 072</t>
        </is>
      </c>
      <c r="C717" t="inlineStr">
        <is>
          <t>Electronics</t>
        </is>
      </c>
      <c r="D717" t="n">
        <v>2020</v>
      </c>
      <c r="E717" t="n">
        <v>15624527.34</v>
      </c>
      <c r="F717" t="n">
        <v>45487008.59</v>
      </c>
      <c r="G717" t="n">
        <v>16658.6488</v>
      </c>
      <c r="H717" t="n">
        <v>16658.6488</v>
      </c>
      <c r="I717" t="n">
        <v>1863.6767</v>
      </c>
      <c r="J717" t="n">
        <v>2603.4154</v>
      </c>
      <c r="K717" t="n">
        <v>10868.3376</v>
      </c>
      <c r="L717" t="n">
        <v>2018</v>
      </c>
      <c r="M717" t="n">
        <v>2040</v>
      </c>
      <c r="N717" t="n">
        <v>0.5726</v>
      </c>
      <c r="O717" t="n">
        <v>0.3086</v>
      </c>
      <c r="P717" t="n">
        <v>2018</v>
      </c>
      <c r="Q717" t="n">
        <v>2040</v>
      </c>
      <c r="R717" t="n">
        <v>0.3424</v>
      </c>
      <c r="S717" t="n">
        <v>635.1588</v>
      </c>
      <c r="T717" t="n">
        <v>0.00086105</v>
      </c>
      <c r="U717" t="n">
        <v>0.00013947</v>
      </c>
    </row>
    <row r="718">
      <c r="A718" t="inlineStr">
        <is>
          <t>SUP-0072</t>
        </is>
      </c>
      <c r="B718" t="inlineStr">
        <is>
          <t>Electronics Supplier 072</t>
        </is>
      </c>
      <c r="C718" t="inlineStr">
        <is>
          <t>Electronics</t>
        </is>
      </c>
      <c r="D718" t="n">
        <v>2021</v>
      </c>
      <c r="E718" t="n">
        <v>16321412.08</v>
      </c>
      <c r="F718" t="n">
        <v>61368838.08</v>
      </c>
      <c r="G718" t="n">
        <v>15590.0088</v>
      </c>
      <c r="H718" t="n">
        <v>15590.0088</v>
      </c>
      <c r="I718" t="n">
        <v>3499.3135</v>
      </c>
      <c r="J718" t="n">
        <v>3390.294</v>
      </c>
      <c r="K718" t="n">
        <v>8520.047200000001</v>
      </c>
      <c r="L718" t="n">
        <v>2018</v>
      </c>
      <c r="M718" t="n">
        <v>2040</v>
      </c>
      <c r="N718" t="n">
        <v>0.5726</v>
      </c>
      <c r="O718" t="n">
        <v>0.3086</v>
      </c>
      <c r="P718" t="n">
        <v>2018</v>
      </c>
      <c r="Q718" t="n">
        <v>2040</v>
      </c>
      <c r="R718" t="n">
        <v>0.3424</v>
      </c>
      <c r="S718" t="n">
        <v>635.1588</v>
      </c>
      <c r="T718" t="n">
        <v>0.00086105</v>
      </c>
      <c r="U718" t="n">
        <v>0.00013947</v>
      </c>
    </row>
    <row r="719">
      <c r="A719" t="inlineStr">
        <is>
          <t>SUP-0072</t>
        </is>
      </c>
      <c r="B719" t="inlineStr">
        <is>
          <t>Electronics Supplier 072</t>
        </is>
      </c>
      <c r="C719" t="inlineStr">
        <is>
          <t>Electronics</t>
        </is>
      </c>
      <c r="D719" t="n">
        <v>2022</v>
      </c>
      <c r="E719" t="n">
        <v>19273186.87</v>
      </c>
      <c r="F719" t="n">
        <v>67345667.16</v>
      </c>
      <c r="G719" t="n">
        <v>16969.0324</v>
      </c>
      <c r="H719" t="n">
        <v>16969.0324</v>
      </c>
      <c r="I719" t="n">
        <v>5275.4986</v>
      </c>
      <c r="J719" t="n">
        <v>2117.3728</v>
      </c>
      <c r="K719" t="n">
        <v>11150.0859</v>
      </c>
      <c r="L719" t="n">
        <v>2018</v>
      </c>
      <c r="M719" t="n">
        <v>2040</v>
      </c>
      <c r="N719" t="n">
        <v>0.5726</v>
      </c>
      <c r="O719" t="n">
        <v>0.3086</v>
      </c>
      <c r="P719" t="n">
        <v>2018</v>
      </c>
      <c r="Q719" t="n">
        <v>2040</v>
      </c>
      <c r="R719" t="n">
        <v>0.3424</v>
      </c>
      <c r="S719" t="n">
        <v>635.1588</v>
      </c>
      <c r="T719" t="n">
        <v>0.00086105</v>
      </c>
      <c r="U719" t="n">
        <v>0.00013947</v>
      </c>
    </row>
    <row r="720">
      <c r="A720" t="inlineStr">
        <is>
          <t>SUP-0072</t>
        </is>
      </c>
      <c r="B720" t="inlineStr">
        <is>
          <t>Electronics Supplier 072</t>
        </is>
      </c>
      <c r="C720" t="inlineStr">
        <is>
          <t>Electronics</t>
        </is>
      </c>
      <c r="D720" t="n">
        <v>2023</v>
      </c>
      <c r="E720" t="n">
        <v>18986242.52</v>
      </c>
      <c r="F720" t="n">
        <v>60624393.09</v>
      </c>
      <c r="G720" t="n">
        <v>16352.585</v>
      </c>
      <c r="H720" t="n">
        <v>16352.585</v>
      </c>
      <c r="I720" t="n">
        <v>2428.0496</v>
      </c>
      <c r="J720" t="n">
        <v>2728.128</v>
      </c>
      <c r="K720" t="n">
        <v>11560.2403</v>
      </c>
      <c r="L720" t="n">
        <v>2018</v>
      </c>
      <c r="M720" t="n">
        <v>2040</v>
      </c>
      <c r="N720" t="n">
        <v>0.5726</v>
      </c>
      <c r="O720" t="n">
        <v>0.3086</v>
      </c>
      <c r="P720" t="n">
        <v>2018</v>
      </c>
      <c r="Q720" t="n">
        <v>2040</v>
      </c>
      <c r="R720" t="n">
        <v>0.3424</v>
      </c>
      <c r="S720" t="n">
        <v>635.1588</v>
      </c>
      <c r="T720" t="n">
        <v>0.00086105</v>
      </c>
      <c r="U720" t="n">
        <v>0.00013947</v>
      </c>
    </row>
    <row r="721">
      <c r="A721" t="inlineStr">
        <is>
          <t>SUP-0072</t>
        </is>
      </c>
      <c r="B721" t="inlineStr">
        <is>
          <t>Electronics Supplier 072</t>
        </is>
      </c>
      <c r="C721" t="inlineStr">
        <is>
          <t>Electronics</t>
        </is>
      </c>
      <c r="D721" t="n">
        <v>2024</v>
      </c>
      <c r="E721" t="n">
        <v>22159283.79</v>
      </c>
      <c r="F721" t="n">
        <v>64594775.65</v>
      </c>
      <c r="G721" t="n">
        <v>13727.7422</v>
      </c>
      <c r="H721" t="n">
        <v>13727.7422</v>
      </c>
      <c r="I721" t="n">
        <v>3736.5444</v>
      </c>
      <c r="J721" t="n">
        <v>2668.0744</v>
      </c>
      <c r="K721" t="n">
        <v>6799.6499</v>
      </c>
      <c r="L721" t="n">
        <v>2018</v>
      </c>
      <c r="M721" t="n">
        <v>2040</v>
      </c>
      <c r="N721" t="n">
        <v>0.5726</v>
      </c>
      <c r="O721" t="n">
        <v>0.3086</v>
      </c>
      <c r="P721" t="n">
        <v>2018</v>
      </c>
      <c r="Q721" t="n">
        <v>2040</v>
      </c>
      <c r="R721" t="n">
        <v>0.3424</v>
      </c>
      <c r="S721" t="n">
        <v>635.1588</v>
      </c>
      <c r="T721" t="n">
        <v>0.00086105</v>
      </c>
      <c r="U721" t="n">
        <v>0.00013947</v>
      </c>
    </row>
    <row r="722">
      <c r="A722" t="inlineStr">
        <is>
          <t>SUP-0073</t>
        </is>
      </c>
      <c r="B722" t="inlineStr">
        <is>
          <t>Packaging Supplier 073</t>
        </is>
      </c>
      <c r="C722" t="inlineStr">
        <is>
          <t>Packaging</t>
        </is>
      </c>
      <c r="D722" t="n">
        <v>2015</v>
      </c>
      <c r="E722" t="n">
        <v>14763853.08</v>
      </c>
      <c r="F722" t="n">
        <v>96943142.7</v>
      </c>
      <c r="G722" t="n">
        <v>18889.0839</v>
      </c>
      <c r="H722" t="n">
        <v>18889.0839</v>
      </c>
      <c r="I722" t="n">
        <v>5106.4273</v>
      </c>
      <c r="J722" t="n">
        <v>1903.5881</v>
      </c>
      <c r="K722" t="n">
        <v>12997.7075</v>
      </c>
      <c r="L722" t="n">
        <v>2021</v>
      </c>
      <c r="M722" t="n">
        <v>2030</v>
      </c>
      <c r="N722" t="n">
        <v>0.6005</v>
      </c>
      <c r="O722" t="n">
        <v>0.3773</v>
      </c>
      <c r="P722" t="n">
        <v>2018</v>
      </c>
      <c r="Q722" t="n">
        <v>2040</v>
      </c>
      <c r="R722" t="n">
        <v>0.3112</v>
      </c>
      <c r="S722" t="n">
        <v>702.4188</v>
      </c>
      <c r="T722" t="n">
        <v>0.0010803</v>
      </c>
      <c r="U722" t="n">
        <v>0.00078946</v>
      </c>
    </row>
    <row r="723">
      <c r="A723" t="inlineStr">
        <is>
          <t>SUP-0073</t>
        </is>
      </c>
      <c r="B723" t="inlineStr">
        <is>
          <t>Packaging Supplier 073</t>
        </is>
      </c>
      <c r="C723" t="inlineStr">
        <is>
          <t>Packaging</t>
        </is>
      </c>
      <c r="D723" t="n">
        <v>2016</v>
      </c>
      <c r="E723" t="n">
        <v>13608726.9</v>
      </c>
      <c r="F723" t="n">
        <v>88868715.45999999</v>
      </c>
      <c r="G723" t="n">
        <v>18233.9659</v>
      </c>
      <c r="H723" t="n">
        <v>18233.9659</v>
      </c>
      <c r="I723" t="n">
        <v>2040.7975</v>
      </c>
      <c r="J723" t="n">
        <v>2975.3223</v>
      </c>
      <c r="K723" t="n">
        <v>12338.0173</v>
      </c>
      <c r="L723" t="n">
        <v>2021</v>
      </c>
      <c r="M723" t="n">
        <v>2030</v>
      </c>
      <c r="N723" t="n">
        <v>0.6005</v>
      </c>
      <c r="O723" t="n">
        <v>0.3773</v>
      </c>
      <c r="P723" t="n">
        <v>2018</v>
      </c>
      <c r="Q723" t="n">
        <v>2040</v>
      </c>
      <c r="R723" t="n">
        <v>0.3112</v>
      </c>
      <c r="S723" t="n">
        <v>702.4188</v>
      </c>
      <c r="T723" t="n">
        <v>0.0010803</v>
      </c>
      <c r="U723" t="n">
        <v>0.00078946</v>
      </c>
    </row>
    <row r="724">
      <c r="A724" t="inlineStr">
        <is>
          <t>SUP-0073</t>
        </is>
      </c>
      <c r="B724" t="inlineStr">
        <is>
          <t>Packaging Supplier 073</t>
        </is>
      </c>
      <c r="C724" t="inlineStr">
        <is>
          <t>Packaging</t>
        </is>
      </c>
      <c r="D724" t="n">
        <v>2017</v>
      </c>
      <c r="E724" t="n">
        <v>15114078.75</v>
      </c>
      <c r="F724" t="n">
        <v>112041874.21</v>
      </c>
      <c r="G724" t="n">
        <v>24298.0792</v>
      </c>
      <c r="H724" t="n">
        <v>24298.0792</v>
      </c>
      <c r="I724" t="n">
        <v>5831.9716</v>
      </c>
      <c r="J724" t="n">
        <v>3333.403</v>
      </c>
      <c r="K724" t="n">
        <v>14693.1021</v>
      </c>
      <c r="L724" t="n">
        <v>2021</v>
      </c>
      <c r="M724" t="n">
        <v>2030</v>
      </c>
      <c r="N724" t="n">
        <v>0.6005</v>
      </c>
      <c r="O724" t="n">
        <v>0.3773</v>
      </c>
      <c r="P724" t="n">
        <v>2018</v>
      </c>
      <c r="Q724" t="n">
        <v>2040</v>
      </c>
      <c r="R724" t="n">
        <v>0.3112</v>
      </c>
      <c r="S724" t="n">
        <v>702.4188</v>
      </c>
      <c r="T724" t="n">
        <v>0.0010803</v>
      </c>
      <c r="U724" t="n">
        <v>0.00078946</v>
      </c>
    </row>
    <row r="725">
      <c r="A725" t="inlineStr">
        <is>
          <t>SUP-0073</t>
        </is>
      </c>
      <c r="B725" t="inlineStr">
        <is>
          <t>Packaging Supplier 073</t>
        </is>
      </c>
      <c r="C725" t="inlineStr">
        <is>
          <t>Packaging</t>
        </is>
      </c>
      <c r="D725" t="n">
        <v>2018</v>
      </c>
      <c r="E725" t="n">
        <v>13828838.91</v>
      </c>
      <c r="F725" t="n">
        <v>100302801.31</v>
      </c>
      <c r="G725" t="n">
        <v>21391.4834</v>
      </c>
      <c r="H725" t="n">
        <v>21391.4834</v>
      </c>
      <c r="I725" t="n">
        <v>3967.866</v>
      </c>
      <c r="J725" t="n">
        <v>3829.063</v>
      </c>
      <c r="K725" t="n">
        <v>13545.5182</v>
      </c>
      <c r="L725" t="n">
        <v>2021</v>
      </c>
      <c r="M725" t="n">
        <v>2030</v>
      </c>
      <c r="N725" t="n">
        <v>0.6005</v>
      </c>
      <c r="O725" t="n">
        <v>0.3773</v>
      </c>
      <c r="P725" t="n">
        <v>2018</v>
      </c>
      <c r="Q725" t="n">
        <v>2040</v>
      </c>
      <c r="R725" t="n">
        <v>0.3112</v>
      </c>
      <c r="S725" t="n">
        <v>702.4188</v>
      </c>
      <c r="T725" t="n">
        <v>0.0010803</v>
      </c>
      <c r="U725" t="n">
        <v>0.00078946</v>
      </c>
    </row>
    <row r="726">
      <c r="A726" t="inlineStr">
        <is>
          <t>SUP-0073</t>
        </is>
      </c>
      <c r="B726" t="inlineStr">
        <is>
          <t>Packaging Supplier 073</t>
        </is>
      </c>
      <c r="C726" t="inlineStr">
        <is>
          <t>Packaging</t>
        </is>
      </c>
      <c r="D726" t="n">
        <v>2019</v>
      </c>
      <c r="E726" t="n">
        <v>15911519.93</v>
      </c>
      <c r="F726" t="n">
        <v>91051393.53</v>
      </c>
      <c r="G726" t="n">
        <v>22972.6716</v>
      </c>
      <c r="H726" t="n">
        <v>22972.6716</v>
      </c>
      <c r="I726" t="n">
        <v>6447.0033</v>
      </c>
      <c r="J726" t="n">
        <v>1785.6175</v>
      </c>
      <c r="K726" t="n">
        <v>14440.3642</v>
      </c>
      <c r="L726" t="n">
        <v>2021</v>
      </c>
      <c r="M726" t="n">
        <v>2030</v>
      </c>
      <c r="N726" t="n">
        <v>0.6005</v>
      </c>
      <c r="O726" t="n">
        <v>0.3773</v>
      </c>
      <c r="P726" t="n">
        <v>2018</v>
      </c>
      <c r="Q726" t="n">
        <v>2040</v>
      </c>
      <c r="R726" t="n">
        <v>0.3112</v>
      </c>
      <c r="S726" t="n">
        <v>702.4188</v>
      </c>
      <c r="T726" t="n">
        <v>0.0010803</v>
      </c>
      <c r="U726" t="n">
        <v>0.00078946</v>
      </c>
    </row>
    <row r="727">
      <c r="A727" t="inlineStr">
        <is>
          <t>SUP-0073</t>
        </is>
      </c>
      <c r="B727" t="inlineStr">
        <is>
          <t>Packaging Supplier 073</t>
        </is>
      </c>
      <c r="C727" t="inlineStr">
        <is>
          <t>Packaging</t>
        </is>
      </c>
      <c r="D727" t="n">
        <v>2020</v>
      </c>
      <c r="E727" t="n">
        <v>13397661.17</v>
      </c>
      <c r="F727" t="n">
        <v>98725708.11</v>
      </c>
      <c r="G727" t="n">
        <v>18879.8321</v>
      </c>
      <c r="H727" t="n">
        <v>18879.8321</v>
      </c>
      <c r="I727" t="n">
        <v>3364.4304</v>
      </c>
      <c r="J727" t="n">
        <v>3075.4877</v>
      </c>
      <c r="K727" t="n">
        <v>10997.9805</v>
      </c>
      <c r="L727" t="n">
        <v>2021</v>
      </c>
      <c r="M727" t="n">
        <v>2030</v>
      </c>
      <c r="N727" t="n">
        <v>0.6005</v>
      </c>
      <c r="O727" t="n">
        <v>0.3773</v>
      </c>
      <c r="P727" t="n">
        <v>2018</v>
      </c>
      <c r="Q727" t="n">
        <v>2040</v>
      </c>
      <c r="R727" t="n">
        <v>0.3112</v>
      </c>
      <c r="S727" t="n">
        <v>702.4188</v>
      </c>
      <c r="T727" t="n">
        <v>0.0010803</v>
      </c>
      <c r="U727" t="n">
        <v>0.00078946</v>
      </c>
    </row>
    <row r="728">
      <c r="A728" t="inlineStr">
        <is>
          <t>SUP-0073</t>
        </is>
      </c>
      <c r="B728" t="inlineStr">
        <is>
          <t>Packaging Supplier 073</t>
        </is>
      </c>
      <c r="C728" t="inlineStr">
        <is>
          <t>Packaging</t>
        </is>
      </c>
      <c r="D728" t="n">
        <v>2021</v>
      </c>
      <c r="E728" t="n">
        <v>12463830.73</v>
      </c>
      <c r="F728" t="n">
        <v>117255240.41</v>
      </c>
      <c r="G728" t="n">
        <v>17473.4283</v>
      </c>
      <c r="H728" t="n">
        <v>17473.4283</v>
      </c>
      <c r="I728" t="n">
        <v>2868.2018</v>
      </c>
      <c r="J728" t="n">
        <v>3619.7011</v>
      </c>
      <c r="K728" t="n">
        <v>11085.9625</v>
      </c>
      <c r="L728" t="n">
        <v>2021</v>
      </c>
      <c r="M728" t="n">
        <v>2030</v>
      </c>
      <c r="N728" t="n">
        <v>0.6005</v>
      </c>
      <c r="O728" t="n">
        <v>0.3773</v>
      </c>
      <c r="P728" t="n">
        <v>2018</v>
      </c>
      <c r="Q728" t="n">
        <v>2040</v>
      </c>
      <c r="R728" t="n">
        <v>0.3112</v>
      </c>
      <c r="S728" t="n">
        <v>702.4188</v>
      </c>
      <c r="T728" t="n">
        <v>0.0010803</v>
      </c>
      <c r="U728" t="n">
        <v>0.00078946</v>
      </c>
    </row>
    <row r="729">
      <c r="A729" t="inlineStr">
        <is>
          <t>SUP-0073</t>
        </is>
      </c>
      <c r="B729" t="inlineStr">
        <is>
          <t>Packaging Supplier 073</t>
        </is>
      </c>
      <c r="C729" t="inlineStr">
        <is>
          <t>Packaging</t>
        </is>
      </c>
      <c r="D729" t="n">
        <v>2022</v>
      </c>
      <c r="E729" t="n">
        <v>16374375.22</v>
      </c>
      <c r="F729" t="n">
        <v>126387017.34</v>
      </c>
      <c r="G729" t="n">
        <v>19625.1774</v>
      </c>
      <c r="H729" t="n">
        <v>19625.1774</v>
      </c>
      <c r="I729" t="n">
        <v>3700.3488</v>
      </c>
      <c r="J729" t="n">
        <v>2778.0769</v>
      </c>
      <c r="K729" t="n">
        <v>12609.0802</v>
      </c>
      <c r="L729" t="n">
        <v>2021</v>
      </c>
      <c r="M729" t="n">
        <v>2030</v>
      </c>
      <c r="N729" t="n">
        <v>0.6005</v>
      </c>
      <c r="O729" t="n">
        <v>0.3773</v>
      </c>
      <c r="P729" t="n">
        <v>2018</v>
      </c>
      <c r="Q729" t="n">
        <v>2040</v>
      </c>
      <c r="R729" t="n">
        <v>0.3112</v>
      </c>
      <c r="S729" t="n">
        <v>702.4188</v>
      </c>
      <c r="T729" t="n">
        <v>0.0010803</v>
      </c>
      <c r="U729" t="n">
        <v>0.00078946</v>
      </c>
    </row>
    <row r="730">
      <c r="A730" t="inlineStr">
        <is>
          <t>SUP-0073</t>
        </is>
      </c>
      <c r="B730" t="inlineStr">
        <is>
          <t>Packaging Supplier 073</t>
        </is>
      </c>
      <c r="C730" t="inlineStr">
        <is>
          <t>Packaging</t>
        </is>
      </c>
      <c r="D730" t="n">
        <v>2023</v>
      </c>
      <c r="E730" t="n">
        <v>12528358.29</v>
      </c>
      <c r="F730" t="n">
        <v>124295264.58</v>
      </c>
      <c r="G730" t="n">
        <v>14945.5376</v>
      </c>
      <c r="H730" t="n">
        <v>14945.5376</v>
      </c>
      <c r="I730" t="n">
        <v>3368.1631</v>
      </c>
      <c r="J730" t="n">
        <v>1286.3832</v>
      </c>
      <c r="K730" t="n">
        <v>9194.580400000001</v>
      </c>
      <c r="L730" t="n">
        <v>2021</v>
      </c>
      <c r="M730" t="n">
        <v>2030</v>
      </c>
      <c r="N730" t="n">
        <v>0.6005</v>
      </c>
      <c r="O730" t="n">
        <v>0.3773</v>
      </c>
      <c r="P730" t="n">
        <v>2018</v>
      </c>
      <c r="Q730" t="n">
        <v>2040</v>
      </c>
      <c r="R730" t="n">
        <v>0.3112</v>
      </c>
      <c r="S730" t="n">
        <v>702.4188</v>
      </c>
      <c r="T730" t="n">
        <v>0.0010803</v>
      </c>
      <c r="U730" t="n">
        <v>0.00078946</v>
      </c>
    </row>
    <row r="731">
      <c r="A731" t="inlineStr">
        <is>
          <t>SUP-0073</t>
        </is>
      </c>
      <c r="B731" t="inlineStr">
        <is>
          <t>Packaging Supplier 073</t>
        </is>
      </c>
      <c r="C731" t="inlineStr">
        <is>
          <t>Packaging</t>
        </is>
      </c>
      <c r="D731" t="n">
        <v>2024</v>
      </c>
      <c r="E731" t="n">
        <v>14423624.23</v>
      </c>
      <c r="F731" t="n">
        <v>120436061.57</v>
      </c>
      <c r="G731" t="n">
        <v>16015.2073</v>
      </c>
      <c r="H731" t="n">
        <v>16015.2073</v>
      </c>
      <c r="I731" t="n">
        <v>3724.4673</v>
      </c>
      <c r="J731" t="n">
        <v>3199.0057</v>
      </c>
      <c r="K731" t="n">
        <v>8740.0867</v>
      </c>
      <c r="L731" t="n">
        <v>2021</v>
      </c>
      <c r="M731" t="n">
        <v>2030</v>
      </c>
      <c r="N731" t="n">
        <v>0.6005</v>
      </c>
      <c r="O731" t="n">
        <v>0.3773</v>
      </c>
      <c r="P731" t="n">
        <v>2018</v>
      </c>
      <c r="Q731" t="n">
        <v>2040</v>
      </c>
      <c r="R731" t="n">
        <v>0.3112</v>
      </c>
      <c r="S731" t="n">
        <v>702.4188</v>
      </c>
      <c r="T731" t="n">
        <v>0.0010803</v>
      </c>
      <c r="U731" t="n">
        <v>0.00078946</v>
      </c>
    </row>
    <row r="732">
      <c r="A732" t="inlineStr">
        <is>
          <t>SUP-0074</t>
        </is>
      </c>
      <c r="B732" t="inlineStr">
        <is>
          <t>Agriculture Supplier 074</t>
        </is>
      </c>
      <c r="C732" t="inlineStr">
        <is>
          <t>Agriculture</t>
        </is>
      </c>
      <c r="D732" t="n">
        <v>2015</v>
      </c>
      <c r="E732" t="n">
        <v>22066820.31</v>
      </c>
      <c r="F732" t="n">
        <v>103194090.45</v>
      </c>
      <c r="G732" t="n">
        <v>26221.5934</v>
      </c>
      <c r="H732" t="n">
        <v>26221.5934</v>
      </c>
      <c r="I732" t="n">
        <v>2146.9381</v>
      </c>
      <c r="J732" t="n">
        <v>1702.4555</v>
      </c>
      <c r="K732" t="n">
        <v>22604.1755</v>
      </c>
      <c r="L732" t="n">
        <v>2020</v>
      </c>
      <c r="M732" t="n">
        <v>2040</v>
      </c>
      <c r="N732" t="n">
        <v>0.5813</v>
      </c>
      <c r="O732" t="n">
        <v>0.2506</v>
      </c>
      <c r="P732" t="n">
        <v>2018</v>
      </c>
      <c r="Q732" t="inlineStr"/>
      <c r="R732" t="inlineStr"/>
      <c r="S732" t="n">
        <v>529.8294</v>
      </c>
      <c r="T732" t="n">
        <v>0.00091413</v>
      </c>
      <c r="U732" t="n">
        <v>0.00096913</v>
      </c>
    </row>
    <row r="733">
      <c r="A733" t="inlineStr">
        <is>
          <t>SUP-0074</t>
        </is>
      </c>
      <c r="B733" t="inlineStr">
        <is>
          <t>Agriculture Supplier 074</t>
        </is>
      </c>
      <c r="C733" t="inlineStr">
        <is>
          <t>Agriculture</t>
        </is>
      </c>
      <c r="D733" t="n">
        <v>2016</v>
      </c>
      <c r="E733" t="n">
        <v>20601719.28</v>
      </c>
      <c r="F733" t="n">
        <v>123472065.37</v>
      </c>
      <c r="G733" t="n">
        <v>27567.0959</v>
      </c>
      <c r="H733" t="n">
        <v>27567.0959</v>
      </c>
      <c r="I733" t="n">
        <v>6188.2995</v>
      </c>
      <c r="J733" t="n">
        <v>3029.1854</v>
      </c>
      <c r="K733" t="n">
        <v>18823.1088</v>
      </c>
      <c r="L733" t="n">
        <v>2020</v>
      </c>
      <c r="M733" t="n">
        <v>2040</v>
      </c>
      <c r="N733" t="n">
        <v>0.5813</v>
      </c>
      <c r="O733" t="n">
        <v>0.2506</v>
      </c>
      <c r="P733" t="n">
        <v>2018</v>
      </c>
      <c r="Q733" t="inlineStr"/>
      <c r="R733" t="inlineStr"/>
      <c r="S733" t="n">
        <v>529.8294</v>
      </c>
      <c r="T733" t="n">
        <v>0.00091413</v>
      </c>
      <c r="U733" t="n">
        <v>0.00096913</v>
      </c>
    </row>
    <row r="734">
      <c r="A734" t="inlineStr">
        <is>
          <t>SUP-0074</t>
        </is>
      </c>
      <c r="B734" t="inlineStr">
        <is>
          <t>Agriculture Supplier 074</t>
        </is>
      </c>
      <c r="C734" t="inlineStr">
        <is>
          <t>Agriculture</t>
        </is>
      </c>
      <c r="D734" t="n">
        <v>2017</v>
      </c>
      <c r="E734" t="n">
        <v>21953336.91</v>
      </c>
      <c r="F734" t="n">
        <v>107664624.98</v>
      </c>
      <c r="G734" t="n">
        <v>31110.7614</v>
      </c>
      <c r="H734" t="n">
        <v>31110.7614</v>
      </c>
      <c r="I734" t="n">
        <v>3451.2307</v>
      </c>
      <c r="J734" t="n">
        <v>6663.1547</v>
      </c>
      <c r="K734" t="n">
        <v>21957.0002</v>
      </c>
      <c r="L734" t="n">
        <v>2020</v>
      </c>
      <c r="M734" t="n">
        <v>2040</v>
      </c>
      <c r="N734" t="n">
        <v>0.5813</v>
      </c>
      <c r="O734" t="n">
        <v>0.2506</v>
      </c>
      <c r="P734" t="n">
        <v>2018</v>
      </c>
      <c r="Q734" t="inlineStr"/>
      <c r="R734" t="inlineStr"/>
      <c r="S734" t="n">
        <v>529.8294</v>
      </c>
      <c r="T734" t="n">
        <v>0.00091413</v>
      </c>
      <c r="U734" t="n">
        <v>0.00096913</v>
      </c>
    </row>
    <row r="735">
      <c r="A735" t="inlineStr">
        <is>
          <t>SUP-0074</t>
        </is>
      </c>
      <c r="B735" t="inlineStr">
        <is>
          <t>Agriculture Supplier 074</t>
        </is>
      </c>
      <c r="C735" t="inlineStr">
        <is>
          <t>Agriculture</t>
        </is>
      </c>
      <c r="D735" t="n">
        <v>2018</v>
      </c>
      <c r="E735" t="n">
        <v>22806996.51</v>
      </c>
      <c r="F735" t="n">
        <v>116934469.44</v>
      </c>
      <c r="G735" t="n">
        <v>28110.6496</v>
      </c>
      <c r="H735" t="n">
        <v>28110.6496</v>
      </c>
      <c r="I735" t="n">
        <v>5987.0206</v>
      </c>
      <c r="J735" t="n">
        <v>5465.9718</v>
      </c>
      <c r="K735" t="n">
        <v>16720.1208</v>
      </c>
      <c r="L735" t="n">
        <v>2020</v>
      </c>
      <c r="M735" t="n">
        <v>2040</v>
      </c>
      <c r="N735" t="n">
        <v>0.5813</v>
      </c>
      <c r="O735" t="n">
        <v>0.2506</v>
      </c>
      <c r="P735" t="n">
        <v>2018</v>
      </c>
      <c r="Q735" t="inlineStr"/>
      <c r="R735" t="inlineStr"/>
      <c r="S735" t="n">
        <v>529.8294</v>
      </c>
      <c r="T735" t="n">
        <v>0.00091413</v>
      </c>
      <c r="U735" t="n">
        <v>0.00096913</v>
      </c>
    </row>
    <row r="736">
      <c r="A736" t="inlineStr">
        <is>
          <t>SUP-0074</t>
        </is>
      </c>
      <c r="B736" t="inlineStr">
        <is>
          <t>Agriculture Supplier 074</t>
        </is>
      </c>
      <c r="C736" t="inlineStr">
        <is>
          <t>Agriculture</t>
        </is>
      </c>
      <c r="D736" t="n">
        <v>2019</v>
      </c>
      <c r="E736" t="n">
        <v>24407587.57</v>
      </c>
      <c r="F736" t="n">
        <v>114335846.34</v>
      </c>
      <c r="G736" t="n">
        <v>28665.822</v>
      </c>
      <c r="H736" t="n">
        <v>28665.822</v>
      </c>
      <c r="I736" t="n">
        <v>4540.3293</v>
      </c>
      <c r="J736" t="n">
        <v>1902.8637</v>
      </c>
      <c r="K736" t="n">
        <v>21579.2891</v>
      </c>
      <c r="L736" t="n">
        <v>2020</v>
      </c>
      <c r="M736" t="n">
        <v>2040</v>
      </c>
      <c r="N736" t="n">
        <v>0.5813</v>
      </c>
      <c r="O736" t="n">
        <v>0.2506</v>
      </c>
      <c r="P736" t="n">
        <v>2018</v>
      </c>
      <c r="Q736" t="inlineStr"/>
      <c r="R736" t="inlineStr"/>
      <c r="S736" t="n">
        <v>529.8294</v>
      </c>
      <c r="T736" t="n">
        <v>0.00091413</v>
      </c>
      <c r="U736" t="n">
        <v>0.00096913</v>
      </c>
    </row>
    <row r="737">
      <c r="A737" t="inlineStr">
        <is>
          <t>SUP-0074</t>
        </is>
      </c>
      <c r="B737" t="inlineStr">
        <is>
          <t>Agriculture Supplier 074</t>
        </is>
      </c>
      <c r="C737" t="inlineStr">
        <is>
          <t>Agriculture</t>
        </is>
      </c>
      <c r="D737" t="n">
        <v>2020</v>
      </c>
      <c r="E737" t="n">
        <v>20523007.49</v>
      </c>
      <c r="F737" t="n">
        <v>121888896.83</v>
      </c>
      <c r="G737" t="n">
        <v>26164.4453</v>
      </c>
      <c r="H737" t="n">
        <v>26164.4453</v>
      </c>
      <c r="I737" t="n">
        <v>6199.5748</v>
      </c>
      <c r="J737" t="n">
        <v>3723.7017</v>
      </c>
      <c r="K737" t="n">
        <v>15338.7353</v>
      </c>
      <c r="L737" t="n">
        <v>2020</v>
      </c>
      <c r="M737" t="n">
        <v>2040</v>
      </c>
      <c r="N737" t="n">
        <v>0.5813</v>
      </c>
      <c r="O737" t="n">
        <v>0.2506</v>
      </c>
      <c r="P737" t="n">
        <v>2018</v>
      </c>
      <c r="Q737" t="inlineStr"/>
      <c r="R737" t="inlineStr"/>
      <c r="S737" t="n">
        <v>529.8294</v>
      </c>
      <c r="T737" t="n">
        <v>0.00091413</v>
      </c>
      <c r="U737" t="n">
        <v>0.00096913</v>
      </c>
    </row>
    <row r="738">
      <c r="A738" t="inlineStr">
        <is>
          <t>SUP-0074</t>
        </is>
      </c>
      <c r="B738" t="inlineStr">
        <is>
          <t>Agriculture Supplier 074</t>
        </is>
      </c>
      <c r="C738" t="inlineStr">
        <is>
          <t>Agriculture</t>
        </is>
      </c>
      <c r="D738" t="n">
        <v>2021</v>
      </c>
      <c r="E738" t="n">
        <v>20727221.38</v>
      </c>
      <c r="F738" t="n">
        <v>154544008.75</v>
      </c>
      <c r="G738" t="n">
        <v>21763.6077</v>
      </c>
      <c r="H738" t="n">
        <v>21763.6077</v>
      </c>
      <c r="I738" t="n">
        <v>3578.079</v>
      </c>
      <c r="J738" t="n">
        <v>4238.6447</v>
      </c>
      <c r="K738" t="n">
        <v>13610.5658</v>
      </c>
      <c r="L738" t="n">
        <v>2020</v>
      </c>
      <c r="M738" t="n">
        <v>2040</v>
      </c>
      <c r="N738" t="n">
        <v>0.5813</v>
      </c>
      <c r="O738" t="n">
        <v>0.2506</v>
      </c>
      <c r="P738" t="n">
        <v>2018</v>
      </c>
      <c r="Q738" t="inlineStr"/>
      <c r="R738" t="inlineStr"/>
      <c r="S738" t="n">
        <v>529.8294</v>
      </c>
      <c r="T738" t="n">
        <v>0.00091413</v>
      </c>
      <c r="U738" t="n">
        <v>0.00096913</v>
      </c>
    </row>
    <row r="739">
      <c r="A739" t="inlineStr">
        <is>
          <t>SUP-0074</t>
        </is>
      </c>
      <c r="B739" t="inlineStr">
        <is>
          <t>Agriculture Supplier 074</t>
        </is>
      </c>
      <c r="C739" t="inlineStr">
        <is>
          <t>Agriculture</t>
        </is>
      </c>
      <c r="D739" t="n">
        <v>2022</v>
      </c>
      <c r="E739" t="n">
        <v>22659679.26</v>
      </c>
      <c r="F739" t="n">
        <v>116520266.46</v>
      </c>
      <c r="G739" t="n">
        <v>21744.9428</v>
      </c>
      <c r="H739" t="n">
        <v>21744.9428</v>
      </c>
      <c r="I739" t="n">
        <v>2542.0176</v>
      </c>
      <c r="J739" t="n">
        <v>3649.309</v>
      </c>
      <c r="K739" t="n">
        <v>17014.1927</v>
      </c>
      <c r="L739" t="n">
        <v>2020</v>
      </c>
      <c r="M739" t="n">
        <v>2040</v>
      </c>
      <c r="N739" t="n">
        <v>0.5813</v>
      </c>
      <c r="O739" t="n">
        <v>0.2506</v>
      </c>
      <c r="P739" t="n">
        <v>2018</v>
      </c>
      <c r="Q739" t="inlineStr"/>
      <c r="R739" t="inlineStr"/>
      <c r="S739" t="n">
        <v>529.8294</v>
      </c>
      <c r="T739" t="n">
        <v>0.00091413</v>
      </c>
      <c r="U739" t="n">
        <v>0.00096913</v>
      </c>
    </row>
    <row r="740">
      <c r="A740" t="inlineStr">
        <is>
          <t>SUP-0074</t>
        </is>
      </c>
      <c r="B740" t="inlineStr">
        <is>
          <t>Agriculture Supplier 074</t>
        </is>
      </c>
      <c r="C740" t="inlineStr">
        <is>
          <t>Agriculture</t>
        </is>
      </c>
      <c r="D740" t="n">
        <v>2023</v>
      </c>
      <c r="E740" t="n">
        <v>20439950.93</v>
      </c>
      <c r="F740" t="n">
        <v>155159175.41</v>
      </c>
      <c r="G740" t="n">
        <v>19763.98</v>
      </c>
      <c r="H740" t="n">
        <v>19763.98</v>
      </c>
      <c r="I740" t="n">
        <v>3662.0269</v>
      </c>
      <c r="J740" t="n">
        <v>4447.0621</v>
      </c>
      <c r="K740" t="n">
        <v>11983.2568</v>
      </c>
      <c r="L740" t="n">
        <v>2020</v>
      </c>
      <c r="M740" t="n">
        <v>2040</v>
      </c>
      <c r="N740" t="n">
        <v>0.5813</v>
      </c>
      <c r="O740" t="n">
        <v>0.2506</v>
      </c>
      <c r="P740" t="n">
        <v>2018</v>
      </c>
      <c r="Q740" t="inlineStr"/>
      <c r="R740" t="inlineStr"/>
      <c r="S740" t="n">
        <v>529.8294</v>
      </c>
      <c r="T740" t="n">
        <v>0.00091413</v>
      </c>
      <c r="U740" t="n">
        <v>0.00096913</v>
      </c>
    </row>
    <row r="741">
      <c r="A741" t="inlineStr">
        <is>
          <t>SUP-0074</t>
        </is>
      </c>
      <c r="B741" t="inlineStr">
        <is>
          <t>Agriculture Supplier 074</t>
        </is>
      </c>
      <c r="C741" t="inlineStr">
        <is>
          <t>Agriculture</t>
        </is>
      </c>
      <c r="D741" t="n">
        <v>2024</v>
      </c>
      <c r="E741" t="n">
        <v>24196428.53</v>
      </c>
      <c r="F741" t="n">
        <v>112116291.4</v>
      </c>
      <c r="G741" t="n">
        <v>30189.7905</v>
      </c>
      <c r="H741" t="n">
        <v>30189.7905</v>
      </c>
      <c r="I741" t="n">
        <v>8412.352199999999</v>
      </c>
      <c r="J741" t="n">
        <v>3688.8515</v>
      </c>
      <c r="K741" t="n">
        <v>18908.2226</v>
      </c>
      <c r="L741" t="n">
        <v>2020</v>
      </c>
      <c r="M741" t="n">
        <v>2040</v>
      </c>
      <c r="N741" t="n">
        <v>0.5813</v>
      </c>
      <c r="O741" t="n">
        <v>0.2506</v>
      </c>
      <c r="P741" t="n">
        <v>2018</v>
      </c>
      <c r="Q741" t="inlineStr"/>
      <c r="R741" t="inlineStr"/>
      <c r="S741" t="n">
        <v>529.8294</v>
      </c>
      <c r="T741" t="n">
        <v>0.00091413</v>
      </c>
      <c r="U741" t="n">
        <v>0.00096913</v>
      </c>
    </row>
    <row r="742">
      <c r="A742" t="inlineStr">
        <is>
          <t>SUP-0075</t>
        </is>
      </c>
      <c r="B742" t="inlineStr">
        <is>
          <t>Metals Supplier 075</t>
        </is>
      </c>
      <c r="C742" t="inlineStr">
        <is>
          <t>Metals</t>
        </is>
      </c>
      <c r="D742" t="n">
        <v>2015</v>
      </c>
      <c r="E742" t="n">
        <v>16974646.7</v>
      </c>
      <c r="F742" t="n">
        <v>68912077.37</v>
      </c>
      <c r="G742" t="n">
        <v>23663.2792</v>
      </c>
      <c r="H742" t="n">
        <v>23663.2792</v>
      </c>
      <c r="I742" t="n">
        <v>6789.6953</v>
      </c>
      <c r="J742" t="n">
        <v>2035.5996</v>
      </c>
      <c r="K742" t="n">
        <v>16409.9462</v>
      </c>
      <c r="L742" t="n">
        <v>2021</v>
      </c>
      <c r="M742" t="n">
        <v>2030</v>
      </c>
      <c r="N742" t="n">
        <v>0.5861</v>
      </c>
      <c r="O742" t="n">
        <v>0.2598</v>
      </c>
      <c r="P742" t="n">
        <v>2019</v>
      </c>
      <c r="Q742" t="n">
        <v>2030</v>
      </c>
      <c r="R742" t="n">
        <v>0.3852</v>
      </c>
      <c r="S742" t="n">
        <v>158.2904</v>
      </c>
      <c r="T742" t="n">
        <v>0.00100695</v>
      </c>
      <c r="U742" t="n">
        <v>0.00065008</v>
      </c>
    </row>
    <row r="743">
      <c r="A743" t="inlineStr">
        <is>
          <t>SUP-0075</t>
        </is>
      </c>
      <c r="B743" t="inlineStr">
        <is>
          <t>Metals Supplier 075</t>
        </is>
      </c>
      <c r="C743" t="inlineStr">
        <is>
          <t>Metals</t>
        </is>
      </c>
      <c r="D743" t="n">
        <v>2016</v>
      </c>
      <c r="E743" t="n">
        <v>19931681.67</v>
      </c>
      <c r="F743" t="n">
        <v>56470123.7</v>
      </c>
      <c r="G743" t="n">
        <v>19194.7755</v>
      </c>
      <c r="H743" t="n">
        <v>19194.7755</v>
      </c>
      <c r="I743" t="n">
        <v>3885.8102</v>
      </c>
      <c r="J743" t="n">
        <v>3384.3531</v>
      </c>
      <c r="K743" t="n">
        <v>12638.9708</v>
      </c>
      <c r="L743" t="n">
        <v>2021</v>
      </c>
      <c r="M743" t="n">
        <v>2030</v>
      </c>
      <c r="N743" t="n">
        <v>0.5861</v>
      </c>
      <c r="O743" t="n">
        <v>0.2598</v>
      </c>
      <c r="P743" t="n">
        <v>2019</v>
      </c>
      <c r="Q743" t="n">
        <v>2030</v>
      </c>
      <c r="R743" t="n">
        <v>0.3852</v>
      </c>
      <c r="S743" t="n">
        <v>158.2904</v>
      </c>
      <c r="T743" t="n">
        <v>0.00100695</v>
      </c>
      <c r="U743" t="n">
        <v>0.00065008</v>
      </c>
    </row>
    <row r="744">
      <c r="A744" t="inlineStr">
        <is>
          <t>SUP-0075</t>
        </is>
      </c>
      <c r="B744" t="inlineStr">
        <is>
          <t>Metals Supplier 075</t>
        </is>
      </c>
      <c r="C744" t="inlineStr">
        <is>
          <t>Metals</t>
        </is>
      </c>
      <c r="D744" t="n">
        <v>2017</v>
      </c>
      <c r="E744" t="n">
        <v>18155513.65</v>
      </c>
      <c r="F744" t="n">
        <v>49494987.18</v>
      </c>
      <c r="G744" t="n">
        <v>25222.6998</v>
      </c>
      <c r="H744" t="n">
        <v>25222.6998</v>
      </c>
      <c r="I744" t="n">
        <v>4915.2486</v>
      </c>
      <c r="J744" t="n">
        <v>2349.5925</v>
      </c>
      <c r="K744" t="n">
        <v>16308.1413</v>
      </c>
      <c r="L744" t="n">
        <v>2021</v>
      </c>
      <c r="M744" t="n">
        <v>2030</v>
      </c>
      <c r="N744" t="n">
        <v>0.5861</v>
      </c>
      <c r="O744" t="n">
        <v>0.2598</v>
      </c>
      <c r="P744" t="n">
        <v>2019</v>
      </c>
      <c r="Q744" t="n">
        <v>2030</v>
      </c>
      <c r="R744" t="n">
        <v>0.3852</v>
      </c>
      <c r="S744" t="n">
        <v>158.2904</v>
      </c>
      <c r="T744" t="n">
        <v>0.00100695</v>
      </c>
      <c r="U744" t="n">
        <v>0.00065008</v>
      </c>
    </row>
    <row r="745">
      <c r="A745" t="inlineStr">
        <is>
          <t>SUP-0075</t>
        </is>
      </c>
      <c r="B745" t="inlineStr">
        <is>
          <t>Metals Supplier 075</t>
        </is>
      </c>
      <c r="C745" t="inlineStr">
        <is>
          <t>Metals</t>
        </is>
      </c>
      <c r="D745" t="n">
        <v>2018</v>
      </c>
      <c r="E745" t="n">
        <v>16218298.51</v>
      </c>
      <c r="F745" t="n">
        <v>51578881.31</v>
      </c>
      <c r="G745" t="n">
        <v>21064.122</v>
      </c>
      <c r="H745" t="n">
        <v>21064.122</v>
      </c>
      <c r="I745" t="n">
        <v>4554.925</v>
      </c>
      <c r="J745" t="n">
        <v>3827.8203</v>
      </c>
      <c r="K745" t="n">
        <v>12173.651</v>
      </c>
      <c r="L745" t="n">
        <v>2021</v>
      </c>
      <c r="M745" t="n">
        <v>2030</v>
      </c>
      <c r="N745" t="n">
        <v>0.5861</v>
      </c>
      <c r="O745" t="n">
        <v>0.2598</v>
      </c>
      <c r="P745" t="n">
        <v>2019</v>
      </c>
      <c r="Q745" t="n">
        <v>2030</v>
      </c>
      <c r="R745" t="n">
        <v>0.3852</v>
      </c>
      <c r="S745" t="n">
        <v>158.2904</v>
      </c>
      <c r="T745" t="n">
        <v>0.00100695</v>
      </c>
      <c r="U745" t="n">
        <v>0.00065008</v>
      </c>
    </row>
    <row r="746">
      <c r="A746" t="inlineStr">
        <is>
          <t>SUP-0075</t>
        </is>
      </c>
      <c r="B746" t="inlineStr">
        <is>
          <t>Metals Supplier 075</t>
        </is>
      </c>
      <c r="C746" t="inlineStr">
        <is>
          <t>Metals</t>
        </is>
      </c>
      <c r="D746" t="n">
        <v>2019</v>
      </c>
      <c r="E746" t="n">
        <v>17532435.07</v>
      </c>
      <c r="F746" t="n">
        <v>45919650.68</v>
      </c>
      <c r="G746" t="n">
        <v>20647.6652</v>
      </c>
      <c r="H746" t="n">
        <v>20647.6652</v>
      </c>
      <c r="I746" t="n">
        <v>4330.8964</v>
      </c>
      <c r="J746" t="n">
        <v>1660.6249</v>
      </c>
      <c r="K746" t="n">
        <v>14448.4514</v>
      </c>
      <c r="L746" t="n">
        <v>2021</v>
      </c>
      <c r="M746" t="n">
        <v>2030</v>
      </c>
      <c r="N746" t="n">
        <v>0.5861</v>
      </c>
      <c r="O746" t="n">
        <v>0.2598</v>
      </c>
      <c r="P746" t="n">
        <v>2019</v>
      </c>
      <c r="Q746" t="n">
        <v>2030</v>
      </c>
      <c r="R746" t="n">
        <v>0.3852</v>
      </c>
      <c r="S746" t="n">
        <v>158.2904</v>
      </c>
      <c r="T746" t="n">
        <v>0.00100695</v>
      </c>
      <c r="U746" t="n">
        <v>0.00065008</v>
      </c>
    </row>
    <row r="747">
      <c r="A747" t="inlineStr">
        <is>
          <t>SUP-0075</t>
        </is>
      </c>
      <c r="B747" t="inlineStr">
        <is>
          <t>Metals Supplier 075</t>
        </is>
      </c>
      <c r="C747" t="inlineStr">
        <is>
          <t>Metals</t>
        </is>
      </c>
      <c r="D747" t="n">
        <v>2020</v>
      </c>
      <c r="E747" t="n">
        <v>13904862.83</v>
      </c>
      <c r="F747" t="n">
        <v>59799561.41</v>
      </c>
      <c r="G747" t="n">
        <v>19213.079</v>
      </c>
      <c r="H747" t="n">
        <v>19213.079</v>
      </c>
      <c r="I747" t="n">
        <v>3378.5212</v>
      </c>
      <c r="J747" t="n">
        <v>3074.297</v>
      </c>
      <c r="K747" t="n">
        <v>13057.7312</v>
      </c>
      <c r="L747" t="n">
        <v>2021</v>
      </c>
      <c r="M747" t="n">
        <v>2030</v>
      </c>
      <c r="N747" t="n">
        <v>0.5861</v>
      </c>
      <c r="O747" t="n">
        <v>0.2598</v>
      </c>
      <c r="P747" t="n">
        <v>2019</v>
      </c>
      <c r="Q747" t="n">
        <v>2030</v>
      </c>
      <c r="R747" t="n">
        <v>0.3852</v>
      </c>
      <c r="S747" t="n">
        <v>158.2904</v>
      </c>
      <c r="T747" t="n">
        <v>0.00100695</v>
      </c>
      <c r="U747" t="n">
        <v>0.00065008</v>
      </c>
    </row>
    <row r="748">
      <c r="A748" t="inlineStr">
        <is>
          <t>SUP-0075</t>
        </is>
      </c>
      <c r="B748" t="inlineStr">
        <is>
          <t>Metals Supplier 075</t>
        </is>
      </c>
      <c r="C748" t="inlineStr">
        <is>
          <t>Metals</t>
        </is>
      </c>
      <c r="D748" t="n">
        <v>2021</v>
      </c>
      <c r="E748" t="n">
        <v>15608176.1</v>
      </c>
      <c r="F748" t="n">
        <v>53199684.53</v>
      </c>
      <c r="G748" t="n">
        <v>16696.1315</v>
      </c>
      <c r="H748" t="n">
        <v>16696.1315</v>
      </c>
      <c r="I748" t="n">
        <v>2860.135</v>
      </c>
      <c r="J748" t="n">
        <v>2154.6443</v>
      </c>
      <c r="K748" t="n">
        <v>12589.5422</v>
      </c>
      <c r="L748" t="n">
        <v>2021</v>
      </c>
      <c r="M748" t="n">
        <v>2030</v>
      </c>
      <c r="N748" t="n">
        <v>0.5861</v>
      </c>
      <c r="O748" t="n">
        <v>0.2598</v>
      </c>
      <c r="P748" t="n">
        <v>2019</v>
      </c>
      <c r="Q748" t="n">
        <v>2030</v>
      </c>
      <c r="R748" t="n">
        <v>0.3852</v>
      </c>
      <c r="S748" t="n">
        <v>158.2904</v>
      </c>
      <c r="T748" t="n">
        <v>0.00100695</v>
      </c>
      <c r="U748" t="n">
        <v>0.00065008</v>
      </c>
    </row>
    <row r="749">
      <c r="A749" t="inlineStr">
        <is>
          <t>SUP-0075</t>
        </is>
      </c>
      <c r="B749" t="inlineStr">
        <is>
          <t>Metals Supplier 075</t>
        </is>
      </c>
      <c r="C749" t="inlineStr">
        <is>
          <t>Metals</t>
        </is>
      </c>
      <c r="D749" t="n">
        <v>2022</v>
      </c>
      <c r="E749" t="n">
        <v>15062877.65</v>
      </c>
      <c r="F749" t="n">
        <v>59966768.08</v>
      </c>
      <c r="G749" t="n">
        <v>17156.6499</v>
      </c>
      <c r="H749" t="n">
        <v>17156.6499</v>
      </c>
      <c r="I749" t="n">
        <v>1896.2261</v>
      </c>
      <c r="J749" t="n">
        <v>1401.7823</v>
      </c>
      <c r="K749" t="n">
        <v>12578.5343</v>
      </c>
      <c r="L749" t="n">
        <v>2021</v>
      </c>
      <c r="M749" t="n">
        <v>2030</v>
      </c>
      <c r="N749" t="n">
        <v>0.5861</v>
      </c>
      <c r="O749" t="n">
        <v>0.2598</v>
      </c>
      <c r="P749" t="n">
        <v>2019</v>
      </c>
      <c r="Q749" t="n">
        <v>2030</v>
      </c>
      <c r="R749" t="n">
        <v>0.3852</v>
      </c>
      <c r="S749" t="n">
        <v>158.2904</v>
      </c>
      <c r="T749" t="n">
        <v>0.00100695</v>
      </c>
      <c r="U749" t="n">
        <v>0.00065008</v>
      </c>
    </row>
    <row r="750">
      <c r="A750" t="inlineStr">
        <is>
          <t>SUP-0075</t>
        </is>
      </c>
      <c r="B750" t="inlineStr">
        <is>
          <t>Metals Supplier 075</t>
        </is>
      </c>
      <c r="C750" t="inlineStr">
        <is>
          <t>Metals</t>
        </is>
      </c>
      <c r="D750" t="n">
        <v>2023</v>
      </c>
      <c r="E750" t="n">
        <v>16227896.34</v>
      </c>
      <c r="F750" t="n">
        <v>50345238.2</v>
      </c>
      <c r="G750" t="n">
        <v>17558.3938</v>
      </c>
      <c r="H750" t="n">
        <v>17558.3938</v>
      </c>
      <c r="I750" t="n">
        <v>3766.0546</v>
      </c>
      <c r="J750" t="n">
        <v>3637.8733</v>
      </c>
      <c r="K750" t="n">
        <v>9477.8441</v>
      </c>
      <c r="L750" t="n">
        <v>2021</v>
      </c>
      <c r="M750" t="n">
        <v>2030</v>
      </c>
      <c r="N750" t="n">
        <v>0.5861</v>
      </c>
      <c r="O750" t="n">
        <v>0.2598</v>
      </c>
      <c r="P750" t="n">
        <v>2019</v>
      </c>
      <c r="Q750" t="n">
        <v>2030</v>
      </c>
      <c r="R750" t="n">
        <v>0.3852</v>
      </c>
      <c r="S750" t="n">
        <v>158.2904</v>
      </c>
      <c r="T750" t="n">
        <v>0.00100695</v>
      </c>
      <c r="U750" t="n">
        <v>0.00065008</v>
      </c>
    </row>
    <row r="751">
      <c r="A751" t="inlineStr">
        <is>
          <t>SUP-0075</t>
        </is>
      </c>
      <c r="B751" t="inlineStr">
        <is>
          <t>Metals Supplier 075</t>
        </is>
      </c>
      <c r="C751" t="inlineStr">
        <is>
          <t>Metals</t>
        </is>
      </c>
      <c r="D751" t="n">
        <v>2024</v>
      </c>
      <c r="E751" t="n">
        <v>15218241.83</v>
      </c>
      <c r="F751" t="n">
        <v>48232106.23</v>
      </c>
      <c r="G751" t="n">
        <v>19104.6888</v>
      </c>
      <c r="H751" t="n">
        <v>19104.6888</v>
      </c>
      <c r="I751" t="n">
        <v>4592.6116</v>
      </c>
      <c r="J751" t="n">
        <v>2530.4429</v>
      </c>
      <c r="K751" t="n">
        <v>10865.5764</v>
      </c>
      <c r="L751" t="n">
        <v>2021</v>
      </c>
      <c r="M751" t="n">
        <v>2030</v>
      </c>
      <c r="N751" t="n">
        <v>0.5861</v>
      </c>
      <c r="O751" t="n">
        <v>0.2598</v>
      </c>
      <c r="P751" t="n">
        <v>2019</v>
      </c>
      <c r="Q751" t="n">
        <v>2030</v>
      </c>
      <c r="R751" t="n">
        <v>0.3852</v>
      </c>
      <c r="S751" t="n">
        <v>158.2904</v>
      </c>
      <c r="T751" t="n">
        <v>0.00100695</v>
      </c>
      <c r="U751" t="n">
        <v>0.00065008</v>
      </c>
    </row>
    <row r="752">
      <c r="A752" t="inlineStr">
        <is>
          <t>SUP-0076</t>
        </is>
      </c>
      <c r="B752" t="inlineStr">
        <is>
          <t>Chemicals Supplier 076</t>
        </is>
      </c>
      <c r="C752" t="inlineStr">
        <is>
          <t>Chemicals</t>
        </is>
      </c>
      <c r="D752" t="n">
        <v>2015</v>
      </c>
      <c r="E752" t="n">
        <v>12866678.52</v>
      </c>
      <c r="F752" t="n">
        <v>38461948.58</v>
      </c>
      <c r="G752" t="n">
        <v>10881.0078</v>
      </c>
      <c r="H752" t="n">
        <v>10881.0078</v>
      </c>
      <c r="I752" t="n">
        <v>1507.5678</v>
      </c>
      <c r="J752" t="n">
        <v>1351.7503</v>
      </c>
      <c r="K752" t="n">
        <v>8261.619199999999</v>
      </c>
      <c r="L752" t="n">
        <v>2018</v>
      </c>
      <c r="M752" t="n">
        <v>2035</v>
      </c>
      <c r="N752" t="n">
        <v>0.4347</v>
      </c>
      <c r="O752" t="n">
        <v>0.1718</v>
      </c>
      <c r="P752" t="n">
        <v>2019</v>
      </c>
      <c r="Q752" t="n">
        <v>2035</v>
      </c>
      <c r="R752" t="n">
        <v>0.5229</v>
      </c>
      <c r="S752" t="n">
        <v>506.3191</v>
      </c>
      <c r="T752" t="n">
        <v>0.00100149</v>
      </c>
      <c r="U752" t="n">
        <v>0.00047124</v>
      </c>
    </row>
    <row r="753">
      <c r="A753" t="inlineStr">
        <is>
          <t>SUP-0076</t>
        </is>
      </c>
      <c r="B753" t="inlineStr">
        <is>
          <t>Chemicals Supplier 076</t>
        </is>
      </c>
      <c r="C753" t="inlineStr">
        <is>
          <t>Chemicals</t>
        </is>
      </c>
      <c r="D753" t="n">
        <v>2016</v>
      </c>
      <c r="E753" t="n">
        <v>13227015.44</v>
      </c>
      <c r="F753" t="n">
        <v>42904166.91</v>
      </c>
      <c r="G753" t="n">
        <v>14292.8563</v>
      </c>
      <c r="H753" t="n">
        <v>14292.8563</v>
      </c>
      <c r="I753" t="n">
        <v>2150.8079</v>
      </c>
      <c r="J753" t="n">
        <v>1286.8113</v>
      </c>
      <c r="K753" t="n">
        <v>10290.9884</v>
      </c>
      <c r="L753" t="n">
        <v>2018</v>
      </c>
      <c r="M753" t="n">
        <v>2035</v>
      </c>
      <c r="N753" t="n">
        <v>0.4347</v>
      </c>
      <c r="O753" t="n">
        <v>0.1718</v>
      </c>
      <c r="P753" t="n">
        <v>2019</v>
      </c>
      <c r="Q753" t="n">
        <v>2035</v>
      </c>
      <c r="R753" t="n">
        <v>0.5229</v>
      </c>
      <c r="S753" t="n">
        <v>506.3191</v>
      </c>
      <c r="T753" t="n">
        <v>0.00100149</v>
      </c>
      <c r="U753" t="n">
        <v>0.00047124</v>
      </c>
    </row>
    <row r="754">
      <c r="A754" t="inlineStr">
        <is>
          <t>SUP-0076</t>
        </is>
      </c>
      <c r="B754" t="inlineStr">
        <is>
          <t>Chemicals Supplier 076</t>
        </is>
      </c>
      <c r="C754" t="inlineStr">
        <is>
          <t>Chemicals</t>
        </is>
      </c>
      <c r="D754" t="n">
        <v>2017</v>
      </c>
      <c r="E754" t="n">
        <v>13231531.92</v>
      </c>
      <c r="F754" t="n">
        <v>41134614.74</v>
      </c>
      <c r="G754" t="n">
        <v>11999.159</v>
      </c>
      <c r="H754" t="n">
        <v>11999.159</v>
      </c>
      <c r="I754" t="n">
        <v>1135.2537</v>
      </c>
      <c r="J754" t="n">
        <v>2009.3878</v>
      </c>
      <c r="K754" t="n">
        <v>8605.7251</v>
      </c>
      <c r="L754" t="n">
        <v>2018</v>
      </c>
      <c r="M754" t="n">
        <v>2035</v>
      </c>
      <c r="N754" t="n">
        <v>0.4347</v>
      </c>
      <c r="O754" t="n">
        <v>0.1718</v>
      </c>
      <c r="P754" t="n">
        <v>2019</v>
      </c>
      <c r="Q754" t="n">
        <v>2035</v>
      </c>
      <c r="R754" t="n">
        <v>0.5229</v>
      </c>
      <c r="S754" t="n">
        <v>506.3191</v>
      </c>
      <c r="T754" t="n">
        <v>0.00100149</v>
      </c>
      <c r="U754" t="n">
        <v>0.00047124</v>
      </c>
    </row>
    <row r="755">
      <c r="A755" t="inlineStr">
        <is>
          <t>SUP-0076</t>
        </is>
      </c>
      <c r="B755" t="inlineStr">
        <is>
          <t>Chemicals Supplier 076</t>
        </is>
      </c>
      <c r="C755" t="inlineStr">
        <is>
          <t>Chemicals</t>
        </is>
      </c>
      <c r="D755" t="n">
        <v>2018</v>
      </c>
      <c r="E755" t="n">
        <v>13981725.11</v>
      </c>
      <c r="F755" t="n">
        <v>38408987.69</v>
      </c>
      <c r="G755" t="n">
        <v>12639.7671</v>
      </c>
      <c r="H755" t="n">
        <v>12639.7671</v>
      </c>
      <c r="I755" t="n">
        <v>1272.7909</v>
      </c>
      <c r="J755" t="n">
        <v>2073.7099</v>
      </c>
      <c r="K755" t="n">
        <v>8636.152400000001</v>
      </c>
      <c r="L755" t="n">
        <v>2018</v>
      </c>
      <c r="M755" t="n">
        <v>2035</v>
      </c>
      <c r="N755" t="n">
        <v>0.4347</v>
      </c>
      <c r="O755" t="n">
        <v>0.1718</v>
      </c>
      <c r="P755" t="n">
        <v>2019</v>
      </c>
      <c r="Q755" t="n">
        <v>2035</v>
      </c>
      <c r="R755" t="n">
        <v>0.5229</v>
      </c>
      <c r="S755" t="n">
        <v>506.3191</v>
      </c>
      <c r="T755" t="n">
        <v>0.00100149</v>
      </c>
      <c r="U755" t="n">
        <v>0.00047124</v>
      </c>
    </row>
    <row r="756">
      <c r="A756" t="inlineStr">
        <is>
          <t>SUP-0076</t>
        </is>
      </c>
      <c r="B756" t="inlineStr">
        <is>
          <t>Chemicals Supplier 076</t>
        </is>
      </c>
      <c r="C756" t="inlineStr">
        <is>
          <t>Chemicals</t>
        </is>
      </c>
      <c r="D756" t="n">
        <v>2019</v>
      </c>
      <c r="E756" t="n">
        <v>11992391.28</v>
      </c>
      <c r="F756" t="n">
        <v>43227910.94</v>
      </c>
      <c r="G756" t="n">
        <v>15627.347</v>
      </c>
      <c r="H756" t="n">
        <v>15627.347</v>
      </c>
      <c r="I756" t="n">
        <v>1918.5885</v>
      </c>
      <c r="J756" t="n">
        <v>1204.9355</v>
      </c>
      <c r="K756" t="n">
        <v>11881.4883</v>
      </c>
      <c r="L756" t="n">
        <v>2018</v>
      </c>
      <c r="M756" t="n">
        <v>2035</v>
      </c>
      <c r="N756" t="n">
        <v>0.4347</v>
      </c>
      <c r="O756" t="n">
        <v>0.1718</v>
      </c>
      <c r="P756" t="n">
        <v>2019</v>
      </c>
      <c r="Q756" t="n">
        <v>2035</v>
      </c>
      <c r="R756" t="n">
        <v>0.5229</v>
      </c>
      <c r="S756" t="n">
        <v>506.3191</v>
      </c>
      <c r="T756" t="n">
        <v>0.00100149</v>
      </c>
      <c r="U756" t="n">
        <v>0.00047124</v>
      </c>
    </row>
    <row r="757">
      <c r="A757" t="inlineStr">
        <is>
          <t>SUP-0076</t>
        </is>
      </c>
      <c r="B757" t="inlineStr">
        <is>
          <t>Chemicals Supplier 076</t>
        </is>
      </c>
      <c r="C757" t="inlineStr">
        <is>
          <t>Chemicals</t>
        </is>
      </c>
      <c r="D757" t="n">
        <v>2020</v>
      </c>
      <c r="E757" t="n">
        <v>15728020.93</v>
      </c>
      <c r="F757" t="n">
        <v>43223165.75</v>
      </c>
      <c r="G757" t="n">
        <v>15633.8994</v>
      </c>
      <c r="H757" t="n">
        <v>15633.8994</v>
      </c>
      <c r="I757" t="n">
        <v>3659.3994</v>
      </c>
      <c r="J757" t="n">
        <v>2234.8877</v>
      </c>
      <c r="K757" t="n">
        <v>9611.721600000001</v>
      </c>
      <c r="L757" t="n">
        <v>2018</v>
      </c>
      <c r="M757" t="n">
        <v>2035</v>
      </c>
      <c r="N757" t="n">
        <v>0.4347</v>
      </c>
      <c r="O757" t="n">
        <v>0.1718</v>
      </c>
      <c r="P757" t="n">
        <v>2019</v>
      </c>
      <c r="Q757" t="n">
        <v>2035</v>
      </c>
      <c r="R757" t="n">
        <v>0.5229</v>
      </c>
      <c r="S757" t="n">
        <v>506.3191</v>
      </c>
      <c r="T757" t="n">
        <v>0.00100149</v>
      </c>
      <c r="U757" t="n">
        <v>0.00047124</v>
      </c>
    </row>
    <row r="758">
      <c r="A758" t="inlineStr">
        <is>
          <t>SUP-0076</t>
        </is>
      </c>
      <c r="B758" t="inlineStr">
        <is>
          <t>Chemicals Supplier 076</t>
        </is>
      </c>
      <c r="C758" t="inlineStr">
        <is>
          <t>Chemicals</t>
        </is>
      </c>
      <c r="D758" t="n">
        <v>2021</v>
      </c>
      <c r="E758" t="n">
        <v>14472960.57</v>
      </c>
      <c r="F758" t="n">
        <v>47484900.29</v>
      </c>
      <c r="G758" t="n">
        <v>17242.9658</v>
      </c>
      <c r="H758" t="n">
        <v>17242.9658</v>
      </c>
      <c r="I758" t="n">
        <v>3217.1797</v>
      </c>
      <c r="J758" t="n">
        <v>2342.9038</v>
      </c>
      <c r="K758" t="n">
        <v>12472.6953</v>
      </c>
      <c r="L758" t="n">
        <v>2018</v>
      </c>
      <c r="M758" t="n">
        <v>2035</v>
      </c>
      <c r="N758" t="n">
        <v>0.4347</v>
      </c>
      <c r="O758" t="n">
        <v>0.1718</v>
      </c>
      <c r="P758" t="n">
        <v>2019</v>
      </c>
      <c r="Q758" t="n">
        <v>2035</v>
      </c>
      <c r="R758" t="n">
        <v>0.5229</v>
      </c>
      <c r="S758" t="n">
        <v>506.3191</v>
      </c>
      <c r="T758" t="n">
        <v>0.00100149</v>
      </c>
      <c r="U758" t="n">
        <v>0.00047124</v>
      </c>
    </row>
    <row r="759">
      <c r="A759" t="inlineStr">
        <is>
          <t>SUP-0076</t>
        </is>
      </c>
      <c r="B759" t="inlineStr">
        <is>
          <t>Chemicals Supplier 076</t>
        </is>
      </c>
      <c r="C759" t="inlineStr">
        <is>
          <t>Chemicals</t>
        </is>
      </c>
      <c r="D759" t="n">
        <v>2022</v>
      </c>
      <c r="E759" t="n">
        <v>15330857.59</v>
      </c>
      <c r="F759" t="n">
        <v>39673600.74</v>
      </c>
      <c r="G759" t="n">
        <v>12664.0205</v>
      </c>
      <c r="H759" t="n">
        <v>12664.0205</v>
      </c>
      <c r="I759" t="n">
        <v>1012.0744</v>
      </c>
      <c r="J759" t="n">
        <v>825.3565</v>
      </c>
      <c r="K759" t="n">
        <v>10993.7916</v>
      </c>
      <c r="L759" t="n">
        <v>2018</v>
      </c>
      <c r="M759" t="n">
        <v>2035</v>
      </c>
      <c r="N759" t="n">
        <v>0.4347</v>
      </c>
      <c r="O759" t="n">
        <v>0.1718</v>
      </c>
      <c r="P759" t="n">
        <v>2019</v>
      </c>
      <c r="Q759" t="n">
        <v>2035</v>
      </c>
      <c r="R759" t="n">
        <v>0.5229</v>
      </c>
      <c r="S759" t="n">
        <v>506.3191</v>
      </c>
      <c r="T759" t="n">
        <v>0.00100149</v>
      </c>
      <c r="U759" t="n">
        <v>0.00047124</v>
      </c>
    </row>
    <row r="760">
      <c r="A760" t="inlineStr">
        <is>
          <t>SUP-0076</t>
        </is>
      </c>
      <c r="B760" t="inlineStr">
        <is>
          <t>Chemicals Supplier 076</t>
        </is>
      </c>
      <c r="C760" t="inlineStr">
        <is>
          <t>Chemicals</t>
        </is>
      </c>
      <c r="D760" t="n">
        <v>2023</v>
      </c>
      <c r="E760" t="n">
        <v>13391394.83</v>
      </c>
      <c r="F760" t="n">
        <v>44386551.72</v>
      </c>
      <c r="G760" t="n">
        <v>13654.4523</v>
      </c>
      <c r="H760" t="n">
        <v>13654.4523</v>
      </c>
      <c r="I760" t="n">
        <v>2480.0389</v>
      </c>
      <c r="J760" t="n">
        <v>2812.3615</v>
      </c>
      <c r="K760" t="n">
        <v>8485.3076</v>
      </c>
      <c r="L760" t="n">
        <v>2018</v>
      </c>
      <c r="M760" t="n">
        <v>2035</v>
      </c>
      <c r="N760" t="n">
        <v>0.4347</v>
      </c>
      <c r="O760" t="n">
        <v>0.1718</v>
      </c>
      <c r="P760" t="n">
        <v>2019</v>
      </c>
      <c r="Q760" t="n">
        <v>2035</v>
      </c>
      <c r="R760" t="n">
        <v>0.5229</v>
      </c>
      <c r="S760" t="n">
        <v>506.3191</v>
      </c>
      <c r="T760" t="n">
        <v>0.00100149</v>
      </c>
      <c r="U760" t="n">
        <v>0.00047124</v>
      </c>
    </row>
    <row r="761">
      <c r="A761" t="inlineStr">
        <is>
          <t>SUP-0076</t>
        </is>
      </c>
      <c r="B761" t="inlineStr">
        <is>
          <t>Chemicals Supplier 076</t>
        </is>
      </c>
      <c r="C761" t="inlineStr">
        <is>
          <t>Chemicals</t>
        </is>
      </c>
      <c r="D761" t="n">
        <v>2024</v>
      </c>
      <c r="E761" t="n">
        <v>15916390.39</v>
      </c>
      <c r="F761" t="n">
        <v>63998237.61</v>
      </c>
      <c r="G761" t="n">
        <v>21781.5845</v>
      </c>
      <c r="H761" t="n">
        <v>21781.5845</v>
      </c>
      <c r="I761" t="n">
        <v>5125.7204</v>
      </c>
      <c r="J761" t="n">
        <v>2293.7183</v>
      </c>
      <c r="K761" t="n">
        <v>14465.8495</v>
      </c>
      <c r="L761" t="n">
        <v>2018</v>
      </c>
      <c r="M761" t="n">
        <v>2035</v>
      </c>
      <c r="N761" t="n">
        <v>0.4347</v>
      </c>
      <c r="O761" t="n">
        <v>0.1718</v>
      </c>
      <c r="P761" t="n">
        <v>2019</v>
      </c>
      <c r="Q761" t="n">
        <v>2035</v>
      </c>
      <c r="R761" t="n">
        <v>0.5229</v>
      </c>
      <c r="S761" t="n">
        <v>506.3191</v>
      </c>
      <c r="T761" t="n">
        <v>0.00100149</v>
      </c>
      <c r="U761" t="n">
        <v>0.00047124</v>
      </c>
    </row>
    <row r="762">
      <c r="A762" t="inlineStr">
        <is>
          <t>SUP-0077</t>
        </is>
      </c>
      <c r="B762" t="inlineStr">
        <is>
          <t>Packaging Supplier 077</t>
        </is>
      </c>
      <c r="C762" t="inlineStr">
        <is>
          <t>Packaging</t>
        </is>
      </c>
      <c r="D762" t="n">
        <v>2015</v>
      </c>
      <c r="E762" t="n">
        <v>386082.37</v>
      </c>
      <c r="F762" t="n">
        <v>1876788.48</v>
      </c>
      <c r="G762" t="n">
        <v>318.8556</v>
      </c>
      <c r="H762" t="n">
        <v>318.8556</v>
      </c>
      <c r="I762" t="n">
        <v>58.6678</v>
      </c>
      <c r="J762" t="n">
        <v>54.9768</v>
      </c>
      <c r="K762" t="n">
        <v>214.9952</v>
      </c>
      <c r="L762" t="n">
        <v>2018</v>
      </c>
      <c r="M762" t="n">
        <v>2030</v>
      </c>
      <c r="N762" t="n">
        <v>0.6421</v>
      </c>
      <c r="O762" t="n">
        <v>0.3614</v>
      </c>
      <c r="P762" t="n">
        <v>2018</v>
      </c>
      <c r="Q762" t="n">
        <v>2040</v>
      </c>
      <c r="R762" t="n">
        <v>0.3112</v>
      </c>
      <c r="S762" t="n">
        <v>702.4188</v>
      </c>
      <c r="T762" t="n">
        <v>0.0010803</v>
      </c>
      <c r="U762" t="n">
        <v>0.00078946</v>
      </c>
    </row>
    <row r="763">
      <c r="A763" t="inlineStr">
        <is>
          <t>SUP-0077</t>
        </is>
      </c>
      <c r="B763" t="inlineStr">
        <is>
          <t>Packaging Supplier 077</t>
        </is>
      </c>
      <c r="C763" t="inlineStr">
        <is>
          <t>Packaging</t>
        </is>
      </c>
      <c r="D763" t="n">
        <v>2016</v>
      </c>
      <c r="E763" t="n">
        <v>388236.44</v>
      </c>
      <c r="F763" t="n">
        <v>2305606.69</v>
      </c>
      <c r="G763" t="n">
        <v>307.4867</v>
      </c>
      <c r="H763" t="n">
        <v>307.4867</v>
      </c>
      <c r="I763" t="n">
        <v>35.5216</v>
      </c>
      <c r="J763" t="n">
        <v>47.4897</v>
      </c>
      <c r="K763" t="n">
        <v>230.5924</v>
      </c>
      <c r="L763" t="n">
        <v>2018</v>
      </c>
      <c r="M763" t="n">
        <v>2030</v>
      </c>
      <c r="N763" t="n">
        <v>0.6421</v>
      </c>
      <c r="O763" t="n">
        <v>0.3614</v>
      </c>
      <c r="P763" t="n">
        <v>2018</v>
      </c>
      <c r="Q763" t="n">
        <v>2040</v>
      </c>
      <c r="R763" t="n">
        <v>0.3112</v>
      </c>
      <c r="S763" t="n">
        <v>702.4188</v>
      </c>
      <c r="T763" t="n">
        <v>0.0010803</v>
      </c>
      <c r="U763" t="n">
        <v>0.00078946</v>
      </c>
    </row>
    <row r="764">
      <c r="A764" t="inlineStr">
        <is>
          <t>SUP-0077</t>
        </is>
      </c>
      <c r="B764" t="inlineStr">
        <is>
          <t>Packaging Supplier 077</t>
        </is>
      </c>
      <c r="C764" t="inlineStr">
        <is>
          <t>Packaging</t>
        </is>
      </c>
      <c r="D764" t="n">
        <v>2017</v>
      </c>
      <c r="E764" t="n">
        <v>436262.43</v>
      </c>
      <c r="F764" t="n">
        <v>2530849.29</v>
      </c>
      <c r="G764" t="n">
        <v>319.0824</v>
      </c>
      <c r="H764" t="n">
        <v>319.0824</v>
      </c>
      <c r="I764" t="n">
        <v>30.948</v>
      </c>
      <c r="J764" t="n">
        <v>25.4746</v>
      </c>
      <c r="K764" t="n">
        <v>274.9959</v>
      </c>
      <c r="L764" t="n">
        <v>2018</v>
      </c>
      <c r="M764" t="n">
        <v>2030</v>
      </c>
      <c r="N764" t="n">
        <v>0.6421</v>
      </c>
      <c r="O764" t="n">
        <v>0.3614</v>
      </c>
      <c r="P764" t="n">
        <v>2018</v>
      </c>
      <c r="Q764" t="n">
        <v>2040</v>
      </c>
      <c r="R764" t="n">
        <v>0.3112</v>
      </c>
      <c r="S764" t="n">
        <v>702.4188</v>
      </c>
      <c r="T764" t="n">
        <v>0.0010803</v>
      </c>
      <c r="U764" t="n">
        <v>0.00078946</v>
      </c>
    </row>
    <row r="765">
      <c r="A765" t="inlineStr">
        <is>
          <t>SUP-0077</t>
        </is>
      </c>
      <c r="B765" t="inlineStr">
        <is>
          <t>Packaging Supplier 077</t>
        </is>
      </c>
      <c r="C765" t="inlineStr">
        <is>
          <t>Packaging</t>
        </is>
      </c>
      <c r="D765" t="n">
        <v>2018</v>
      </c>
      <c r="E765" t="n">
        <v>390292.95</v>
      </c>
      <c r="F765" t="n">
        <v>2480959.08</v>
      </c>
      <c r="G765" t="n">
        <v>248.6256</v>
      </c>
      <c r="H765" t="n">
        <v>248.6256</v>
      </c>
      <c r="I765" t="n">
        <v>30.115</v>
      </c>
      <c r="J765" t="n">
        <v>34.2874</v>
      </c>
      <c r="K765" t="n">
        <v>167.4944</v>
      </c>
      <c r="L765" t="n">
        <v>2018</v>
      </c>
      <c r="M765" t="n">
        <v>2030</v>
      </c>
      <c r="N765" t="n">
        <v>0.6421</v>
      </c>
      <c r="O765" t="n">
        <v>0.3614</v>
      </c>
      <c r="P765" t="n">
        <v>2018</v>
      </c>
      <c r="Q765" t="n">
        <v>2040</v>
      </c>
      <c r="R765" t="n">
        <v>0.3112</v>
      </c>
      <c r="S765" t="n">
        <v>702.4188</v>
      </c>
      <c r="T765" t="n">
        <v>0.0010803</v>
      </c>
      <c r="U765" t="n">
        <v>0.00078946</v>
      </c>
    </row>
    <row r="766">
      <c r="A766" t="inlineStr">
        <is>
          <t>SUP-0077</t>
        </is>
      </c>
      <c r="B766" t="inlineStr">
        <is>
          <t>Packaging Supplier 077</t>
        </is>
      </c>
      <c r="C766" t="inlineStr">
        <is>
          <t>Packaging</t>
        </is>
      </c>
      <c r="D766" t="n">
        <v>2019</v>
      </c>
      <c r="E766" t="n">
        <v>385788.43</v>
      </c>
      <c r="F766" t="n">
        <v>3010643.91</v>
      </c>
      <c r="G766" t="n">
        <v>266.2393</v>
      </c>
      <c r="H766" t="n">
        <v>266.2393</v>
      </c>
      <c r="I766" t="n">
        <v>65.4461</v>
      </c>
      <c r="J766" t="n">
        <v>53.1564</v>
      </c>
      <c r="K766" t="n">
        <v>140.5188</v>
      </c>
      <c r="L766" t="n">
        <v>2018</v>
      </c>
      <c r="M766" t="n">
        <v>2030</v>
      </c>
      <c r="N766" t="n">
        <v>0.6421</v>
      </c>
      <c r="O766" t="n">
        <v>0.3614</v>
      </c>
      <c r="P766" t="n">
        <v>2018</v>
      </c>
      <c r="Q766" t="n">
        <v>2040</v>
      </c>
      <c r="R766" t="n">
        <v>0.3112</v>
      </c>
      <c r="S766" t="n">
        <v>702.4188</v>
      </c>
      <c r="T766" t="n">
        <v>0.0010803</v>
      </c>
      <c r="U766" t="n">
        <v>0.00078946</v>
      </c>
    </row>
    <row r="767">
      <c r="A767" t="inlineStr">
        <is>
          <t>SUP-0077</t>
        </is>
      </c>
      <c r="B767" t="inlineStr">
        <is>
          <t>Packaging Supplier 077</t>
        </is>
      </c>
      <c r="C767" t="inlineStr">
        <is>
          <t>Packaging</t>
        </is>
      </c>
      <c r="D767" t="n">
        <v>2020</v>
      </c>
      <c r="E767" t="n">
        <v>447902.28</v>
      </c>
      <c r="F767" t="n">
        <v>2098274.26</v>
      </c>
      <c r="G767" t="n">
        <v>337.0618</v>
      </c>
      <c r="H767" t="n">
        <v>337.0618</v>
      </c>
      <c r="I767" t="n">
        <v>53.9184</v>
      </c>
      <c r="J767" t="n">
        <v>29.6485</v>
      </c>
      <c r="K767" t="n">
        <v>255.3002</v>
      </c>
      <c r="L767" t="n">
        <v>2018</v>
      </c>
      <c r="M767" t="n">
        <v>2030</v>
      </c>
      <c r="N767" t="n">
        <v>0.6421</v>
      </c>
      <c r="O767" t="n">
        <v>0.3614</v>
      </c>
      <c r="P767" t="n">
        <v>2018</v>
      </c>
      <c r="Q767" t="n">
        <v>2040</v>
      </c>
      <c r="R767" t="n">
        <v>0.3112</v>
      </c>
      <c r="S767" t="n">
        <v>702.4188</v>
      </c>
      <c r="T767" t="n">
        <v>0.0010803</v>
      </c>
      <c r="U767" t="n">
        <v>0.00078946</v>
      </c>
    </row>
    <row r="768">
      <c r="A768" t="inlineStr">
        <is>
          <t>SUP-0077</t>
        </is>
      </c>
      <c r="B768" t="inlineStr">
        <is>
          <t>Packaging Supplier 077</t>
        </is>
      </c>
      <c r="C768" t="inlineStr">
        <is>
          <t>Packaging</t>
        </is>
      </c>
      <c r="D768" t="n">
        <v>2021</v>
      </c>
      <c r="E768" t="n">
        <v>519938.42</v>
      </c>
      <c r="F768" t="n">
        <v>3100136.59</v>
      </c>
      <c r="G768" t="n">
        <v>345.1167</v>
      </c>
      <c r="H768" t="n">
        <v>345.1167</v>
      </c>
      <c r="I768" t="n">
        <v>86.6527</v>
      </c>
      <c r="J768" t="n">
        <v>70.71129999999999</v>
      </c>
      <c r="K768" t="n">
        <v>185.4901</v>
      </c>
      <c r="L768" t="n">
        <v>2018</v>
      </c>
      <c r="M768" t="n">
        <v>2030</v>
      </c>
      <c r="N768" t="n">
        <v>0.6421</v>
      </c>
      <c r="O768" t="n">
        <v>0.3614</v>
      </c>
      <c r="P768" t="n">
        <v>2018</v>
      </c>
      <c r="Q768" t="n">
        <v>2040</v>
      </c>
      <c r="R768" t="n">
        <v>0.3112</v>
      </c>
      <c r="S768" t="n">
        <v>702.4188</v>
      </c>
      <c r="T768" t="n">
        <v>0.0010803</v>
      </c>
      <c r="U768" t="n">
        <v>0.00078946</v>
      </c>
    </row>
    <row r="769">
      <c r="A769" t="inlineStr">
        <is>
          <t>SUP-0077</t>
        </is>
      </c>
      <c r="B769" t="inlineStr">
        <is>
          <t>Packaging Supplier 077</t>
        </is>
      </c>
      <c r="C769" t="inlineStr">
        <is>
          <t>Packaging</t>
        </is>
      </c>
      <c r="D769" t="n">
        <v>2022</v>
      </c>
      <c r="E769" t="n">
        <v>625623.27</v>
      </c>
      <c r="F769" t="n">
        <v>2653415.21</v>
      </c>
      <c r="G769" t="n">
        <v>413.6172</v>
      </c>
      <c r="H769" t="n">
        <v>413.6172</v>
      </c>
      <c r="I769" t="n">
        <v>105.934</v>
      </c>
      <c r="J769" t="n">
        <v>49.9278</v>
      </c>
      <c r="K769" t="n">
        <v>228.5003</v>
      </c>
      <c r="L769" t="n">
        <v>2018</v>
      </c>
      <c r="M769" t="n">
        <v>2030</v>
      </c>
      <c r="N769" t="n">
        <v>0.6421</v>
      </c>
      <c r="O769" t="n">
        <v>0.3614</v>
      </c>
      <c r="P769" t="n">
        <v>2018</v>
      </c>
      <c r="Q769" t="n">
        <v>2040</v>
      </c>
      <c r="R769" t="n">
        <v>0.3112</v>
      </c>
      <c r="S769" t="n">
        <v>702.4188</v>
      </c>
      <c r="T769" t="n">
        <v>0.0010803</v>
      </c>
      <c r="U769" t="n">
        <v>0.00078946</v>
      </c>
    </row>
    <row r="770">
      <c r="A770" t="inlineStr">
        <is>
          <t>SUP-0077</t>
        </is>
      </c>
      <c r="B770" t="inlineStr">
        <is>
          <t>Packaging Supplier 077</t>
        </is>
      </c>
      <c r="C770" t="inlineStr">
        <is>
          <t>Packaging</t>
        </is>
      </c>
      <c r="D770" t="n">
        <v>2023</v>
      </c>
      <c r="E770" t="n">
        <v>609500.67</v>
      </c>
      <c r="F770" t="n">
        <v>3768512.27</v>
      </c>
      <c r="G770" t="n">
        <v>403.8538</v>
      </c>
      <c r="H770" t="n">
        <v>403.8538</v>
      </c>
      <c r="I770" t="n">
        <v>112.4133</v>
      </c>
      <c r="J770" t="n">
        <v>28.1003</v>
      </c>
      <c r="K770" t="n">
        <v>258.8601</v>
      </c>
      <c r="L770" t="n">
        <v>2018</v>
      </c>
      <c r="M770" t="n">
        <v>2030</v>
      </c>
      <c r="N770" t="n">
        <v>0.6421</v>
      </c>
      <c r="O770" t="n">
        <v>0.3614</v>
      </c>
      <c r="P770" t="n">
        <v>2018</v>
      </c>
      <c r="Q770" t="n">
        <v>2040</v>
      </c>
      <c r="R770" t="n">
        <v>0.3112</v>
      </c>
      <c r="S770" t="n">
        <v>702.4188</v>
      </c>
      <c r="T770" t="n">
        <v>0.0010803</v>
      </c>
      <c r="U770" t="n">
        <v>0.00078946</v>
      </c>
    </row>
    <row r="771">
      <c r="A771" t="inlineStr">
        <is>
          <t>SUP-0077</t>
        </is>
      </c>
      <c r="B771" t="inlineStr">
        <is>
          <t>Packaging Supplier 077</t>
        </is>
      </c>
      <c r="C771" t="inlineStr">
        <is>
          <t>Packaging</t>
        </is>
      </c>
      <c r="D771" t="n">
        <v>2024</v>
      </c>
      <c r="E771" t="n">
        <v>603398.41</v>
      </c>
      <c r="F771" t="n">
        <v>5012554.34</v>
      </c>
      <c r="G771" t="n">
        <v>368.6382</v>
      </c>
      <c r="H771" t="n">
        <v>368.6382</v>
      </c>
      <c r="I771" t="n">
        <v>80.429</v>
      </c>
      <c r="J771" t="n">
        <v>32.5647</v>
      </c>
      <c r="K771" t="n">
        <v>257.7497</v>
      </c>
      <c r="L771" t="n">
        <v>2018</v>
      </c>
      <c r="M771" t="n">
        <v>2030</v>
      </c>
      <c r="N771" t="n">
        <v>0.6421</v>
      </c>
      <c r="O771" t="n">
        <v>0.3614</v>
      </c>
      <c r="P771" t="n">
        <v>2018</v>
      </c>
      <c r="Q771" t="n">
        <v>2040</v>
      </c>
      <c r="R771" t="n">
        <v>0.3112</v>
      </c>
      <c r="S771" t="n">
        <v>702.4188</v>
      </c>
      <c r="T771" t="n">
        <v>0.0010803</v>
      </c>
      <c r="U771" t="n">
        <v>0.00078946</v>
      </c>
    </row>
    <row r="772">
      <c r="A772" t="inlineStr">
        <is>
          <t>SUP-0078</t>
        </is>
      </c>
      <c r="B772" t="inlineStr">
        <is>
          <t>Metals Supplier 078</t>
        </is>
      </c>
      <c r="C772" t="inlineStr">
        <is>
          <t>Metals</t>
        </is>
      </c>
      <c r="D772" t="n">
        <v>2015</v>
      </c>
      <c r="E772" t="n">
        <v>14585847.49</v>
      </c>
      <c r="F772" t="n">
        <v>99121824.54000001</v>
      </c>
      <c r="G772" t="n">
        <v>16727.625</v>
      </c>
      <c r="H772" t="n">
        <v>16727.625</v>
      </c>
      <c r="I772" t="n">
        <v>3323.3005</v>
      </c>
      <c r="J772" t="n">
        <v>1644.0023</v>
      </c>
      <c r="K772" t="n">
        <v>12700.9707</v>
      </c>
      <c r="L772" t="n">
        <v>2021</v>
      </c>
      <c r="M772" t="n">
        <v>2040</v>
      </c>
      <c r="N772" t="n">
        <v>0.2592</v>
      </c>
      <c r="O772" t="n">
        <v>0.1569</v>
      </c>
      <c r="P772" t="n">
        <v>2019</v>
      </c>
      <c r="Q772" t="n">
        <v>2030</v>
      </c>
      <c r="R772" t="n">
        <v>0.3852</v>
      </c>
      <c r="S772" t="n">
        <v>158.2904</v>
      </c>
      <c r="T772" t="n">
        <v>0.00100695</v>
      </c>
      <c r="U772" t="n">
        <v>0.00065008</v>
      </c>
    </row>
    <row r="773">
      <c r="A773" t="inlineStr">
        <is>
          <t>SUP-0078</t>
        </is>
      </c>
      <c r="B773" t="inlineStr">
        <is>
          <t>Metals Supplier 078</t>
        </is>
      </c>
      <c r="C773" t="inlineStr">
        <is>
          <t>Metals</t>
        </is>
      </c>
      <c r="D773" t="n">
        <v>2016</v>
      </c>
      <c r="E773" t="n">
        <v>16144702.76</v>
      </c>
      <c r="F773" t="n">
        <v>93474038.81999999</v>
      </c>
      <c r="G773" t="n">
        <v>14381.2814</v>
      </c>
      <c r="H773" t="n">
        <v>14381.2814</v>
      </c>
      <c r="I773" t="n">
        <v>1298.6579</v>
      </c>
      <c r="J773" t="n">
        <v>1922.0779</v>
      </c>
      <c r="K773" t="n">
        <v>10885.529</v>
      </c>
      <c r="L773" t="n">
        <v>2021</v>
      </c>
      <c r="M773" t="n">
        <v>2040</v>
      </c>
      <c r="N773" t="n">
        <v>0.2592</v>
      </c>
      <c r="O773" t="n">
        <v>0.1569</v>
      </c>
      <c r="P773" t="n">
        <v>2019</v>
      </c>
      <c r="Q773" t="n">
        <v>2030</v>
      </c>
      <c r="R773" t="n">
        <v>0.3852</v>
      </c>
      <c r="S773" t="n">
        <v>158.2904</v>
      </c>
      <c r="T773" t="n">
        <v>0.00100695</v>
      </c>
      <c r="U773" t="n">
        <v>0.00065008</v>
      </c>
    </row>
    <row r="774">
      <c r="A774" t="inlineStr">
        <is>
          <t>SUP-0078</t>
        </is>
      </c>
      <c r="B774" t="inlineStr">
        <is>
          <t>Metals Supplier 078</t>
        </is>
      </c>
      <c r="C774" t="inlineStr">
        <is>
          <t>Metals</t>
        </is>
      </c>
      <c r="D774" t="n">
        <v>2017</v>
      </c>
      <c r="E774" t="n">
        <v>13468426.16</v>
      </c>
      <c r="F774" t="n">
        <v>114665498.83</v>
      </c>
      <c r="G774" t="n">
        <v>15148.6706</v>
      </c>
      <c r="H774" t="n">
        <v>15148.6706</v>
      </c>
      <c r="I774" t="n">
        <v>2087.7518</v>
      </c>
      <c r="J774" t="n">
        <v>2916.926</v>
      </c>
      <c r="K774" t="n">
        <v>9975.332200000001</v>
      </c>
      <c r="L774" t="n">
        <v>2021</v>
      </c>
      <c r="M774" t="n">
        <v>2040</v>
      </c>
      <c r="N774" t="n">
        <v>0.2592</v>
      </c>
      <c r="O774" t="n">
        <v>0.1569</v>
      </c>
      <c r="P774" t="n">
        <v>2019</v>
      </c>
      <c r="Q774" t="n">
        <v>2030</v>
      </c>
      <c r="R774" t="n">
        <v>0.3852</v>
      </c>
      <c r="S774" t="n">
        <v>158.2904</v>
      </c>
      <c r="T774" t="n">
        <v>0.00100695</v>
      </c>
      <c r="U774" t="n">
        <v>0.00065008</v>
      </c>
    </row>
    <row r="775">
      <c r="A775" t="inlineStr">
        <is>
          <t>SUP-0078</t>
        </is>
      </c>
      <c r="B775" t="inlineStr">
        <is>
          <t>Metals Supplier 078</t>
        </is>
      </c>
      <c r="C775" t="inlineStr">
        <is>
          <t>Metals</t>
        </is>
      </c>
      <c r="D775" t="n">
        <v>2018</v>
      </c>
      <c r="E775" t="n">
        <v>17845798.32</v>
      </c>
      <c r="F775" t="n">
        <v>87612229.39</v>
      </c>
      <c r="G775" t="n">
        <v>16427.7088</v>
      </c>
      <c r="H775" t="n">
        <v>16427.7088</v>
      </c>
      <c r="I775" t="n">
        <v>3299.1605</v>
      </c>
      <c r="J775" t="n">
        <v>3094.2077</v>
      </c>
      <c r="K775" t="n">
        <v>10554.401</v>
      </c>
      <c r="L775" t="n">
        <v>2021</v>
      </c>
      <c r="M775" t="n">
        <v>2040</v>
      </c>
      <c r="N775" t="n">
        <v>0.2592</v>
      </c>
      <c r="O775" t="n">
        <v>0.1569</v>
      </c>
      <c r="P775" t="n">
        <v>2019</v>
      </c>
      <c r="Q775" t="n">
        <v>2030</v>
      </c>
      <c r="R775" t="n">
        <v>0.3852</v>
      </c>
      <c r="S775" t="n">
        <v>158.2904</v>
      </c>
      <c r="T775" t="n">
        <v>0.00100695</v>
      </c>
      <c r="U775" t="n">
        <v>0.00065008</v>
      </c>
    </row>
    <row r="776">
      <c r="A776" t="inlineStr">
        <is>
          <t>SUP-0078</t>
        </is>
      </c>
      <c r="B776" t="inlineStr">
        <is>
          <t>Metals Supplier 078</t>
        </is>
      </c>
      <c r="C776" t="inlineStr">
        <is>
          <t>Metals</t>
        </is>
      </c>
      <c r="D776" t="n">
        <v>2019</v>
      </c>
      <c r="E776" t="n">
        <v>19683401.03</v>
      </c>
      <c r="F776" t="n">
        <v>133321669.95</v>
      </c>
      <c r="G776" t="n">
        <v>16364.6187</v>
      </c>
      <c r="H776" t="n">
        <v>16364.6187</v>
      </c>
      <c r="I776" t="n">
        <v>2275.6015</v>
      </c>
      <c r="J776" t="n">
        <v>1834.9069</v>
      </c>
      <c r="K776" t="n">
        <v>12409.4446</v>
      </c>
      <c r="L776" t="n">
        <v>2021</v>
      </c>
      <c r="M776" t="n">
        <v>2040</v>
      </c>
      <c r="N776" t="n">
        <v>0.2592</v>
      </c>
      <c r="O776" t="n">
        <v>0.1569</v>
      </c>
      <c r="P776" t="n">
        <v>2019</v>
      </c>
      <c r="Q776" t="n">
        <v>2030</v>
      </c>
      <c r="R776" t="n">
        <v>0.3852</v>
      </c>
      <c r="S776" t="n">
        <v>158.2904</v>
      </c>
      <c r="T776" t="n">
        <v>0.00100695</v>
      </c>
      <c r="U776" t="n">
        <v>0.00065008</v>
      </c>
    </row>
    <row r="777">
      <c r="A777" t="inlineStr">
        <is>
          <t>SUP-0078</t>
        </is>
      </c>
      <c r="B777" t="inlineStr">
        <is>
          <t>Metals Supplier 078</t>
        </is>
      </c>
      <c r="C777" t="inlineStr">
        <is>
          <t>Metals</t>
        </is>
      </c>
      <c r="D777" t="n">
        <v>2020</v>
      </c>
      <c r="E777" t="n">
        <v>21649774.3</v>
      </c>
      <c r="F777" t="n">
        <v>168864127.83</v>
      </c>
      <c r="G777" t="n">
        <v>18722.8263</v>
      </c>
      <c r="H777" t="n">
        <v>18722.8263</v>
      </c>
      <c r="I777" t="n">
        <v>4155.0188</v>
      </c>
      <c r="J777" t="n">
        <v>2252.5483</v>
      </c>
      <c r="K777" t="n">
        <v>11193.4875</v>
      </c>
      <c r="L777" t="n">
        <v>2021</v>
      </c>
      <c r="M777" t="n">
        <v>2040</v>
      </c>
      <c r="N777" t="n">
        <v>0.2592</v>
      </c>
      <c r="O777" t="n">
        <v>0.1569</v>
      </c>
      <c r="P777" t="n">
        <v>2019</v>
      </c>
      <c r="Q777" t="n">
        <v>2030</v>
      </c>
      <c r="R777" t="n">
        <v>0.3852</v>
      </c>
      <c r="S777" t="n">
        <v>158.2904</v>
      </c>
      <c r="T777" t="n">
        <v>0.00100695</v>
      </c>
      <c r="U777" t="n">
        <v>0.00065008</v>
      </c>
    </row>
    <row r="778">
      <c r="A778" t="inlineStr">
        <is>
          <t>SUP-0078</t>
        </is>
      </c>
      <c r="B778" t="inlineStr">
        <is>
          <t>Metals Supplier 078</t>
        </is>
      </c>
      <c r="C778" t="inlineStr">
        <is>
          <t>Metals</t>
        </is>
      </c>
      <c r="D778" t="n">
        <v>2021</v>
      </c>
      <c r="E778" t="n">
        <v>21108845.56</v>
      </c>
      <c r="F778" t="n">
        <v>139270178.23</v>
      </c>
      <c r="G778" t="n">
        <v>18414.7725</v>
      </c>
      <c r="H778" t="n">
        <v>18414.7725</v>
      </c>
      <c r="I778" t="n">
        <v>2181.4125</v>
      </c>
      <c r="J778" t="n">
        <v>3585.1038</v>
      </c>
      <c r="K778" t="n">
        <v>12866.188</v>
      </c>
      <c r="L778" t="n">
        <v>2021</v>
      </c>
      <c r="M778" t="n">
        <v>2040</v>
      </c>
      <c r="N778" t="n">
        <v>0.2592</v>
      </c>
      <c r="O778" t="n">
        <v>0.1569</v>
      </c>
      <c r="P778" t="n">
        <v>2019</v>
      </c>
      <c r="Q778" t="n">
        <v>2030</v>
      </c>
      <c r="R778" t="n">
        <v>0.3852</v>
      </c>
      <c r="S778" t="n">
        <v>158.2904</v>
      </c>
      <c r="T778" t="n">
        <v>0.00100695</v>
      </c>
      <c r="U778" t="n">
        <v>0.00065008</v>
      </c>
    </row>
    <row r="779">
      <c r="A779" t="inlineStr">
        <is>
          <t>SUP-0078</t>
        </is>
      </c>
      <c r="B779" t="inlineStr">
        <is>
          <t>Metals Supplier 078</t>
        </is>
      </c>
      <c r="C779" t="inlineStr">
        <is>
          <t>Metals</t>
        </is>
      </c>
      <c r="D779" t="n">
        <v>2022</v>
      </c>
      <c r="E779" t="n">
        <v>25699910.98</v>
      </c>
      <c r="F779" t="n">
        <v>139725167.6</v>
      </c>
      <c r="G779" t="n">
        <v>22855.2851</v>
      </c>
      <c r="H779" t="n">
        <v>22855.2851</v>
      </c>
      <c r="I779" t="n">
        <v>6027.5046</v>
      </c>
      <c r="J779" t="n">
        <v>2989.2684</v>
      </c>
      <c r="K779" t="n">
        <v>14210.0917</v>
      </c>
      <c r="L779" t="n">
        <v>2021</v>
      </c>
      <c r="M779" t="n">
        <v>2040</v>
      </c>
      <c r="N779" t="n">
        <v>0.2592</v>
      </c>
      <c r="O779" t="n">
        <v>0.1569</v>
      </c>
      <c r="P779" t="n">
        <v>2019</v>
      </c>
      <c r="Q779" t="n">
        <v>2030</v>
      </c>
      <c r="R779" t="n">
        <v>0.3852</v>
      </c>
      <c r="S779" t="n">
        <v>158.2904</v>
      </c>
      <c r="T779" t="n">
        <v>0.00100695</v>
      </c>
      <c r="U779" t="n">
        <v>0.00065008</v>
      </c>
    </row>
    <row r="780">
      <c r="A780" t="inlineStr">
        <is>
          <t>SUP-0078</t>
        </is>
      </c>
      <c r="B780" t="inlineStr">
        <is>
          <t>Metals Supplier 078</t>
        </is>
      </c>
      <c r="C780" t="inlineStr">
        <is>
          <t>Metals</t>
        </is>
      </c>
      <c r="D780" t="n">
        <v>2023</v>
      </c>
      <c r="E780" t="n">
        <v>26323443.32</v>
      </c>
      <c r="F780" t="n">
        <v>222882264.63</v>
      </c>
      <c r="G780" t="n">
        <v>17552.6946</v>
      </c>
      <c r="H780" t="n">
        <v>17552.6946</v>
      </c>
      <c r="I780" t="n">
        <v>1504.8651</v>
      </c>
      <c r="J780" t="n">
        <v>2293.0338</v>
      </c>
      <c r="K780" t="n">
        <v>14003.1307</v>
      </c>
      <c r="L780" t="n">
        <v>2021</v>
      </c>
      <c r="M780" t="n">
        <v>2040</v>
      </c>
      <c r="N780" t="n">
        <v>0.2592</v>
      </c>
      <c r="O780" t="n">
        <v>0.1569</v>
      </c>
      <c r="P780" t="n">
        <v>2019</v>
      </c>
      <c r="Q780" t="n">
        <v>2030</v>
      </c>
      <c r="R780" t="n">
        <v>0.3852</v>
      </c>
      <c r="S780" t="n">
        <v>158.2904</v>
      </c>
      <c r="T780" t="n">
        <v>0.00100695</v>
      </c>
      <c r="U780" t="n">
        <v>0.00065008</v>
      </c>
    </row>
    <row r="781">
      <c r="A781" t="inlineStr">
        <is>
          <t>SUP-0078</t>
        </is>
      </c>
      <c r="B781" t="inlineStr">
        <is>
          <t>Metals Supplier 078</t>
        </is>
      </c>
      <c r="C781" t="inlineStr">
        <is>
          <t>Metals</t>
        </is>
      </c>
      <c r="D781" t="n">
        <v>2024</v>
      </c>
      <c r="E781" t="n">
        <v>24715249.31</v>
      </c>
      <c r="F781" t="n">
        <v>192905069.32</v>
      </c>
      <c r="G781" t="n">
        <v>19046.8071</v>
      </c>
      <c r="H781" t="n">
        <v>19046.8071</v>
      </c>
      <c r="I781" t="n">
        <v>3454.5027</v>
      </c>
      <c r="J781" t="n">
        <v>1713.6012</v>
      </c>
      <c r="K781" t="n">
        <v>14283.8822</v>
      </c>
      <c r="L781" t="n">
        <v>2021</v>
      </c>
      <c r="M781" t="n">
        <v>2040</v>
      </c>
      <c r="N781" t="n">
        <v>0.2592</v>
      </c>
      <c r="O781" t="n">
        <v>0.1569</v>
      </c>
      <c r="P781" t="n">
        <v>2019</v>
      </c>
      <c r="Q781" t="n">
        <v>2030</v>
      </c>
      <c r="R781" t="n">
        <v>0.3852</v>
      </c>
      <c r="S781" t="n">
        <v>158.2904</v>
      </c>
      <c r="T781" t="n">
        <v>0.00100695</v>
      </c>
      <c r="U781" t="n">
        <v>0.00065008</v>
      </c>
    </row>
    <row r="782">
      <c r="A782" t="inlineStr">
        <is>
          <t>SUP-0079</t>
        </is>
      </c>
      <c r="B782" t="inlineStr">
        <is>
          <t>Logistics Supplier 079</t>
        </is>
      </c>
      <c r="C782" t="inlineStr">
        <is>
          <t>Logistics</t>
        </is>
      </c>
      <c r="D782" t="n">
        <v>2015</v>
      </c>
      <c r="E782" t="n">
        <v>10204100.99</v>
      </c>
      <c r="F782" t="n">
        <v>44560562.41</v>
      </c>
      <c r="G782" t="n">
        <v>3305.002</v>
      </c>
      <c r="H782" t="n">
        <v>3305.002</v>
      </c>
      <c r="I782" t="n">
        <v>632.474</v>
      </c>
      <c r="J782" t="n">
        <v>399.424</v>
      </c>
      <c r="K782" t="n">
        <v>2395.1132</v>
      </c>
      <c r="L782" t="inlineStr"/>
      <c r="M782" t="inlineStr"/>
      <c r="N782" t="inlineStr"/>
      <c r="O782" t="inlineStr"/>
      <c r="P782" t="n">
        <v>2019</v>
      </c>
      <c r="Q782" t="n">
        <v>2040</v>
      </c>
      <c r="R782" t="n">
        <v>0.4616</v>
      </c>
      <c r="S782" t="n">
        <v>591.6386</v>
      </c>
      <c r="T782" t="n">
        <v>0.00022349</v>
      </c>
      <c r="U782" t="n">
        <v>0.00047787</v>
      </c>
    </row>
    <row r="783">
      <c r="A783" t="inlineStr">
        <is>
          <t>SUP-0079</t>
        </is>
      </c>
      <c r="B783" t="inlineStr">
        <is>
          <t>Logistics Supplier 079</t>
        </is>
      </c>
      <c r="C783" t="inlineStr">
        <is>
          <t>Logistics</t>
        </is>
      </c>
      <c r="D783" t="n">
        <v>2016</v>
      </c>
      <c r="E783" t="n">
        <v>13942105.02</v>
      </c>
      <c r="F783" t="n">
        <v>46593829.06</v>
      </c>
      <c r="G783" t="n">
        <v>4144.0119</v>
      </c>
      <c r="H783" t="n">
        <v>4144.0119</v>
      </c>
      <c r="I783" t="n">
        <v>389.3573</v>
      </c>
      <c r="J783" t="n">
        <v>461.4578</v>
      </c>
      <c r="K783" t="n">
        <v>3401.2034</v>
      </c>
      <c r="L783" t="inlineStr"/>
      <c r="M783" t="inlineStr"/>
      <c r="N783" t="inlineStr"/>
      <c r="O783" t="inlineStr"/>
      <c r="P783" t="n">
        <v>2019</v>
      </c>
      <c r="Q783" t="n">
        <v>2040</v>
      </c>
      <c r="R783" t="n">
        <v>0.4616</v>
      </c>
      <c r="S783" t="n">
        <v>591.6386</v>
      </c>
      <c r="T783" t="n">
        <v>0.00022349</v>
      </c>
      <c r="U783" t="n">
        <v>0.00047787</v>
      </c>
    </row>
    <row r="784">
      <c r="A784" t="inlineStr">
        <is>
          <t>SUP-0079</t>
        </is>
      </c>
      <c r="B784" t="inlineStr">
        <is>
          <t>Logistics Supplier 079</t>
        </is>
      </c>
      <c r="C784" t="inlineStr">
        <is>
          <t>Logistics</t>
        </is>
      </c>
      <c r="D784" t="n">
        <v>2017</v>
      </c>
      <c r="E784" t="n">
        <v>12658776.24</v>
      </c>
      <c r="F784" t="n">
        <v>54166482.65</v>
      </c>
      <c r="G784" t="n">
        <v>3385.6007</v>
      </c>
      <c r="H784" t="n">
        <v>3385.6007</v>
      </c>
      <c r="I784" t="n">
        <v>778.1777</v>
      </c>
      <c r="J784" t="n">
        <v>529.8683</v>
      </c>
      <c r="K784" t="n">
        <v>1935.2826</v>
      </c>
      <c r="L784" t="inlineStr"/>
      <c r="M784" t="inlineStr"/>
      <c r="N784" t="inlineStr"/>
      <c r="O784" t="inlineStr"/>
      <c r="P784" t="n">
        <v>2019</v>
      </c>
      <c r="Q784" t="n">
        <v>2040</v>
      </c>
      <c r="R784" t="n">
        <v>0.4616</v>
      </c>
      <c r="S784" t="n">
        <v>591.6386</v>
      </c>
      <c r="T784" t="n">
        <v>0.00022349</v>
      </c>
      <c r="U784" t="n">
        <v>0.00047787</v>
      </c>
    </row>
    <row r="785">
      <c r="A785" t="inlineStr">
        <is>
          <t>SUP-0079</t>
        </is>
      </c>
      <c r="B785" t="inlineStr">
        <is>
          <t>Logistics Supplier 079</t>
        </is>
      </c>
      <c r="C785" t="inlineStr">
        <is>
          <t>Logistics</t>
        </is>
      </c>
      <c r="D785" t="n">
        <v>2018</v>
      </c>
      <c r="E785" t="n">
        <v>13683022.97</v>
      </c>
      <c r="F785" t="n">
        <v>54713001.31</v>
      </c>
      <c r="G785" t="n">
        <v>3606.0602</v>
      </c>
      <c r="H785" t="n">
        <v>3606.0602</v>
      </c>
      <c r="I785" t="n">
        <v>591.3203999999999</v>
      </c>
      <c r="J785" t="n">
        <v>514.2639</v>
      </c>
      <c r="K785" t="n">
        <v>2878.632</v>
      </c>
      <c r="L785" t="inlineStr"/>
      <c r="M785" t="inlineStr"/>
      <c r="N785" t="inlineStr"/>
      <c r="O785" t="inlineStr"/>
      <c r="P785" t="n">
        <v>2019</v>
      </c>
      <c r="Q785" t="n">
        <v>2040</v>
      </c>
      <c r="R785" t="n">
        <v>0.4616</v>
      </c>
      <c r="S785" t="n">
        <v>591.6386</v>
      </c>
      <c r="T785" t="n">
        <v>0.00022349</v>
      </c>
      <c r="U785" t="n">
        <v>0.00047787</v>
      </c>
    </row>
    <row r="786">
      <c r="A786" t="inlineStr">
        <is>
          <t>SUP-0079</t>
        </is>
      </c>
      <c r="B786" t="inlineStr">
        <is>
          <t>Logistics Supplier 079</t>
        </is>
      </c>
      <c r="C786" t="inlineStr">
        <is>
          <t>Logistics</t>
        </is>
      </c>
      <c r="D786" t="n">
        <v>2019</v>
      </c>
      <c r="E786" t="n">
        <v>12609242.15</v>
      </c>
      <c r="F786" t="n">
        <v>61646178.59</v>
      </c>
      <c r="G786" t="n">
        <v>3977.8503</v>
      </c>
      <c r="H786" t="n">
        <v>3977.8503</v>
      </c>
      <c r="I786" t="n">
        <v>349.643</v>
      </c>
      <c r="J786" t="n">
        <v>248.6592</v>
      </c>
      <c r="K786" t="n">
        <v>3446.5296</v>
      </c>
      <c r="L786" t="inlineStr"/>
      <c r="M786" t="inlineStr"/>
      <c r="N786" t="inlineStr"/>
      <c r="O786" t="inlineStr"/>
      <c r="P786" t="n">
        <v>2019</v>
      </c>
      <c r="Q786" t="n">
        <v>2040</v>
      </c>
      <c r="R786" t="n">
        <v>0.4616</v>
      </c>
      <c r="S786" t="n">
        <v>591.6386</v>
      </c>
      <c r="T786" t="n">
        <v>0.00022349</v>
      </c>
      <c r="U786" t="n">
        <v>0.00047787</v>
      </c>
    </row>
    <row r="787">
      <c r="A787" t="inlineStr">
        <is>
          <t>SUP-0079</t>
        </is>
      </c>
      <c r="B787" t="inlineStr">
        <is>
          <t>Logistics Supplier 079</t>
        </is>
      </c>
      <c r="C787" t="inlineStr">
        <is>
          <t>Logistics</t>
        </is>
      </c>
      <c r="D787" t="n">
        <v>2020</v>
      </c>
      <c r="E787" t="n">
        <v>16035395.58</v>
      </c>
      <c r="F787" t="n">
        <v>60589357.34</v>
      </c>
      <c r="G787" t="n">
        <v>4432.1876</v>
      </c>
      <c r="H787" t="n">
        <v>4432.1876</v>
      </c>
      <c r="I787" t="n">
        <v>641.759</v>
      </c>
      <c r="J787" t="n">
        <v>922.3392</v>
      </c>
      <c r="K787" t="n">
        <v>2793.7869</v>
      </c>
      <c r="L787" t="inlineStr"/>
      <c r="M787" t="inlineStr"/>
      <c r="N787" t="inlineStr"/>
      <c r="O787" t="inlineStr"/>
      <c r="P787" t="n">
        <v>2019</v>
      </c>
      <c r="Q787" t="n">
        <v>2040</v>
      </c>
      <c r="R787" t="n">
        <v>0.4616</v>
      </c>
      <c r="S787" t="n">
        <v>591.6386</v>
      </c>
      <c r="T787" t="n">
        <v>0.00022349</v>
      </c>
      <c r="U787" t="n">
        <v>0.00047787</v>
      </c>
    </row>
    <row r="788">
      <c r="A788" t="inlineStr">
        <is>
          <t>SUP-0079</t>
        </is>
      </c>
      <c r="B788" t="inlineStr">
        <is>
          <t>Logistics Supplier 079</t>
        </is>
      </c>
      <c r="C788" t="inlineStr">
        <is>
          <t>Logistics</t>
        </is>
      </c>
      <c r="D788" t="n">
        <v>2021</v>
      </c>
      <c r="E788" t="n">
        <v>15172679.16</v>
      </c>
      <c r="F788" t="n">
        <v>75912478.69</v>
      </c>
      <c r="G788" t="n">
        <v>4459.6911</v>
      </c>
      <c r="H788" t="n">
        <v>4459.6911</v>
      </c>
      <c r="I788" t="n">
        <v>784.5813000000001</v>
      </c>
      <c r="J788" t="n">
        <v>786.7025</v>
      </c>
      <c r="K788" t="n">
        <v>2797.2736</v>
      </c>
      <c r="L788" t="inlineStr"/>
      <c r="M788" t="inlineStr"/>
      <c r="N788" t="inlineStr"/>
      <c r="O788" t="inlineStr"/>
      <c r="P788" t="n">
        <v>2019</v>
      </c>
      <c r="Q788" t="n">
        <v>2040</v>
      </c>
      <c r="R788" t="n">
        <v>0.4616</v>
      </c>
      <c r="S788" t="n">
        <v>591.6386</v>
      </c>
      <c r="T788" t="n">
        <v>0.00022349</v>
      </c>
      <c r="U788" t="n">
        <v>0.00047787</v>
      </c>
    </row>
    <row r="789">
      <c r="A789" t="inlineStr">
        <is>
          <t>SUP-0079</t>
        </is>
      </c>
      <c r="B789" t="inlineStr">
        <is>
          <t>Logistics Supplier 079</t>
        </is>
      </c>
      <c r="C789" t="inlineStr">
        <is>
          <t>Logistics</t>
        </is>
      </c>
      <c r="D789" t="n">
        <v>2022</v>
      </c>
      <c r="E789" t="n">
        <v>17588346.65</v>
      </c>
      <c r="F789" t="n">
        <v>55684678.21</v>
      </c>
      <c r="G789" t="n">
        <v>4492.2205</v>
      </c>
      <c r="H789" t="n">
        <v>4492.2205</v>
      </c>
      <c r="I789" t="n">
        <v>1203.1137</v>
      </c>
      <c r="J789" t="n">
        <v>652.0845</v>
      </c>
      <c r="K789" t="n">
        <v>3005.1577</v>
      </c>
      <c r="L789" t="inlineStr"/>
      <c r="M789" t="inlineStr"/>
      <c r="N789" t="inlineStr"/>
      <c r="O789" t="inlineStr"/>
      <c r="P789" t="n">
        <v>2019</v>
      </c>
      <c r="Q789" t="n">
        <v>2040</v>
      </c>
      <c r="R789" t="n">
        <v>0.4616</v>
      </c>
      <c r="S789" t="n">
        <v>591.6386</v>
      </c>
      <c r="T789" t="n">
        <v>0.00022349</v>
      </c>
      <c r="U789" t="n">
        <v>0.00047787</v>
      </c>
    </row>
    <row r="790">
      <c r="A790" t="inlineStr">
        <is>
          <t>SUP-0079</t>
        </is>
      </c>
      <c r="B790" t="inlineStr">
        <is>
          <t>Logistics Supplier 079</t>
        </is>
      </c>
      <c r="C790" t="inlineStr">
        <is>
          <t>Logistics</t>
        </is>
      </c>
      <c r="D790" t="n">
        <v>2023</v>
      </c>
      <c r="E790" t="n">
        <v>15063765.25</v>
      </c>
      <c r="F790" t="n">
        <v>73113563.78</v>
      </c>
      <c r="G790" t="n">
        <v>3499.1923</v>
      </c>
      <c r="H790" t="n">
        <v>3499.1923</v>
      </c>
      <c r="I790" t="n">
        <v>712.9805</v>
      </c>
      <c r="J790" t="n">
        <v>408.262</v>
      </c>
      <c r="K790" t="n">
        <v>2534.6706</v>
      </c>
      <c r="L790" t="inlineStr"/>
      <c r="M790" t="inlineStr"/>
      <c r="N790" t="inlineStr"/>
      <c r="O790" t="inlineStr"/>
      <c r="P790" t="n">
        <v>2019</v>
      </c>
      <c r="Q790" t="n">
        <v>2040</v>
      </c>
      <c r="R790" t="n">
        <v>0.4616</v>
      </c>
      <c r="S790" t="n">
        <v>591.6386</v>
      </c>
      <c r="T790" t="n">
        <v>0.00022349</v>
      </c>
      <c r="U790" t="n">
        <v>0.00047787</v>
      </c>
    </row>
    <row r="791">
      <c r="A791" t="inlineStr">
        <is>
          <t>SUP-0079</t>
        </is>
      </c>
      <c r="B791" t="inlineStr">
        <is>
          <t>Logistics Supplier 079</t>
        </is>
      </c>
      <c r="C791" t="inlineStr">
        <is>
          <t>Logistics</t>
        </is>
      </c>
      <c r="D791" t="n">
        <v>2024</v>
      </c>
      <c r="E791" t="n">
        <v>15324883.31</v>
      </c>
      <c r="F791" t="n">
        <v>68962601.81</v>
      </c>
      <c r="G791" t="n">
        <v>4203.5841</v>
      </c>
      <c r="H791" t="n">
        <v>4203.5841</v>
      </c>
      <c r="I791" t="n">
        <v>1014.8158</v>
      </c>
      <c r="J791" t="n">
        <v>798.4050999999999</v>
      </c>
      <c r="K791" t="n">
        <v>2183.0154</v>
      </c>
      <c r="L791" t="inlineStr"/>
      <c r="M791" t="inlineStr"/>
      <c r="N791" t="inlineStr"/>
      <c r="O791" t="inlineStr"/>
      <c r="P791" t="n">
        <v>2019</v>
      </c>
      <c r="Q791" t="n">
        <v>2040</v>
      </c>
      <c r="R791" t="n">
        <v>0.4616</v>
      </c>
      <c r="S791" t="n">
        <v>591.6386</v>
      </c>
      <c r="T791" t="n">
        <v>0.00022349</v>
      </c>
      <c r="U791" t="n">
        <v>0.00047787</v>
      </c>
    </row>
    <row r="792">
      <c r="A792" t="inlineStr">
        <is>
          <t>SUP-0080</t>
        </is>
      </c>
      <c r="B792" t="inlineStr">
        <is>
          <t>Packaging Supplier 080</t>
        </is>
      </c>
      <c r="C792" t="inlineStr">
        <is>
          <t>Packaging</t>
        </is>
      </c>
      <c r="D792" t="n">
        <v>2015</v>
      </c>
      <c r="E792" t="n">
        <v>18527474.05</v>
      </c>
      <c r="F792" t="n">
        <v>129992713.02</v>
      </c>
      <c r="G792" t="n">
        <v>29407.4796</v>
      </c>
      <c r="H792" t="n">
        <v>29407.4796</v>
      </c>
      <c r="I792" t="n">
        <v>6933.655</v>
      </c>
      <c r="J792" t="n">
        <v>3609.9139</v>
      </c>
      <c r="K792" t="n">
        <v>20393.2817</v>
      </c>
      <c r="L792" t="n">
        <v>2019</v>
      </c>
      <c r="M792" t="n">
        <v>2040</v>
      </c>
      <c r="N792" t="n">
        <v>0.6923</v>
      </c>
      <c r="O792" t="n">
        <v>0.3022</v>
      </c>
      <c r="P792" t="n">
        <v>2018</v>
      </c>
      <c r="Q792" t="n">
        <v>2040</v>
      </c>
      <c r="R792" t="n">
        <v>0.3112</v>
      </c>
      <c r="S792" t="n">
        <v>702.4188</v>
      </c>
      <c r="T792" t="n">
        <v>0.0010803</v>
      </c>
      <c r="U792" t="n">
        <v>0.00078946</v>
      </c>
    </row>
    <row r="793">
      <c r="A793" t="inlineStr">
        <is>
          <t>SUP-0080</t>
        </is>
      </c>
      <c r="B793" t="inlineStr">
        <is>
          <t>Packaging Supplier 080</t>
        </is>
      </c>
      <c r="C793" t="inlineStr">
        <is>
          <t>Packaging</t>
        </is>
      </c>
      <c r="D793" t="n">
        <v>2016</v>
      </c>
      <c r="E793" t="n">
        <v>21425904.69</v>
      </c>
      <c r="F793" t="n">
        <v>178955677.61</v>
      </c>
      <c r="G793" t="n">
        <v>34740.205</v>
      </c>
      <c r="H793" t="n">
        <v>34740.205</v>
      </c>
      <c r="I793" t="n">
        <v>3053.7954</v>
      </c>
      <c r="J793" t="n">
        <v>4034.3893</v>
      </c>
      <c r="K793" t="n">
        <v>25669.4216</v>
      </c>
      <c r="L793" t="n">
        <v>2019</v>
      </c>
      <c r="M793" t="n">
        <v>2040</v>
      </c>
      <c r="N793" t="n">
        <v>0.6923</v>
      </c>
      <c r="O793" t="n">
        <v>0.3022</v>
      </c>
      <c r="P793" t="n">
        <v>2018</v>
      </c>
      <c r="Q793" t="n">
        <v>2040</v>
      </c>
      <c r="R793" t="n">
        <v>0.3112</v>
      </c>
      <c r="S793" t="n">
        <v>702.4188</v>
      </c>
      <c r="T793" t="n">
        <v>0.0010803</v>
      </c>
      <c r="U793" t="n">
        <v>0.00078946</v>
      </c>
    </row>
    <row r="794">
      <c r="A794" t="inlineStr">
        <is>
          <t>SUP-0080</t>
        </is>
      </c>
      <c r="B794" t="inlineStr">
        <is>
          <t>Packaging Supplier 080</t>
        </is>
      </c>
      <c r="C794" t="inlineStr">
        <is>
          <t>Packaging</t>
        </is>
      </c>
      <c r="D794" t="n">
        <v>2017</v>
      </c>
      <c r="E794" t="n">
        <v>20232444.26</v>
      </c>
      <c r="F794" t="n">
        <v>159931082.77</v>
      </c>
      <c r="G794" t="n">
        <v>24760.1313</v>
      </c>
      <c r="H794" t="n">
        <v>24760.1313</v>
      </c>
      <c r="I794" t="n">
        <v>4252.3431</v>
      </c>
      <c r="J794" t="n">
        <v>2973.4077</v>
      </c>
      <c r="K794" t="n">
        <v>15510.0249</v>
      </c>
      <c r="L794" t="n">
        <v>2019</v>
      </c>
      <c r="M794" t="n">
        <v>2040</v>
      </c>
      <c r="N794" t="n">
        <v>0.6923</v>
      </c>
      <c r="O794" t="n">
        <v>0.3022</v>
      </c>
      <c r="P794" t="n">
        <v>2018</v>
      </c>
      <c r="Q794" t="n">
        <v>2040</v>
      </c>
      <c r="R794" t="n">
        <v>0.3112</v>
      </c>
      <c r="S794" t="n">
        <v>702.4188</v>
      </c>
      <c r="T794" t="n">
        <v>0.0010803</v>
      </c>
      <c r="U794" t="n">
        <v>0.00078946</v>
      </c>
    </row>
    <row r="795">
      <c r="A795" t="inlineStr">
        <is>
          <t>SUP-0080</t>
        </is>
      </c>
      <c r="B795" t="inlineStr">
        <is>
          <t>Packaging Supplier 080</t>
        </is>
      </c>
      <c r="C795" t="inlineStr">
        <is>
          <t>Packaging</t>
        </is>
      </c>
      <c r="D795" t="n">
        <v>2018</v>
      </c>
      <c r="E795" t="n">
        <v>25912714.61</v>
      </c>
      <c r="F795" t="n">
        <v>163131649.84</v>
      </c>
      <c r="G795" t="n">
        <v>32792.1116</v>
      </c>
      <c r="H795" t="n">
        <v>32792.1116</v>
      </c>
      <c r="I795" t="n">
        <v>8690.4755</v>
      </c>
      <c r="J795" t="n">
        <v>3591.9316</v>
      </c>
      <c r="K795" t="n">
        <v>18902.7769</v>
      </c>
      <c r="L795" t="n">
        <v>2019</v>
      </c>
      <c r="M795" t="n">
        <v>2040</v>
      </c>
      <c r="N795" t="n">
        <v>0.6923</v>
      </c>
      <c r="O795" t="n">
        <v>0.3022</v>
      </c>
      <c r="P795" t="n">
        <v>2018</v>
      </c>
      <c r="Q795" t="n">
        <v>2040</v>
      </c>
      <c r="R795" t="n">
        <v>0.3112</v>
      </c>
      <c r="S795" t="n">
        <v>702.4188</v>
      </c>
      <c r="T795" t="n">
        <v>0.0010803</v>
      </c>
      <c r="U795" t="n">
        <v>0.00078946</v>
      </c>
    </row>
    <row r="796">
      <c r="A796" t="inlineStr">
        <is>
          <t>SUP-0080</t>
        </is>
      </c>
      <c r="B796" t="inlineStr">
        <is>
          <t>Packaging Supplier 080</t>
        </is>
      </c>
      <c r="C796" t="inlineStr">
        <is>
          <t>Packaging</t>
        </is>
      </c>
      <c r="D796" t="n">
        <v>2019</v>
      </c>
      <c r="E796" t="n">
        <v>25644010</v>
      </c>
      <c r="F796" t="n">
        <v>189163696.6</v>
      </c>
      <c r="G796" t="n">
        <v>38285.5647</v>
      </c>
      <c r="H796" t="n">
        <v>38285.5647</v>
      </c>
      <c r="I796" t="n">
        <v>6222.4078</v>
      </c>
      <c r="J796" t="n">
        <v>7769.3926</v>
      </c>
      <c r="K796" t="n">
        <v>22441.6123</v>
      </c>
      <c r="L796" t="n">
        <v>2019</v>
      </c>
      <c r="M796" t="n">
        <v>2040</v>
      </c>
      <c r="N796" t="n">
        <v>0.6923</v>
      </c>
      <c r="O796" t="n">
        <v>0.3022</v>
      </c>
      <c r="P796" t="n">
        <v>2018</v>
      </c>
      <c r="Q796" t="n">
        <v>2040</v>
      </c>
      <c r="R796" t="n">
        <v>0.3112</v>
      </c>
      <c r="S796" t="n">
        <v>702.4188</v>
      </c>
      <c r="T796" t="n">
        <v>0.0010803</v>
      </c>
      <c r="U796" t="n">
        <v>0.00078946</v>
      </c>
    </row>
    <row r="797">
      <c r="A797" t="inlineStr">
        <is>
          <t>SUP-0080</t>
        </is>
      </c>
      <c r="B797" t="inlineStr">
        <is>
          <t>Packaging Supplier 080</t>
        </is>
      </c>
      <c r="C797" t="inlineStr">
        <is>
          <t>Packaging</t>
        </is>
      </c>
      <c r="D797" t="n">
        <v>2020</v>
      </c>
      <c r="E797" t="n">
        <v>24280117.03</v>
      </c>
      <c r="F797" t="n">
        <v>217821673.5</v>
      </c>
      <c r="G797" t="n">
        <v>22819.2577</v>
      </c>
      <c r="H797" t="n">
        <v>22819.2577</v>
      </c>
      <c r="I797" t="n">
        <v>5726.3424</v>
      </c>
      <c r="J797" t="n">
        <v>3357.5654</v>
      </c>
      <c r="K797" t="n">
        <v>12735.5099</v>
      </c>
      <c r="L797" t="n">
        <v>2019</v>
      </c>
      <c r="M797" t="n">
        <v>2040</v>
      </c>
      <c r="N797" t="n">
        <v>0.6923</v>
      </c>
      <c r="O797" t="n">
        <v>0.3022</v>
      </c>
      <c r="P797" t="n">
        <v>2018</v>
      </c>
      <c r="Q797" t="n">
        <v>2040</v>
      </c>
      <c r="R797" t="n">
        <v>0.3112</v>
      </c>
      <c r="S797" t="n">
        <v>702.4188</v>
      </c>
      <c r="T797" t="n">
        <v>0.0010803</v>
      </c>
      <c r="U797" t="n">
        <v>0.00078946</v>
      </c>
    </row>
    <row r="798">
      <c r="A798" t="inlineStr">
        <is>
          <t>SUP-0080</t>
        </is>
      </c>
      <c r="B798" t="inlineStr">
        <is>
          <t>Packaging Supplier 080</t>
        </is>
      </c>
      <c r="C798" t="inlineStr">
        <is>
          <t>Packaging</t>
        </is>
      </c>
      <c r="D798" t="n">
        <v>2021</v>
      </c>
      <c r="E798" t="n">
        <v>24259801.81</v>
      </c>
      <c r="F798" t="n">
        <v>209792825.66</v>
      </c>
      <c r="G798" t="n">
        <v>30357.8644</v>
      </c>
      <c r="H798" t="n">
        <v>30357.8644</v>
      </c>
      <c r="I798" t="n">
        <v>6400.621</v>
      </c>
      <c r="J798" t="n">
        <v>2289.6068</v>
      </c>
      <c r="K798" t="n">
        <v>22016.4491</v>
      </c>
      <c r="L798" t="n">
        <v>2019</v>
      </c>
      <c r="M798" t="n">
        <v>2040</v>
      </c>
      <c r="N798" t="n">
        <v>0.6923</v>
      </c>
      <c r="O798" t="n">
        <v>0.3022</v>
      </c>
      <c r="P798" t="n">
        <v>2018</v>
      </c>
      <c r="Q798" t="n">
        <v>2040</v>
      </c>
      <c r="R798" t="n">
        <v>0.3112</v>
      </c>
      <c r="S798" t="n">
        <v>702.4188</v>
      </c>
      <c r="T798" t="n">
        <v>0.0010803</v>
      </c>
      <c r="U798" t="n">
        <v>0.00078946</v>
      </c>
    </row>
    <row r="799">
      <c r="A799" t="inlineStr">
        <is>
          <t>SUP-0080</t>
        </is>
      </c>
      <c r="B799" t="inlineStr">
        <is>
          <t>Packaging Supplier 080</t>
        </is>
      </c>
      <c r="C799" t="inlineStr">
        <is>
          <t>Packaging</t>
        </is>
      </c>
      <c r="D799" t="n">
        <v>2022</v>
      </c>
      <c r="E799" t="n">
        <v>26639312.85</v>
      </c>
      <c r="F799" t="n">
        <v>158895710.93</v>
      </c>
      <c r="G799" t="n">
        <v>27568.9601</v>
      </c>
      <c r="H799" t="n">
        <v>27568.9601</v>
      </c>
      <c r="I799" t="n">
        <v>3130.9643</v>
      </c>
      <c r="J799" t="n">
        <v>3468.3558</v>
      </c>
      <c r="K799" t="n">
        <v>20630.4644</v>
      </c>
      <c r="L799" t="n">
        <v>2019</v>
      </c>
      <c r="M799" t="n">
        <v>2040</v>
      </c>
      <c r="N799" t="n">
        <v>0.6923</v>
      </c>
      <c r="O799" t="n">
        <v>0.3022</v>
      </c>
      <c r="P799" t="n">
        <v>2018</v>
      </c>
      <c r="Q799" t="n">
        <v>2040</v>
      </c>
      <c r="R799" t="n">
        <v>0.3112</v>
      </c>
      <c r="S799" t="n">
        <v>702.4188</v>
      </c>
      <c r="T799" t="n">
        <v>0.0010803</v>
      </c>
      <c r="U799" t="n">
        <v>0.00078946</v>
      </c>
    </row>
    <row r="800">
      <c r="A800" t="inlineStr">
        <is>
          <t>SUP-0080</t>
        </is>
      </c>
      <c r="B800" t="inlineStr">
        <is>
          <t>Packaging Supplier 080</t>
        </is>
      </c>
      <c r="C800" t="inlineStr">
        <is>
          <t>Packaging</t>
        </is>
      </c>
      <c r="D800" t="n">
        <v>2023</v>
      </c>
      <c r="E800" t="n">
        <v>28123847.98</v>
      </c>
      <c r="F800" t="n">
        <v>197768098.72</v>
      </c>
      <c r="G800" t="n">
        <v>37104.7175</v>
      </c>
      <c r="H800" t="n">
        <v>37104.7175</v>
      </c>
      <c r="I800" t="n">
        <v>3307.3621</v>
      </c>
      <c r="J800" t="n">
        <v>4013.2071</v>
      </c>
      <c r="K800" t="n">
        <v>28203.1158</v>
      </c>
      <c r="L800" t="n">
        <v>2019</v>
      </c>
      <c r="M800" t="n">
        <v>2040</v>
      </c>
      <c r="N800" t="n">
        <v>0.6923</v>
      </c>
      <c r="O800" t="n">
        <v>0.3022</v>
      </c>
      <c r="P800" t="n">
        <v>2018</v>
      </c>
      <c r="Q800" t="n">
        <v>2040</v>
      </c>
      <c r="R800" t="n">
        <v>0.3112</v>
      </c>
      <c r="S800" t="n">
        <v>702.4188</v>
      </c>
      <c r="T800" t="n">
        <v>0.0010803</v>
      </c>
      <c r="U800" t="n">
        <v>0.00078946</v>
      </c>
    </row>
    <row r="801">
      <c r="A801" t="inlineStr">
        <is>
          <t>SUP-0080</t>
        </is>
      </c>
      <c r="B801" t="inlineStr">
        <is>
          <t>Packaging Supplier 080</t>
        </is>
      </c>
      <c r="C801" t="inlineStr">
        <is>
          <t>Packaging</t>
        </is>
      </c>
      <c r="D801" t="n">
        <v>2024</v>
      </c>
      <c r="E801" t="n">
        <v>30381184.14</v>
      </c>
      <c r="F801" t="n">
        <v>132483784.12</v>
      </c>
      <c r="G801" t="n">
        <v>30742.1821</v>
      </c>
      <c r="H801" t="n">
        <v>30742.1821</v>
      </c>
      <c r="I801" t="n">
        <v>4986.301</v>
      </c>
      <c r="J801" t="n">
        <v>3425.3642</v>
      </c>
      <c r="K801" t="n">
        <v>20712.7584</v>
      </c>
      <c r="L801" t="n">
        <v>2019</v>
      </c>
      <c r="M801" t="n">
        <v>2040</v>
      </c>
      <c r="N801" t="n">
        <v>0.6923</v>
      </c>
      <c r="O801" t="n">
        <v>0.3022</v>
      </c>
      <c r="P801" t="n">
        <v>2018</v>
      </c>
      <c r="Q801" t="n">
        <v>2040</v>
      </c>
      <c r="R801" t="n">
        <v>0.3112</v>
      </c>
      <c r="S801" t="n">
        <v>702.4188</v>
      </c>
      <c r="T801" t="n">
        <v>0.0010803</v>
      </c>
      <c r="U801" t="n">
        <v>0.00078946</v>
      </c>
    </row>
    <row r="802">
      <c r="A802" t="inlineStr">
        <is>
          <t>SUP-0081</t>
        </is>
      </c>
      <c r="B802" t="inlineStr">
        <is>
          <t>Textiles Supplier 081</t>
        </is>
      </c>
      <c r="C802" t="inlineStr">
        <is>
          <t>Textiles</t>
        </is>
      </c>
      <c r="D802" t="n">
        <v>2015</v>
      </c>
      <c r="E802" t="n">
        <v>8991749.289999999</v>
      </c>
      <c r="F802" t="n">
        <v>52629125.04</v>
      </c>
      <c r="G802" t="n">
        <v>2031.5668</v>
      </c>
      <c r="H802" t="n">
        <v>2031.5668</v>
      </c>
      <c r="I802" t="n">
        <v>565.8856</v>
      </c>
      <c r="J802" t="n">
        <v>465.0766</v>
      </c>
      <c r="K802" t="n">
        <v>1058.0159</v>
      </c>
      <c r="L802" t="inlineStr"/>
      <c r="M802" t="inlineStr"/>
      <c r="N802" t="inlineStr"/>
      <c r="O802" t="inlineStr"/>
      <c r="P802" t="n">
        <v>2019</v>
      </c>
      <c r="Q802" t="n">
        <v>2030</v>
      </c>
      <c r="R802" t="n">
        <v>0.3171</v>
      </c>
      <c r="S802" t="n">
        <v>401.7335</v>
      </c>
      <c r="T802" t="n">
        <v>0.00029221</v>
      </c>
      <c r="U802" t="n">
        <v>0.00017343</v>
      </c>
    </row>
    <row r="803">
      <c r="A803" t="inlineStr">
        <is>
          <t>SUP-0081</t>
        </is>
      </c>
      <c r="B803" t="inlineStr">
        <is>
          <t>Textiles Supplier 081</t>
        </is>
      </c>
      <c r="C803" t="inlineStr">
        <is>
          <t>Textiles</t>
        </is>
      </c>
      <c r="D803" t="n">
        <v>2016</v>
      </c>
      <c r="E803" t="n">
        <v>9020787.140000001</v>
      </c>
      <c r="F803" t="n">
        <v>55536410.95</v>
      </c>
      <c r="G803" t="n">
        <v>1658.1094</v>
      </c>
      <c r="H803" t="n">
        <v>1658.1094</v>
      </c>
      <c r="I803" t="n">
        <v>366.6955</v>
      </c>
      <c r="J803" t="n">
        <v>375.5155</v>
      </c>
      <c r="K803" t="n">
        <v>908.8081</v>
      </c>
      <c r="L803" t="inlineStr"/>
      <c r="M803" t="inlineStr"/>
      <c r="N803" t="inlineStr"/>
      <c r="O803" t="inlineStr"/>
      <c r="P803" t="n">
        <v>2019</v>
      </c>
      <c r="Q803" t="n">
        <v>2030</v>
      </c>
      <c r="R803" t="n">
        <v>0.3171</v>
      </c>
      <c r="S803" t="n">
        <v>401.7335</v>
      </c>
      <c r="T803" t="n">
        <v>0.00029221</v>
      </c>
      <c r="U803" t="n">
        <v>0.00017343</v>
      </c>
    </row>
    <row r="804">
      <c r="A804" t="inlineStr">
        <is>
          <t>SUP-0081</t>
        </is>
      </c>
      <c r="B804" t="inlineStr">
        <is>
          <t>Textiles Supplier 081</t>
        </is>
      </c>
      <c r="C804" t="inlineStr">
        <is>
          <t>Textiles</t>
        </is>
      </c>
      <c r="D804" t="n">
        <v>2017</v>
      </c>
      <c r="E804" t="n">
        <v>9344227.970000001</v>
      </c>
      <c r="F804" t="n">
        <v>51635285.21</v>
      </c>
      <c r="G804" t="n">
        <v>1870.0071</v>
      </c>
      <c r="H804" t="n">
        <v>1870.0071</v>
      </c>
      <c r="I804" t="n">
        <v>368.2946</v>
      </c>
      <c r="J804" t="n">
        <v>177.8824</v>
      </c>
      <c r="K804" t="n">
        <v>1488.8102</v>
      </c>
      <c r="L804" t="inlineStr"/>
      <c r="M804" t="inlineStr"/>
      <c r="N804" t="inlineStr"/>
      <c r="O804" t="inlineStr"/>
      <c r="P804" t="n">
        <v>2019</v>
      </c>
      <c r="Q804" t="n">
        <v>2030</v>
      </c>
      <c r="R804" t="n">
        <v>0.3171</v>
      </c>
      <c r="S804" t="n">
        <v>401.7335</v>
      </c>
      <c r="T804" t="n">
        <v>0.00029221</v>
      </c>
      <c r="U804" t="n">
        <v>0.00017343</v>
      </c>
    </row>
    <row r="805">
      <c r="A805" t="inlineStr">
        <is>
          <t>SUP-0081</t>
        </is>
      </c>
      <c r="B805" t="inlineStr">
        <is>
          <t>Textiles Supplier 081</t>
        </is>
      </c>
      <c r="C805" t="inlineStr">
        <is>
          <t>Textiles</t>
        </is>
      </c>
      <c r="D805" t="n">
        <v>2018</v>
      </c>
      <c r="E805" t="n">
        <v>8857705.76</v>
      </c>
      <c r="F805" t="n">
        <v>53744392.3</v>
      </c>
      <c r="G805" t="n">
        <v>1188.7375</v>
      </c>
      <c r="H805" t="n">
        <v>1188.7375</v>
      </c>
      <c r="I805" t="n">
        <v>109.0504</v>
      </c>
      <c r="J805" t="n">
        <v>254.2311</v>
      </c>
      <c r="K805" t="n">
        <v>868.5311</v>
      </c>
      <c r="L805" t="inlineStr"/>
      <c r="M805" t="inlineStr"/>
      <c r="N805" t="inlineStr"/>
      <c r="O805" t="inlineStr"/>
      <c r="P805" t="n">
        <v>2019</v>
      </c>
      <c r="Q805" t="n">
        <v>2030</v>
      </c>
      <c r="R805" t="n">
        <v>0.3171</v>
      </c>
      <c r="S805" t="n">
        <v>401.7335</v>
      </c>
      <c r="T805" t="n">
        <v>0.00029221</v>
      </c>
      <c r="U805" t="n">
        <v>0.00017343</v>
      </c>
    </row>
    <row r="806">
      <c r="A806" t="inlineStr">
        <is>
          <t>SUP-0081</t>
        </is>
      </c>
      <c r="B806" t="inlineStr">
        <is>
          <t>Textiles Supplier 081</t>
        </is>
      </c>
      <c r="C806" t="inlineStr">
        <is>
          <t>Textiles</t>
        </is>
      </c>
      <c r="D806" t="n">
        <v>2019</v>
      </c>
      <c r="E806" t="n">
        <v>9685779.609999999</v>
      </c>
      <c r="F806" t="n">
        <v>58865744.8</v>
      </c>
      <c r="G806" t="n">
        <v>1721.9769</v>
      </c>
      <c r="H806" t="n">
        <v>1721.9769</v>
      </c>
      <c r="I806" t="n">
        <v>148.7091</v>
      </c>
      <c r="J806" t="n">
        <v>342.2108</v>
      </c>
      <c r="K806" t="n">
        <v>1325.9048</v>
      </c>
      <c r="L806" t="inlineStr"/>
      <c r="M806" t="inlineStr"/>
      <c r="N806" t="inlineStr"/>
      <c r="O806" t="inlineStr"/>
      <c r="P806" t="n">
        <v>2019</v>
      </c>
      <c r="Q806" t="n">
        <v>2030</v>
      </c>
      <c r="R806" t="n">
        <v>0.3171</v>
      </c>
      <c r="S806" t="n">
        <v>401.7335</v>
      </c>
      <c r="T806" t="n">
        <v>0.00029221</v>
      </c>
      <c r="U806" t="n">
        <v>0.00017343</v>
      </c>
    </row>
    <row r="807">
      <c r="A807" t="inlineStr">
        <is>
          <t>SUP-0081</t>
        </is>
      </c>
      <c r="B807" t="inlineStr">
        <is>
          <t>Textiles Supplier 081</t>
        </is>
      </c>
      <c r="C807" t="inlineStr">
        <is>
          <t>Textiles</t>
        </is>
      </c>
      <c r="D807" t="n">
        <v>2020</v>
      </c>
      <c r="E807" t="n">
        <v>8225981.68</v>
      </c>
      <c r="F807" t="n">
        <v>47777683.28</v>
      </c>
      <c r="G807" t="n">
        <v>1508.6315</v>
      </c>
      <c r="H807" t="n">
        <v>1508.6315</v>
      </c>
      <c r="I807" t="n">
        <v>141.1107</v>
      </c>
      <c r="J807" t="n">
        <v>287.2845</v>
      </c>
      <c r="K807" t="n">
        <v>1067.0902</v>
      </c>
      <c r="L807" t="inlineStr"/>
      <c r="M807" t="inlineStr"/>
      <c r="N807" t="inlineStr"/>
      <c r="O807" t="inlineStr"/>
      <c r="P807" t="n">
        <v>2019</v>
      </c>
      <c r="Q807" t="n">
        <v>2030</v>
      </c>
      <c r="R807" t="n">
        <v>0.3171</v>
      </c>
      <c r="S807" t="n">
        <v>401.7335</v>
      </c>
      <c r="T807" t="n">
        <v>0.00029221</v>
      </c>
      <c r="U807" t="n">
        <v>0.00017343</v>
      </c>
    </row>
    <row r="808">
      <c r="A808" t="inlineStr">
        <is>
          <t>SUP-0081</t>
        </is>
      </c>
      <c r="B808" t="inlineStr">
        <is>
          <t>Textiles Supplier 081</t>
        </is>
      </c>
      <c r="C808" t="inlineStr">
        <is>
          <t>Textiles</t>
        </is>
      </c>
      <c r="D808" t="n">
        <v>2021</v>
      </c>
      <c r="E808" t="n">
        <v>8975499.58</v>
      </c>
      <c r="F808" t="n">
        <v>50554518.77</v>
      </c>
      <c r="G808" t="n">
        <v>1840.9117</v>
      </c>
      <c r="H808" t="n">
        <v>1840.9117</v>
      </c>
      <c r="I808" t="n">
        <v>202.3816</v>
      </c>
      <c r="J808" t="n">
        <v>199.6633</v>
      </c>
      <c r="K808" t="n">
        <v>1517.3505</v>
      </c>
      <c r="L808" t="inlineStr"/>
      <c r="M808" t="inlineStr"/>
      <c r="N808" t="inlineStr"/>
      <c r="O808" t="inlineStr"/>
      <c r="P808" t="n">
        <v>2019</v>
      </c>
      <c r="Q808" t="n">
        <v>2030</v>
      </c>
      <c r="R808" t="n">
        <v>0.3171</v>
      </c>
      <c r="S808" t="n">
        <v>401.7335</v>
      </c>
      <c r="T808" t="n">
        <v>0.00029221</v>
      </c>
      <c r="U808" t="n">
        <v>0.00017343</v>
      </c>
    </row>
    <row r="809">
      <c r="A809" t="inlineStr">
        <is>
          <t>SUP-0081</t>
        </is>
      </c>
      <c r="B809" t="inlineStr">
        <is>
          <t>Textiles Supplier 081</t>
        </is>
      </c>
      <c r="C809" t="inlineStr">
        <is>
          <t>Textiles</t>
        </is>
      </c>
      <c r="D809" t="n">
        <v>2022</v>
      </c>
      <c r="E809" t="n">
        <v>9821338.35</v>
      </c>
      <c r="F809" t="n">
        <v>54632387.28</v>
      </c>
      <c r="G809" t="n">
        <v>2732.0682</v>
      </c>
      <c r="H809" t="n">
        <v>2732.0682</v>
      </c>
      <c r="I809" t="n">
        <v>526.6156999999999</v>
      </c>
      <c r="J809" t="n">
        <v>369.0755</v>
      </c>
      <c r="K809" t="n">
        <v>1650.4048</v>
      </c>
      <c r="L809" t="inlineStr"/>
      <c r="M809" t="inlineStr"/>
      <c r="N809" t="inlineStr"/>
      <c r="O809" t="inlineStr"/>
      <c r="P809" t="n">
        <v>2019</v>
      </c>
      <c r="Q809" t="n">
        <v>2030</v>
      </c>
      <c r="R809" t="n">
        <v>0.3171</v>
      </c>
      <c r="S809" t="n">
        <v>401.7335</v>
      </c>
      <c r="T809" t="n">
        <v>0.00029221</v>
      </c>
      <c r="U809" t="n">
        <v>0.00017343</v>
      </c>
    </row>
    <row r="810">
      <c r="A810" t="inlineStr">
        <is>
          <t>SUP-0081</t>
        </is>
      </c>
      <c r="B810" t="inlineStr">
        <is>
          <t>Textiles Supplier 081</t>
        </is>
      </c>
      <c r="C810" t="inlineStr">
        <is>
          <t>Textiles</t>
        </is>
      </c>
      <c r="D810" t="n">
        <v>2023</v>
      </c>
      <c r="E810" t="n">
        <v>8795059.99</v>
      </c>
      <c r="F810" t="n">
        <v>46993349.26</v>
      </c>
      <c r="G810" t="n">
        <v>2327.0328</v>
      </c>
      <c r="H810" t="n">
        <v>2327.0328</v>
      </c>
      <c r="I810" t="n">
        <v>250.0503</v>
      </c>
      <c r="J810" t="n">
        <v>297.6002</v>
      </c>
      <c r="K810" t="n">
        <v>1535.6233</v>
      </c>
      <c r="L810" t="inlineStr"/>
      <c r="M810" t="inlineStr"/>
      <c r="N810" t="inlineStr"/>
      <c r="O810" t="inlineStr"/>
      <c r="P810" t="n">
        <v>2019</v>
      </c>
      <c r="Q810" t="n">
        <v>2030</v>
      </c>
      <c r="R810" t="n">
        <v>0.3171</v>
      </c>
      <c r="S810" t="n">
        <v>401.7335</v>
      </c>
      <c r="T810" t="n">
        <v>0.00029221</v>
      </c>
      <c r="U810" t="n">
        <v>0.00017343</v>
      </c>
    </row>
    <row r="811">
      <c r="A811" t="inlineStr">
        <is>
          <t>SUP-0081</t>
        </is>
      </c>
      <c r="B811" t="inlineStr">
        <is>
          <t>Textiles Supplier 081</t>
        </is>
      </c>
      <c r="C811" t="inlineStr">
        <is>
          <t>Textiles</t>
        </is>
      </c>
      <c r="D811" t="n">
        <v>2024</v>
      </c>
      <c r="E811" t="n">
        <v>8578168.279999999</v>
      </c>
      <c r="F811" t="n">
        <v>47650478.58</v>
      </c>
      <c r="G811" t="n">
        <v>1605.4681</v>
      </c>
      <c r="H811" t="n">
        <v>1605.4681</v>
      </c>
      <c r="I811" t="n">
        <v>373.6896</v>
      </c>
      <c r="J811" t="n">
        <v>220.4625</v>
      </c>
      <c r="K811" t="n">
        <v>1125.1031</v>
      </c>
      <c r="L811" t="inlineStr"/>
      <c r="M811" t="inlineStr"/>
      <c r="N811" t="inlineStr"/>
      <c r="O811" t="inlineStr"/>
      <c r="P811" t="n">
        <v>2019</v>
      </c>
      <c r="Q811" t="n">
        <v>2030</v>
      </c>
      <c r="R811" t="n">
        <v>0.3171</v>
      </c>
      <c r="S811" t="n">
        <v>401.7335</v>
      </c>
      <c r="T811" t="n">
        <v>0.00029221</v>
      </c>
      <c r="U811" t="n">
        <v>0.00017343</v>
      </c>
    </row>
    <row r="812">
      <c r="A812" t="inlineStr">
        <is>
          <t>SUP-0082</t>
        </is>
      </c>
      <c r="B812" t="inlineStr">
        <is>
          <t>Packaging Supplier 082</t>
        </is>
      </c>
      <c r="C812" t="inlineStr">
        <is>
          <t>Packaging</t>
        </is>
      </c>
      <c r="D812" t="n">
        <v>2015</v>
      </c>
      <c r="E812" t="n">
        <v>17949131.76</v>
      </c>
      <c r="F812" t="n">
        <v>154541827.04</v>
      </c>
      <c r="G812" t="n">
        <v>25142.4274</v>
      </c>
      <c r="H812" t="n">
        <v>25142.4274</v>
      </c>
      <c r="I812" t="n">
        <v>6475.0274</v>
      </c>
      <c r="J812" t="n">
        <v>5525.7901</v>
      </c>
      <c r="K812" t="n">
        <v>11605.4849</v>
      </c>
      <c r="L812" t="n">
        <v>2018</v>
      </c>
      <c r="M812" t="n">
        <v>2030</v>
      </c>
      <c r="N812" t="n">
        <v>0.3671</v>
      </c>
      <c r="O812" t="n">
        <v>0.1475</v>
      </c>
      <c r="P812" t="n">
        <v>2018</v>
      </c>
      <c r="Q812" t="n">
        <v>2040</v>
      </c>
      <c r="R812" t="n">
        <v>0.3112</v>
      </c>
      <c r="S812" t="n">
        <v>702.4188</v>
      </c>
      <c r="T812" t="n">
        <v>0.0010803</v>
      </c>
      <c r="U812" t="n">
        <v>0.00078946</v>
      </c>
    </row>
    <row r="813">
      <c r="A813" t="inlineStr">
        <is>
          <t>SUP-0082</t>
        </is>
      </c>
      <c r="B813" t="inlineStr">
        <is>
          <t>Packaging Supplier 082</t>
        </is>
      </c>
      <c r="C813" t="inlineStr">
        <is>
          <t>Packaging</t>
        </is>
      </c>
      <c r="D813" t="n">
        <v>2016</v>
      </c>
      <c r="E813" t="n">
        <v>18845123.39</v>
      </c>
      <c r="F813" t="n">
        <v>144422278.87</v>
      </c>
      <c r="G813" t="n">
        <v>20254.5195</v>
      </c>
      <c r="H813" t="n">
        <v>20254.5195</v>
      </c>
      <c r="I813" t="n">
        <v>3231.7274</v>
      </c>
      <c r="J813" t="n">
        <v>3978.3942</v>
      </c>
      <c r="K813" t="n">
        <v>13012.1103</v>
      </c>
      <c r="L813" t="n">
        <v>2018</v>
      </c>
      <c r="M813" t="n">
        <v>2030</v>
      </c>
      <c r="N813" t="n">
        <v>0.3671</v>
      </c>
      <c r="O813" t="n">
        <v>0.1475</v>
      </c>
      <c r="P813" t="n">
        <v>2018</v>
      </c>
      <c r="Q813" t="n">
        <v>2040</v>
      </c>
      <c r="R813" t="n">
        <v>0.3112</v>
      </c>
      <c r="S813" t="n">
        <v>702.4188</v>
      </c>
      <c r="T813" t="n">
        <v>0.0010803</v>
      </c>
      <c r="U813" t="n">
        <v>0.00078946</v>
      </c>
    </row>
    <row r="814">
      <c r="A814" t="inlineStr">
        <is>
          <t>SUP-0082</t>
        </is>
      </c>
      <c r="B814" t="inlineStr">
        <is>
          <t>Packaging Supplier 082</t>
        </is>
      </c>
      <c r="C814" t="inlineStr">
        <is>
          <t>Packaging</t>
        </is>
      </c>
      <c r="D814" t="n">
        <v>2017</v>
      </c>
      <c r="E814" t="n">
        <v>19938672.77</v>
      </c>
      <c r="F814" t="n">
        <v>171047577.49</v>
      </c>
      <c r="G814" t="n">
        <v>24327.9383</v>
      </c>
      <c r="H814" t="n">
        <v>24327.9383</v>
      </c>
      <c r="I814" t="n">
        <v>5280.7735</v>
      </c>
      <c r="J814" t="n">
        <v>2673.806</v>
      </c>
      <c r="K814" t="n">
        <v>15090.3284</v>
      </c>
      <c r="L814" t="n">
        <v>2018</v>
      </c>
      <c r="M814" t="n">
        <v>2030</v>
      </c>
      <c r="N814" t="n">
        <v>0.3671</v>
      </c>
      <c r="O814" t="n">
        <v>0.1475</v>
      </c>
      <c r="P814" t="n">
        <v>2018</v>
      </c>
      <c r="Q814" t="n">
        <v>2040</v>
      </c>
      <c r="R814" t="n">
        <v>0.3112</v>
      </c>
      <c r="S814" t="n">
        <v>702.4188</v>
      </c>
      <c r="T814" t="n">
        <v>0.0010803</v>
      </c>
      <c r="U814" t="n">
        <v>0.00078946</v>
      </c>
    </row>
    <row r="815">
      <c r="A815" t="inlineStr">
        <is>
          <t>SUP-0082</t>
        </is>
      </c>
      <c r="B815" t="inlineStr">
        <is>
          <t>Packaging Supplier 082</t>
        </is>
      </c>
      <c r="C815" t="inlineStr">
        <is>
          <t>Packaging</t>
        </is>
      </c>
      <c r="D815" t="n">
        <v>2018</v>
      </c>
      <c r="E815" t="n">
        <v>20512339.99</v>
      </c>
      <c r="F815" t="n">
        <v>127759931.14</v>
      </c>
      <c r="G815" t="n">
        <v>24374.3341</v>
      </c>
      <c r="H815" t="n">
        <v>24374.3341</v>
      </c>
      <c r="I815" t="n">
        <v>3147.0054</v>
      </c>
      <c r="J815" t="n">
        <v>3925.8172</v>
      </c>
      <c r="K815" t="n">
        <v>18475.9103</v>
      </c>
      <c r="L815" t="n">
        <v>2018</v>
      </c>
      <c r="M815" t="n">
        <v>2030</v>
      </c>
      <c r="N815" t="n">
        <v>0.3671</v>
      </c>
      <c r="O815" t="n">
        <v>0.1475</v>
      </c>
      <c r="P815" t="n">
        <v>2018</v>
      </c>
      <c r="Q815" t="n">
        <v>2040</v>
      </c>
      <c r="R815" t="n">
        <v>0.3112</v>
      </c>
      <c r="S815" t="n">
        <v>702.4188</v>
      </c>
      <c r="T815" t="n">
        <v>0.0010803</v>
      </c>
      <c r="U815" t="n">
        <v>0.00078946</v>
      </c>
    </row>
    <row r="816">
      <c r="A816" t="inlineStr">
        <is>
          <t>SUP-0082</t>
        </is>
      </c>
      <c r="B816" t="inlineStr">
        <is>
          <t>Packaging Supplier 082</t>
        </is>
      </c>
      <c r="C816" t="inlineStr">
        <is>
          <t>Packaging</t>
        </is>
      </c>
      <c r="D816" t="n">
        <v>2019</v>
      </c>
      <c r="E816" t="n">
        <v>20877925.45</v>
      </c>
      <c r="F816" t="n">
        <v>179261813.84</v>
      </c>
      <c r="G816" t="n">
        <v>28796.9816</v>
      </c>
      <c r="H816" t="n">
        <v>28796.9816</v>
      </c>
      <c r="I816" t="n">
        <v>6421.9777</v>
      </c>
      <c r="J816" t="n">
        <v>3021.057</v>
      </c>
      <c r="K816" t="n">
        <v>19310.0091</v>
      </c>
      <c r="L816" t="n">
        <v>2018</v>
      </c>
      <c r="M816" t="n">
        <v>2030</v>
      </c>
      <c r="N816" t="n">
        <v>0.3671</v>
      </c>
      <c r="O816" t="n">
        <v>0.1475</v>
      </c>
      <c r="P816" t="n">
        <v>2018</v>
      </c>
      <c r="Q816" t="n">
        <v>2040</v>
      </c>
      <c r="R816" t="n">
        <v>0.3112</v>
      </c>
      <c r="S816" t="n">
        <v>702.4188</v>
      </c>
      <c r="T816" t="n">
        <v>0.0010803</v>
      </c>
      <c r="U816" t="n">
        <v>0.00078946</v>
      </c>
    </row>
    <row r="817">
      <c r="A817" t="inlineStr">
        <is>
          <t>SUP-0082</t>
        </is>
      </c>
      <c r="B817" t="inlineStr">
        <is>
          <t>Packaging Supplier 082</t>
        </is>
      </c>
      <c r="C817" t="inlineStr">
        <is>
          <t>Packaging</t>
        </is>
      </c>
      <c r="D817" t="n">
        <v>2020</v>
      </c>
      <c r="E817" t="n">
        <v>25039202.96</v>
      </c>
      <c r="F817" t="n">
        <v>158426906.13</v>
      </c>
      <c r="G817" t="n">
        <v>24915.5579</v>
      </c>
      <c r="H817" t="n">
        <v>24915.5579</v>
      </c>
      <c r="I817" t="n">
        <v>5527.103</v>
      </c>
      <c r="J817" t="n">
        <v>1782.0257</v>
      </c>
      <c r="K817" t="n">
        <v>19917.3412</v>
      </c>
      <c r="L817" t="n">
        <v>2018</v>
      </c>
      <c r="M817" t="n">
        <v>2030</v>
      </c>
      <c r="N817" t="n">
        <v>0.3671</v>
      </c>
      <c r="O817" t="n">
        <v>0.1475</v>
      </c>
      <c r="P817" t="n">
        <v>2018</v>
      </c>
      <c r="Q817" t="n">
        <v>2040</v>
      </c>
      <c r="R817" t="n">
        <v>0.3112</v>
      </c>
      <c r="S817" t="n">
        <v>702.4188</v>
      </c>
      <c r="T817" t="n">
        <v>0.0010803</v>
      </c>
      <c r="U817" t="n">
        <v>0.00078946</v>
      </c>
    </row>
    <row r="818">
      <c r="A818" t="inlineStr">
        <is>
          <t>SUP-0082</t>
        </is>
      </c>
      <c r="B818" t="inlineStr">
        <is>
          <t>Packaging Supplier 082</t>
        </is>
      </c>
      <c r="C818" t="inlineStr">
        <is>
          <t>Packaging</t>
        </is>
      </c>
      <c r="D818" t="n">
        <v>2021</v>
      </c>
      <c r="E818" t="n">
        <v>25194013.78</v>
      </c>
      <c r="F818" t="n">
        <v>156491136.35</v>
      </c>
      <c r="G818" t="n">
        <v>33055.9905</v>
      </c>
      <c r="H818" t="n">
        <v>33055.9905</v>
      </c>
      <c r="I818" t="n">
        <v>3156.6826</v>
      </c>
      <c r="J818" t="n">
        <v>2132.4755</v>
      </c>
      <c r="K818" t="n">
        <v>29074.4593</v>
      </c>
      <c r="L818" t="n">
        <v>2018</v>
      </c>
      <c r="M818" t="n">
        <v>2030</v>
      </c>
      <c r="N818" t="n">
        <v>0.3671</v>
      </c>
      <c r="O818" t="n">
        <v>0.1475</v>
      </c>
      <c r="P818" t="n">
        <v>2018</v>
      </c>
      <c r="Q818" t="n">
        <v>2040</v>
      </c>
      <c r="R818" t="n">
        <v>0.3112</v>
      </c>
      <c r="S818" t="n">
        <v>702.4188</v>
      </c>
      <c r="T818" t="n">
        <v>0.0010803</v>
      </c>
      <c r="U818" t="n">
        <v>0.00078946</v>
      </c>
    </row>
    <row r="819">
      <c r="A819" t="inlineStr">
        <is>
          <t>SUP-0082</t>
        </is>
      </c>
      <c r="B819" t="inlineStr">
        <is>
          <t>Packaging Supplier 082</t>
        </is>
      </c>
      <c r="C819" t="inlineStr">
        <is>
          <t>Packaging</t>
        </is>
      </c>
      <c r="D819" t="n">
        <v>2022</v>
      </c>
      <c r="E819" t="n">
        <v>26592220.65</v>
      </c>
      <c r="F819" t="n">
        <v>165964737.1</v>
      </c>
      <c r="G819" t="n">
        <v>35186.5812</v>
      </c>
      <c r="H819" t="n">
        <v>35186.5812</v>
      </c>
      <c r="I819" t="n">
        <v>7731.8582</v>
      </c>
      <c r="J819" t="n">
        <v>4515.5058</v>
      </c>
      <c r="K819" t="n">
        <v>21455.6056</v>
      </c>
      <c r="L819" t="n">
        <v>2018</v>
      </c>
      <c r="M819" t="n">
        <v>2030</v>
      </c>
      <c r="N819" t="n">
        <v>0.3671</v>
      </c>
      <c r="O819" t="n">
        <v>0.1475</v>
      </c>
      <c r="P819" t="n">
        <v>2018</v>
      </c>
      <c r="Q819" t="n">
        <v>2040</v>
      </c>
      <c r="R819" t="n">
        <v>0.3112</v>
      </c>
      <c r="S819" t="n">
        <v>702.4188</v>
      </c>
      <c r="T819" t="n">
        <v>0.0010803</v>
      </c>
      <c r="U819" t="n">
        <v>0.00078946</v>
      </c>
    </row>
    <row r="820">
      <c r="A820" t="inlineStr">
        <is>
          <t>SUP-0082</t>
        </is>
      </c>
      <c r="B820" t="inlineStr">
        <is>
          <t>Packaging Supplier 082</t>
        </is>
      </c>
      <c r="C820" t="inlineStr">
        <is>
          <t>Packaging</t>
        </is>
      </c>
      <c r="D820" t="n">
        <v>2023</v>
      </c>
      <c r="E820" t="n">
        <v>27146492.45</v>
      </c>
      <c r="F820" t="n">
        <v>176508356.86</v>
      </c>
      <c r="G820" t="n">
        <v>37861.6917</v>
      </c>
      <c r="H820" t="n">
        <v>37861.6917</v>
      </c>
      <c r="I820" t="n">
        <v>5193.9527</v>
      </c>
      <c r="J820" t="n">
        <v>5052.8345</v>
      </c>
      <c r="K820" t="n">
        <v>28019.8678</v>
      </c>
      <c r="L820" t="n">
        <v>2018</v>
      </c>
      <c r="M820" t="n">
        <v>2030</v>
      </c>
      <c r="N820" t="n">
        <v>0.3671</v>
      </c>
      <c r="O820" t="n">
        <v>0.1475</v>
      </c>
      <c r="P820" t="n">
        <v>2018</v>
      </c>
      <c r="Q820" t="n">
        <v>2040</v>
      </c>
      <c r="R820" t="n">
        <v>0.3112</v>
      </c>
      <c r="S820" t="n">
        <v>702.4188</v>
      </c>
      <c r="T820" t="n">
        <v>0.0010803</v>
      </c>
      <c r="U820" t="n">
        <v>0.00078946</v>
      </c>
    </row>
    <row r="821">
      <c r="A821" t="inlineStr">
        <is>
          <t>SUP-0082</t>
        </is>
      </c>
      <c r="B821" t="inlineStr">
        <is>
          <t>Packaging Supplier 082</t>
        </is>
      </c>
      <c r="C821" t="inlineStr">
        <is>
          <t>Packaging</t>
        </is>
      </c>
      <c r="D821" t="n">
        <v>2024</v>
      </c>
      <c r="E821" t="n">
        <v>28407683.17</v>
      </c>
      <c r="F821" t="n">
        <v>189393402.34</v>
      </c>
      <c r="G821" t="n">
        <v>40116.1832</v>
      </c>
      <c r="H821" t="n">
        <v>40116.1832</v>
      </c>
      <c r="I821" t="n">
        <v>9713.481400000001</v>
      </c>
      <c r="J821" t="n">
        <v>2930.5859</v>
      </c>
      <c r="K821" t="n">
        <v>25125.5516</v>
      </c>
      <c r="L821" t="n">
        <v>2018</v>
      </c>
      <c r="M821" t="n">
        <v>2030</v>
      </c>
      <c r="N821" t="n">
        <v>0.3671</v>
      </c>
      <c r="O821" t="n">
        <v>0.1475</v>
      </c>
      <c r="P821" t="n">
        <v>2018</v>
      </c>
      <c r="Q821" t="n">
        <v>2040</v>
      </c>
      <c r="R821" t="n">
        <v>0.3112</v>
      </c>
      <c r="S821" t="n">
        <v>702.4188</v>
      </c>
      <c r="T821" t="n">
        <v>0.0010803</v>
      </c>
      <c r="U821" t="n">
        <v>0.00078946</v>
      </c>
    </row>
    <row r="822">
      <c r="A822" t="inlineStr">
        <is>
          <t>SUP-0083</t>
        </is>
      </c>
      <c r="B822" t="inlineStr">
        <is>
          <t>Logistics Supplier 083</t>
        </is>
      </c>
      <c r="C822" t="inlineStr">
        <is>
          <t>Logistics</t>
        </is>
      </c>
      <c r="D822" t="n">
        <v>2015</v>
      </c>
      <c r="E822" t="n">
        <v>27231750.34</v>
      </c>
      <c r="F822" t="n">
        <v>65124616.39</v>
      </c>
      <c r="G822" t="n">
        <v>4867.926</v>
      </c>
      <c r="H822" t="n">
        <v>4867.926</v>
      </c>
      <c r="I822" t="n">
        <v>879.08</v>
      </c>
      <c r="J822" t="n">
        <v>1054.8012</v>
      </c>
      <c r="K822" t="n">
        <v>3023.2434</v>
      </c>
      <c r="L822" t="inlineStr"/>
      <c r="M822" t="inlineStr"/>
      <c r="N822" t="inlineStr"/>
      <c r="O822" t="inlineStr"/>
      <c r="P822" t="n">
        <v>2019</v>
      </c>
      <c r="Q822" t="n">
        <v>2040</v>
      </c>
      <c r="R822" t="n">
        <v>0.4616</v>
      </c>
      <c r="S822" t="n">
        <v>591.6386</v>
      </c>
      <c r="T822" t="n">
        <v>0.00022349</v>
      </c>
      <c r="U822" t="n">
        <v>0.00047787</v>
      </c>
    </row>
    <row r="823">
      <c r="A823" t="inlineStr">
        <is>
          <t>SUP-0083</t>
        </is>
      </c>
      <c r="B823" t="inlineStr">
        <is>
          <t>Logistics Supplier 083</t>
        </is>
      </c>
      <c r="C823" t="inlineStr">
        <is>
          <t>Logistics</t>
        </is>
      </c>
      <c r="D823" t="n">
        <v>2016</v>
      </c>
      <c r="E823" t="n">
        <v>24012808.87</v>
      </c>
      <c r="F823" t="n">
        <v>66748700.05</v>
      </c>
      <c r="G823" t="n">
        <v>3950.5999</v>
      </c>
      <c r="H823" t="n">
        <v>3950.5999</v>
      </c>
      <c r="I823" t="n">
        <v>865.2329999999999</v>
      </c>
      <c r="J823" t="n">
        <v>567.5246</v>
      </c>
      <c r="K823" t="n">
        <v>2390.0561</v>
      </c>
      <c r="L823" t="inlineStr"/>
      <c r="M823" t="inlineStr"/>
      <c r="N823" t="inlineStr"/>
      <c r="O823" t="inlineStr"/>
      <c r="P823" t="n">
        <v>2019</v>
      </c>
      <c r="Q823" t="n">
        <v>2040</v>
      </c>
      <c r="R823" t="n">
        <v>0.4616</v>
      </c>
      <c r="S823" t="n">
        <v>591.6386</v>
      </c>
      <c r="T823" t="n">
        <v>0.00022349</v>
      </c>
      <c r="U823" t="n">
        <v>0.00047787</v>
      </c>
    </row>
    <row r="824">
      <c r="A824" t="inlineStr">
        <is>
          <t>SUP-0083</t>
        </is>
      </c>
      <c r="B824" t="inlineStr">
        <is>
          <t>Logistics Supplier 083</t>
        </is>
      </c>
      <c r="C824" t="inlineStr">
        <is>
          <t>Logistics</t>
        </is>
      </c>
      <c r="D824" t="n">
        <v>2017</v>
      </c>
      <c r="E824" t="n">
        <v>23977666.22</v>
      </c>
      <c r="F824" t="n">
        <v>62843192.7</v>
      </c>
      <c r="G824" t="n">
        <v>4170.5443</v>
      </c>
      <c r="H824" t="n">
        <v>4170.5443</v>
      </c>
      <c r="I824" t="n">
        <v>892.8304000000001</v>
      </c>
      <c r="J824" t="n">
        <v>577.0566</v>
      </c>
      <c r="K824" t="n">
        <v>2886.7148</v>
      </c>
      <c r="L824" t="inlineStr"/>
      <c r="M824" t="inlineStr"/>
      <c r="N824" t="inlineStr"/>
      <c r="O824" t="inlineStr"/>
      <c r="P824" t="n">
        <v>2019</v>
      </c>
      <c r="Q824" t="n">
        <v>2040</v>
      </c>
      <c r="R824" t="n">
        <v>0.4616</v>
      </c>
      <c r="S824" t="n">
        <v>591.6386</v>
      </c>
      <c r="T824" t="n">
        <v>0.00022349</v>
      </c>
      <c r="U824" t="n">
        <v>0.00047787</v>
      </c>
    </row>
    <row r="825">
      <c r="A825" t="inlineStr">
        <is>
          <t>SUP-0083</t>
        </is>
      </c>
      <c r="B825" t="inlineStr">
        <is>
          <t>Logistics Supplier 083</t>
        </is>
      </c>
      <c r="C825" t="inlineStr">
        <is>
          <t>Logistics</t>
        </is>
      </c>
      <c r="D825" t="n">
        <v>2018</v>
      </c>
      <c r="E825" t="n">
        <v>28479697.94</v>
      </c>
      <c r="F825" t="n">
        <v>57439256.64</v>
      </c>
      <c r="G825" t="n">
        <v>5454.5303</v>
      </c>
      <c r="H825" t="n">
        <v>5454.5303</v>
      </c>
      <c r="I825" t="n">
        <v>1358.4843</v>
      </c>
      <c r="J825" t="n">
        <v>807.2369</v>
      </c>
      <c r="K825" t="n">
        <v>3530.2173</v>
      </c>
      <c r="L825" t="inlineStr"/>
      <c r="M825" t="inlineStr"/>
      <c r="N825" t="inlineStr"/>
      <c r="O825" t="inlineStr"/>
      <c r="P825" t="n">
        <v>2019</v>
      </c>
      <c r="Q825" t="n">
        <v>2040</v>
      </c>
      <c r="R825" t="n">
        <v>0.4616</v>
      </c>
      <c r="S825" t="n">
        <v>591.6386</v>
      </c>
      <c r="T825" t="n">
        <v>0.00022349</v>
      </c>
      <c r="U825" t="n">
        <v>0.00047787</v>
      </c>
    </row>
    <row r="826">
      <c r="A826" t="inlineStr">
        <is>
          <t>SUP-0083</t>
        </is>
      </c>
      <c r="B826" t="inlineStr">
        <is>
          <t>Logistics Supplier 083</t>
        </is>
      </c>
      <c r="C826" t="inlineStr">
        <is>
          <t>Logistics</t>
        </is>
      </c>
      <c r="D826" t="n">
        <v>2019</v>
      </c>
      <c r="E826" t="n">
        <v>17769967.12</v>
      </c>
      <c r="F826" t="n">
        <v>60783129.23</v>
      </c>
      <c r="G826" t="n">
        <v>3152.8678</v>
      </c>
      <c r="H826" t="n">
        <v>3152.8678</v>
      </c>
      <c r="I826" t="n">
        <v>582.3323</v>
      </c>
      <c r="J826" t="n">
        <v>544.8656999999999</v>
      </c>
      <c r="K826" t="n">
        <v>2351.0998</v>
      </c>
      <c r="L826" t="inlineStr"/>
      <c r="M826" t="inlineStr"/>
      <c r="N826" t="inlineStr"/>
      <c r="O826" t="inlineStr"/>
      <c r="P826" t="n">
        <v>2019</v>
      </c>
      <c r="Q826" t="n">
        <v>2040</v>
      </c>
      <c r="R826" t="n">
        <v>0.4616</v>
      </c>
      <c r="S826" t="n">
        <v>591.6386</v>
      </c>
      <c r="T826" t="n">
        <v>0.00022349</v>
      </c>
      <c r="U826" t="n">
        <v>0.00047787</v>
      </c>
    </row>
    <row r="827">
      <c r="A827" t="inlineStr">
        <is>
          <t>SUP-0083</t>
        </is>
      </c>
      <c r="B827" t="inlineStr">
        <is>
          <t>Logistics Supplier 083</t>
        </is>
      </c>
      <c r="C827" t="inlineStr">
        <is>
          <t>Logistics</t>
        </is>
      </c>
      <c r="D827" t="n">
        <v>2020</v>
      </c>
      <c r="E827" t="n">
        <v>24108598.36</v>
      </c>
      <c r="F827" t="n">
        <v>62157134.25</v>
      </c>
      <c r="G827" t="n">
        <v>4042.7028</v>
      </c>
      <c r="H827" t="n">
        <v>4042.7028</v>
      </c>
      <c r="I827" t="n">
        <v>953.9731</v>
      </c>
      <c r="J827" t="n">
        <v>602.6973</v>
      </c>
      <c r="K827" t="n">
        <v>2599.684</v>
      </c>
      <c r="L827" t="inlineStr"/>
      <c r="M827" t="inlineStr"/>
      <c r="N827" t="inlineStr"/>
      <c r="O827" t="inlineStr"/>
      <c r="P827" t="n">
        <v>2019</v>
      </c>
      <c r="Q827" t="n">
        <v>2040</v>
      </c>
      <c r="R827" t="n">
        <v>0.4616</v>
      </c>
      <c r="S827" t="n">
        <v>591.6386</v>
      </c>
      <c r="T827" t="n">
        <v>0.00022349</v>
      </c>
      <c r="U827" t="n">
        <v>0.00047787</v>
      </c>
    </row>
    <row r="828">
      <c r="A828" t="inlineStr">
        <is>
          <t>SUP-0083</t>
        </is>
      </c>
      <c r="B828" t="inlineStr">
        <is>
          <t>Logistics Supplier 083</t>
        </is>
      </c>
      <c r="C828" t="inlineStr">
        <is>
          <t>Logistics</t>
        </is>
      </c>
      <c r="D828" t="n">
        <v>2021</v>
      </c>
      <c r="E828" t="n">
        <v>21429069.6</v>
      </c>
      <c r="F828" t="n">
        <v>50886526.23</v>
      </c>
      <c r="G828" t="n">
        <v>4227.4069</v>
      </c>
      <c r="H828" t="n">
        <v>4227.4069</v>
      </c>
      <c r="I828" t="n">
        <v>708.3567</v>
      </c>
      <c r="J828" t="n">
        <v>413.4149</v>
      </c>
      <c r="K828" t="n">
        <v>2928.0605</v>
      </c>
      <c r="L828" t="inlineStr"/>
      <c r="M828" t="inlineStr"/>
      <c r="N828" t="inlineStr"/>
      <c r="O828" t="inlineStr"/>
      <c r="P828" t="n">
        <v>2019</v>
      </c>
      <c r="Q828" t="n">
        <v>2040</v>
      </c>
      <c r="R828" t="n">
        <v>0.4616</v>
      </c>
      <c r="S828" t="n">
        <v>591.6386</v>
      </c>
      <c r="T828" t="n">
        <v>0.00022349</v>
      </c>
      <c r="U828" t="n">
        <v>0.00047787</v>
      </c>
    </row>
    <row r="829">
      <c r="A829" t="inlineStr">
        <is>
          <t>SUP-0083</t>
        </is>
      </c>
      <c r="B829" t="inlineStr">
        <is>
          <t>Logistics Supplier 083</t>
        </is>
      </c>
      <c r="C829" t="inlineStr">
        <is>
          <t>Logistics</t>
        </is>
      </c>
      <c r="D829" t="n">
        <v>2022</v>
      </c>
      <c r="E829" t="n">
        <v>23070927.74</v>
      </c>
      <c r="F829" t="n">
        <v>64372190.24</v>
      </c>
      <c r="G829" t="n">
        <v>3704.0946</v>
      </c>
      <c r="H829" t="n">
        <v>3704.0946</v>
      </c>
      <c r="I829" t="n">
        <v>443.0342</v>
      </c>
      <c r="J829" t="n">
        <v>574.9640000000001</v>
      </c>
      <c r="K829" t="n">
        <v>2690.664</v>
      </c>
      <c r="L829" t="inlineStr"/>
      <c r="M829" t="inlineStr"/>
      <c r="N829" t="inlineStr"/>
      <c r="O829" t="inlineStr"/>
      <c r="P829" t="n">
        <v>2019</v>
      </c>
      <c r="Q829" t="n">
        <v>2040</v>
      </c>
      <c r="R829" t="n">
        <v>0.4616</v>
      </c>
      <c r="S829" t="n">
        <v>591.6386</v>
      </c>
      <c r="T829" t="n">
        <v>0.00022349</v>
      </c>
      <c r="U829" t="n">
        <v>0.00047787</v>
      </c>
    </row>
    <row r="830">
      <c r="A830" t="inlineStr">
        <is>
          <t>SUP-0083</t>
        </is>
      </c>
      <c r="B830" t="inlineStr">
        <is>
          <t>Logistics Supplier 083</t>
        </is>
      </c>
      <c r="C830" t="inlineStr">
        <is>
          <t>Logistics</t>
        </is>
      </c>
      <c r="D830" t="n">
        <v>2023</v>
      </c>
      <c r="E830" t="n">
        <v>25564598.24</v>
      </c>
      <c r="F830" t="n">
        <v>74457096.66</v>
      </c>
      <c r="G830" t="n">
        <v>5096.8692</v>
      </c>
      <c r="H830" t="n">
        <v>5096.8692</v>
      </c>
      <c r="I830" t="n">
        <v>1064.3688</v>
      </c>
      <c r="J830" t="n">
        <v>740.1789</v>
      </c>
      <c r="K830" t="n">
        <v>3180.1843</v>
      </c>
      <c r="L830" t="inlineStr"/>
      <c r="M830" t="inlineStr"/>
      <c r="N830" t="inlineStr"/>
      <c r="O830" t="inlineStr"/>
      <c r="P830" t="n">
        <v>2019</v>
      </c>
      <c r="Q830" t="n">
        <v>2040</v>
      </c>
      <c r="R830" t="n">
        <v>0.4616</v>
      </c>
      <c r="S830" t="n">
        <v>591.6386</v>
      </c>
      <c r="T830" t="n">
        <v>0.00022349</v>
      </c>
      <c r="U830" t="n">
        <v>0.00047787</v>
      </c>
    </row>
    <row r="831">
      <c r="A831" t="inlineStr">
        <is>
          <t>SUP-0083</t>
        </is>
      </c>
      <c r="B831" t="inlineStr">
        <is>
          <t>Logistics Supplier 083</t>
        </is>
      </c>
      <c r="C831" t="inlineStr">
        <is>
          <t>Logistics</t>
        </is>
      </c>
      <c r="D831" t="n">
        <v>2024</v>
      </c>
      <c r="E831" t="n">
        <v>19985712.58</v>
      </c>
      <c r="F831" t="n">
        <v>60606542.27</v>
      </c>
      <c r="G831" t="n">
        <v>3352.7019</v>
      </c>
      <c r="H831" t="n">
        <v>3352.7019</v>
      </c>
      <c r="I831" t="n">
        <v>807.0083</v>
      </c>
      <c r="J831" t="n">
        <v>435.321</v>
      </c>
      <c r="K831" t="n">
        <v>2288.8372</v>
      </c>
      <c r="L831" t="inlineStr"/>
      <c r="M831" t="inlineStr"/>
      <c r="N831" t="inlineStr"/>
      <c r="O831" t="inlineStr"/>
      <c r="P831" t="n">
        <v>2019</v>
      </c>
      <c r="Q831" t="n">
        <v>2040</v>
      </c>
      <c r="R831" t="n">
        <v>0.4616</v>
      </c>
      <c r="S831" t="n">
        <v>591.6386</v>
      </c>
      <c r="T831" t="n">
        <v>0.00022349</v>
      </c>
      <c r="U831" t="n">
        <v>0.00047787</v>
      </c>
    </row>
    <row r="832">
      <c r="A832" t="inlineStr">
        <is>
          <t>SUP-0084</t>
        </is>
      </c>
      <c r="B832" t="inlineStr">
        <is>
          <t>Chemicals Supplier 084</t>
        </is>
      </c>
      <c r="C832" t="inlineStr">
        <is>
          <t>Chemicals</t>
        </is>
      </c>
      <c r="D832" t="n">
        <v>2015</v>
      </c>
      <c r="E832" t="n">
        <v>16568788.6</v>
      </c>
      <c r="F832" t="n">
        <v>97541090.08</v>
      </c>
      <c r="G832" t="n">
        <v>15140.7785</v>
      </c>
      <c r="H832" t="n">
        <v>15140.7785</v>
      </c>
      <c r="I832" t="n">
        <v>3904.4605</v>
      </c>
      <c r="J832" t="n">
        <v>2459.3944</v>
      </c>
      <c r="K832" t="n">
        <v>9061.4912</v>
      </c>
      <c r="L832" t="inlineStr"/>
      <c r="M832" t="inlineStr"/>
      <c r="N832" t="inlineStr"/>
      <c r="O832" t="inlineStr"/>
      <c r="P832" t="n">
        <v>2019</v>
      </c>
      <c r="Q832" t="n">
        <v>2035</v>
      </c>
      <c r="R832" t="n">
        <v>0.5229</v>
      </c>
      <c r="S832" t="n">
        <v>506.3191</v>
      </c>
      <c r="T832" t="n">
        <v>0.00100149</v>
      </c>
      <c r="U832" t="n">
        <v>0.00047124</v>
      </c>
    </row>
    <row r="833">
      <c r="A833" t="inlineStr">
        <is>
          <t>SUP-0084</t>
        </is>
      </c>
      <c r="B833" t="inlineStr">
        <is>
          <t>Chemicals Supplier 084</t>
        </is>
      </c>
      <c r="C833" t="inlineStr">
        <is>
          <t>Chemicals</t>
        </is>
      </c>
      <c r="D833" t="n">
        <v>2016</v>
      </c>
      <c r="E833" t="n">
        <v>14384996.3</v>
      </c>
      <c r="F833" t="n">
        <v>122053283.16</v>
      </c>
      <c r="G833" t="n">
        <v>12312.9318</v>
      </c>
      <c r="H833" t="n">
        <v>12312.9318</v>
      </c>
      <c r="I833" t="n">
        <v>2576.9148</v>
      </c>
      <c r="J833" t="n">
        <v>1136.8107</v>
      </c>
      <c r="K833" t="n">
        <v>8383.063599999999</v>
      </c>
      <c r="L833" t="inlineStr"/>
      <c r="M833" t="inlineStr"/>
      <c r="N833" t="inlineStr"/>
      <c r="O833" t="inlineStr"/>
      <c r="P833" t="n">
        <v>2019</v>
      </c>
      <c r="Q833" t="n">
        <v>2035</v>
      </c>
      <c r="R833" t="n">
        <v>0.5229</v>
      </c>
      <c r="S833" t="n">
        <v>506.3191</v>
      </c>
      <c r="T833" t="n">
        <v>0.00100149</v>
      </c>
      <c r="U833" t="n">
        <v>0.00047124</v>
      </c>
    </row>
    <row r="834">
      <c r="A834" t="inlineStr">
        <is>
          <t>SUP-0084</t>
        </is>
      </c>
      <c r="B834" t="inlineStr">
        <is>
          <t>Chemicals Supplier 084</t>
        </is>
      </c>
      <c r="C834" t="inlineStr">
        <is>
          <t>Chemicals</t>
        </is>
      </c>
      <c r="D834" t="n">
        <v>2017</v>
      </c>
      <c r="E834" t="n">
        <v>15263523.65</v>
      </c>
      <c r="F834" t="n">
        <v>93410801.31</v>
      </c>
      <c r="G834" t="n">
        <v>12455.1115</v>
      </c>
      <c r="H834" t="n">
        <v>12455.1115</v>
      </c>
      <c r="I834" t="n">
        <v>1636.9177</v>
      </c>
      <c r="J834" t="n">
        <v>2490.8684</v>
      </c>
      <c r="K834" t="n">
        <v>8781.225899999999</v>
      </c>
      <c r="L834" t="inlineStr"/>
      <c r="M834" t="inlineStr"/>
      <c r="N834" t="inlineStr"/>
      <c r="O834" t="inlineStr"/>
      <c r="P834" t="n">
        <v>2019</v>
      </c>
      <c r="Q834" t="n">
        <v>2035</v>
      </c>
      <c r="R834" t="n">
        <v>0.5229</v>
      </c>
      <c r="S834" t="n">
        <v>506.3191</v>
      </c>
      <c r="T834" t="n">
        <v>0.00100149</v>
      </c>
      <c r="U834" t="n">
        <v>0.00047124</v>
      </c>
    </row>
    <row r="835">
      <c r="A835" t="inlineStr">
        <is>
          <t>SUP-0084</t>
        </is>
      </c>
      <c r="B835" t="inlineStr">
        <is>
          <t>Chemicals Supplier 084</t>
        </is>
      </c>
      <c r="C835" t="inlineStr">
        <is>
          <t>Chemicals</t>
        </is>
      </c>
      <c r="D835" t="n">
        <v>2018</v>
      </c>
      <c r="E835" t="n">
        <v>18292209.23</v>
      </c>
      <c r="F835" t="n">
        <v>112148126.19</v>
      </c>
      <c r="G835" t="n">
        <v>14145.653</v>
      </c>
      <c r="H835" t="n">
        <v>14145.653</v>
      </c>
      <c r="I835" t="n">
        <v>1246.4743</v>
      </c>
      <c r="J835" t="n">
        <v>1990.7012</v>
      </c>
      <c r="K835" t="n">
        <v>11306.3145</v>
      </c>
      <c r="L835" t="inlineStr"/>
      <c r="M835" t="inlineStr"/>
      <c r="N835" t="inlineStr"/>
      <c r="O835" t="inlineStr"/>
      <c r="P835" t="n">
        <v>2019</v>
      </c>
      <c r="Q835" t="n">
        <v>2035</v>
      </c>
      <c r="R835" t="n">
        <v>0.5229</v>
      </c>
      <c r="S835" t="n">
        <v>506.3191</v>
      </c>
      <c r="T835" t="n">
        <v>0.00100149</v>
      </c>
      <c r="U835" t="n">
        <v>0.00047124</v>
      </c>
    </row>
    <row r="836">
      <c r="A836" t="inlineStr">
        <is>
          <t>SUP-0084</t>
        </is>
      </c>
      <c r="B836" t="inlineStr">
        <is>
          <t>Chemicals Supplier 084</t>
        </is>
      </c>
      <c r="C836" t="inlineStr">
        <is>
          <t>Chemicals</t>
        </is>
      </c>
      <c r="D836" t="n">
        <v>2019</v>
      </c>
      <c r="E836" t="n">
        <v>18885955.05</v>
      </c>
      <c r="F836" t="n">
        <v>123512219.33</v>
      </c>
      <c r="G836" t="n">
        <v>13867.9421</v>
      </c>
      <c r="H836" t="n">
        <v>13867.9421</v>
      </c>
      <c r="I836" t="n">
        <v>4162.5733</v>
      </c>
      <c r="J836" t="n">
        <v>1934.1549</v>
      </c>
      <c r="K836" t="n">
        <v>9034.128500000001</v>
      </c>
      <c r="L836" t="inlineStr"/>
      <c r="M836" t="inlineStr"/>
      <c r="N836" t="inlineStr"/>
      <c r="O836" t="inlineStr"/>
      <c r="P836" t="n">
        <v>2019</v>
      </c>
      <c r="Q836" t="n">
        <v>2035</v>
      </c>
      <c r="R836" t="n">
        <v>0.5229</v>
      </c>
      <c r="S836" t="n">
        <v>506.3191</v>
      </c>
      <c r="T836" t="n">
        <v>0.00100149</v>
      </c>
      <c r="U836" t="n">
        <v>0.00047124</v>
      </c>
    </row>
    <row r="837">
      <c r="A837" t="inlineStr">
        <is>
          <t>SUP-0084</t>
        </is>
      </c>
      <c r="B837" t="inlineStr">
        <is>
          <t>Chemicals Supplier 084</t>
        </is>
      </c>
      <c r="C837" t="inlineStr">
        <is>
          <t>Chemicals</t>
        </is>
      </c>
      <c r="D837" t="n">
        <v>2020</v>
      </c>
      <c r="E837" t="n">
        <v>19335503.09</v>
      </c>
      <c r="F837" t="n">
        <v>139859499.5</v>
      </c>
      <c r="G837" t="n">
        <v>17042.1373</v>
      </c>
      <c r="H837" t="n">
        <v>17042.1373</v>
      </c>
      <c r="I837" t="n">
        <v>2801.772</v>
      </c>
      <c r="J837" t="n">
        <v>2545.8565</v>
      </c>
      <c r="K837" t="n">
        <v>11916.5108</v>
      </c>
      <c r="L837" t="inlineStr"/>
      <c r="M837" t="inlineStr"/>
      <c r="N837" t="inlineStr"/>
      <c r="O837" t="inlineStr"/>
      <c r="P837" t="n">
        <v>2019</v>
      </c>
      <c r="Q837" t="n">
        <v>2035</v>
      </c>
      <c r="R837" t="n">
        <v>0.5229</v>
      </c>
      <c r="S837" t="n">
        <v>506.3191</v>
      </c>
      <c r="T837" t="n">
        <v>0.00100149</v>
      </c>
      <c r="U837" t="n">
        <v>0.00047124</v>
      </c>
    </row>
    <row r="838">
      <c r="A838" t="inlineStr">
        <is>
          <t>SUP-0084</t>
        </is>
      </c>
      <c r="B838" t="inlineStr">
        <is>
          <t>Chemicals Supplier 084</t>
        </is>
      </c>
      <c r="C838" t="inlineStr">
        <is>
          <t>Chemicals</t>
        </is>
      </c>
      <c r="D838" t="n">
        <v>2021</v>
      </c>
      <c r="E838" t="n">
        <v>20320479.42</v>
      </c>
      <c r="F838" t="n">
        <v>150939796.17</v>
      </c>
      <c r="G838" t="n">
        <v>11633.3347</v>
      </c>
      <c r="H838" t="n">
        <v>11633.3347</v>
      </c>
      <c r="I838" t="n">
        <v>2349.6785</v>
      </c>
      <c r="J838" t="n">
        <v>892.154</v>
      </c>
      <c r="K838" t="n">
        <v>8016.4003</v>
      </c>
      <c r="L838" t="inlineStr"/>
      <c r="M838" t="inlineStr"/>
      <c r="N838" t="inlineStr"/>
      <c r="O838" t="inlineStr"/>
      <c r="P838" t="n">
        <v>2019</v>
      </c>
      <c r="Q838" t="n">
        <v>2035</v>
      </c>
      <c r="R838" t="n">
        <v>0.5229</v>
      </c>
      <c r="S838" t="n">
        <v>506.3191</v>
      </c>
      <c r="T838" t="n">
        <v>0.00100149</v>
      </c>
      <c r="U838" t="n">
        <v>0.00047124</v>
      </c>
    </row>
    <row r="839">
      <c r="A839" t="inlineStr">
        <is>
          <t>SUP-0084</t>
        </is>
      </c>
      <c r="B839" t="inlineStr">
        <is>
          <t>Chemicals Supplier 084</t>
        </is>
      </c>
      <c r="C839" t="inlineStr">
        <is>
          <t>Chemicals</t>
        </is>
      </c>
      <c r="D839" t="n">
        <v>2022</v>
      </c>
      <c r="E839" t="n">
        <v>20943831.46</v>
      </c>
      <c r="F839" t="n">
        <v>133598085.42</v>
      </c>
      <c r="G839" t="n">
        <v>15122.4546</v>
      </c>
      <c r="H839" t="n">
        <v>15122.4546</v>
      </c>
      <c r="I839" t="n">
        <v>1349.2589</v>
      </c>
      <c r="J839" t="n">
        <v>2337.251</v>
      </c>
      <c r="K839" t="n">
        <v>11664.8858</v>
      </c>
      <c r="L839" t="inlineStr"/>
      <c r="M839" t="inlineStr"/>
      <c r="N839" t="inlineStr"/>
      <c r="O839" t="inlineStr"/>
      <c r="P839" t="n">
        <v>2019</v>
      </c>
      <c r="Q839" t="n">
        <v>2035</v>
      </c>
      <c r="R839" t="n">
        <v>0.5229</v>
      </c>
      <c r="S839" t="n">
        <v>506.3191</v>
      </c>
      <c r="T839" t="n">
        <v>0.00100149</v>
      </c>
      <c r="U839" t="n">
        <v>0.00047124</v>
      </c>
    </row>
    <row r="840">
      <c r="A840" t="inlineStr">
        <is>
          <t>SUP-0084</t>
        </is>
      </c>
      <c r="B840" t="inlineStr">
        <is>
          <t>Chemicals Supplier 084</t>
        </is>
      </c>
      <c r="C840" t="inlineStr">
        <is>
          <t>Chemicals</t>
        </is>
      </c>
      <c r="D840" t="n">
        <v>2023</v>
      </c>
      <c r="E840" t="n">
        <v>23425663.74</v>
      </c>
      <c r="F840" t="n">
        <v>128827085.12</v>
      </c>
      <c r="G840" t="n">
        <v>15334.1004</v>
      </c>
      <c r="H840" t="n">
        <v>15334.1004</v>
      </c>
      <c r="I840" t="n">
        <v>2596.0165</v>
      </c>
      <c r="J840" t="n">
        <v>2702.6833</v>
      </c>
      <c r="K840" t="n">
        <v>10269.849</v>
      </c>
      <c r="L840" t="inlineStr"/>
      <c r="M840" t="inlineStr"/>
      <c r="N840" t="inlineStr"/>
      <c r="O840" t="inlineStr"/>
      <c r="P840" t="n">
        <v>2019</v>
      </c>
      <c r="Q840" t="n">
        <v>2035</v>
      </c>
      <c r="R840" t="n">
        <v>0.5229</v>
      </c>
      <c r="S840" t="n">
        <v>506.3191</v>
      </c>
      <c r="T840" t="n">
        <v>0.00100149</v>
      </c>
      <c r="U840" t="n">
        <v>0.00047124</v>
      </c>
    </row>
    <row r="841">
      <c r="A841" t="inlineStr">
        <is>
          <t>SUP-0084</t>
        </is>
      </c>
      <c r="B841" t="inlineStr">
        <is>
          <t>Chemicals Supplier 084</t>
        </is>
      </c>
      <c r="C841" t="inlineStr">
        <is>
          <t>Chemicals</t>
        </is>
      </c>
      <c r="D841" t="n">
        <v>2024</v>
      </c>
      <c r="E841" t="n">
        <v>22962377.36</v>
      </c>
      <c r="F841" t="n">
        <v>196940775.83</v>
      </c>
      <c r="G841" t="n">
        <v>12713.5887</v>
      </c>
      <c r="H841" t="n">
        <v>12713.5887</v>
      </c>
      <c r="I841" t="n">
        <v>1567.4043</v>
      </c>
      <c r="J841" t="n">
        <v>2553.4607</v>
      </c>
      <c r="K841" t="n">
        <v>8946.1412</v>
      </c>
      <c r="L841" t="inlineStr"/>
      <c r="M841" t="inlineStr"/>
      <c r="N841" t="inlineStr"/>
      <c r="O841" t="inlineStr"/>
      <c r="P841" t="n">
        <v>2019</v>
      </c>
      <c r="Q841" t="n">
        <v>2035</v>
      </c>
      <c r="R841" t="n">
        <v>0.5229</v>
      </c>
      <c r="S841" t="n">
        <v>506.3191</v>
      </c>
      <c r="T841" t="n">
        <v>0.00100149</v>
      </c>
      <c r="U841" t="n">
        <v>0.00047124</v>
      </c>
    </row>
    <row r="842">
      <c r="A842" t="inlineStr">
        <is>
          <t>SUP-0085</t>
        </is>
      </c>
      <c r="B842" t="inlineStr">
        <is>
          <t>Textiles Supplier 085</t>
        </is>
      </c>
      <c r="C842" t="inlineStr">
        <is>
          <t>Textiles</t>
        </is>
      </c>
      <c r="D842" t="n">
        <v>2015</v>
      </c>
      <c r="E842" t="n">
        <v>22437480.11</v>
      </c>
      <c r="F842" t="n">
        <v>42319309.56</v>
      </c>
      <c r="G842" t="n">
        <v>8996.1567</v>
      </c>
      <c r="H842" t="n">
        <v>8996.1567</v>
      </c>
      <c r="I842" t="n">
        <v>2013.3173</v>
      </c>
      <c r="J842" t="n">
        <v>1339.747</v>
      </c>
      <c r="K842" t="n">
        <v>5711.3233</v>
      </c>
      <c r="L842" t="inlineStr"/>
      <c r="M842" t="inlineStr"/>
      <c r="N842" t="inlineStr"/>
      <c r="O842" t="inlineStr"/>
      <c r="P842" t="n">
        <v>2019</v>
      </c>
      <c r="Q842" t="n">
        <v>2030</v>
      </c>
      <c r="R842" t="n">
        <v>0.3171</v>
      </c>
      <c r="S842" t="n">
        <v>401.7335</v>
      </c>
      <c r="T842" t="n">
        <v>0.00029221</v>
      </c>
      <c r="U842" t="n">
        <v>0.00017343</v>
      </c>
    </row>
    <row r="843">
      <c r="A843" t="inlineStr">
        <is>
          <t>SUP-0085</t>
        </is>
      </c>
      <c r="B843" t="inlineStr">
        <is>
          <t>Textiles Supplier 085</t>
        </is>
      </c>
      <c r="C843" t="inlineStr">
        <is>
          <t>Textiles</t>
        </is>
      </c>
      <c r="D843" t="n">
        <v>2016</v>
      </c>
      <c r="E843" t="n">
        <v>19599678.61</v>
      </c>
      <c r="F843" t="n">
        <v>39948110.06</v>
      </c>
      <c r="G843" t="n">
        <v>7108.8201</v>
      </c>
      <c r="H843" t="n">
        <v>7108.8201</v>
      </c>
      <c r="I843" t="n">
        <v>1832.2121</v>
      </c>
      <c r="J843" t="n">
        <v>744.9233</v>
      </c>
      <c r="K843" t="n">
        <v>3916.1254</v>
      </c>
      <c r="L843" t="inlineStr"/>
      <c r="M843" t="inlineStr"/>
      <c r="N843" t="inlineStr"/>
      <c r="O843" t="inlineStr"/>
      <c r="P843" t="n">
        <v>2019</v>
      </c>
      <c r="Q843" t="n">
        <v>2030</v>
      </c>
      <c r="R843" t="n">
        <v>0.3171</v>
      </c>
      <c r="S843" t="n">
        <v>401.7335</v>
      </c>
      <c r="T843" t="n">
        <v>0.00029221</v>
      </c>
      <c r="U843" t="n">
        <v>0.00017343</v>
      </c>
    </row>
    <row r="844">
      <c r="A844" t="inlineStr">
        <is>
          <t>SUP-0085</t>
        </is>
      </c>
      <c r="B844" t="inlineStr">
        <is>
          <t>Textiles Supplier 085</t>
        </is>
      </c>
      <c r="C844" t="inlineStr">
        <is>
          <t>Textiles</t>
        </is>
      </c>
      <c r="D844" t="n">
        <v>2017</v>
      </c>
      <c r="E844" t="n">
        <v>17584347.29</v>
      </c>
      <c r="F844" t="n">
        <v>38724541.02</v>
      </c>
      <c r="G844" t="n">
        <v>5081.9098</v>
      </c>
      <c r="H844" t="n">
        <v>5081.9098</v>
      </c>
      <c r="I844" t="n">
        <v>1176.089</v>
      </c>
      <c r="J844" t="n">
        <v>427.7885</v>
      </c>
      <c r="K844" t="n">
        <v>3338.5375</v>
      </c>
      <c r="L844" t="inlineStr"/>
      <c r="M844" t="inlineStr"/>
      <c r="N844" t="inlineStr"/>
      <c r="O844" t="inlineStr"/>
      <c r="P844" t="n">
        <v>2019</v>
      </c>
      <c r="Q844" t="n">
        <v>2030</v>
      </c>
      <c r="R844" t="n">
        <v>0.3171</v>
      </c>
      <c r="S844" t="n">
        <v>401.7335</v>
      </c>
      <c r="T844" t="n">
        <v>0.00029221</v>
      </c>
      <c r="U844" t="n">
        <v>0.00017343</v>
      </c>
    </row>
    <row r="845">
      <c r="A845" t="inlineStr">
        <is>
          <t>SUP-0085</t>
        </is>
      </c>
      <c r="B845" t="inlineStr">
        <is>
          <t>Textiles Supplier 085</t>
        </is>
      </c>
      <c r="C845" t="inlineStr">
        <is>
          <t>Textiles</t>
        </is>
      </c>
      <c r="D845" t="n">
        <v>2018</v>
      </c>
      <c r="E845" t="n">
        <v>20549261.18</v>
      </c>
      <c r="F845" t="n">
        <v>30788309.53</v>
      </c>
      <c r="G845" t="n">
        <v>5509.257</v>
      </c>
      <c r="H845" t="n">
        <v>5509.257</v>
      </c>
      <c r="I845" t="n">
        <v>1124.8635</v>
      </c>
      <c r="J845" t="n">
        <v>1097.4755</v>
      </c>
      <c r="K845" t="n">
        <v>3239.7486</v>
      </c>
      <c r="L845" t="inlineStr"/>
      <c r="M845" t="inlineStr"/>
      <c r="N845" t="inlineStr"/>
      <c r="O845" t="inlineStr"/>
      <c r="P845" t="n">
        <v>2019</v>
      </c>
      <c r="Q845" t="n">
        <v>2030</v>
      </c>
      <c r="R845" t="n">
        <v>0.3171</v>
      </c>
      <c r="S845" t="n">
        <v>401.7335</v>
      </c>
      <c r="T845" t="n">
        <v>0.00029221</v>
      </c>
      <c r="U845" t="n">
        <v>0.00017343</v>
      </c>
    </row>
    <row r="846">
      <c r="A846" t="inlineStr">
        <is>
          <t>SUP-0085</t>
        </is>
      </c>
      <c r="B846" t="inlineStr">
        <is>
          <t>Textiles Supplier 085</t>
        </is>
      </c>
      <c r="C846" t="inlineStr">
        <is>
          <t>Textiles</t>
        </is>
      </c>
      <c r="D846" t="n">
        <v>2019</v>
      </c>
      <c r="E846" t="n">
        <v>19010470.82</v>
      </c>
      <c r="F846" t="n">
        <v>40316990.81</v>
      </c>
      <c r="G846" t="n">
        <v>4872.0394</v>
      </c>
      <c r="H846" t="n">
        <v>4872.0394</v>
      </c>
      <c r="I846" t="n">
        <v>561.0498</v>
      </c>
      <c r="J846" t="n">
        <v>985.042</v>
      </c>
      <c r="K846" t="n">
        <v>3664.2638</v>
      </c>
      <c r="L846" t="inlineStr"/>
      <c r="M846" t="inlineStr"/>
      <c r="N846" t="inlineStr"/>
      <c r="O846" t="inlineStr"/>
      <c r="P846" t="n">
        <v>2019</v>
      </c>
      <c r="Q846" t="n">
        <v>2030</v>
      </c>
      <c r="R846" t="n">
        <v>0.3171</v>
      </c>
      <c r="S846" t="n">
        <v>401.7335</v>
      </c>
      <c r="T846" t="n">
        <v>0.00029221</v>
      </c>
      <c r="U846" t="n">
        <v>0.00017343</v>
      </c>
    </row>
    <row r="847">
      <c r="A847" t="inlineStr">
        <is>
          <t>SUP-0085</t>
        </is>
      </c>
      <c r="B847" t="inlineStr">
        <is>
          <t>Textiles Supplier 085</t>
        </is>
      </c>
      <c r="C847" t="inlineStr">
        <is>
          <t>Textiles</t>
        </is>
      </c>
      <c r="D847" t="n">
        <v>2020</v>
      </c>
      <c r="E847" t="n">
        <v>16020328.49</v>
      </c>
      <c r="F847" t="n">
        <v>33569883.97</v>
      </c>
      <c r="G847" t="n">
        <v>3856.7525</v>
      </c>
      <c r="H847" t="n">
        <v>3856.7525</v>
      </c>
      <c r="I847" t="n">
        <v>932.4903</v>
      </c>
      <c r="J847" t="n">
        <v>351.5149</v>
      </c>
      <c r="K847" t="n">
        <v>2631.4215</v>
      </c>
      <c r="L847" t="inlineStr"/>
      <c r="M847" t="inlineStr"/>
      <c r="N847" t="inlineStr"/>
      <c r="O847" t="inlineStr"/>
      <c r="P847" t="n">
        <v>2019</v>
      </c>
      <c r="Q847" t="n">
        <v>2030</v>
      </c>
      <c r="R847" t="n">
        <v>0.3171</v>
      </c>
      <c r="S847" t="n">
        <v>401.7335</v>
      </c>
      <c r="T847" t="n">
        <v>0.00029221</v>
      </c>
      <c r="U847" t="n">
        <v>0.00017343</v>
      </c>
    </row>
    <row r="848">
      <c r="A848" t="inlineStr">
        <is>
          <t>SUP-0085</t>
        </is>
      </c>
      <c r="B848" t="inlineStr">
        <is>
          <t>Textiles Supplier 085</t>
        </is>
      </c>
      <c r="C848" t="inlineStr">
        <is>
          <t>Textiles</t>
        </is>
      </c>
      <c r="D848" t="n">
        <v>2021</v>
      </c>
      <c r="E848" t="n">
        <v>18712825.11</v>
      </c>
      <c r="F848" t="n">
        <v>37269652.28</v>
      </c>
      <c r="G848" t="n">
        <v>4733.7122</v>
      </c>
      <c r="H848" t="n">
        <v>4733.7122</v>
      </c>
      <c r="I848" t="n">
        <v>1164.2816</v>
      </c>
      <c r="J848" t="n">
        <v>367.6896</v>
      </c>
      <c r="K848" t="n">
        <v>3391.2818</v>
      </c>
      <c r="L848" t="inlineStr"/>
      <c r="M848" t="inlineStr"/>
      <c r="N848" t="inlineStr"/>
      <c r="O848" t="inlineStr"/>
      <c r="P848" t="n">
        <v>2019</v>
      </c>
      <c r="Q848" t="n">
        <v>2030</v>
      </c>
      <c r="R848" t="n">
        <v>0.3171</v>
      </c>
      <c r="S848" t="n">
        <v>401.7335</v>
      </c>
      <c r="T848" t="n">
        <v>0.00029221</v>
      </c>
      <c r="U848" t="n">
        <v>0.00017343</v>
      </c>
    </row>
    <row r="849">
      <c r="A849" t="inlineStr">
        <is>
          <t>SUP-0085</t>
        </is>
      </c>
      <c r="B849" t="inlineStr">
        <is>
          <t>Textiles Supplier 085</t>
        </is>
      </c>
      <c r="C849" t="inlineStr">
        <is>
          <t>Textiles</t>
        </is>
      </c>
      <c r="D849" t="n">
        <v>2022</v>
      </c>
      <c r="E849" t="n">
        <v>15894987.31</v>
      </c>
      <c r="F849" t="n">
        <v>31864577.13</v>
      </c>
      <c r="G849" t="n">
        <v>4156.6292</v>
      </c>
      <c r="H849" t="n">
        <v>4156.6292</v>
      </c>
      <c r="I849" t="n">
        <v>703.6966</v>
      </c>
      <c r="J849" t="n">
        <v>340.4755</v>
      </c>
      <c r="K849" t="n">
        <v>3287.1491</v>
      </c>
      <c r="L849" t="inlineStr"/>
      <c r="M849" t="inlineStr"/>
      <c r="N849" t="inlineStr"/>
      <c r="O849" t="inlineStr"/>
      <c r="P849" t="n">
        <v>2019</v>
      </c>
      <c r="Q849" t="n">
        <v>2030</v>
      </c>
      <c r="R849" t="n">
        <v>0.3171</v>
      </c>
      <c r="S849" t="n">
        <v>401.7335</v>
      </c>
      <c r="T849" t="n">
        <v>0.00029221</v>
      </c>
      <c r="U849" t="n">
        <v>0.00017343</v>
      </c>
    </row>
    <row r="850">
      <c r="A850" t="inlineStr">
        <is>
          <t>SUP-0085</t>
        </is>
      </c>
      <c r="B850" t="inlineStr">
        <is>
          <t>Textiles Supplier 085</t>
        </is>
      </c>
      <c r="C850" t="inlineStr">
        <is>
          <t>Textiles</t>
        </is>
      </c>
      <c r="D850" t="n">
        <v>2023</v>
      </c>
      <c r="E850" t="n">
        <v>16240902.44</v>
      </c>
      <c r="F850" t="n">
        <v>47044876.3</v>
      </c>
      <c r="G850" t="n">
        <v>4050.3292</v>
      </c>
      <c r="H850" t="n">
        <v>4050.3292</v>
      </c>
      <c r="I850" t="n">
        <v>464.4912</v>
      </c>
      <c r="J850" t="n">
        <v>237.7409</v>
      </c>
      <c r="K850" t="n">
        <v>3577.8447</v>
      </c>
      <c r="L850" t="inlineStr"/>
      <c r="M850" t="inlineStr"/>
      <c r="N850" t="inlineStr"/>
      <c r="O850" t="inlineStr"/>
      <c r="P850" t="n">
        <v>2019</v>
      </c>
      <c r="Q850" t="n">
        <v>2030</v>
      </c>
      <c r="R850" t="n">
        <v>0.3171</v>
      </c>
      <c r="S850" t="n">
        <v>401.7335</v>
      </c>
      <c r="T850" t="n">
        <v>0.00029221</v>
      </c>
      <c r="U850" t="n">
        <v>0.00017343</v>
      </c>
    </row>
    <row r="851">
      <c r="A851" t="inlineStr">
        <is>
          <t>SUP-0085</t>
        </is>
      </c>
      <c r="B851" t="inlineStr">
        <is>
          <t>Textiles Supplier 085</t>
        </is>
      </c>
      <c r="C851" t="inlineStr">
        <is>
          <t>Textiles</t>
        </is>
      </c>
      <c r="D851" t="n">
        <v>2024</v>
      </c>
      <c r="E851" t="n">
        <v>15414392.3</v>
      </c>
      <c r="F851" t="n">
        <v>24182140.62</v>
      </c>
      <c r="G851" t="n">
        <v>3589.5178</v>
      </c>
      <c r="H851" t="n">
        <v>3589.5178</v>
      </c>
      <c r="I851" t="n">
        <v>743.7755</v>
      </c>
      <c r="J851" t="n">
        <v>449.8981</v>
      </c>
      <c r="K851" t="n">
        <v>2587.5136</v>
      </c>
      <c r="L851" t="inlineStr"/>
      <c r="M851" t="inlineStr"/>
      <c r="N851" t="inlineStr"/>
      <c r="O851" t="inlineStr"/>
      <c r="P851" t="n">
        <v>2019</v>
      </c>
      <c r="Q851" t="n">
        <v>2030</v>
      </c>
      <c r="R851" t="n">
        <v>0.3171</v>
      </c>
      <c r="S851" t="n">
        <v>401.7335</v>
      </c>
      <c r="T851" t="n">
        <v>0.00029221</v>
      </c>
      <c r="U851" t="n">
        <v>0.00017343</v>
      </c>
    </row>
    <row r="852">
      <c r="A852" t="inlineStr">
        <is>
          <t>SUP-0086</t>
        </is>
      </c>
      <c r="B852" t="inlineStr">
        <is>
          <t>Metals Supplier 086</t>
        </is>
      </c>
      <c r="C852" t="inlineStr">
        <is>
          <t>Metals</t>
        </is>
      </c>
      <c r="D852" t="n">
        <v>2015</v>
      </c>
      <c r="E852" t="n">
        <v>1778787.37</v>
      </c>
      <c r="F852" t="n">
        <v>3346305.49</v>
      </c>
      <c r="G852" t="n">
        <v>2727.1173</v>
      </c>
      <c r="H852" t="n">
        <v>2727.1173</v>
      </c>
      <c r="I852" t="n">
        <v>558.7574</v>
      </c>
      <c r="J852" t="n">
        <v>500.5808</v>
      </c>
      <c r="K852" t="n">
        <v>1693.5332</v>
      </c>
      <c r="L852" t="n">
        <v>2019</v>
      </c>
      <c r="M852" t="n">
        <v>2035</v>
      </c>
      <c r="N852" t="n">
        <v>0.4157</v>
      </c>
      <c r="O852" t="n">
        <v>0.2236</v>
      </c>
      <c r="P852" t="n">
        <v>2019</v>
      </c>
      <c r="Q852" t="n">
        <v>2030</v>
      </c>
      <c r="R852" t="n">
        <v>0.3852</v>
      </c>
      <c r="S852" t="n">
        <v>158.2904</v>
      </c>
      <c r="T852" t="n">
        <v>0.00100695</v>
      </c>
      <c r="U852" t="n">
        <v>0.00065008</v>
      </c>
    </row>
    <row r="853">
      <c r="A853" t="inlineStr">
        <is>
          <t>SUP-0086</t>
        </is>
      </c>
      <c r="B853" t="inlineStr">
        <is>
          <t>Metals Supplier 086</t>
        </is>
      </c>
      <c r="C853" t="inlineStr">
        <is>
          <t>Metals</t>
        </is>
      </c>
      <c r="D853" t="n">
        <v>2016</v>
      </c>
      <c r="E853" t="n">
        <v>1782240.71</v>
      </c>
      <c r="F853" t="n">
        <v>2833455.3</v>
      </c>
      <c r="G853" t="n">
        <v>2673.3614</v>
      </c>
      <c r="H853" t="n">
        <v>2673.3614</v>
      </c>
      <c r="I853" t="n">
        <v>232.1412</v>
      </c>
      <c r="J853" t="n">
        <v>471.9322</v>
      </c>
      <c r="K853" t="n">
        <v>1920.339</v>
      </c>
      <c r="L853" t="n">
        <v>2019</v>
      </c>
      <c r="M853" t="n">
        <v>2035</v>
      </c>
      <c r="N853" t="n">
        <v>0.4157</v>
      </c>
      <c r="O853" t="n">
        <v>0.2236</v>
      </c>
      <c r="P853" t="n">
        <v>2019</v>
      </c>
      <c r="Q853" t="n">
        <v>2030</v>
      </c>
      <c r="R853" t="n">
        <v>0.3852</v>
      </c>
      <c r="S853" t="n">
        <v>158.2904</v>
      </c>
      <c r="T853" t="n">
        <v>0.00100695</v>
      </c>
      <c r="U853" t="n">
        <v>0.00065008</v>
      </c>
    </row>
    <row r="854">
      <c r="A854" t="inlineStr">
        <is>
          <t>SUP-0086</t>
        </is>
      </c>
      <c r="B854" t="inlineStr">
        <is>
          <t>Metals Supplier 086</t>
        </is>
      </c>
      <c r="C854" t="inlineStr">
        <is>
          <t>Metals</t>
        </is>
      </c>
      <c r="D854" t="n">
        <v>2017</v>
      </c>
      <c r="E854" t="n">
        <v>2032053.38</v>
      </c>
      <c r="F854" t="n">
        <v>3396132.96</v>
      </c>
      <c r="G854" t="n">
        <v>3059.3666</v>
      </c>
      <c r="H854" t="n">
        <v>3059.3666</v>
      </c>
      <c r="I854" t="n">
        <v>855.2037</v>
      </c>
      <c r="J854" t="n">
        <v>355.6319</v>
      </c>
      <c r="K854" t="n">
        <v>2012.8679</v>
      </c>
      <c r="L854" t="n">
        <v>2019</v>
      </c>
      <c r="M854" t="n">
        <v>2035</v>
      </c>
      <c r="N854" t="n">
        <v>0.4157</v>
      </c>
      <c r="O854" t="n">
        <v>0.2236</v>
      </c>
      <c r="P854" t="n">
        <v>2019</v>
      </c>
      <c r="Q854" t="n">
        <v>2030</v>
      </c>
      <c r="R854" t="n">
        <v>0.3852</v>
      </c>
      <c r="S854" t="n">
        <v>158.2904</v>
      </c>
      <c r="T854" t="n">
        <v>0.00100695</v>
      </c>
      <c r="U854" t="n">
        <v>0.00065008</v>
      </c>
    </row>
    <row r="855">
      <c r="A855" t="inlineStr">
        <is>
          <t>SUP-0086</t>
        </is>
      </c>
      <c r="B855" t="inlineStr">
        <is>
          <t>Metals Supplier 086</t>
        </is>
      </c>
      <c r="C855" t="inlineStr">
        <is>
          <t>Metals</t>
        </is>
      </c>
      <c r="D855" t="n">
        <v>2018</v>
      </c>
      <c r="E855" t="n">
        <v>1737733.59</v>
      </c>
      <c r="F855" t="n">
        <v>3725852.44</v>
      </c>
      <c r="G855" t="n">
        <v>1582.5973</v>
      </c>
      <c r="H855" t="n">
        <v>1582.5973</v>
      </c>
      <c r="I855" t="n">
        <v>341.4087</v>
      </c>
      <c r="J855" t="n">
        <v>224.8175</v>
      </c>
      <c r="K855" t="n">
        <v>1020.4693</v>
      </c>
      <c r="L855" t="n">
        <v>2019</v>
      </c>
      <c r="M855" t="n">
        <v>2035</v>
      </c>
      <c r="N855" t="n">
        <v>0.4157</v>
      </c>
      <c r="O855" t="n">
        <v>0.2236</v>
      </c>
      <c r="P855" t="n">
        <v>2019</v>
      </c>
      <c r="Q855" t="n">
        <v>2030</v>
      </c>
      <c r="R855" t="n">
        <v>0.3852</v>
      </c>
      <c r="S855" t="n">
        <v>158.2904</v>
      </c>
      <c r="T855" t="n">
        <v>0.00100695</v>
      </c>
      <c r="U855" t="n">
        <v>0.00065008</v>
      </c>
    </row>
    <row r="856">
      <c r="A856" t="inlineStr">
        <is>
          <t>SUP-0086</t>
        </is>
      </c>
      <c r="B856" t="inlineStr">
        <is>
          <t>Metals Supplier 086</t>
        </is>
      </c>
      <c r="C856" t="inlineStr">
        <is>
          <t>Metals</t>
        </is>
      </c>
      <c r="D856" t="n">
        <v>2019</v>
      </c>
      <c r="E856" t="n">
        <v>1877082.99</v>
      </c>
      <c r="F856" t="n">
        <v>3648706.47</v>
      </c>
      <c r="G856" t="n">
        <v>2718.5047</v>
      </c>
      <c r="H856" t="n">
        <v>2718.5047</v>
      </c>
      <c r="I856" t="n">
        <v>310.8262</v>
      </c>
      <c r="J856" t="n">
        <v>592.1336</v>
      </c>
      <c r="K856" t="n">
        <v>1984.6916</v>
      </c>
      <c r="L856" t="n">
        <v>2019</v>
      </c>
      <c r="M856" t="n">
        <v>2035</v>
      </c>
      <c r="N856" t="n">
        <v>0.4157</v>
      </c>
      <c r="O856" t="n">
        <v>0.2236</v>
      </c>
      <c r="P856" t="n">
        <v>2019</v>
      </c>
      <c r="Q856" t="n">
        <v>2030</v>
      </c>
      <c r="R856" t="n">
        <v>0.3852</v>
      </c>
      <c r="S856" t="n">
        <v>158.2904</v>
      </c>
      <c r="T856" t="n">
        <v>0.00100695</v>
      </c>
      <c r="U856" t="n">
        <v>0.00065008</v>
      </c>
    </row>
    <row r="857">
      <c r="A857" t="inlineStr">
        <is>
          <t>SUP-0086</t>
        </is>
      </c>
      <c r="B857" t="inlineStr">
        <is>
          <t>Metals Supplier 086</t>
        </is>
      </c>
      <c r="C857" t="inlineStr">
        <is>
          <t>Metals</t>
        </is>
      </c>
      <c r="D857" t="n">
        <v>2020</v>
      </c>
      <c r="E857" t="n">
        <v>1502734.85</v>
      </c>
      <c r="F857" t="n">
        <v>3264573.84</v>
      </c>
      <c r="G857" t="n">
        <v>2398.0387</v>
      </c>
      <c r="H857" t="n">
        <v>2398.0387</v>
      </c>
      <c r="I857" t="n">
        <v>675.4724</v>
      </c>
      <c r="J857" t="n">
        <v>164.3893</v>
      </c>
      <c r="K857" t="n">
        <v>1628.1638</v>
      </c>
      <c r="L857" t="n">
        <v>2019</v>
      </c>
      <c r="M857" t="n">
        <v>2035</v>
      </c>
      <c r="N857" t="n">
        <v>0.4157</v>
      </c>
      <c r="O857" t="n">
        <v>0.2236</v>
      </c>
      <c r="P857" t="n">
        <v>2019</v>
      </c>
      <c r="Q857" t="n">
        <v>2030</v>
      </c>
      <c r="R857" t="n">
        <v>0.3852</v>
      </c>
      <c r="S857" t="n">
        <v>158.2904</v>
      </c>
      <c r="T857" t="n">
        <v>0.00100695</v>
      </c>
      <c r="U857" t="n">
        <v>0.00065008</v>
      </c>
    </row>
    <row r="858">
      <c r="A858" t="inlineStr">
        <is>
          <t>SUP-0086</t>
        </is>
      </c>
      <c r="B858" t="inlineStr">
        <is>
          <t>Metals Supplier 086</t>
        </is>
      </c>
      <c r="C858" t="inlineStr">
        <is>
          <t>Metals</t>
        </is>
      </c>
      <c r="D858" t="n">
        <v>2021</v>
      </c>
      <c r="E858" t="n">
        <v>1707502.04</v>
      </c>
      <c r="F858" t="n">
        <v>3471332.37</v>
      </c>
      <c r="G858" t="n">
        <v>2711.9468</v>
      </c>
      <c r="H858" t="n">
        <v>2711.9468</v>
      </c>
      <c r="I858" t="n">
        <v>391.5631</v>
      </c>
      <c r="J858" t="n">
        <v>458.008</v>
      </c>
      <c r="K858" t="n">
        <v>1758.5281</v>
      </c>
      <c r="L858" t="n">
        <v>2019</v>
      </c>
      <c r="M858" t="n">
        <v>2035</v>
      </c>
      <c r="N858" t="n">
        <v>0.4157</v>
      </c>
      <c r="O858" t="n">
        <v>0.2236</v>
      </c>
      <c r="P858" t="n">
        <v>2019</v>
      </c>
      <c r="Q858" t="n">
        <v>2030</v>
      </c>
      <c r="R858" t="n">
        <v>0.3852</v>
      </c>
      <c r="S858" t="n">
        <v>158.2904</v>
      </c>
      <c r="T858" t="n">
        <v>0.00100695</v>
      </c>
      <c r="U858" t="n">
        <v>0.00065008</v>
      </c>
    </row>
    <row r="859">
      <c r="A859" t="inlineStr">
        <is>
          <t>SUP-0086</t>
        </is>
      </c>
      <c r="B859" t="inlineStr">
        <is>
          <t>Metals Supplier 086</t>
        </is>
      </c>
      <c r="C859" t="inlineStr">
        <is>
          <t>Metals</t>
        </is>
      </c>
      <c r="D859" t="n">
        <v>2022</v>
      </c>
      <c r="E859" t="n">
        <v>1737752.06</v>
      </c>
      <c r="F859" t="n">
        <v>4941347.33</v>
      </c>
      <c r="G859" t="n">
        <v>2483.5516</v>
      </c>
      <c r="H859" t="n">
        <v>2483.5516</v>
      </c>
      <c r="I859" t="n">
        <v>287.1078</v>
      </c>
      <c r="J859" t="n">
        <v>328.8904</v>
      </c>
      <c r="K859" t="n">
        <v>1860.9621</v>
      </c>
      <c r="L859" t="n">
        <v>2019</v>
      </c>
      <c r="M859" t="n">
        <v>2035</v>
      </c>
      <c r="N859" t="n">
        <v>0.4157</v>
      </c>
      <c r="O859" t="n">
        <v>0.2236</v>
      </c>
      <c r="P859" t="n">
        <v>2019</v>
      </c>
      <c r="Q859" t="n">
        <v>2030</v>
      </c>
      <c r="R859" t="n">
        <v>0.3852</v>
      </c>
      <c r="S859" t="n">
        <v>158.2904</v>
      </c>
      <c r="T859" t="n">
        <v>0.00100695</v>
      </c>
      <c r="U859" t="n">
        <v>0.00065008</v>
      </c>
    </row>
    <row r="860">
      <c r="A860" t="inlineStr">
        <is>
          <t>SUP-0086</t>
        </is>
      </c>
      <c r="B860" t="inlineStr">
        <is>
          <t>Metals Supplier 086</t>
        </is>
      </c>
      <c r="C860" t="inlineStr">
        <is>
          <t>Metals</t>
        </is>
      </c>
      <c r="D860" t="n">
        <v>2023</v>
      </c>
      <c r="E860" t="n">
        <v>1812242.55</v>
      </c>
      <c r="F860" t="n">
        <v>3913252.34</v>
      </c>
      <c r="G860" t="n">
        <v>2153.9995</v>
      </c>
      <c r="H860" t="n">
        <v>2153.9995</v>
      </c>
      <c r="I860" t="n">
        <v>303.4362</v>
      </c>
      <c r="J860" t="n">
        <v>184.1007</v>
      </c>
      <c r="K860" t="n">
        <v>1906.0315</v>
      </c>
      <c r="L860" t="n">
        <v>2019</v>
      </c>
      <c r="M860" t="n">
        <v>2035</v>
      </c>
      <c r="N860" t="n">
        <v>0.4157</v>
      </c>
      <c r="O860" t="n">
        <v>0.2236</v>
      </c>
      <c r="P860" t="n">
        <v>2019</v>
      </c>
      <c r="Q860" t="n">
        <v>2030</v>
      </c>
      <c r="R860" t="n">
        <v>0.3852</v>
      </c>
      <c r="S860" t="n">
        <v>158.2904</v>
      </c>
      <c r="T860" t="n">
        <v>0.00100695</v>
      </c>
      <c r="U860" t="n">
        <v>0.00065008</v>
      </c>
    </row>
    <row r="861">
      <c r="A861" t="inlineStr">
        <is>
          <t>SUP-0086</t>
        </is>
      </c>
      <c r="B861" t="inlineStr">
        <is>
          <t>Metals Supplier 086</t>
        </is>
      </c>
      <c r="C861" t="inlineStr">
        <is>
          <t>Metals</t>
        </is>
      </c>
      <c r="D861" t="n">
        <v>2024</v>
      </c>
      <c r="E861" t="n">
        <v>1748766.21</v>
      </c>
      <c r="F861" t="n">
        <v>3973976.01</v>
      </c>
      <c r="G861" t="n">
        <v>2383.3585</v>
      </c>
      <c r="H861" t="n">
        <v>2383.3585</v>
      </c>
      <c r="I861" t="n">
        <v>221.0184</v>
      </c>
      <c r="J861" t="n">
        <v>407.2962</v>
      </c>
      <c r="K861" t="n">
        <v>1817.1955</v>
      </c>
      <c r="L861" t="n">
        <v>2019</v>
      </c>
      <c r="M861" t="n">
        <v>2035</v>
      </c>
      <c r="N861" t="n">
        <v>0.4157</v>
      </c>
      <c r="O861" t="n">
        <v>0.2236</v>
      </c>
      <c r="P861" t="n">
        <v>2019</v>
      </c>
      <c r="Q861" t="n">
        <v>2030</v>
      </c>
      <c r="R861" t="n">
        <v>0.3852</v>
      </c>
      <c r="S861" t="n">
        <v>158.2904</v>
      </c>
      <c r="T861" t="n">
        <v>0.00100695</v>
      </c>
      <c r="U861" t="n">
        <v>0.00065008</v>
      </c>
    </row>
    <row r="862">
      <c r="A862" t="inlineStr">
        <is>
          <t>SUP-0087</t>
        </is>
      </c>
      <c r="B862" t="inlineStr">
        <is>
          <t>Agriculture Supplier 087</t>
        </is>
      </c>
      <c r="C862" t="inlineStr">
        <is>
          <t>Agriculture</t>
        </is>
      </c>
      <c r="D862" t="n">
        <v>2015</v>
      </c>
      <c r="E862" t="n">
        <v>17381249.12</v>
      </c>
      <c r="F862" t="n">
        <v>28827055.99</v>
      </c>
      <c r="G862" t="n">
        <v>15598.7772</v>
      </c>
      <c r="H862" t="n">
        <v>15598.7772</v>
      </c>
      <c r="I862" t="n">
        <v>1683.3006</v>
      </c>
      <c r="J862" t="n">
        <v>930.8715999999999</v>
      </c>
      <c r="K862" t="n">
        <v>12006.4435</v>
      </c>
      <c r="L862" t="n">
        <v>2020</v>
      </c>
      <c r="M862" t="n">
        <v>2035</v>
      </c>
      <c r="N862" t="n">
        <v>0.2888</v>
      </c>
      <c r="O862" t="n">
        <v>0.1304</v>
      </c>
      <c r="P862" t="n">
        <v>2018</v>
      </c>
      <c r="Q862" t="inlineStr"/>
      <c r="R862" t="inlineStr"/>
      <c r="S862" t="n">
        <v>529.8294</v>
      </c>
      <c r="T862" t="n">
        <v>0.00091413</v>
      </c>
      <c r="U862" t="n">
        <v>0.00096913</v>
      </c>
    </row>
    <row r="863">
      <c r="A863" t="inlineStr">
        <is>
          <t>SUP-0087</t>
        </is>
      </c>
      <c r="B863" t="inlineStr">
        <is>
          <t>Agriculture Supplier 087</t>
        </is>
      </c>
      <c r="C863" t="inlineStr">
        <is>
          <t>Agriculture</t>
        </is>
      </c>
      <c r="D863" t="n">
        <v>2016</v>
      </c>
      <c r="E863" t="n">
        <v>17684740.43</v>
      </c>
      <c r="F863" t="n">
        <v>24092200.25</v>
      </c>
      <c r="G863" t="n">
        <v>16671.977</v>
      </c>
      <c r="H863" t="n">
        <v>16671.977</v>
      </c>
      <c r="I863" t="n">
        <v>1429.7187</v>
      </c>
      <c r="J863" t="n">
        <v>3374.5093</v>
      </c>
      <c r="K863" t="n">
        <v>11502.7912</v>
      </c>
      <c r="L863" t="n">
        <v>2020</v>
      </c>
      <c r="M863" t="n">
        <v>2035</v>
      </c>
      <c r="N863" t="n">
        <v>0.2888</v>
      </c>
      <c r="O863" t="n">
        <v>0.1304</v>
      </c>
      <c r="P863" t="n">
        <v>2018</v>
      </c>
      <c r="Q863" t="inlineStr"/>
      <c r="R863" t="inlineStr"/>
      <c r="S863" t="n">
        <v>529.8294</v>
      </c>
      <c r="T863" t="n">
        <v>0.00091413</v>
      </c>
      <c r="U863" t="n">
        <v>0.00096913</v>
      </c>
    </row>
    <row r="864">
      <c r="A864" t="inlineStr">
        <is>
          <t>SUP-0087</t>
        </is>
      </c>
      <c r="B864" t="inlineStr">
        <is>
          <t>Agriculture Supplier 087</t>
        </is>
      </c>
      <c r="C864" t="inlineStr">
        <is>
          <t>Agriculture</t>
        </is>
      </c>
      <c r="D864" t="n">
        <v>2017</v>
      </c>
      <c r="E864" t="n">
        <v>21972394.97</v>
      </c>
      <c r="F864" t="n">
        <v>31734597.14</v>
      </c>
      <c r="G864" t="n">
        <v>16998.5439</v>
      </c>
      <c r="H864" t="n">
        <v>16998.5439</v>
      </c>
      <c r="I864" t="n">
        <v>3025.7615</v>
      </c>
      <c r="J864" t="n">
        <v>3377.5638</v>
      </c>
      <c r="K864" t="n">
        <v>11054.6953</v>
      </c>
      <c r="L864" t="n">
        <v>2020</v>
      </c>
      <c r="M864" t="n">
        <v>2035</v>
      </c>
      <c r="N864" t="n">
        <v>0.2888</v>
      </c>
      <c r="O864" t="n">
        <v>0.1304</v>
      </c>
      <c r="P864" t="n">
        <v>2018</v>
      </c>
      <c r="Q864" t="inlineStr"/>
      <c r="R864" t="inlineStr"/>
      <c r="S864" t="n">
        <v>529.8294</v>
      </c>
      <c r="T864" t="n">
        <v>0.00091413</v>
      </c>
      <c r="U864" t="n">
        <v>0.00096913</v>
      </c>
    </row>
    <row r="865">
      <c r="A865" t="inlineStr">
        <is>
          <t>SUP-0087</t>
        </is>
      </c>
      <c r="B865" t="inlineStr">
        <is>
          <t>Agriculture Supplier 087</t>
        </is>
      </c>
      <c r="C865" t="inlineStr">
        <is>
          <t>Agriculture</t>
        </is>
      </c>
      <c r="D865" t="n">
        <v>2018</v>
      </c>
      <c r="E865" t="n">
        <v>18436228.99</v>
      </c>
      <c r="F865" t="n">
        <v>34759871.64</v>
      </c>
      <c r="G865" t="n">
        <v>13632.2043</v>
      </c>
      <c r="H865" t="n">
        <v>13632.2043</v>
      </c>
      <c r="I865" t="n">
        <v>2450.8311</v>
      </c>
      <c r="J865" t="n">
        <v>1838.9488</v>
      </c>
      <c r="K865" t="n">
        <v>11347.2729</v>
      </c>
      <c r="L865" t="n">
        <v>2020</v>
      </c>
      <c r="M865" t="n">
        <v>2035</v>
      </c>
      <c r="N865" t="n">
        <v>0.2888</v>
      </c>
      <c r="O865" t="n">
        <v>0.1304</v>
      </c>
      <c r="P865" t="n">
        <v>2018</v>
      </c>
      <c r="Q865" t="inlineStr"/>
      <c r="R865" t="inlineStr"/>
      <c r="S865" t="n">
        <v>529.8294</v>
      </c>
      <c r="T865" t="n">
        <v>0.00091413</v>
      </c>
      <c r="U865" t="n">
        <v>0.00096913</v>
      </c>
    </row>
    <row r="866">
      <c r="A866" t="inlineStr">
        <is>
          <t>SUP-0087</t>
        </is>
      </c>
      <c r="B866" t="inlineStr">
        <is>
          <t>Agriculture Supplier 087</t>
        </is>
      </c>
      <c r="C866" t="inlineStr">
        <is>
          <t>Agriculture</t>
        </is>
      </c>
      <c r="D866" t="n">
        <v>2019</v>
      </c>
      <c r="E866" t="n">
        <v>24140121.31</v>
      </c>
      <c r="F866" t="n">
        <v>42767054.73</v>
      </c>
      <c r="G866" t="n">
        <v>22377.4966</v>
      </c>
      <c r="H866" t="n">
        <v>22377.4966</v>
      </c>
      <c r="I866" t="n">
        <v>4678.7956</v>
      </c>
      <c r="J866" t="n">
        <v>3354.964</v>
      </c>
      <c r="K866" t="n">
        <v>15118.0531</v>
      </c>
      <c r="L866" t="n">
        <v>2020</v>
      </c>
      <c r="M866" t="n">
        <v>2035</v>
      </c>
      <c r="N866" t="n">
        <v>0.2888</v>
      </c>
      <c r="O866" t="n">
        <v>0.1304</v>
      </c>
      <c r="P866" t="n">
        <v>2018</v>
      </c>
      <c r="Q866" t="inlineStr"/>
      <c r="R866" t="inlineStr"/>
      <c r="S866" t="n">
        <v>529.8294</v>
      </c>
      <c r="T866" t="n">
        <v>0.00091413</v>
      </c>
      <c r="U866" t="n">
        <v>0.00096913</v>
      </c>
    </row>
    <row r="867">
      <c r="A867" t="inlineStr">
        <is>
          <t>SUP-0087</t>
        </is>
      </c>
      <c r="B867" t="inlineStr">
        <is>
          <t>Agriculture Supplier 087</t>
        </is>
      </c>
      <c r="C867" t="inlineStr">
        <is>
          <t>Agriculture</t>
        </is>
      </c>
      <c r="D867" t="n">
        <v>2020</v>
      </c>
      <c r="E867" t="n">
        <v>21308828.93</v>
      </c>
      <c r="F867" t="n">
        <v>38258072.18</v>
      </c>
      <c r="G867" t="n">
        <v>19158.6206</v>
      </c>
      <c r="H867" t="n">
        <v>19158.6206</v>
      </c>
      <c r="I867" t="n">
        <v>4333.4331</v>
      </c>
      <c r="J867" t="n">
        <v>1581.3242</v>
      </c>
      <c r="K867" t="n">
        <v>12752.8946</v>
      </c>
      <c r="L867" t="n">
        <v>2020</v>
      </c>
      <c r="M867" t="n">
        <v>2035</v>
      </c>
      <c r="N867" t="n">
        <v>0.2888</v>
      </c>
      <c r="O867" t="n">
        <v>0.1304</v>
      </c>
      <c r="P867" t="n">
        <v>2018</v>
      </c>
      <c r="Q867" t="inlineStr"/>
      <c r="R867" t="inlineStr"/>
      <c r="S867" t="n">
        <v>529.8294</v>
      </c>
      <c r="T867" t="n">
        <v>0.00091413</v>
      </c>
      <c r="U867" t="n">
        <v>0.00096913</v>
      </c>
    </row>
    <row r="868">
      <c r="A868" t="inlineStr">
        <is>
          <t>SUP-0087</t>
        </is>
      </c>
      <c r="B868" t="inlineStr">
        <is>
          <t>Agriculture Supplier 087</t>
        </is>
      </c>
      <c r="C868" t="inlineStr">
        <is>
          <t>Agriculture</t>
        </is>
      </c>
      <c r="D868" t="n">
        <v>2021</v>
      </c>
      <c r="E868" t="n">
        <v>22283902.69</v>
      </c>
      <c r="F868" t="n">
        <v>39532766.09</v>
      </c>
      <c r="G868" t="n">
        <v>17479.5851</v>
      </c>
      <c r="H868" t="n">
        <v>17479.5851</v>
      </c>
      <c r="I868" t="n">
        <v>1934.5854</v>
      </c>
      <c r="J868" t="n">
        <v>1910.2999</v>
      </c>
      <c r="K868" t="n">
        <v>12583.3064</v>
      </c>
      <c r="L868" t="n">
        <v>2020</v>
      </c>
      <c r="M868" t="n">
        <v>2035</v>
      </c>
      <c r="N868" t="n">
        <v>0.2888</v>
      </c>
      <c r="O868" t="n">
        <v>0.1304</v>
      </c>
      <c r="P868" t="n">
        <v>2018</v>
      </c>
      <c r="Q868" t="inlineStr"/>
      <c r="R868" t="inlineStr"/>
      <c r="S868" t="n">
        <v>529.8294</v>
      </c>
      <c r="T868" t="n">
        <v>0.00091413</v>
      </c>
      <c r="U868" t="n">
        <v>0.00096913</v>
      </c>
    </row>
    <row r="869">
      <c r="A869" t="inlineStr">
        <is>
          <t>SUP-0087</t>
        </is>
      </c>
      <c r="B869" t="inlineStr">
        <is>
          <t>Agriculture Supplier 087</t>
        </is>
      </c>
      <c r="C869" t="inlineStr">
        <is>
          <t>Agriculture</t>
        </is>
      </c>
      <c r="D869" t="n">
        <v>2022</v>
      </c>
      <c r="E869" t="n">
        <v>25406451.46</v>
      </c>
      <c r="F869" t="n">
        <v>35399369.04</v>
      </c>
      <c r="G869" t="n">
        <v>20339.4614</v>
      </c>
      <c r="H869" t="n">
        <v>20339.4614</v>
      </c>
      <c r="I869" t="n">
        <v>4069.8688</v>
      </c>
      <c r="J869" t="n">
        <v>2899.7941</v>
      </c>
      <c r="K869" t="n">
        <v>13600.2201</v>
      </c>
      <c r="L869" t="n">
        <v>2020</v>
      </c>
      <c r="M869" t="n">
        <v>2035</v>
      </c>
      <c r="N869" t="n">
        <v>0.2888</v>
      </c>
      <c r="O869" t="n">
        <v>0.1304</v>
      </c>
      <c r="P869" t="n">
        <v>2018</v>
      </c>
      <c r="Q869" t="inlineStr"/>
      <c r="R869" t="inlineStr"/>
      <c r="S869" t="n">
        <v>529.8294</v>
      </c>
      <c r="T869" t="n">
        <v>0.00091413</v>
      </c>
      <c r="U869" t="n">
        <v>0.00096913</v>
      </c>
    </row>
    <row r="870">
      <c r="A870" t="inlineStr">
        <is>
          <t>SUP-0087</t>
        </is>
      </c>
      <c r="B870" t="inlineStr">
        <is>
          <t>Agriculture Supplier 087</t>
        </is>
      </c>
      <c r="C870" t="inlineStr">
        <is>
          <t>Agriculture</t>
        </is>
      </c>
      <c r="D870" t="n">
        <v>2023</v>
      </c>
      <c r="E870" t="n">
        <v>26289413.87</v>
      </c>
      <c r="F870" t="n">
        <v>52404139.92</v>
      </c>
      <c r="G870" t="n">
        <v>25148.1228</v>
      </c>
      <c r="H870" t="n">
        <v>25148.1228</v>
      </c>
      <c r="I870" t="n">
        <v>2841.6325</v>
      </c>
      <c r="J870" t="n">
        <v>2209.8601</v>
      </c>
      <c r="K870" t="n">
        <v>20360.3373</v>
      </c>
      <c r="L870" t="n">
        <v>2020</v>
      </c>
      <c r="M870" t="n">
        <v>2035</v>
      </c>
      <c r="N870" t="n">
        <v>0.2888</v>
      </c>
      <c r="O870" t="n">
        <v>0.1304</v>
      </c>
      <c r="P870" t="n">
        <v>2018</v>
      </c>
      <c r="Q870" t="inlineStr"/>
      <c r="R870" t="inlineStr"/>
      <c r="S870" t="n">
        <v>529.8294</v>
      </c>
      <c r="T870" t="n">
        <v>0.00091413</v>
      </c>
      <c r="U870" t="n">
        <v>0.00096913</v>
      </c>
    </row>
    <row r="871">
      <c r="A871" t="inlineStr">
        <is>
          <t>SUP-0087</t>
        </is>
      </c>
      <c r="B871" t="inlineStr">
        <is>
          <t>Agriculture Supplier 087</t>
        </is>
      </c>
      <c r="C871" t="inlineStr">
        <is>
          <t>Agriculture</t>
        </is>
      </c>
      <c r="D871" t="n">
        <v>2024</v>
      </c>
      <c r="E871" t="n">
        <v>30778261.96</v>
      </c>
      <c r="F871" t="n">
        <v>48524634.66</v>
      </c>
      <c r="G871" t="n">
        <v>20847.7141</v>
      </c>
      <c r="H871" t="n">
        <v>20847.7141</v>
      </c>
      <c r="I871" t="n">
        <v>2176.7742</v>
      </c>
      <c r="J871" t="n">
        <v>3472.979</v>
      </c>
      <c r="K871" t="n">
        <v>16387.8861</v>
      </c>
      <c r="L871" t="n">
        <v>2020</v>
      </c>
      <c r="M871" t="n">
        <v>2035</v>
      </c>
      <c r="N871" t="n">
        <v>0.2888</v>
      </c>
      <c r="O871" t="n">
        <v>0.1304</v>
      </c>
      <c r="P871" t="n">
        <v>2018</v>
      </c>
      <c r="Q871" t="inlineStr"/>
      <c r="R871" t="inlineStr"/>
      <c r="S871" t="n">
        <v>529.8294</v>
      </c>
      <c r="T871" t="n">
        <v>0.00091413</v>
      </c>
      <c r="U871" t="n">
        <v>0.00096913</v>
      </c>
    </row>
    <row r="872">
      <c r="A872" t="inlineStr">
        <is>
          <t>SUP-0088</t>
        </is>
      </c>
      <c r="B872" t="inlineStr">
        <is>
          <t>Packaging Supplier 088</t>
        </is>
      </c>
      <c r="C872" t="inlineStr">
        <is>
          <t>Packaging</t>
        </is>
      </c>
      <c r="D872" t="n">
        <v>2015</v>
      </c>
      <c r="E872" t="n">
        <v>15353730.95</v>
      </c>
      <c r="F872" t="n">
        <v>60317759.14</v>
      </c>
      <c r="G872" t="n">
        <v>16829.2344</v>
      </c>
      <c r="H872" t="n">
        <v>16829.2344</v>
      </c>
      <c r="I872" t="n">
        <v>4263.1098</v>
      </c>
      <c r="J872" t="n">
        <v>2694.181</v>
      </c>
      <c r="K872" t="n">
        <v>8791.4324</v>
      </c>
      <c r="L872" t="n">
        <v>2019</v>
      </c>
      <c r="M872" t="n">
        <v>2035</v>
      </c>
      <c r="N872" t="n">
        <v>0.4862</v>
      </c>
      <c r="O872" t="n">
        <v>0.1913</v>
      </c>
      <c r="P872" t="n">
        <v>2018</v>
      </c>
      <c r="Q872" t="n">
        <v>2040</v>
      </c>
      <c r="R872" t="n">
        <v>0.3112</v>
      </c>
      <c r="S872" t="n">
        <v>702.4188</v>
      </c>
      <c r="T872" t="n">
        <v>0.0010803</v>
      </c>
      <c r="U872" t="n">
        <v>0.00078946</v>
      </c>
    </row>
    <row r="873">
      <c r="A873" t="inlineStr">
        <is>
          <t>SUP-0088</t>
        </is>
      </c>
      <c r="B873" t="inlineStr">
        <is>
          <t>Packaging Supplier 088</t>
        </is>
      </c>
      <c r="C873" t="inlineStr">
        <is>
          <t>Packaging</t>
        </is>
      </c>
      <c r="D873" t="n">
        <v>2016</v>
      </c>
      <c r="E873" t="n">
        <v>16980655.27</v>
      </c>
      <c r="F873" t="n">
        <v>64519014.07</v>
      </c>
      <c r="G873" t="n">
        <v>13231.2523</v>
      </c>
      <c r="H873" t="n">
        <v>13231.2523</v>
      </c>
      <c r="I873" t="n">
        <v>1874.2214</v>
      </c>
      <c r="J873" t="n">
        <v>1406.4668</v>
      </c>
      <c r="K873" t="n">
        <v>9927.877899999999</v>
      </c>
      <c r="L873" t="n">
        <v>2019</v>
      </c>
      <c r="M873" t="n">
        <v>2035</v>
      </c>
      <c r="N873" t="n">
        <v>0.4862</v>
      </c>
      <c r="O873" t="n">
        <v>0.1913</v>
      </c>
      <c r="P873" t="n">
        <v>2018</v>
      </c>
      <c r="Q873" t="n">
        <v>2040</v>
      </c>
      <c r="R873" t="n">
        <v>0.3112</v>
      </c>
      <c r="S873" t="n">
        <v>702.4188</v>
      </c>
      <c r="T873" t="n">
        <v>0.0010803</v>
      </c>
      <c r="U873" t="n">
        <v>0.00078946</v>
      </c>
    </row>
    <row r="874">
      <c r="A874" t="inlineStr">
        <is>
          <t>SUP-0088</t>
        </is>
      </c>
      <c r="B874" t="inlineStr">
        <is>
          <t>Packaging Supplier 088</t>
        </is>
      </c>
      <c r="C874" t="inlineStr">
        <is>
          <t>Packaging</t>
        </is>
      </c>
      <c r="D874" t="n">
        <v>2017</v>
      </c>
      <c r="E874" t="n">
        <v>17544202.67</v>
      </c>
      <c r="F874" t="n">
        <v>55055289.53</v>
      </c>
      <c r="G874" t="n">
        <v>13530.2929</v>
      </c>
      <c r="H874" t="n">
        <v>13530.2929</v>
      </c>
      <c r="I874" t="n">
        <v>1113.3124</v>
      </c>
      <c r="J874" t="n">
        <v>2572.2397</v>
      </c>
      <c r="K874" t="n">
        <v>9881.3681</v>
      </c>
      <c r="L874" t="n">
        <v>2019</v>
      </c>
      <c r="M874" t="n">
        <v>2035</v>
      </c>
      <c r="N874" t="n">
        <v>0.4862</v>
      </c>
      <c r="O874" t="n">
        <v>0.1913</v>
      </c>
      <c r="P874" t="n">
        <v>2018</v>
      </c>
      <c r="Q874" t="n">
        <v>2040</v>
      </c>
      <c r="R874" t="n">
        <v>0.3112</v>
      </c>
      <c r="S874" t="n">
        <v>702.4188</v>
      </c>
      <c r="T874" t="n">
        <v>0.0010803</v>
      </c>
      <c r="U874" t="n">
        <v>0.00078946</v>
      </c>
    </row>
    <row r="875">
      <c r="A875" t="inlineStr">
        <is>
          <t>SUP-0088</t>
        </is>
      </c>
      <c r="B875" t="inlineStr">
        <is>
          <t>Packaging Supplier 088</t>
        </is>
      </c>
      <c r="C875" t="inlineStr">
        <is>
          <t>Packaging</t>
        </is>
      </c>
      <c r="D875" t="n">
        <v>2018</v>
      </c>
      <c r="E875" t="n">
        <v>16538167.08</v>
      </c>
      <c r="F875" t="n">
        <v>61117463.07</v>
      </c>
      <c r="G875" t="n">
        <v>15628.2615</v>
      </c>
      <c r="H875" t="n">
        <v>15628.2615</v>
      </c>
      <c r="I875" t="n">
        <v>2493.8724</v>
      </c>
      <c r="J875" t="n">
        <v>2654.833</v>
      </c>
      <c r="K875" t="n">
        <v>8876.9789</v>
      </c>
      <c r="L875" t="n">
        <v>2019</v>
      </c>
      <c r="M875" t="n">
        <v>2035</v>
      </c>
      <c r="N875" t="n">
        <v>0.4862</v>
      </c>
      <c r="O875" t="n">
        <v>0.1913</v>
      </c>
      <c r="P875" t="n">
        <v>2018</v>
      </c>
      <c r="Q875" t="n">
        <v>2040</v>
      </c>
      <c r="R875" t="n">
        <v>0.3112</v>
      </c>
      <c r="S875" t="n">
        <v>702.4188</v>
      </c>
      <c r="T875" t="n">
        <v>0.0010803</v>
      </c>
      <c r="U875" t="n">
        <v>0.00078946</v>
      </c>
    </row>
    <row r="876">
      <c r="A876" t="inlineStr">
        <is>
          <t>SUP-0088</t>
        </is>
      </c>
      <c r="B876" t="inlineStr">
        <is>
          <t>Packaging Supplier 088</t>
        </is>
      </c>
      <c r="C876" t="inlineStr">
        <is>
          <t>Packaging</t>
        </is>
      </c>
      <c r="D876" t="n">
        <v>2019</v>
      </c>
      <c r="E876" t="n">
        <v>19196925.15</v>
      </c>
      <c r="F876" t="n">
        <v>64609143.53</v>
      </c>
      <c r="G876" t="n">
        <v>15732.5989</v>
      </c>
      <c r="H876" t="n">
        <v>15732.5989</v>
      </c>
      <c r="I876" t="n">
        <v>1347.4584</v>
      </c>
      <c r="J876" t="n">
        <v>1786.7356</v>
      </c>
      <c r="K876" t="n">
        <v>11910.357</v>
      </c>
      <c r="L876" t="n">
        <v>2019</v>
      </c>
      <c r="M876" t="n">
        <v>2035</v>
      </c>
      <c r="N876" t="n">
        <v>0.4862</v>
      </c>
      <c r="O876" t="n">
        <v>0.1913</v>
      </c>
      <c r="P876" t="n">
        <v>2018</v>
      </c>
      <c r="Q876" t="n">
        <v>2040</v>
      </c>
      <c r="R876" t="n">
        <v>0.3112</v>
      </c>
      <c r="S876" t="n">
        <v>702.4188</v>
      </c>
      <c r="T876" t="n">
        <v>0.0010803</v>
      </c>
      <c r="U876" t="n">
        <v>0.00078946</v>
      </c>
    </row>
    <row r="877">
      <c r="A877" t="inlineStr">
        <is>
          <t>SUP-0088</t>
        </is>
      </c>
      <c r="B877" t="inlineStr">
        <is>
          <t>Packaging Supplier 088</t>
        </is>
      </c>
      <c r="C877" t="inlineStr">
        <is>
          <t>Packaging</t>
        </is>
      </c>
      <c r="D877" t="n">
        <v>2020</v>
      </c>
      <c r="E877" t="n">
        <v>22381475.56</v>
      </c>
      <c r="F877" t="n">
        <v>85970107.68000001</v>
      </c>
      <c r="G877" t="n">
        <v>18281.4695</v>
      </c>
      <c r="H877" t="n">
        <v>18281.4695</v>
      </c>
      <c r="I877" t="n">
        <v>1744.6824</v>
      </c>
      <c r="J877" t="n">
        <v>3041.5833</v>
      </c>
      <c r="K877" t="n">
        <v>13009.1291</v>
      </c>
      <c r="L877" t="n">
        <v>2019</v>
      </c>
      <c r="M877" t="n">
        <v>2035</v>
      </c>
      <c r="N877" t="n">
        <v>0.4862</v>
      </c>
      <c r="O877" t="n">
        <v>0.1913</v>
      </c>
      <c r="P877" t="n">
        <v>2018</v>
      </c>
      <c r="Q877" t="n">
        <v>2040</v>
      </c>
      <c r="R877" t="n">
        <v>0.3112</v>
      </c>
      <c r="S877" t="n">
        <v>702.4188</v>
      </c>
      <c r="T877" t="n">
        <v>0.0010803</v>
      </c>
      <c r="U877" t="n">
        <v>0.00078946</v>
      </c>
    </row>
    <row r="878">
      <c r="A878" t="inlineStr">
        <is>
          <t>SUP-0088</t>
        </is>
      </c>
      <c r="B878" t="inlineStr">
        <is>
          <t>Packaging Supplier 088</t>
        </is>
      </c>
      <c r="C878" t="inlineStr">
        <is>
          <t>Packaging</t>
        </is>
      </c>
      <c r="D878" t="n">
        <v>2021</v>
      </c>
      <c r="E878" t="n">
        <v>24798383.76</v>
      </c>
      <c r="F878" t="n">
        <v>95180904.56999999</v>
      </c>
      <c r="G878" t="n">
        <v>21262.6796</v>
      </c>
      <c r="H878" t="n">
        <v>21262.6796</v>
      </c>
      <c r="I878" t="n">
        <v>5526.4797</v>
      </c>
      <c r="J878" t="n">
        <v>4233.5819</v>
      </c>
      <c r="K878" t="n">
        <v>11825.0223</v>
      </c>
      <c r="L878" t="n">
        <v>2019</v>
      </c>
      <c r="M878" t="n">
        <v>2035</v>
      </c>
      <c r="N878" t="n">
        <v>0.4862</v>
      </c>
      <c r="O878" t="n">
        <v>0.1913</v>
      </c>
      <c r="P878" t="n">
        <v>2018</v>
      </c>
      <c r="Q878" t="n">
        <v>2040</v>
      </c>
      <c r="R878" t="n">
        <v>0.3112</v>
      </c>
      <c r="S878" t="n">
        <v>702.4188</v>
      </c>
      <c r="T878" t="n">
        <v>0.0010803</v>
      </c>
      <c r="U878" t="n">
        <v>0.00078946</v>
      </c>
    </row>
    <row r="879">
      <c r="A879" t="inlineStr">
        <is>
          <t>SUP-0088</t>
        </is>
      </c>
      <c r="B879" t="inlineStr">
        <is>
          <t>Packaging Supplier 088</t>
        </is>
      </c>
      <c r="C879" t="inlineStr">
        <is>
          <t>Packaging</t>
        </is>
      </c>
      <c r="D879" t="n">
        <v>2022</v>
      </c>
      <c r="E879" t="n">
        <v>17939790.25</v>
      </c>
      <c r="F879" t="n">
        <v>108885223</v>
      </c>
      <c r="G879" t="n">
        <v>14599.1236</v>
      </c>
      <c r="H879" t="n">
        <v>14599.1236</v>
      </c>
      <c r="I879" t="n">
        <v>2650.2165</v>
      </c>
      <c r="J879" t="n">
        <v>1597.2293</v>
      </c>
      <c r="K879" t="n">
        <v>11527.042</v>
      </c>
      <c r="L879" t="n">
        <v>2019</v>
      </c>
      <c r="M879" t="n">
        <v>2035</v>
      </c>
      <c r="N879" t="n">
        <v>0.4862</v>
      </c>
      <c r="O879" t="n">
        <v>0.1913</v>
      </c>
      <c r="P879" t="n">
        <v>2018</v>
      </c>
      <c r="Q879" t="n">
        <v>2040</v>
      </c>
      <c r="R879" t="n">
        <v>0.3112</v>
      </c>
      <c r="S879" t="n">
        <v>702.4188</v>
      </c>
      <c r="T879" t="n">
        <v>0.0010803</v>
      </c>
      <c r="U879" t="n">
        <v>0.00078946</v>
      </c>
    </row>
    <row r="880">
      <c r="A880" t="inlineStr">
        <is>
          <t>SUP-0088</t>
        </is>
      </c>
      <c r="B880" t="inlineStr">
        <is>
          <t>Packaging Supplier 088</t>
        </is>
      </c>
      <c r="C880" t="inlineStr">
        <is>
          <t>Packaging</t>
        </is>
      </c>
      <c r="D880" t="n">
        <v>2023</v>
      </c>
      <c r="E880" t="n">
        <v>28071849.46</v>
      </c>
      <c r="F880" t="n">
        <v>117925654.64</v>
      </c>
      <c r="G880" t="n">
        <v>21416.5614</v>
      </c>
      <c r="H880" t="n">
        <v>21416.5614</v>
      </c>
      <c r="I880" t="n">
        <v>2486.2404</v>
      </c>
      <c r="J880" t="n">
        <v>2903.0409</v>
      </c>
      <c r="K880" t="n">
        <v>16812.672</v>
      </c>
      <c r="L880" t="n">
        <v>2019</v>
      </c>
      <c r="M880" t="n">
        <v>2035</v>
      </c>
      <c r="N880" t="n">
        <v>0.4862</v>
      </c>
      <c r="O880" t="n">
        <v>0.1913</v>
      </c>
      <c r="P880" t="n">
        <v>2018</v>
      </c>
      <c r="Q880" t="n">
        <v>2040</v>
      </c>
      <c r="R880" t="n">
        <v>0.3112</v>
      </c>
      <c r="S880" t="n">
        <v>702.4188</v>
      </c>
      <c r="T880" t="n">
        <v>0.0010803</v>
      </c>
      <c r="U880" t="n">
        <v>0.00078946</v>
      </c>
    </row>
    <row r="881">
      <c r="A881" t="inlineStr">
        <is>
          <t>SUP-0088</t>
        </is>
      </c>
      <c r="B881" t="inlineStr">
        <is>
          <t>Packaging Supplier 088</t>
        </is>
      </c>
      <c r="C881" t="inlineStr">
        <is>
          <t>Packaging</t>
        </is>
      </c>
      <c r="D881" t="n">
        <v>2024</v>
      </c>
      <c r="E881" t="n">
        <v>27152118.51</v>
      </c>
      <c r="F881" t="n">
        <v>116390709.34</v>
      </c>
      <c r="G881" t="n">
        <v>19776.9287</v>
      </c>
      <c r="H881" t="n">
        <v>19776.9287</v>
      </c>
      <c r="I881" t="n">
        <v>1958.9799</v>
      </c>
      <c r="J881" t="n">
        <v>3142.7465</v>
      </c>
      <c r="K881" t="n">
        <v>14690.9695</v>
      </c>
      <c r="L881" t="n">
        <v>2019</v>
      </c>
      <c r="M881" t="n">
        <v>2035</v>
      </c>
      <c r="N881" t="n">
        <v>0.4862</v>
      </c>
      <c r="O881" t="n">
        <v>0.1913</v>
      </c>
      <c r="P881" t="n">
        <v>2018</v>
      </c>
      <c r="Q881" t="n">
        <v>2040</v>
      </c>
      <c r="R881" t="n">
        <v>0.3112</v>
      </c>
      <c r="S881" t="n">
        <v>702.4188</v>
      </c>
      <c r="T881" t="n">
        <v>0.0010803</v>
      </c>
      <c r="U881" t="n">
        <v>0.00078946</v>
      </c>
    </row>
    <row r="882">
      <c r="A882" t="inlineStr">
        <is>
          <t>SUP-0089</t>
        </is>
      </c>
      <c r="B882" t="inlineStr">
        <is>
          <t>Professional Supplier 089</t>
        </is>
      </c>
      <c r="C882" t="inlineStr">
        <is>
          <t>Professional Services</t>
        </is>
      </c>
      <c r="D882" t="n">
        <v>2015</v>
      </c>
      <c r="E882" t="n">
        <v>7561222.86</v>
      </c>
      <c r="F882" t="n">
        <v>24041311.08</v>
      </c>
      <c r="G882" t="n">
        <v>1531.8559</v>
      </c>
      <c r="H882" t="n">
        <v>1531.8559</v>
      </c>
      <c r="I882" t="n">
        <v>283.2946</v>
      </c>
      <c r="J882" t="n">
        <v>275.4287</v>
      </c>
      <c r="K882" t="n">
        <v>890.2107</v>
      </c>
      <c r="L882" t="n">
        <v>2021</v>
      </c>
      <c r="M882" t="n">
        <v>2035</v>
      </c>
      <c r="N882" t="n">
        <v>0.3882</v>
      </c>
      <c r="O882" t="n">
        <v>0.2508</v>
      </c>
      <c r="P882" t="n">
        <v>2020</v>
      </c>
      <c r="Q882" t="inlineStr"/>
      <c r="R882" t="inlineStr"/>
      <c r="S882" t="n">
        <v>400.0326</v>
      </c>
      <c r="T882" t="n">
        <v>0.00012906</v>
      </c>
      <c r="U882" t="n">
        <v>0.00019658</v>
      </c>
    </row>
    <row r="883">
      <c r="A883" t="inlineStr">
        <is>
          <t>SUP-0089</t>
        </is>
      </c>
      <c r="B883" t="inlineStr">
        <is>
          <t>Professional Supplier 089</t>
        </is>
      </c>
      <c r="C883" t="inlineStr">
        <is>
          <t>Professional Services</t>
        </is>
      </c>
      <c r="D883" t="n">
        <v>2016</v>
      </c>
      <c r="E883" t="n">
        <v>6974555.53</v>
      </c>
      <c r="F883" t="n">
        <v>25468873.08</v>
      </c>
      <c r="G883" t="n">
        <v>1346.6246</v>
      </c>
      <c r="H883" t="n">
        <v>1346.6246</v>
      </c>
      <c r="I883" t="n">
        <v>236.251</v>
      </c>
      <c r="J883" t="n">
        <v>204.5395</v>
      </c>
      <c r="K883" t="n">
        <v>840.0183</v>
      </c>
      <c r="L883" t="n">
        <v>2021</v>
      </c>
      <c r="M883" t="n">
        <v>2035</v>
      </c>
      <c r="N883" t="n">
        <v>0.3882</v>
      </c>
      <c r="O883" t="n">
        <v>0.2508</v>
      </c>
      <c r="P883" t="n">
        <v>2020</v>
      </c>
      <c r="Q883" t="inlineStr"/>
      <c r="R883" t="inlineStr"/>
      <c r="S883" t="n">
        <v>400.0326</v>
      </c>
      <c r="T883" t="n">
        <v>0.00012906</v>
      </c>
      <c r="U883" t="n">
        <v>0.00019658</v>
      </c>
    </row>
    <row r="884">
      <c r="A884" t="inlineStr">
        <is>
          <t>SUP-0089</t>
        </is>
      </c>
      <c r="B884" t="inlineStr">
        <is>
          <t>Professional Supplier 089</t>
        </is>
      </c>
      <c r="C884" t="inlineStr">
        <is>
          <t>Professional Services</t>
        </is>
      </c>
      <c r="D884" t="n">
        <v>2017</v>
      </c>
      <c r="E884" t="n">
        <v>7417280.36</v>
      </c>
      <c r="F884" t="n">
        <v>25993388.1</v>
      </c>
      <c r="G884" t="n">
        <v>1392.7082</v>
      </c>
      <c r="H884" t="n">
        <v>1392.7082</v>
      </c>
      <c r="I884" t="n">
        <v>115.932</v>
      </c>
      <c r="J884" t="n">
        <v>227.1663</v>
      </c>
      <c r="K884" t="n">
        <v>1007.5352</v>
      </c>
      <c r="L884" t="n">
        <v>2021</v>
      </c>
      <c r="M884" t="n">
        <v>2035</v>
      </c>
      <c r="N884" t="n">
        <v>0.3882</v>
      </c>
      <c r="O884" t="n">
        <v>0.2508</v>
      </c>
      <c r="P884" t="n">
        <v>2020</v>
      </c>
      <c r="Q884" t="inlineStr"/>
      <c r="R884" t="inlineStr"/>
      <c r="S884" t="n">
        <v>400.0326</v>
      </c>
      <c r="T884" t="n">
        <v>0.00012906</v>
      </c>
      <c r="U884" t="n">
        <v>0.00019658</v>
      </c>
    </row>
    <row r="885">
      <c r="A885" t="inlineStr">
        <is>
          <t>SUP-0089</t>
        </is>
      </c>
      <c r="B885" t="inlineStr">
        <is>
          <t>Professional Supplier 089</t>
        </is>
      </c>
      <c r="C885" t="inlineStr">
        <is>
          <t>Professional Services</t>
        </is>
      </c>
      <c r="D885" t="n">
        <v>2018</v>
      </c>
      <c r="E885" t="n">
        <v>8883443.76</v>
      </c>
      <c r="F885" t="n">
        <v>20678940.11</v>
      </c>
      <c r="G885" t="n">
        <v>1629.542</v>
      </c>
      <c r="H885" t="n">
        <v>1629.542</v>
      </c>
      <c r="I885" t="n">
        <v>287.326</v>
      </c>
      <c r="J885" t="n">
        <v>319.9942</v>
      </c>
      <c r="K885" t="n">
        <v>1025.6501</v>
      </c>
      <c r="L885" t="n">
        <v>2021</v>
      </c>
      <c r="M885" t="n">
        <v>2035</v>
      </c>
      <c r="N885" t="n">
        <v>0.3882</v>
      </c>
      <c r="O885" t="n">
        <v>0.2508</v>
      </c>
      <c r="P885" t="n">
        <v>2020</v>
      </c>
      <c r="Q885" t="inlineStr"/>
      <c r="R885" t="inlineStr"/>
      <c r="S885" t="n">
        <v>400.0326</v>
      </c>
      <c r="T885" t="n">
        <v>0.00012906</v>
      </c>
      <c r="U885" t="n">
        <v>0.00019658</v>
      </c>
    </row>
    <row r="886">
      <c r="A886" t="inlineStr">
        <is>
          <t>SUP-0089</t>
        </is>
      </c>
      <c r="B886" t="inlineStr">
        <is>
          <t>Professional Supplier 089</t>
        </is>
      </c>
      <c r="C886" t="inlineStr">
        <is>
          <t>Professional Services</t>
        </is>
      </c>
      <c r="D886" t="n">
        <v>2019</v>
      </c>
      <c r="E886" t="n">
        <v>6307705.16</v>
      </c>
      <c r="F886" t="n">
        <v>21807495.92</v>
      </c>
      <c r="G886" t="n">
        <v>1155.7314</v>
      </c>
      <c r="H886" t="n">
        <v>1155.7314</v>
      </c>
      <c r="I886" t="n">
        <v>293.6979</v>
      </c>
      <c r="J886" t="n">
        <v>123.283</v>
      </c>
      <c r="K886" t="n">
        <v>674.5841</v>
      </c>
      <c r="L886" t="n">
        <v>2021</v>
      </c>
      <c r="M886" t="n">
        <v>2035</v>
      </c>
      <c r="N886" t="n">
        <v>0.3882</v>
      </c>
      <c r="O886" t="n">
        <v>0.2508</v>
      </c>
      <c r="P886" t="n">
        <v>2020</v>
      </c>
      <c r="Q886" t="inlineStr"/>
      <c r="R886" t="inlineStr"/>
      <c r="S886" t="n">
        <v>400.0326</v>
      </c>
      <c r="T886" t="n">
        <v>0.00012906</v>
      </c>
      <c r="U886" t="n">
        <v>0.00019658</v>
      </c>
    </row>
    <row r="887">
      <c r="A887" t="inlineStr">
        <is>
          <t>SUP-0089</t>
        </is>
      </c>
      <c r="B887" t="inlineStr">
        <is>
          <t>Professional Supplier 089</t>
        </is>
      </c>
      <c r="C887" t="inlineStr">
        <is>
          <t>Professional Services</t>
        </is>
      </c>
      <c r="D887" t="n">
        <v>2020</v>
      </c>
      <c r="E887" t="n">
        <v>7496540.16</v>
      </c>
      <c r="F887" t="n">
        <v>25590173.79</v>
      </c>
      <c r="G887" t="n">
        <v>1410.6388</v>
      </c>
      <c r="H887" t="n">
        <v>1410.6388</v>
      </c>
      <c r="I887" t="n">
        <v>174.3771</v>
      </c>
      <c r="J887" t="n">
        <v>110.9134</v>
      </c>
      <c r="K887" t="n">
        <v>1076.4684</v>
      </c>
      <c r="L887" t="n">
        <v>2021</v>
      </c>
      <c r="M887" t="n">
        <v>2035</v>
      </c>
      <c r="N887" t="n">
        <v>0.3882</v>
      </c>
      <c r="O887" t="n">
        <v>0.2508</v>
      </c>
      <c r="P887" t="n">
        <v>2020</v>
      </c>
      <c r="Q887" t="inlineStr"/>
      <c r="R887" t="inlineStr"/>
      <c r="S887" t="n">
        <v>400.0326</v>
      </c>
      <c r="T887" t="n">
        <v>0.00012906</v>
      </c>
      <c r="U887" t="n">
        <v>0.00019658</v>
      </c>
    </row>
    <row r="888">
      <c r="A888" t="inlineStr">
        <is>
          <t>SUP-0089</t>
        </is>
      </c>
      <c r="B888" t="inlineStr">
        <is>
          <t>Professional Supplier 089</t>
        </is>
      </c>
      <c r="C888" t="inlineStr">
        <is>
          <t>Professional Services</t>
        </is>
      </c>
      <c r="D888" t="n">
        <v>2021</v>
      </c>
      <c r="E888" t="n">
        <v>6848538.71</v>
      </c>
      <c r="F888" t="n">
        <v>21219340.91</v>
      </c>
      <c r="G888" t="n">
        <v>1390.1954</v>
      </c>
      <c r="H888" t="n">
        <v>1390.1954</v>
      </c>
      <c r="I888" t="n">
        <v>137.7614</v>
      </c>
      <c r="J888" t="n">
        <v>107.9285</v>
      </c>
      <c r="K888" t="n">
        <v>1113.3102</v>
      </c>
      <c r="L888" t="n">
        <v>2021</v>
      </c>
      <c r="M888" t="n">
        <v>2035</v>
      </c>
      <c r="N888" t="n">
        <v>0.3882</v>
      </c>
      <c r="O888" t="n">
        <v>0.2508</v>
      </c>
      <c r="P888" t="n">
        <v>2020</v>
      </c>
      <c r="Q888" t="inlineStr"/>
      <c r="R888" t="inlineStr"/>
      <c r="S888" t="n">
        <v>400.0326</v>
      </c>
      <c r="T888" t="n">
        <v>0.00012906</v>
      </c>
      <c r="U888" t="n">
        <v>0.00019658</v>
      </c>
    </row>
    <row r="889">
      <c r="A889" t="inlineStr">
        <is>
          <t>SUP-0089</t>
        </is>
      </c>
      <c r="B889" t="inlineStr">
        <is>
          <t>Professional Supplier 089</t>
        </is>
      </c>
      <c r="C889" t="inlineStr">
        <is>
          <t>Professional Services</t>
        </is>
      </c>
      <c r="D889" t="n">
        <v>2022</v>
      </c>
      <c r="E889" t="n">
        <v>7079579.49</v>
      </c>
      <c r="F889" t="n">
        <v>20957190.53</v>
      </c>
      <c r="G889" t="n">
        <v>1511.9577</v>
      </c>
      <c r="H889" t="n">
        <v>1511.9577</v>
      </c>
      <c r="I889" t="n">
        <v>352.6245</v>
      </c>
      <c r="J889" t="n">
        <v>325.8488</v>
      </c>
      <c r="K889" t="n">
        <v>874.7758</v>
      </c>
      <c r="L889" t="n">
        <v>2021</v>
      </c>
      <c r="M889" t="n">
        <v>2035</v>
      </c>
      <c r="N889" t="n">
        <v>0.3882</v>
      </c>
      <c r="O889" t="n">
        <v>0.2508</v>
      </c>
      <c r="P889" t="n">
        <v>2020</v>
      </c>
      <c r="Q889" t="inlineStr"/>
      <c r="R889" t="inlineStr"/>
      <c r="S889" t="n">
        <v>400.0326</v>
      </c>
      <c r="T889" t="n">
        <v>0.00012906</v>
      </c>
      <c r="U889" t="n">
        <v>0.00019658</v>
      </c>
    </row>
    <row r="890">
      <c r="A890" t="inlineStr">
        <is>
          <t>SUP-0089</t>
        </is>
      </c>
      <c r="B890" t="inlineStr">
        <is>
          <t>Professional Supplier 089</t>
        </is>
      </c>
      <c r="C890" t="inlineStr">
        <is>
          <t>Professional Services</t>
        </is>
      </c>
      <c r="D890" t="n">
        <v>2023</v>
      </c>
      <c r="E890" t="n">
        <v>5982266.66</v>
      </c>
      <c r="F890" t="n">
        <v>24326960.93</v>
      </c>
      <c r="G890" t="n">
        <v>843.8011</v>
      </c>
      <c r="H890" t="n">
        <v>843.8011</v>
      </c>
      <c r="I890" t="n">
        <v>126.13</v>
      </c>
      <c r="J890" t="n">
        <v>96.1772</v>
      </c>
      <c r="K890" t="n">
        <v>624.8463</v>
      </c>
      <c r="L890" t="n">
        <v>2021</v>
      </c>
      <c r="M890" t="n">
        <v>2035</v>
      </c>
      <c r="N890" t="n">
        <v>0.3882</v>
      </c>
      <c r="O890" t="n">
        <v>0.2508</v>
      </c>
      <c r="P890" t="n">
        <v>2020</v>
      </c>
      <c r="Q890" t="inlineStr"/>
      <c r="R890" t="inlineStr"/>
      <c r="S890" t="n">
        <v>400.0326</v>
      </c>
      <c r="T890" t="n">
        <v>0.00012906</v>
      </c>
      <c r="U890" t="n">
        <v>0.00019658</v>
      </c>
    </row>
    <row r="891">
      <c r="A891" t="inlineStr">
        <is>
          <t>SUP-0089</t>
        </is>
      </c>
      <c r="B891" t="inlineStr">
        <is>
          <t>Professional Supplier 089</t>
        </is>
      </c>
      <c r="C891" t="inlineStr">
        <is>
          <t>Professional Services</t>
        </is>
      </c>
      <c r="D891" t="n">
        <v>2024</v>
      </c>
      <c r="E891" t="n">
        <v>6084672.63</v>
      </c>
      <c r="F891" t="n">
        <v>24578075.77</v>
      </c>
      <c r="G891" t="n">
        <v>1355.5904</v>
      </c>
      <c r="H891" t="n">
        <v>1355.5904</v>
      </c>
      <c r="I891" t="n">
        <v>168.8568</v>
      </c>
      <c r="J891" t="n">
        <v>101.5004</v>
      </c>
      <c r="K891" t="n">
        <v>1061.707</v>
      </c>
      <c r="L891" t="n">
        <v>2021</v>
      </c>
      <c r="M891" t="n">
        <v>2035</v>
      </c>
      <c r="N891" t="n">
        <v>0.3882</v>
      </c>
      <c r="O891" t="n">
        <v>0.2508</v>
      </c>
      <c r="P891" t="n">
        <v>2020</v>
      </c>
      <c r="Q891" t="inlineStr"/>
      <c r="R891" t="inlineStr"/>
      <c r="S891" t="n">
        <v>400.0326</v>
      </c>
      <c r="T891" t="n">
        <v>0.00012906</v>
      </c>
      <c r="U891" t="n">
        <v>0.00019658</v>
      </c>
    </row>
    <row r="892">
      <c r="A892" t="inlineStr">
        <is>
          <t>SUP-0090</t>
        </is>
      </c>
      <c r="B892" t="inlineStr">
        <is>
          <t>Textiles Supplier 090</t>
        </is>
      </c>
      <c r="C892" t="inlineStr">
        <is>
          <t>Textiles</t>
        </is>
      </c>
      <c r="D892" t="n">
        <v>2015</v>
      </c>
      <c r="E892" t="n">
        <v>21243631.36</v>
      </c>
      <c r="F892" t="n">
        <v>49733592.42</v>
      </c>
      <c r="G892" t="n">
        <v>7035.1955</v>
      </c>
      <c r="H892" t="n">
        <v>7035.1955</v>
      </c>
      <c r="I892" t="n">
        <v>1649.0128</v>
      </c>
      <c r="J892" t="n">
        <v>1083.9186</v>
      </c>
      <c r="K892" t="n">
        <v>4041.6405</v>
      </c>
      <c r="L892" t="n">
        <v>2018</v>
      </c>
      <c r="M892" t="n">
        <v>2040</v>
      </c>
      <c r="N892" t="n">
        <v>0.2819</v>
      </c>
      <c r="O892" t="n">
        <v>0.1127</v>
      </c>
      <c r="P892" t="n">
        <v>2019</v>
      </c>
      <c r="Q892" t="n">
        <v>2030</v>
      </c>
      <c r="R892" t="n">
        <v>0.3171</v>
      </c>
      <c r="S892" t="n">
        <v>401.7335</v>
      </c>
      <c r="T892" t="n">
        <v>0.00029221</v>
      </c>
      <c r="U892" t="n">
        <v>0.00017343</v>
      </c>
    </row>
    <row r="893">
      <c r="A893" t="inlineStr">
        <is>
          <t>SUP-0090</t>
        </is>
      </c>
      <c r="B893" t="inlineStr">
        <is>
          <t>Textiles Supplier 090</t>
        </is>
      </c>
      <c r="C893" t="inlineStr">
        <is>
          <t>Textiles</t>
        </is>
      </c>
      <c r="D893" t="n">
        <v>2016</v>
      </c>
      <c r="E893" t="n">
        <v>25055683.8</v>
      </c>
      <c r="F893" t="n">
        <v>49359782.54</v>
      </c>
      <c r="G893" t="n">
        <v>6504.1119</v>
      </c>
      <c r="H893" t="n">
        <v>6504.1119</v>
      </c>
      <c r="I893" t="n">
        <v>532.67</v>
      </c>
      <c r="J893" t="n">
        <v>431.0013</v>
      </c>
      <c r="K893" t="n">
        <v>5196.7589</v>
      </c>
      <c r="L893" t="n">
        <v>2018</v>
      </c>
      <c r="M893" t="n">
        <v>2040</v>
      </c>
      <c r="N893" t="n">
        <v>0.2819</v>
      </c>
      <c r="O893" t="n">
        <v>0.1127</v>
      </c>
      <c r="P893" t="n">
        <v>2019</v>
      </c>
      <c r="Q893" t="n">
        <v>2030</v>
      </c>
      <c r="R893" t="n">
        <v>0.3171</v>
      </c>
      <c r="S893" t="n">
        <v>401.7335</v>
      </c>
      <c r="T893" t="n">
        <v>0.00029221</v>
      </c>
      <c r="U893" t="n">
        <v>0.00017343</v>
      </c>
    </row>
    <row r="894">
      <c r="A894" t="inlineStr">
        <is>
          <t>SUP-0090</t>
        </is>
      </c>
      <c r="B894" t="inlineStr">
        <is>
          <t>Textiles Supplier 090</t>
        </is>
      </c>
      <c r="C894" t="inlineStr">
        <is>
          <t>Textiles</t>
        </is>
      </c>
      <c r="D894" t="n">
        <v>2017</v>
      </c>
      <c r="E894" t="n">
        <v>31528980.24</v>
      </c>
      <c r="F894" t="n">
        <v>66195699.29</v>
      </c>
      <c r="G894" t="n">
        <v>11546.9042</v>
      </c>
      <c r="H894" t="n">
        <v>11546.9042</v>
      </c>
      <c r="I894" t="n">
        <v>2001.1752</v>
      </c>
      <c r="J894" t="n">
        <v>2095.1964</v>
      </c>
      <c r="K894" t="n">
        <v>6911.7634</v>
      </c>
      <c r="L894" t="n">
        <v>2018</v>
      </c>
      <c r="M894" t="n">
        <v>2040</v>
      </c>
      <c r="N894" t="n">
        <v>0.2819</v>
      </c>
      <c r="O894" t="n">
        <v>0.1127</v>
      </c>
      <c r="P894" t="n">
        <v>2019</v>
      </c>
      <c r="Q894" t="n">
        <v>2030</v>
      </c>
      <c r="R894" t="n">
        <v>0.3171</v>
      </c>
      <c r="S894" t="n">
        <v>401.7335</v>
      </c>
      <c r="T894" t="n">
        <v>0.00029221</v>
      </c>
      <c r="U894" t="n">
        <v>0.00017343</v>
      </c>
    </row>
    <row r="895">
      <c r="A895" t="inlineStr">
        <is>
          <t>SUP-0090</t>
        </is>
      </c>
      <c r="B895" t="inlineStr">
        <is>
          <t>Textiles Supplier 090</t>
        </is>
      </c>
      <c r="C895" t="inlineStr">
        <is>
          <t>Textiles</t>
        </is>
      </c>
      <c r="D895" t="n">
        <v>2018</v>
      </c>
      <c r="E895" t="n">
        <v>29866065.39</v>
      </c>
      <c r="F895" t="n">
        <v>51800485.14</v>
      </c>
      <c r="G895" t="n">
        <v>9362.334000000001</v>
      </c>
      <c r="H895" t="n">
        <v>9362.334000000001</v>
      </c>
      <c r="I895" t="n">
        <v>2387.9594</v>
      </c>
      <c r="J895" t="n">
        <v>1754.2333</v>
      </c>
      <c r="K895" t="n">
        <v>4953.9436</v>
      </c>
      <c r="L895" t="n">
        <v>2018</v>
      </c>
      <c r="M895" t="n">
        <v>2040</v>
      </c>
      <c r="N895" t="n">
        <v>0.2819</v>
      </c>
      <c r="O895" t="n">
        <v>0.1127</v>
      </c>
      <c r="P895" t="n">
        <v>2019</v>
      </c>
      <c r="Q895" t="n">
        <v>2030</v>
      </c>
      <c r="R895" t="n">
        <v>0.3171</v>
      </c>
      <c r="S895" t="n">
        <v>401.7335</v>
      </c>
      <c r="T895" t="n">
        <v>0.00029221</v>
      </c>
      <c r="U895" t="n">
        <v>0.00017343</v>
      </c>
    </row>
    <row r="896">
      <c r="A896" t="inlineStr">
        <is>
          <t>SUP-0090</t>
        </is>
      </c>
      <c r="B896" t="inlineStr">
        <is>
          <t>Textiles Supplier 090</t>
        </is>
      </c>
      <c r="C896" t="inlineStr">
        <is>
          <t>Textiles</t>
        </is>
      </c>
      <c r="D896" t="n">
        <v>2019</v>
      </c>
      <c r="E896" t="n">
        <v>28094780.82</v>
      </c>
      <c r="F896" t="n">
        <v>68984419.12</v>
      </c>
      <c r="G896" t="n">
        <v>7067.6848</v>
      </c>
      <c r="H896" t="n">
        <v>7067.6848</v>
      </c>
      <c r="I896" t="n">
        <v>707.8142</v>
      </c>
      <c r="J896" t="n">
        <v>1268.0778</v>
      </c>
      <c r="K896" t="n">
        <v>4871.2597</v>
      </c>
      <c r="L896" t="n">
        <v>2018</v>
      </c>
      <c r="M896" t="n">
        <v>2040</v>
      </c>
      <c r="N896" t="n">
        <v>0.2819</v>
      </c>
      <c r="O896" t="n">
        <v>0.1127</v>
      </c>
      <c r="P896" t="n">
        <v>2019</v>
      </c>
      <c r="Q896" t="n">
        <v>2030</v>
      </c>
      <c r="R896" t="n">
        <v>0.3171</v>
      </c>
      <c r="S896" t="n">
        <v>401.7335</v>
      </c>
      <c r="T896" t="n">
        <v>0.00029221</v>
      </c>
      <c r="U896" t="n">
        <v>0.00017343</v>
      </c>
    </row>
    <row r="897">
      <c r="A897" t="inlineStr">
        <is>
          <t>SUP-0090</t>
        </is>
      </c>
      <c r="B897" t="inlineStr">
        <is>
          <t>Textiles Supplier 090</t>
        </is>
      </c>
      <c r="C897" t="inlineStr">
        <is>
          <t>Textiles</t>
        </is>
      </c>
      <c r="D897" t="n">
        <v>2020</v>
      </c>
      <c r="E897" t="n">
        <v>32963699.01</v>
      </c>
      <c r="F897" t="n">
        <v>77404750.38</v>
      </c>
      <c r="G897" t="n">
        <v>11563.3934</v>
      </c>
      <c r="H897" t="n">
        <v>11563.3934</v>
      </c>
      <c r="I897" t="n">
        <v>1891.309</v>
      </c>
      <c r="J897" t="n">
        <v>1281.4706</v>
      </c>
      <c r="K897" t="n">
        <v>7384.2467</v>
      </c>
      <c r="L897" t="n">
        <v>2018</v>
      </c>
      <c r="M897" t="n">
        <v>2040</v>
      </c>
      <c r="N897" t="n">
        <v>0.2819</v>
      </c>
      <c r="O897" t="n">
        <v>0.1127</v>
      </c>
      <c r="P897" t="n">
        <v>2019</v>
      </c>
      <c r="Q897" t="n">
        <v>2030</v>
      </c>
      <c r="R897" t="n">
        <v>0.3171</v>
      </c>
      <c r="S897" t="n">
        <v>401.7335</v>
      </c>
      <c r="T897" t="n">
        <v>0.00029221</v>
      </c>
      <c r="U897" t="n">
        <v>0.00017343</v>
      </c>
    </row>
    <row r="898">
      <c r="A898" t="inlineStr">
        <is>
          <t>SUP-0090</t>
        </is>
      </c>
      <c r="B898" t="inlineStr">
        <is>
          <t>Textiles Supplier 090</t>
        </is>
      </c>
      <c r="C898" t="inlineStr">
        <is>
          <t>Textiles</t>
        </is>
      </c>
      <c r="D898" t="n">
        <v>2021</v>
      </c>
      <c r="E898" t="n">
        <v>31592807.51</v>
      </c>
      <c r="F898" t="n">
        <v>71433139.42</v>
      </c>
      <c r="G898" t="n">
        <v>8608.0134</v>
      </c>
      <c r="H898" t="n">
        <v>8608.0134</v>
      </c>
      <c r="I898" t="n">
        <v>865.8772</v>
      </c>
      <c r="J898" t="n">
        <v>1460.8969</v>
      </c>
      <c r="K898" t="n">
        <v>6457.209</v>
      </c>
      <c r="L898" t="n">
        <v>2018</v>
      </c>
      <c r="M898" t="n">
        <v>2040</v>
      </c>
      <c r="N898" t="n">
        <v>0.2819</v>
      </c>
      <c r="O898" t="n">
        <v>0.1127</v>
      </c>
      <c r="P898" t="n">
        <v>2019</v>
      </c>
      <c r="Q898" t="n">
        <v>2030</v>
      </c>
      <c r="R898" t="n">
        <v>0.3171</v>
      </c>
      <c r="S898" t="n">
        <v>401.7335</v>
      </c>
      <c r="T898" t="n">
        <v>0.00029221</v>
      </c>
      <c r="U898" t="n">
        <v>0.00017343</v>
      </c>
    </row>
    <row r="899">
      <c r="A899" t="inlineStr">
        <is>
          <t>SUP-0090</t>
        </is>
      </c>
      <c r="B899" t="inlineStr">
        <is>
          <t>Textiles Supplier 090</t>
        </is>
      </c>
      <c r="C899" t="inlineStr">
        <is>
          <t>Textiles</t>
        </is>
      </c>
      <c r="D899" t="n">
        <v>2022</v>
      </c>
      <c r="E899" t="n">
        <v>42842830.44</v>
      </c>
      <c r="F899" t="n">
        <v>90297161.01000001</v>
      </c>
      <c r="G899" t="n">
        <v>13455.0454</v>
      </c>
      <c r="H899" t="n">
        <v>13455.0454</v>
      </c>
      <c r="I899" t="n">
        <v>2509.414</v>
      </c>
      <c r="J899" t="n">
        <v>1255.1014</v>
      </c>
      <c r="K899" t="n">
        <v>9982.2634</v>
      </c>
      <c r="L899" t="n">
        <v>2018</v>
      </c>
      <c r="M899" t="n">
        <v>2040</v>
      </c>
      <c r="N899" t="n">
        <v>0.2819</v>
      </c>
      <c r="O899" t="n">
        <v>0.1127</v>
      </c>
      <c r="P899" t="n">
        <v>2019</v>
      </c>
      <c r="Q899" t="n">
        <v>2030</v>
      </c>
      <c r="R899" t="n">
        <v>0.3171</v>
      </c>
      <c r="S899" t="n">
        <v>401.7335</v>
      </c>
      <c r="T899" t="n">
        <v>0.00029221</v>
      </c>
      <c r="U899" t="n">
        <v>0.00017343</v>
      </c>
    </row>
    <row r="900">
      <c r="A900" t="inlineStr">
        <is>
          <t>SUP-0090</t>
        </is>
      </c>
      <c r="B900" t="inlineStr">
        <is>
          <t>Textiles Supplier 090</t>
        </is>
      </c>
      <c r="C900" t="inlineStr">
        <is>
          <t>Textiles</t>
        </is>
      </c>
      <c r="D900" t="n">
        <v>2023</v>
      </c>
      <c r="E900" t="n">
        <v>39011384.82</v>
      </c>
      <c r="F900" t="n">
        <v>78403062.27</v>
      </c>
      <c r="G900" t="n">
        <v>12969.67</v>
      </c>
      <c r="H900" t="n">
        <v>12969.67</v>
      </c>
      <c r="I900" t="n">
        <v>2882.8192</v>
      </c>
      <c r="J900" t="n">
        <v>789.9827</v>
      </c>
      <c r="K900" t="n">
        <v>9463.3711</v>
      </c>
      <c r="L900" t="n">
        <v>2018</v>
      </c>
      <c r="M900" t="n">
        <v>2040</v>
      </c>
      <c r="N900" t="n">
        <v>0.2819</v>
      </c>
      <c r="O900" t="n">
        <v>0.1127</v>
      </c>
      <c r="P900" t="n">
        <v>2019</v>
      </c>
      <c r="Q900" t="n">
        <v>2030</v>
      </c>
      <c r="R900" t="n">
        <v>0.3171</v>
      </c>
      <c r="S900" t="n">
        <v>401.7335</v>
      </c>
      <c r="T900" t="n">
        <v>0.00029221</v>
      </c>
      <c r="U900" t="n">
        <v>0.00017343</v>
      </c>
    </row>
    <row r="901">
      <c r="A901" t="inlineStr">
        <is>
          <t>SUP-0090</t>
        </is>
      </c>
      <c r="B901" t="inlineStr">
        <is>
          <t>Textiles Supplier 090</t>
        </is>
      </c>
      <c r="C901" t="inlineStr">
        <is>
          <t>Textiles</t>
        </is>
      </c>
      <c r="D901" t="n">
        <v>2024</v>
      </c>
      <c r="E901" t="n">
        <v>50790249.54</v>
      </c>
      <c r="F901" t="n">
        <v>113143834.28</v>
      </c>
      <c r="G901" t="n">
        <v>11415.0199</v>
      </c>
      <c r="H901" t="n">
        <v>11415.0199</v>
      </c>
      <c r="I901" t="n">
        <v>2540.5375</v>
      </c>
      <c r="J901" t="n">
        <v>857.0276</v>
      </c>
      <c r="K901" t="n">
        <v>7954.5691</v>
      </c>
      <c r="L901" t="n">
        <v>2018</v>
      </c>
      <c r="M901" t="n">
        <v>2040</v>
      </c>
      <c r="N901" t="n">
        <v>0.2819</v>
      </c>
      <c r="O901" t="n">
        <v>0.1127</v>
      </c>
      <c r="P901" t="n">
        <v>2019</v>
      </c>
      <c r="Q901" t="n">
        <v>2030</v>
      </c>
      <c r="R901" t="n">
        <v>0.3171</v>
      </c>
      <c r="S901" t="n">
        <v>401.7335</v>
      </c>
      <c r="T901" t="n">
        <v>0.00029221</v>
      </c>
      <c r="U901" t="n">
        <v>0.00017343</v>
      </c>
    </row>
    <row r="902">
      <c r="A902" t="inlineStr">
        <is>
          <t>SUP-0091</t>
        </is>
      </c>
      <c r="B902" t="inlineStr">
        <is>
          <t>Professional Supplier 091</t>
        </is>
      </c>
      <c r="C902" t="inlineStr">
        <is>
          <t>Professional Services</t>
        </is>
      </c>
      <c r="D902" t="n">
        <v>2015</v>
      </c>
      <c r="E902" t="n">
        <v>7470174.44</v>
      </c>
      <c r="F902" t="n">
        <v>25260102.91</v>
      </c>
      <c r="G902" t="n">
        <v>1398.5154</v>
      </c>
      <c r="H902" t="n">
        <v>1398.5154</v>
      </c>
      <c r="I902" t="n">
        <v>103.8884</v>
      </c>
      <c r="J902" t="n">
        <v>125.3421</v>
      </c>
      <c r="K902" t="n">
        <v>1136.2677</v>
      </c>
      <c r="L902" t="inlineStr"/>
      <c r="M902" t="inlineStr"/>
      <c r="N902" t="inlineStr"/>
      <c r="O902" t="inlineStr"/>
      <c r="P902" t="n">
        <v>2020</v>
      </c>
      <c r="Q902" t="inlineStr"/>
      <c r="R902" t="inlineStr"/>
      <c r="S902" t="n">
        <v>400.0326</v>
      </c>
      <c r="T902" t="n">
        <v>0.00012906</v>
      </c>
      <c r="U902" t="n">
        <v>0.00019658</v>
      </c>
    </row>
    <row r="903">
      <c r="A903" t="inlineStr">
        <is>
          <t>SUP-0091</t>
        </is>
      </c>
      <c r="B903" t="inlineStr">
        <is>
          <t>Professional Supplier 091</t>
        </is>
      </c>
      <c r="C903" t="inlineStr">
        <is>
          <t>Professional Services</t>
        </is>
      </c>
      <c r="D903" t="n">
        <v>2016</v>
      </c>
      <c r="E903" t="n">
        <v>8738020.710000001</v>
      </c>
      <c r="F903" t="n">
        <v>27979902.25</v>
      </c>
      <c r="G903" t="n">
        <v>1229.2061</v>
      </c>
      <c r="H903" t="n">
        <v>1229.2061</v>
      </c>
      <c r="I903" t="n">
        <v>352.4516</v>
      </c>
      <c r="J903" t="n">
        <v>246.3217</v>
      </c>
      <c r="K903" t="n">
        <v>639.1206</v>
      </c>
      <c r="L903" t="inlineStr"/>
      <c r="M903" t="inlineStr"/>
      <c r="N903" t="inlineStr"/>
      <c r="O903" t="inlineStr"/>
      <c r="P903" t="n">
        <v>2020</v>
      </c>
      <c r="Q903" t="inlineStr"/>
      <c r="R903" t="inlineStr"/>
      <c r="S903" t="n">
        <v>400.0326</v>
      </c>
      <c r="T903" t="n">
        <v>0.00012906</v>
      </c>
      <c r="U903" t="n">
        <v>0.00019658</v>
      </c>
    </row>
    <row r="904">
      <c r="A904" t="inlineStr">
        <is>
          <t>SUP-0091</t>
        </is>
      </c>
      <c r="B904" t="inlineStr">
        <is>
          <t>Professional Supplier 091</t>
        </is>
      </c>
      <c r="C904" t="inlineStr">
        <is>
          <t>Professional Services</t>
        </is>
      </c>
      <c r="D904" t="n">
        <v>2017</v>
      </c>
      <c r="E904" t="n">
        <v>8460250.369999999</v>
      </c>
      <c r="F904" t="n">
        <v>25198131.51</v>
      </c>
      <c r="G904" t="n">
        <v>1483.911</v>
      </c>
      <c r="H904" t="n">
        <v>1483.911</v>
      </c>
      <c r="I904" t="n">
        <v>381.2758</v>
      </c>
      <c r="J904" t="n">
        <v>101.2778</v>
      </c>
      <c r="K904" t="n">
        <v>976.1183</v>
      </c>
      <c r="L904" t="inlineStr"/>
      <c r="M904" t="inlineStr"/>
      <c r="N904" t="inlineStr"/>
      <c r="O904" t="inlineStr"/>
      <c r="P904" t="n">
        <v>2020</v>
      </c>
      <c r="Q904" t="inlineStr"/>
      <c r="R904" t="inlineStr"/>
      <c r="S904" t="n">
        <v>400.0326</v>
      </c>
      <c r="T904" t="n">
        <v>0.00012906</v>
      </c>
      <c r="U904" t="n">
        <v>0.00019658</v>
      </c>
    </row>
    <row r="905">
      <c r="A905" t="inlineStr">
        <is>
          <t>SUP-0091</t>
        </is>
      </c>
      <c r="B905" t="inlineStr">
        <is>
          <t>Professional Supplier 091</t>
        </is>
      </c>
      <c r="C905" t="inlineStr">
        <is>
          <t>Professional Services</t>
        </is>
      </c>
      <c r="D905" t="n">
        <v>2018</v>
      </c>
      <c r="E905" t="n">
        <v>8838613.82</v>
      </c>
      <c r="F905" t="n">
        <v>32935269.25</v>
      </c>
      <c r="G905" t="n">
        <v>1217.2789</v>
      </c>
      <c r="H905" t="n">
        <v>1217.2789</v>
      </c>
      <c r="I905" t="n">
        <v>284.0828</v>
      </c>
      <c r="J905" t="n">
        <v>176.2147</v>
      </c>
      <c r="K905" t="n">
        <v>689.3982</v>
      </c>
      <c r="L905" t="inlineStr"/>
      <c r="M905" t="inlineStr"/>
      <c r="N905" t="inlineStr"/>
      <c r="O905" t="inlineStr"/>
      <c r="P905" t="n">
        <v>2020</v>
      </c>
      <c r="Q905" t="inlineStr"/>
      <c r="R905" t="inlineStr"/>
      <c r="S905" t="n">
        <v>400.0326</v>
      </c>
      <c r="T905" t="n">
        <v>0.00012906</v>
      </c>
      <c r="U905" t="n">
        <v>0.00019658</v>
      </c>
    </row>
    <row r="906">
      <c r="A906" t="inlineStr">
        <is>
          <t>SUP-0091</t>
        </is>
      </c>
      <c r="B906" t="inlineStr">
        <is>
          <t>Professional Supplier 091</t>
        </is>
      </c>
      <c r="C906" t="inlineStr">
        <is>
          <t>Professional Services</t>
        </is>
      </c>
      <c r="D906" t="n">
        <v>2019</v>
      </c>
      <c r="E906" t="n">
        <v>8806303.74</v>
      </c>
      <c r="F906" t="n">
        <v>35896821.68</v>
      </c>
      <c r="G906" t="n">
        <v>1157.1504</v>
      </c>
      <c r="H906" t="n">
        <v>1157.1504</v>
      </c>
      <c r="I906" t="n">
        <v>273.1778</v>
      </c>
      <c r="J906" t="n">
        <v>147.752</v>
      </c>
      <c r="K906" t="n">
        <v>732.8667</v>
      </c>
      <c r="L906" t="inlineStr"/>
      <c r="M906" t="inlineStr"/>
      <c r="N906" t="inlineStr"/>
      <c r="O906" t="inlineStr"/>
      <c r="P906" t="n">
        <v>2020</v>
      </c>
      <c r="Q906" t="inlineStr"/>
      <c r="R906" t="inlineStr"/>
      <c r="S906" t="n">
        <v>400.0326</v>
      </c>
      <c r="T906" t="n">
        <v>0.00012906</v>
      </c>
      <c r="U906" t="n">
        <v>0.00019658</v>
      </c>
    </row>
    <row r="907">
      <c r="A907" t="inlineStr">
        <is>
          <t>SUP-0091</t>
        </is>
      </c>
      <c r="B907" t="inlineStr">
        <is>
          <t>Professional Supplier 091</t>
        </is>
      </c>
      <c r="C907" t="inlineStr">
        <is>
          <t>Professional Services</t>
        </is>
      </c>
      <c r="D907" t="n">
        <v>2020</v>
      </c>
      <c r="E907" t="n">
        <v>7664572.76</v>
      </c>
      <c r="F907" t="n">
        <v>26167048.73</v>
      </c>
      <c r="G907" t="n">
        <v>1147.9298</v>
      </c>
      <c r="H907" t="n">
        <v>1147.9298</v>
      </c>
      <c r="I907" t="n">
        <v>251.602</v>
      </c>
      <c r="J907" t="n">
        <v>215.8447</v>
      </c>
      <c r="K907" t="n">
        <v>657.4118</v>
      </c>
      <c r="L907" t="inlineStr"/>
      <c r="M907" t="inlineStr"/>
      <c r="N907" t="inlineStr"/>
      <c r="O907" t="inlineStr"/>
      <c r="P907" t="n">
        <v>2020</v>
      </c>
      <c r="Q907" t="inlineStr"/>
      <c r="R907" t="inlineStr"/>
      <c r="S907" t="n">
        <v>400.0326</v>
      </c>
      <c r="T907" t="n">
        <v>0.00012906</v>
      </c>
      <c r="U907" t="n">
        <v>0.00019658</v>
      </c>
    </row>
    <row r="908">
      <c r="A908" t="inlineStr">
        <is>
          <t>SUP-0091</t>
        </is>
      </c>
      <c r="B908" t="inlineStr">
        <is>
          <t>Professional Supplier 091</t>
        </is>
      </c>
      <c r="C908" t="inlineStr">
        <is>
          <t>Professional Services</t>
        </is>
      </c>
      <c r="D908" t="n">
        <v>2021</v>
      </c>
      <c r="E908" t="n">
        <v>6966595.51</v>
      </c>
      <c r="F908" t="n">
        <v>25587654.77</v>
      </c>
      <c r="G908" t="n">
        <v>807.6102</v>
      </c>
      <c r="H908" t="n">
        <v>807.6102</v>
      </c>
      <c r="I908" t="n">
        <v>144.431</v>
      </c>
      <c r="J908" t="n">
        <v>156.8042</v>
      </c>
      <c r="K908" t="n">
        <v>513.0814</v>
      </c>
      <c r="L908" t="inlineStr"/>
      <c r="M908" t="inlineStr"/>
      <c r="N908" t="inlineStr"/>
      <c r="O908" t="inlineStr"/>
      <c r="P908" t="n">
        <v>2020</v>
      </c>
      <c r="Q908" t="inlineStr"/>
      <c r="R908" t="inlineStr"/>
      <c r="S908" t="n">
        <v>400.0326</v>
      </c>
      <c r="T908" t="n">
        <v>0.00012906</v>
      </c>
      <c r="U908" t="n">
        <v>0.00019658</v>
      </c>
    </row>
    <row r="909">
      <c r="A909" t="inlineStr">
        <is>
          <t>SUP-0091</t>
        </is>
      </c>
      <c r="B909" t="inlineStr">
        <is>
          <t>Professional Supplier 091</t>
        </is>
      </c>
      <c r="C909" t="inlineStr">
        <is>
          <t>Professional Services</t>
        </is>
      </c>
      <c r="D909" t="n">
        <v>2022</v>
      </c>
      <c r="E909" t="n">
        <v>8705724</v>
      </c>
      <c r="F909" t="n">
        <v>22580371.7</v>
      </c>
      <c r="G909" t="n">
        <v>852.6428</v>
      </c>
      <c r="H909" t="n">
        <v>852.6428</v>
      </c>
      <c r="I909" t="n">
        <v>266.0209</v>
      </c>
      <c r="J909" t="n">
        <v>160.0154</v>
      </c>
      <c r="K909" t="n">
        <v>498.558</v>
      </c>
      <c r="L909" t="inlineStr"/>
      <c r="M909" t="inlineStr"/>
      <c r="N909" t="inlineStr"/>
      <c r="O909" t="inlineStr"/>
      <c r="P909" t="n">
        <v>2020</v>
      </c>
      <c r="Q909" t="inlineStr"/>
      <c r="R909" t="inlineStr"/>
      <c r="S909" t="n">
        <v>400.0326</v>
      </c>
      <c r="T909" t="n">
        <v>0.00012906</v>
      </c>
      <c r="U909" t="n">
        <v>0.00019658</v>
      </c>
    </row>
    <row r="910">
      <c r="A910" t="inlineStr">
        <is>
          <t>SUP-0091</t>
        </is>
      </c>
      <c r="B910" t="inlineStr">
        <is>
          <t>Professional Supplier 091</t>
        </is>
      </c>
      <c r="C910" t="inlineStr">
        <is>
          <t>Professional Services</t>
        </is>
      </c>
      <c r="D910" t="n">
        <v>2023</v>
      </c>
      <c r="E910" t="n">
        <v>9675492.18</v>
      </c>
      <c r="F910" t="n">
        <v>26549403.73</v>
      </c>
      <c r="G910" t="n">
        <v>988.0641000000001</v>
      </c>
      <c r="H910" t="n">
        <v>988.0641000000001</v>
      </c>
      <c r="I910" t="n">
        <v>203.7478</v>
      </c>
      <c r="J910" t="n">
        <v>93.5992</v>
      </c>
      <c r="K910" t="n">
        <v>717.8200000000001</v>
      </c>
      <c r="L910" t="inlineStr"/>
      <c r="M910" t="inlineStr"/>
      <c r="N910" t="inlineStr"/>
      <c r="O910" t="inlineStr"/>
      <c r="P910" t="n">
        <v>2020</v>
      </c>
      <c r="Q910" t="inlineStr"/>
      <c r="R910" t="inlineStr"/>
      <c r="S910" t="n">
        <v>400.0326</v>
      </c>
      <c r="T910" t="n">
        <v>0.00012906</v>
      </c>
      <c r="U910" t="n">
        <v>0.00019658</v>
      </c>
    </row>
    <row r="911">
      <c r="A911" t="inlineStr">
        <is>
          <t>SUP-0091</t>
        </is>
      </c>
      <c r="B911" t="inlineStr">
        <is>
          <t>Professional Supplier 091</t>
        </is>
      </c>
      <c r="C911" t="inlineStr">
        <is>
          <t>Professional Services</t>
        </is>
      </c>
      <c r="D911" t="n">
        <v>2024</v>
      </c>
      <c r="E911" t="n">
        <v>8601777.49</v>
      </c>
      <c r="F911" t="n">
        <v>25265783.8</v>
      </c>
      <c r="G911" t="n">
        <v>1001.0076</v>
      </c>
      <c r="H911" t="n">
        <v>1001.0076</v>
      </c>
      <c r="I911" t="n">
        <v>83.75700000000001</v>
      </c>
      <c r="J911" t="n">
        <v>102.2315</v>
      </c>
      <c r="K911" t="n">
        <v>845.6282</v>
      </c>
      <c r="L911" t="inlineStr"/>
      <c r="M911" t="inlineStr"/>
      <c r="N911" t="inlineStr"/>
      <c r="O911" t="inlineStr"/>
      <c r="P911" t="n">
        <v>2020</v>
      </c>
      <c r="Q911" t="inlineStr"/>
      <c r="R911" t="inlineStr"/>
      <c r="S911" t="n">
        <v>400.0326</v>
      </c>
      <c r="T911" t="n">
        <v>0.00012906</v>
      </c>
      <c r="U911" t="n">
        <v>0.00019658</v>
      </c>
    </row>
    <row r="912">
      <c r="A912" t="inlineStr">
        <is>
          <t>SUP-0092</t>
        </is>
      </c>
      <c r="B912" t="inlineStr">
        <is>
          <t>Metals Supplier 092</t>
        </is>
      </c>
      <c r="C912" t="inlineStr">
        <is>
          <t>Metals</t>
        </is>
      </c>
      <c r="D912" t="n">
        <v>2015</v>
      </c>
      <c r="E912" t="n">
        <v>16015466.83</v>
      </c>
      <c r="F912" t="n">
        <v>111399818.85</v>
      </c>
      <c r="G912" t="n">
        <v>24036.2951</v>
      </c>
      <c r="H912" t="n">
        <v>24036.2951</v>
      </c>
      <c r="I912" t="n">
        <v>3741.0542</v>
      </c>
      <c r="J912" t="n">
        <v>4661.1333</v>
      </c>
      <c r="K912" t="n">
        <v>15798.0445</v>
      </c>
      <c r="L912" t="inlineStr"/>
      <c r="M912" t="inlineStr"/>
      <c r="N912" t="inlineStr"/>
      <c r="O912" t="inlineStr"/>
      <c r="P912" t="n">
        <v>2019</v>
      </c>
      <c r="Q912" t="n">
        <v>2030</v>
      </c>
      <c r="R912" t="n">
        <v>0.3852</v>
      </c>
      <c r="S912" t="n">
        <v>158.2904</v>
      </c>
      <c r="T912" t="n">
        <v>0.00100695</v>
      </c>
      <c r="U912" t="n">
        <v>0.00065008</v>
      </c>
    </row>
    <row r="913">
      <c r="A913" t="inlineStr">
        <is>
          <t>SUP-0092</t>
        </is>
      </c>
      <c r="B913" t="inlineStr">
        <is>
          <t>Metals Supplier 092</t>
        </is>
      </c>
      <c r="C913" t="inlineStr">
        <is>
          <t>Metals</t>
        </is>
      </c>
      <c r="D913" t="n">
        <v>2016</v>
      </c>
      <c r="E913" t="n">
        <v>16775443.3</v>
      </c>
      <c r="F913" t="n">
        <v>140733501.74</v>
      </c>
      <c r="G913" t="n">
        <v>24824.4806</v>
      </c>
      <c r="H913" t="n">
        <v>24824.4806</v>
      </c>
      <c r="I913" t="n">
        <v>5327.084</v>
      </c>
      <c r="J913" t="n">
        <v>4127.8246</v>
      </c>
      <c r="K913" t="n">
        <v>14359.358</v>
      </c>
      <c r="L913" t="inlineStr"/>
      <c r="M913" t="inlineStr"/>
      <c r="N913" t="inlineStr"/>
      <c r="O913" t="inlineStr"/>
      <c r="P913" t="n">
        <v>2019</v>
      </c>
      <c r="Q913" t="n">
        <v>2030</v>
      </c>
      <c r="R913" t="n">
        <v>0.3852</v>
      </c>
      <c r="S913" t="n">
        <v>158.2904</v>
      </c>
      <c r="T913" t="n">
        <v>0.00100695</v>
      </c>
      <c r="U913" t="n">
        <v>0.00065008</v>
      </c>
    </row>
    <row r="914">
      <c r="A914" t="inlineStr">
        <is>
          <t>SUP-0092</t>
        </is>
      </c>
      <c r="B914" t="inlineStr">
        <is>
          <t>Metals Supplier 092</t>
        </is>
      </c>
      <c r="C914" t="inlineStr">
        <is>
          <t>Metals</t>
        </is>
      </c>
      <c r="D914" t="n">
        <v>2017</v>
      </c>
      <c r="E914" t="n">
        <v>15150783.08</v>
      </c>
      <c r="F914" t="n">
        <v>97861615.33</v>
      </c>
      <c r="G914" t="n">
        <v>20254.3637</v>
      </c>
      <c r="H914" t="n">
        <v>20254.3637</v>
      </c>
      <c r="I914" t="n">
        <v>3872.9885</v>
      </c>
      <c r="J914" t="n">
        <v>4615.4328</v>
      </c>
      <c r="K914" t="n">
        <v>13091.5828</v>
      </c>
      <c r="L914" t="inlineStr"/>
      <c r="M914" t="inlineStr"/>
      <c r="N914" t="inlineStr"/>
      <c r="O914" t="inlineStr"/>
      <c r="P914" t="n">
        <v>2019</v>
      </c>
      <c r="Q914" t="n">
        <v>2030</v>
      </c>
      <c r="R914" t="n">
        <v>0.3852</v>
      </c>
      <c r="S914" t="n">
        <v>158.2904</v>
      </c>
      <c r="T914" t="n">
        <v>0.00100695</v>
      </c>
      <c r="U914" t="n">
        <v>0.00065008</v>
      </c>
    </row>
    <row r="915">
      <c r="A915" t="inlineStr">
        <is>
          <t>SUP-0092</t>
        </is>
      </c>
      <c r="B915" t="inlineStr">
        <is>
          <t>Metals Supplier 092</t>
        </is>
      </c>
      <c r="C915" t="inlineStr">
        <is>
          <t>Metals</t>
        </is>
      </c>
      <c r="D915" t="n">
        <v>2018</v>
      </c>
      <c r="E915" t="n">
        <v>17075621.93</v>
      </c>
      <c r="F915" t="n">
        <v>87623568.79000001</v>
      </c>
      <c r="G915" t="n">
        <v>20431.252</v>
      </c>
      <c r="H915" t="n">
        <v>20431.252</v>
      </c>
      <c r="I915" t="n">
        <v>3942.1324</v>
      </c>
      <c r="J915" t="n">
        <v>1330.1097</v>
      </c>
      <c r="K915" t="n">
        <v>15758.6669</v>
      </c>
      <c r="L915" t="inlineStr"/>
      <c r="M915" t="inlineStr"/>
      <c r="N915" t="inlineStr"/>
      <c r="O915" t="inlineStr"/>
      <c r="P915" t="n">
        <v>2019</v>
      </c>
      <c r="Q915" t="n">
        <v>2030</v>
      </c>
      <c r="R915" t="n">
        <v>0.3852</v>
      </c>
      <c r="S915" t="n">
        <v>158.2904</v>
      </c>
      <c r="T915" t="n">
        <v>0.00100695</v>
      </c>
      <c r="U915" t="n">
        <v>0.00065008</v>
      </c>
    </row>
    <row r="916">
      <c r="A916" t="inlineStr">
        <is>
          <t>SUP-0092</t>
        </is>
      </c>
      <c r="B916" t="inlineStr">
        <is>
          <t>Metals Supplier 092</t>
        </is>
      </c>
      <c r="C916" t="inlineStr">
        <is>
          <t>Metals</t>
        </is>
      </c>
      <c r="D916" t="n">
        <v>2019</v>
      </c>
      <c r="E916" t="n">
        <v>15275223.35</v>
      </c>
      <c r="F916" t="n">
        <v>104351185.02</v>
      </c>
      <c r="G916" t="n">
        <v>24083.0423</v>
      </c>
      <c r="H916" t="n">
        <v>24083.0423</v>
      </c>
      <c r="I916" t="n">
        <v>2484.6504</v>
      </c>
      <c r="J916" t="n">
        <v>2189.4708</v>
      </c>
      <c r="K916" t="n">
        <v>19129.5989</v>
      </c>
      <c r="L916" t="inlineStr"/>
      <c r="M916" t="inlineStr"/>
      <c r="N916" t="inlineStr"/>
      <c r="O916" t="inlineStr"/>
      <c r="P916" t="n">
        <v>2019</v>
      </c>
      <c r="Q916" t="n">
        <v>2030</v>
      </c>
      <c r="R916" t="n">
        <v>0.3852</v>
      </c>
      <c r="S916" t="n">
        <v>158.2904</v>
      </c>
      <c r="T916" t="n">
        <v>0.00100695</v>
      </c>
      <c r="U916" t="n">
        <v>0.00065008</v>
      </c>
    </row>
    <row r="917">
      <c r="A917" t="inlineStr">
        <is>
          <t>SUP-0092</t>
        </is>
      </c>
      <c r="B917" t="inlineStr">
        <is>
          <t>Metals Supplier 092</t>
        </is>
      </c>
      <c r="C917" t="inlineStr">
        <is>
          <t>Metals</t>
        </is>
      </c>
      <c r="D917" t="n">
        <v>2020</v>
      </c>
      <c r="E917" t="n">
        <v>16884251.34</v>
      </c>
      <c r="F917" t="n">
        <v>118634401.42</v>
      </c>
      <c r="G917" t="n">
        <v>17923.7966</v>
      </c>
      <c r="H917" t="n">
        <v>17923.7966</v>
      </c>
      <c r="I917" t="n">
        <v>4874.1719</v>
      </c>
      <c r="J917" t="n">
        <v>3558.8662</v>
      </c>
      <c r="K917" t="n">
        <v>10601.4878</v>
      </c>
      <c r="L917" t="inlineStr"/>
      <c r="M917" t="inlineStr"/>
      <c r="N917" t="inlineStr"/>
      <c r="O917" t="inlineStr"/>
      <c r="P917" t="n">
        <v>2019</v>
      </c>
      <c r="Q917" t="n">
        <v>2030</v>
      </c>
      <c r="R917" t="n">
        <v>0.3852</v>
      </c>
      <c r="S917" t="n">
        <v>158.2904</v>
      </c>
      <c r="T917" t="n">
        <v>0.00100695</v>
      </c>
      <c r="U917" t="n">
        <v>0.00065008</v>
      </c>
    </row>
    <row r="918">
      <c r="A918" t="inlineStr">
        <is>
          <t>SUP-0092</t>
        </is>
      </c>
      <c r="B918" t="inlineStr">
        <is>
          <t>Metals Supplier 092</t>
        </is>
      </c>
      <c r="C918" t="inlineStr">
        <is>
          <t>Metals</t>
        </is>
      </c>
      <c r="D918" t="n">
        <v>2021</v>
      </c>
      <c r="E918" t="n">
        <v>13992421.5</v>
      </c>
      <c r="F918" t="n">
        <v>105212511.43</v>
      </c>
      <c r="G918" t="n">
        <v>13824.2166</v>
      </c>
      <c r="H918" t="n">
        <v>13824.2166</v>
      </c>
      <c r="I918" t="n">
        <v>2581.8594</v>
      </c>
      <c r="J918" t="n">
        <v>906.9559</v>
      </c>
      <c r="K918" t="n">
        <v>10625.3124</v>
      </c>
      <c r="L918" t="inlineStr"/>
      <c r="M918" t="inlineStr"/>
      <c r="N918" t="inlineStr"/>
      <c r="O918" t="inlineStr"/>
      <c r="P918" t="n">
        <v>2019</v>
      </c>
      <c r="Q918" t="n">
        <v>2030</v>
      </c>
      <c r="R918" t="n">
        <v>0.3852</v>
      </c>
      <c r="S918" t="n">
        <v>158.2904</v>
      </c>
      <c r="T918" t="n">
        <v>0.00100695</v>
      </c>
      <c r="U918" t="n">
        <v>0.00065008</v>
      </c>
    </row>
    <row r="919">
      <c r="A919" t="inlineStr">
        <is>
          <t>SUP-0092</t>
        </is>
      </c>
      <c r="B919" t="inlineStr">
        <is>
          <t>Metals Supplier 092</t>
        </is>
      </c>
      <c r="C919" t="inlineStr">
        <is>
          <t>Metals</t>
        </is>
      </c>
      <c r="D919" t="n">
        <v>2022</v>
      </c>
      <c r="E919" t="n">
        <v>12257256.54</v>
      </c>
      <c r="F919" t="n">
        <v>110798082.85</v>
      </c>
      <c r="G919" t="n">
        <v>11627.3897</v>
      </c>
      <c r="H919" t="n">
        <v>11627.3897</v>
      </c>
      <c r="I919" t="n">
        <v>1291.9331</v>
      </c>
      <c r="J919" t="n">
        <v>1030.143</v>
      </c>
      <c r="K919" t="n">
        <v>9423.0965</v>
      </c>
      <c r="L919" t="inlineStr"/>
      <c r="M919" t="inlineStr"/>
      <c r="N919" t="inlineStr"/>
      <c r="O919" t="inlineStr"/>
      <c r="P919" t="n">
        <v>2019</v>
      </c>
      <c r="Q919" t="n">
        <v>2030</v>
      </c>
      <c r="R919" t="n">
        <v>0.3852</v>
      </c>
      <c r="S919" t="n">
        <v>158.2904</v>
      </c>
      <c r="T919" t="n">
        <v>0.00100695</v>
      </c>
      <c r="U919" t="n">
        <v>0.00065008</v>
      </c>
    </row>
    <row r="920">
      <c r="A920" t="inlineStr">
        <is>
          <t>SUP-0092</t>
        </is>
      </c>
      <c r="B920" t="inlineStr">
        <is>
          <t>Metals Supplier 092</t>
        </is>
      </c>
      <c r="C920" t="inlineStr">
        <is>
          <t>Metals</t>
        </is>
      </c>
      <c r="D920" t="n">
        <v>2023</v>
      </c>
      <c r="E920" t="n">
        <v>13769729.36</v>
      </c>
      <c r="F920" t="n">
        <v>87873785.15000001</v>
      </c>
      <c r="G920" t="n">
        <v>11283.9099</v>
      </c>
      <c r="H920" t="n">
        <v>11283.9099</v>
      </c>
      <c r="I920" t="n">
        <v>885.1351</v>
      </c>
      <c r="J920" t="n">
        <v>1919.6317</v>
      </c>
      <c r="K920" t="n">
        <v>8308.8228</v>
      </c>
      <c r="L920" t="inlineStr"/>
      <c r="M920" t="inlineStr"/>
      <c r="N920" t="inlineStr"/>
      <c r="O920" t="inlineStr"/>
      <c r="P920" t="n">
        <v>2019</v>
      </c>
      <c r="Q920" t="n">
        <v>2030</v>
      </c>
      <c r="R920" t="n">
        <v>0.3852</v>
      </c>
      <c r="S920" t="n">
        <v>158.2904</v>
      </c>
      <c r="T920" t="n">
        <v>0.00100695</v>
      </c>
      <c r="U920" t="n">
        <v>0.00065008</v>
      </c>
    </row>
    <row r="921">
      <c r="A921" t="inlineStr">
        <is>
          <t>SUP-0092</t>
        </is>
      </c>
      <c r="B921" t="inlineStr">
        <is>
          <t>Metals Supplier 092</t>
        </is>
      </c>
      <c r="C921" t="inlineStr">
        <is>
          <t>Metals</t>
        </is>
      </c>
      <c r="D921" t="n">
        <v>2024</v>
      </c>
      <c r="E921" t="n">
        <v>14518031.01</v>
      </c>
      <c r="F921" t="n">
        <v>89999257.55</v>
      </c>
      <c r="G921" t="n">
        <v>10870.7112</v>
      </c>
      <c r="H921" t="n">
        <v>10870.7112</v>
      </c>
      <c r="I921" t="n">
        <v>1815.0131</v>
      </c>
      <c r="J921" t="n">
        <v>2708.2946</v>
      </c>
      <c r="K921" t="n">
        <v>7401.145</v>
      </c>
      <c r="L921" t="inlineStr"/>
      <c r="M921" t="inlineStr"/>
      <c r="N921" t="inlineStr"/>
      <c r="O921" t="inlineStr"/>
      <c r="P921" t="n">
        <v>2019</v>
      </c>
      <c r="Q921" t="n">
        <v>2030</v>
      </c>
      <c r="R921" t="n">
        <v>0.3852</v>
      </c>
      <c r="S921" t="n">
        <v>158.2904</v>
      </c>
      <c r="T921" t="n">
        <v>0.00100695</v>
      </c>
      <c r="U921" t="n">
        <v>0.00065008</v>
      </c>
    </row>
    <row r="922">
      <c r="A922" t="inlineStr">
        <is>
          <t>SUP-0093</t>
        </is>
      </c>
      <c r="B922" t="inlineStr">
        <is>
          <t>Chemicals Supplier 093</t>
        </is>
      </c>
      <c r="C922" t="inlineStr">
        <is>
          <t>Chemicals</t>
        </is>
      </c>
      <c r="D922" t="n">
        <v>2015</v>
      </c>
      <c r="E922" t="n">
        <v>2013207.43</v>
      </c>
      <c r="F922" t="n">
        <v>2837620.96</v>
      </c>
      <c r="G922" t="n">
        <v>1750.4912</v>
      </c>
      <c r="H922" t="n">
        <v>1750.4912</v>
      </c>
      <c r="I922" t="n">
        <v>314.1057</v>
      </c>
      <c r="J922" t="n">
        <v>151.2112</v>
      </c>
      <c r="K922" t="n">
        <v>1180.1847</v>
      </c>
      <c r="L922" t="inlineStr"/>
      <c r="M922" t="inlineStr"/>
      <c r="N922" t="inlineStr"/>
      <c r="O922" t="inlineStr"/>
      <c r="P922" t="n">
        <v>2019</v>
      </c>
      <c r="Q922" t="n">
        <v>2035</v>
      </c>
      <c r="R922" t="n">
        <v>0.5229</v>
      </c>
      <c r="S922" t="n">
        <v>506.3191</v>
      </c>
      <c r="T922" t="n">
        <v>0.00100149</v>
      </c>
      <c r="U922" t="n">
        <v>0.00047124</v>
      </c>
    </row>
    <row r="923">
      <c r="A923" t="inlineStr">
        <is>
          <t>SUP-0093</t>
        </is>
      </c>
      <c r="B923" t="inlineStr">
        <is>
          <t>Chemicals Supplier 093</t>
        </is>
      </c>
      <c r="C923" t="inlineStr">
        <is>
          <t>Chemicals</t>
        </is>
      </c>
      <c r="D923" t="n">
        <v>2016</v>
      </c>
      <c r="E923" t="n">
        <v>2655113.34</v>
      </c>
      <c r="F923" t="n">
        <v>3513539.52</v>
      </c>
      <c r="G923" t="n">
        <v>1824.8092</v>
      </c>
      <c r="H923" t="n">
        <v>1824.8092</v>
      </c>
      <c r="I923" t="n">
        <v>310.1114</v>
      </c>
      <c r="J923" t="n">
        <v>179.6605</v>
      </c>
      <c r="K923" t="n">
        <v>1411.4825</v>
      </c>
      <c r="L923" t="inlineStr"/>
      <c r="M923" t="inlineStr"/>
      <c r="N923" t="inlineStr"/>
      <c r="O923" t="inlineStr"/>
      <c r="P923" t="n">
        <v>2019</v>
      </c>
      <c r="Q923" t="n">
        <v>2035</v>
      </c>
      <c r="R923" t="n">
        <v>0.5229</v>
      </c>
      <c r="S923" t="n">
        <v>506.3191</v>
      </c>
      <c r="T923" t="n">
        <v>0.00100149</v>
      </c>
      <c r="U923" t="n">
        <v>0.00047124</v>
      </c>
    </row>
    <row r="924">
      <c r="A924" t="inlineStr">
        <is>
          <t>SUP-0093</t>
        </is>
      </c>
      <c r="B924" t="inlineStr">
        <is>
          <t>Chemicals Supplier 093</t>
        </is>
      </c>
      <c r="C924" t="inlineStr">
        <is>
          <t>Chemicals</t>
        </is>
      </c>
      <c r="D924" t="n">
        <v>2017</v>
      </c>
      <c r="E924" t="n">
        <v>2615784.95</v>
      </c>
      <c r="F924" t="n">
        <v>3675571.02</v>
      </c>
      <c r="G924" t="n">
        <v>2313.9802</v>
      </c>
      <c r="H924" t="n">
        <v>2313.9802</v>
      </c>
      <c r="I924" t="n">
        <v>390.8202</v>
      </c>
      <c r="J924" t="n">
        <v>294.9437</v>
      </c>
      <c r="K924" t="n">
        <v>1629.0472</v>
      </c>
      <c r="L924" t="inlineStr"/>
      <c r="M924" t="inlineStr"/>
      <c r="N924" t="inlineStr"/>
      <c r="O924" t="inlineStr"/>
      <c r="P924" t="n">
        <v>2019</v>
      </c>
      <c r="Q924" t="n">
        <v>2035</v>
      </c>
      <c r="R924" t="n">
        <v>0.5229</v>
      </c>
      <c r="S924" t="n">
        <v>506.3191</v>
      </c>
      <c r="T924" t="n">
        <v>0.00100149</v>
      </c>
      <c r="U924" t="n">
        <v>0.00047124</v>
      </c>
    </row>
    <row r="925">
      <c r="A925" t="inlineStr">
        <is>
          <t>SUP-0093</t>
        </is>
      </c>
      <c r="B925" t="inlineStr">
        <is>
          <t>Chemicals Supplier 093</t>
        </is>
      </c>
      <c r="C925" t="inlineStr">
        <is>
          <t>Chemicals</t>
        </is>
      </c>
      <c r="D925" t="n">
        <v>2018</v>
      </c>
      <c r="E925" t="n">
        <v>2329486.63</v>
      </c>
      <c r="F925" t="n">
        <v>3798850.8</v>
      </c>
      <c r="G925" t="n">
        <v>1630.3436</v>
      </c>
      <c r="H925" t="n">
        <v>1630.3436</v>
      </c>
      <c r="I925" t="n">
        <v>169.5371</v>
      </c>
      <c r="J925" t="n">
        <v>122.7668</v>
      </c>
      <c r="K925" t="n">
        <v>1416.5556</v>
      </c>
      <c r="L925" t="inlineStr"/>
      <c r="M925" t="inlineStr"/>
      <c r="N925" t="inlineStr"/>
      <c r="O925" t="inlineStr"/>
      <c r="P925" t="n">
        <v>2019</v>
      </c>
      <c r="Q925" t="n">
        <v>2035</v>
      </c>
      <c r="R925" t="n">
        <v>0.5229</v>
      </c>
      <c r="S925" t="n">
        <v>506.3191</v>
      </c>
      <c r="T925" t="n">
        <v>0.00100149</v>
      </c>
      <c r="U925" t="n">
        <v>0.00047124</v>
      </c>
    </row>
    <row r="926">
      <c r="A926" t="inlineStr">
        <is>
          <t>SUP-0093</t>
        </is>
      </c>
      <c r="B926" t="inlineStr">
        <is>
          <t>Chemicals Supplier 093</t>
        </is>
      </c>
      <c r="C926" t="inlineStr">
        <is>
          <t>Chemicals</t>
        </is>
      </c>
      <c r="D926" t="n">
        <v>2019</v>
      </c>
      <c r="E926" t="n">
        <v>2340536.4</v>
      </c>
      <c r="F926" t="n">
        <v>3888684.42</v>
      </c>
      <c r="G926" t="n">
        <v>2110.3485</v>
      </c>
      <c r="H926" t="n">
        <v>2110.3485</v>
      </c>
      <c r="I926" t="n">
        <v>307.7975</v>
      </c>
      <c r="J926" t="n">
        <v>348.6584</v>
      </c>
      <c r="K926" t="n">
        <v>1473.4046</v>
      </c>
      <c r="L926" t="inlineStr"/>
      <c r="M926" t="inlineStr"/>
      <c r="N926" t="inlineStr"/>
      <c r="O926" t="inlineStr"/>
      <c r="P926" t="n">
        <v>2019</v>
      </c>
      <c r="Q926" t="n">
        <v>2035</v>
      </c>
      <c r="R926" t="n">
        <v>0.5229</v>
      </c>
      <c r="S926" t="n">
        <v>506.3191</v>
      </c>
      <c r="T926" t="n">
        <v>0.00100149</v>
      </c>
      <c r="U926" t="n">
        <v>0.00047124</v>
      </c>
    </row>
    <row r="927">
      <c r="A927" t="inlineStr">
        <is>
          <t>SUP-0093</t>
        </is>
      </c>
      <c r="B927" t="inlineStr">
        <is>
          <t>Chemicals Supplier 093</t>
        </is>
      </c>
      <c r="C927" t="inlineStr">
        <is>
          <t>Chemicals</t>
        </is>
      </c>
      <c r="D927" t="n">
        <v>2020</v>
      </c>
      <c r="E927" t="n">
        <v>2266029.12</v>
      </c>
      <c r="F927" t="n">
        <v>3930511.23</v>
      </c>
      <c r="G927" t="n">
        <v>1494.5093</v>
      </c>
      <c r="H927" t="n">
        <v>1494.5093</v>
      </c>
      <c r="I927" t="n">
        <v>298.9242</v>
      </c>
      <c r="J927" t="n">
        <v>114.4735</v>
      </c>
      <c r="K927" t="n">
        <v>1132.5549</v>
      </c>
      <c r="L927" t="inlineStr"/>
      <c r="M927" t="inlineStr"/>
      <c r="N927" t="inlineStr"/>
      <c r="O927" t="inlineStr"/>
      <c r="P927" t="n">
        <v>2019</v>
      </c>
      <c r="Q927" t="n">
        <v>2035</v>
      </c>
      <c r="R927" t="n">
        <v>0.5229</v>
      </c>
      <c r="S927" t="n">
        <v>506.3191</v>
      </c>
      <c r="T927" t="n">
        <v>0.00100149</v>
      </c>
      <c r="U927" t="n">
        <v>0.00047124</v>
      </c>
    </row>
    <row r="928">
      <c r="A928" t="inlineStr">
        <is>
          <t>SUP-0093</t>
        </is>
      </c>
      <c r="B928" t="inlineStr">
        <is>
          <t>Chemicals Supplier 093</t>
        </is>
      </c>
      <c r="C928" t="inlineStr">
        <is>
          <t>Chemicals</t>
        </is>
      </c>
      <c r="D928" t="n">
        <v>2021</v>
      </c>
      <c r="E928" t="n">
        <v>2516599.04</v>
      </c>
      <c r="F928" t="n">
        <v>4189674.63</v>
      </c>
      <c r="G928" t="n">
        <v>1347.6866</v>
      </c>
      <c r="H928" t="n">
        <v>1347.6866</v>
      </c>
      <c r="I928" t="n">
        <v>146.6559</v>
      </c>
      <c r="J928" t="n">
        <v>264.543</v>
      </c>
      <c r="K928" t="n">
        <v>1108.8864</v>
      </c>
      <c r="L928" t="inlineStr"/>
      <c r="M928" t="inlineStr"/>
      <c r="N928" t="inlineStr"/>
      <c r="O928" t="inlineStr"/>
      <c r="P928" t="n">
        <v>2019</v>
      </c>
      <c r="Q928" t="n">
        <v>2035</v>
      </c>
      <c r="R928" t="n">
        <v>0.5229</v>
      </c>
      <c r="S928" t="n">
        <v>506.3191</v>
      </c>
      <c r="T928" t="n">
        <v>0.00100149</v>
      </c>
      <c r="U928" t="n">
        <v>0.00047124</v>
      </c>
    </row>
    <row r="929">
      <c r="A929" t="inlineStr">
        <is>
          <t>SUP-0093</t>
        </is>
      </c>
      <c r="B929" t="inlineStr">
        <is>
          <t>Chemicals Supplier 093</t>
        </is>
      </c>
      <c r="C929" t="inlineStr">
        <is>
          <t>Chemicals</t>
        </is>
      </c>
      <c r="D929" t="n">
        <v>2022</v>
      </c>
      <c r="E929" t="n">
        <v>2618367.32</v>
      </c>
      <c r="F929" t="n">
        <v>4385807.39</v>
      </c>
      <c r="G929" t="n">
        <v>1481.6828</v>
      </c>
      <c r="H929" t="n">
        <v>1481.6828</v>
      </c>
      <c r="I929" t="n">
        <v>317.3118</v>
      </c>
      <c r="J929" t="n">
        <v>120.7663</v>
      </c>
      <c r="K929" t="n">
        <v>1083.9916</v>
      </c>
      <c r="L929" t="inlineStr"/>
      <c r="M929" t="inlineStr"/>
      <c r="N929" t="inlineStr"/>
      <c r="O929" t="inlineStr"/>
      <c r="P929" t="n">
        <v>2019</v>
      </c>
      <c r="Q929" t="n">
        <v>2035</v>
      </c>
      <c r="R929" t="n">
        <v>0.5229</v>
      </c>
      <c r="S929" t="n">
        <v>506.3191</v>
      </c>
      <c r="T929" t="n">
        <v>0.00100149</v>
      </c>
      <c r="U929" t="n">
        <v>0.00047124</v>
      </c>
    </row>
    <row r="930">
      <c r="A930" t="inlineStr">
        <is>
          <t>SUP-0093</t>
        </is>
      </c>
      <c r="B930" t="inlineStr">
        <is>
          <t>Chemicals Supplier 093</t>
        </is>
      </c>
      <c r="C930" t="inlineStr">
        <is>
          <t>Chemicals</t>
        </is>
      </c>
      <c r="D930" t="n">
        <v>2023</v>
      </c>
      <c r="E930" t="n">
        <v>2889179.73</v>
      </c>
      <c r="F930" t="n">
        <v>4474517.85</v>
      </c>
      <c r="G930" t="n">
        <v>1836.9765</v>
      </c>
      <c r="H930" t="n">
        <v>1836.9765</v>
      </c>
      <c r="I930" t="n">
        <v>454.1005</v>
      </c>
      <c r="J930" t="n">
        <v>268.2436</v>
      </c>
      <c r="K930" t="n">
        <v>1140.3488</v>
      </c>
      <c r="L930" t="inlineStr"/>
      <c r="M930" t="inlineStr"/>
      <c r="N930" t="inlineStr"/>
      <c r="O930" t="inlineStr"/>
      <c r="P930" t="n">
        <v>2019</v>
      </c>
      <c r="Q930" t="n">
        <v>2035</v>
      </c>
      <c r="R930" t="n">
        <v>0.5229</v>
      </c>
      <c r="S930" t="n">
        <v>506.3191</v>
      </c>
      <c r="T930" t="n">
        <v>0.00100149</v>
      </c>
      <c r="U930" t="n">
        <v>0.00047124</v>
      </c>
    </row>
    <row r="931">
      <c r="A931" t="inlineStr">
        <is>
          <t>SUP-0093</t>
        </is>
      </c>
      <c r="B931" t="inlineStr">
        <is>
          <t>Chemicals Supplier 093</t>
        </is>
      </c>
      <c r="C931" t="inlineStr">
        <is>
          <t>Chemicals</t>
        </is>
      </c>
      <c r="D931" t="n">
        <v>2024</v>
      </c>
      <c r="E931" t="n">
        <v>2990315.9</v>
      </c>
      <c r="F931" t="n">
        <v>4886398.95</v>
      </c>
      <c r="G931" t="n">
        <v>1319.4172</v>
      </c>
      <c r="H931" t="n">
        <v>1319.4172</v>
      </c>
      <c r="I931" t="n">
        <v>227.3867</v>
      </c>
      <c r="J931" t="n">
        <v>205.0896</v>
      </c>
      <c r="K931" t="n">
        <v>955.4371</v>
      </c>
      <c r="L931" t="inlineStr"/>
      <c r="M931" t="inlineStr"/>
      <c r="N931" t="inlineStr"/>
      <c r="O931" t="inlineStr"/>
      <c r="P931" t="n">
        <v>2019</v>
      </c>
      <c r="Q931" t="n">
        <v>2035</v>
      </c>
      <c r="R931" t="n">
        <v>0.5229</v>
      </c>
      <c r="S931" t="n">
        <v>506.3191</v>
      </c>
      <c r="T931" t="n">
        <v>0.00100149</v>
      </c>
      <c r="U931" t="n">
        <v>0.00047124</v>
      </c>
    </row>
    <row r="932">
      <c r="A932" t="inlineStr">
        <is>
          <t>SUP-0094</t>
        </is>
      </c>
      <c r="B932" t="inlineStr">
        <is>
          <t>Metals Supplier 094</t>
        </is>
      </c>
      <c r="C932" t="inlineStr">
        <is>
          <t>Metals</t>
        </is>
      </c>
      <c r="D932" t="n">
        <v>2015</v>
      </c>
      <c r="E932" t="n">
        <v>866284.53</v>
      </c>
      <c r="F932" t="n">
        <v>6720840.82</v>
      </c>
      <c r="G932" t="n">
        <v>1276.4864</v>
      </c>
      <c r="H932" t="n">
        <v>1276.4864</v>
      </c>
      <c r="I932" t="n">
        <v>294.7432</v>
      </c>
      <c r="J932" t="n">
        <v>109.51</v>
      </c>
      <c r="K932" t="n">
        <v>834.3605</v>
      </c>
      <c r="L932" t="n">
        <v>2018</v>
      </c>
      <c r="M932" t="n">
        <v>2040</v>
      </c>
      <c r="N932" t="n">
        <v>0.3585</v>
      </c>
      <c r="O932" t="n">
        <v>0.1294</v>
      </c>
      <c r="P932" t="n">
        <v>2019</v>
      </c>
      <c r="Q932" t="n">
        <v>2030</v>
      </c>
      <c r="R932" t="n">
        <v>0.3852</v>
      </c>
      <c r="S932" t="n">
        <v>158.2904</v>
      </c>
      <c r="T932" t="n">
        <v>0.00100695</v>
      </c>
      <c r="U932" t="n">
        <v>0.00065008</v>
      </c>
    </row>
    <row r="933">
      <c r="A933" t="inlineStr">
        <is>
          <t>SUP-0094</t>
        </is>
      </c>
      <c r="B933" t="inlineStr">
        <is>
          <t>Metals Supplier 094</t>
        </is>
      </c>
      <c r="C933" t="inlineStr">
        <is>
          <t>Metals</t>
        </is>
      </c>
      <c r="D933" t="n">
        <v>2016</v>
      </c>
      <c r="E933" t="n">
        <v>855270.4399999999</v>
      </c>
      <c r="F933" t="n">
        <v>7034550.19</v>
      </c>
      <c r="G933" t="n">
        <v>1186.6227</v>
      </c>
      <c r="H933" t="n">
        <v>1186.6227</v>
      </c>
      <c r="I933" t="n">
        <v>193.77</v>
      </c>
      <c r="J933" t="n">
        <v>144.8045</v>
      </c>
      <c r="K933" t="n">
        <v>810.3453</v>
      </c>
      <c r="L933" t="n">
        <v>2018</v>
      </c>
      <c r="M933" t="n">
        <v>2040</v>
      </c>
      <c r="N933" t="n">
        <v>0.3585</v>
      </c>
      <c r="O933" t="n">
        <v>0.1294</v>
      </c>
      <c r="P933" t="n">
        <v>2019</v>
      </c>
      <c r="Q933" t="n">
        <v>2030</v>
      </c>
      <c r="R933" t="n">
        <v>0.3852</v>
      </c>
      <c r="S933" t="n">
        <v>158.2904</v>
      </c>
      <c r="T933" t="n">
        <v>0.00100695</v>
      </c>
      <c r="U933" t="n">
        <v>0.00065008</v>
      </c>
    </row>
    <row r="934">
      <c r="A934" t="inlineStr">
        <is>
          <t>SUP-0094</t>
        </is>
      </c>
      <c r="B934" t="inlineStr">
        <is>
          <t>Metals Supplier 094</t>
        </is>
      </c>
      <c r="C934" t="inlineStr">
        <is>
          <t>Metals</t>
        </is>
      </c>
      <c r="D934" t="n">
        <v>2017</v>
      </c>
      <c r="E934" t="n">
        <v>917154.38</v>
      </c>
      <c r="F934" t="n">
        <v>5828718.87</v>
      </c>
      <c r="G934" t="n">
        <v>1280.7548</v>
      </c>
      <c r="H934" t="n">
        <v>1280.7548</v>
      </c>
      <c r="I934" t="n">
        <v>253.0168</v>
      </c>
      <c r="J934" t="n">
        <v>180.6696</v>
      </c>
      <c r="K934" t="n">
        <v>971.1167</v>
      </c>
      <c r="L934" t="n">
        <v>2018</v>
      </c>
      <c r="M934" t="n">
        <v>2040</v>
      </c>
      <c r="N934" t="n">
        <v>0.3585</v>
      </c>
      <c r="O934" t="n">
        <v>0.1294</v>
      </c>
      <c r="P934" t="n">
        <v>2019</v>
      </c>
      <c r="Q934" t="n">
        <v>2030</v>
      </c>
      <c r="R934" t="n">
        <v>0.3852</v>
      </c>
      <c r="S934" t="n">
        <v>158.2904</v>
      </c>
      <c r="T934" t="n">
        <v>0.00100695</v>
      </c>
      <c r="U934" t="n">
        <v>0.00065008</v>
      </c>
    </row>
    <row r="935">
      <c r="A935" t="inlineStr">
        <is>
          <t>SUP-0094</t>
        </is>
      </c>
      <c r="B935" t="inlineStr">
        <is>
          <t>Metals Supplier 094</t>
        </is>
      </c>
      <c r="C935" t="inlineStr">
        <is>
          <t>Metals</t>
        </is>
      </c>
      <c r="D935" t="n">
        <v>2018</v>
      </c>
      <c r="E935" t="n">
        <v>923073.3100000001</v>
      </c>
      <c r="F935" t="n">
        <v>5703959.25</v>
      </c>
      <c r="G935" t="n">
        <v>1205.5522</v>
      </c>
      <c r="H935" t="n">
        <v>1205.5522</v>
      </c>
      <c r="I935" t="n">
        <v>244.4691</v>
      </c>
      <c r="J935" t="n">
        <v>149.6731</v>
      </c>
      <c r="K935" t="n">
        <v>780.7001</v>
      </c>
      <c r="L935" t="n">
        <v>2018</v>
      </c>
      <c r="M935" t="n">
        <v>2040</v>
      </c>
      <c r="N935" t="n">
        <v>0.3585</v>
      </c>
      <c r="O935" t="n">
        <v>0.1294</v>
      </c>
      <c r="P935" t="n">
        <v>2019</v>
      </c>
      <c r="Q935" t="n">
        <v>2030</v>
      </c>
      <c r="R935" t="n">
        <v>0.3852</v>
      </c>
      <c r="S935" t="n">
        <v>158.2904</v>
      </c>
      <c r="T935" t="n">
        <v>0.00100695</v>
      </c>
      <c r="U935" t="n">
        <v>0.00065008</v>
      </c>
    </row>
    <row r="936">
      <c r="A936" t="inlineStr">
        <is>
          <t>SUP-0094</t>
        </is>
      </c>
      <c r="B936" t="inlineStr">
        <is>
          <t>Metals Supplier 094</t>
        </is>
      </c>
      <c r="C936" t="inlineStr">
        <is>
          <t>Metals</t>
        </is>
      </c>
      <c r="D936" t="n">
        <v>2019</v>
      </c>
      <c r="E936" t="n">
        <v>976903.4300000001</v>
      </c>
      <c r="F936" t="n">
        <v>4819912.29</v>
      </c>
      <c r="G936" t="n">
        <v>1332.548</v>
      </c>
      <c r="H936" t="n">
        <v>1332.548</v>
      </c>
      <c r="I936" t="n">
        <v>361.7328</v>
      </c>
      <c r="J936" t="n">
        <v>269.4694</v>
      </c>
      <c r="K936" t="n">
        <v>725.1118</v>
      </c>
      <c r="L936" t="n">
        <v>2018</v>
      </c>
      <c r="M936" t="n">
        <v>2040</v>
      </c>
      <c r="N936" t="n">
        <v>0.3585</v>
      </c>
      <c r="O936" t="n">
        <v>0.1294</v>
      </c>
      <c r="P936" t="n">
        <v>2019</v>
      </c>
      <c r="Q936" t="n">
        <v>2030</v>
      </c>
      <c r="R936" t="n">
        <v>0.3852</v>
      </c>
      <c r="S936" t="n">
        <v>158.2904</v>
      </c>
      <c r="T936" t="n">
        <v>0.00100695</v>
      </c>
      <c r="U936" t="n">
        <v>0.00065008</v>
      </c>
    </row>
    <row r="937">
      <c r="A937" t="inlineStr">
        <is>
          <t>SUP-0094</t>
        </is>
      </c>
      <c r="B937" t="inlineStr">
        <is>
          <t>Metals Supplier 094</t>
        </is>
      </c>
      <c r="C937" t="inlineStr">
        <is>
          <t>Metals</t>
        </is>
      </c>
      <c r="D937" t="n">
        <v>2020</v>
      </c>
      <c r="E937" t="n">
        <v>1023725.07</v>
      </c>
      <c r="F937" t="n">
        <v>5428043.23</v>
      </c>
      <c r="G937" t="n">
        <v>1709.4585</v>
      </c>
      <c r="H937" t="n">
        <v>1709.4585</v>
      </c>
      <c r="I937" t="n">
        <v>472.6441</v>
      </c>
      <c r="J937" t="n">
        <v>145.6907</v>
      </c>
      <c r="K937" t="n">
        <v>1179.5321</v>
      </c>
      <c r="L937" t="n">
        <v>2018</v>
      </c>
      <c r="M937" t="n">
        <v>2040</v>
      </c>
      <c r="N937" t="n">
        <v>0.3585</v>
      </c>
      <c r="O937" t="n">
        <v>0.1294</v>
      </c>
      <c r="P937" t="n">
        <v>2019</v>
      </c>
      <c r="Q937" t="n">
        <v>2030</v>
      </c>
      <c r="R937" t="n">
        <v>0.3852</v>
      </c>
      <c r="S937" t="n">
        <v>158.2904</v>
      </c>
      <c r="T937" t="n">
        <v>0.00100695</v>
      </c>
      <c r="U937" t="n">
        <v>0.00065008</v>
      </c>
    </row>
    <row r="938">
      <c r="A938" t="inlineStr">
        <is>
          <t>SUP-0094</t>
        </is>
      </c>
      <c r="B938" t="inlineStr">
        <is>
          <t>Metals Supplier 094</t>
        </is>
      </c>
      <c r="C938" t="inlineStr">
        <is>
          <t>Metals</t>
        </is>
      </c>
      <c r="D938" t="n">
        <v>2021</v>
      </c>
      <c r="E938" t="n">
        <v>979155.24</v>
      </c>
      <c r="F938" t="n">
        <v>7175691</v>
      </c>
      <c r="G938" t="n">
        <v>1483.0771</v>
      </c>
      <c r="H938" t="n">
        <v>1483.0771</v>
      </c>
      <c r="I938" t="n">
        <v>407.5887</v>
      </c>
      <c r="J938" t="n">
        <v>221.9141</v>
      </c>
      <c r="K938" t="n">
        <v>847.1215999999999</v>
      </c>
      <c r="L938" t="n">
        <v>2018</v>
      </c>
      <c r="M938" t="n">
        <v>2040</v>
      </c>
      <c r="N938" t="n">
        <v>0.3585</v>
      </c>
      <c r="O938" t="n">
        <v>0.1294</v>
      </c>
      <c r="P938" t="n">
        <v>2019</v>
      </c>
      <c r="Q938" t="n">
        <v>2030</v>
      </c>
      <c r="R938" t="n">
        <v>0.3852</v>
      </c>
      <c r="S938" t="n">
        <v>158.2904</v>
      </c>
      <c r="T938" t="n">
        <v>0.00100695</v>
      </c>
      <c r="U938" t="n">
        <v>0.00065008</v>
      </c>
    </row>
    <row r="939">
      <c r="A939" t="inlineStr">
        <is>
          <t>SUP-0094</t>
        </is>
      </c>
      <c r="B939" t="inlineStr">
        <is>
          <t>Metals Supplier 094</t>
        </is>
      </c>
      <c r="C939" t="inlineStr">
        <is>
          <t>Metals</t>
        </is>
      </c>
      <c r="D939" t="n">
        <v>2022</v>
      </c>
      <c r="E939" t="n">
        <v>1206215.95</v>
      </c>
      <c r="F939" t="n">
        <v>8433334.16</v>
      </c>
      <c r="G939" t="n">
        <v>1592.03</v>
      </c>
      <c r="H939" t="n">
        <v>1592.03</v>
      </c>
      <c r="I939" t="n">
        <v>448.254</v>
      </c>
      <c r="J939" t="n">
        <v>265.3108</v>
      </c>
      <c r="K939" t="n">
        <v>924.0183</v>
      </c>
      <c r="L939" t="n">
        <v>2018</v>
      </c>
      <c r="M939" t="n">
        <v>2040</v>
      </c>
      <c r="N939" t="n">
        <v>0.3585</v>
      </c>
      <c r="O939" t="n">
        <v>0.1294</v>
      </c>
      <c r="P939" t="n">
        <v>2019</v>
      </c>
      <c r="Q939" t="n">
        <v>2030</v>
      </c>
      <c r="R939" t="n">
        <v>0.3852</v>
      </c>
      <c r="S939" t="n">
        <v>158.2904</v>
      </c>
      <c r="T939" t="n">
        <v>0.00100695</v>
      </c>
      <c r="U939" t="n">
        <v>0.00065008</v>
      </c>
    </row>
    <row r="940">
      <c r="A940" t="inlineStr">
        <is>
          <t>SUP-0094</t>
        </is>
      </c>
      <c r="B940" t="inlineStr">
        <is>
          <t>Metals Supplier 094</t>
        </is>
      </c>
      <c r="C940" t="inlineStr">
        <is>
          <t>Metals</t>
        </is>
      </c>
      <c r="D940" t="n">
        <v>2023</v>
      </c>
      <c r="E940" t="n">
        <v>1005605.78</v>
      </c>
      <c r="F940" t="n">
        <v>8115824.99</v>
      </c>
      <c r="G940" t="n">
        <v>1315.6252</v>
      </c>
      <c r="H940" t="n">
        <v>1315.6252</v>
      </c>
      <c r="I940" t="n">
        <v>326.6569</v>
      </c>
      <c r="J940" t="n">
        <v>304.3544</v>
      </c>
      <c r="K940" t="n">
        <v>715.5304</v>
      </c>
      <c r="L940" t="n">
        <v>2018</v>
      </c>
      <c r="M940" t="n">
        <v>2040</v>
      </c>
      <c r="N940" t="n">
        <v>0.3585</v>
      </c>
      <c r="O940" t="n">
        <v>0.1294</v>
      </c>
      <c r="P940" t="n">
        <v>2019</v>
      </c>
      <c r="Q940" t="n">
        <v>2030</v>
      </c>
      <c r="R940" t="n">
        <v>0.3852</v>
      </c>
      <c r="S940" t="n">
        <v>158.2904</v>
      </c>
      <c r="T940" t="n">
        <v>0.00100695</v>
      </c>
      <c r="U940" t="n">
        <v>0.00065008</v>
      </c>
    </row>
    <row r="941">
      <c r="A941" t="inlineStr">
        <is>
          <t>SUP-0094</t>
        </is>
      </c>
      <c r="B941" t="inlineStr">
        <is>
          <t>Metals Supplier 094</t>
        </is>
      </c>
      <c r="C941" t="inlineStr">
        <is>
          <t>Metals</t>
        </is>
      </c>
      <c r="D941" t="n">
        <v>2024</v>
      </c>
      <c r="E941" t="n">
        <v>958604.38</v>
      </c>
      <c r="F941" t="n">
        <v>6693713.02</v>
      </c>
      <c r="G941" t="n">
        <v>1346.2844</v>
      </c>
      <c r="H941" t="n">
        <v>1346.2844</v>
      </c>
      <c r="I941" t="n">
        <v>335.8897</v>
      </c>
      <c r="J941" t="n">
        <v>112.1387</v>
      </c>
      <c r="K941" t="n">
        <v>887.664</v>
      </c>
      <c r="L941" t="n">
        <v>2018</v>
      </c>
      <c r="M941" t="n">
        <v>2040</v>
      </c>
      <c r="N941" t="n">
        <v>0.3585</v>
      </c>
      <c r="O941" t="n">
        <v>0.1294</v>
      </c>
      <c r="P941" t="n">
        <v>2019</v>
      </c>
      <c r="Q941" t="n">
        <v>2030</v>
      </c>
      <c r="R941" t="n">
        <v>0.3852</v>
      </c>
      <c r="S941" t="n">
        <v>158.2904</v>
      </c>
      <c r="T941" t="n">
        <v>0.00100695</v>
      </c>
      <c r="U941" t="n">
        <v>0.00065008</v>
      </c>
    </row>
    <row r="942">
      <c r="A942" t="inlineStr">
        <is>
          <t>SUP-0095</t>
        </is>
      </c>
      <c r="B942" t="inlineStr">
        <is>
          <t>Agriculture Supplier 095</t>
        </is>
      </c>
      <c r="C942" t="inlineStr">
        <is>
          <t>Agriculture</t>
        </is>
      </c>
      <c r="D942" t="n">
        <v>2015</v>
      </c>
      <c r="E942" t="n">
        <v>9334226.470000001</v>
      </c>
      <c r="F942" t="n">
        <v>60273342.81</v>
      </c>
      <c r="G942" t="n">
        <v>6697.6837</v>
      </c>
      <c r="H942" t="n">
        <v>6697.6837</v>
      </c>
      <c r="I942" t="n">
        <v>612.7849</v>
      </c>
      <c r="J942" t="n">
        <v>592.8647</v>
      </c>
      <c r="K942" t="n">
        <v>5527.401</v>
      </c>
      <c r="L942" t="n">
        <v>2018</v>
      </c>
      <c r="M942" t="n">
        <v>2040</v>
      </c>
      <c r="N942" t="n">
        <v>0.4968</v>
      </c>
      <c r="O942" t="n">
        <v>0.2905</v>
      </c>
      <c r="P942" t="n">
        <v>2018</v>
      </c>
      <c r="Q942" t="inlineStr"/>
      <c r="R942" t="inlineStr"/>
      <c r="S942" t="n">
        <v>529.8294</v>
      </c>
      <c r="T942" t="n">
        <v>0.00091413</v>
      </c>
      <c r="U942" t="n">
        <v>0.00096913</v>
      </c>
    </row>
    <row r="943">
      <c r="A943" t="inlineStr">
        <is>
          <t>SUP-0095</t>
        </is>
      </c>
      <c r="B943" t="inlineStr">
        <is>
          <t>Agriculture Supplier 095</t>
        </is>
      </c>
      <c r="C943" t="inlineStr">
        <is>
          <t>Agriculture</t>
        </is>
      </c>
      <c r="D943" t="n">
        <v>2016</v>
      </c>
      <c r="E943" t="n">
        <v>12705336.06</v>
      </c>
      <c r="F943" t="n">
        <v>60699395.46</v>
      </c>
      <c r="G943" t="n">
        <v>9037.1302</v>
      </c>
      <c r="H943" t="n">
        <v>9037.1302</v>
      </c>
      <c r="I943" t="n">
        <v>2104.805</v>
      </c>
      <c r="J943" t="n">
        <v>666.8315</v>
      </c>
      <c r="K943" t="n">
        <v>6354.32</v>
      </c>
      <c r="L943" t="n">
        <v>2018</v>
      </c>
      <c r="M943" t="n">
        <v>2040</v>
      </c>
      <c r="N943" t="n">
        <v>0.4968</v>
      </c>
      <c r="O943" t="n">
        <v>0.2905</v>
      </c>
      <c r="P943" t="n">
        <v>2018</v>
      </c>
      <c r="Q943" t="inlineStr"/>
      <c r="R943" t="inlineStr"/>
      <c r="S943" t="n">
        <v>529.8294</v>
      </c>
      <c r="T943" t="n">
        <v>0.00091413</v>
      </c>
      <c r="U943" t="n">
        <v>0.00096913</v>
      </c>
    </row>
    <row r="944">
      <c r="A944" t="inlineStr">
        <is>
          <t>SUP-0095</t>
        </is>
      </c>
      <c r="B944" t="inlineStr">
        <is>
          <t>Agriculture Supplier 095</t>
        </is>
      </c>
      <c r="C944" t="inlineStr">
        <is>
          <t>Agriculture</t>
        </is>
      </c>
      <c r="D944" t="n">
        <v>2017</v>
      </c>
      <c r="E944" t="n">
        <v>11781111.26</v>
      </c>
      <c r="F944" t="n">
        <v>53519775.17</v>
      </c>
      <c r="G944" t="n">
        <v>7752.0249</v>
      </c>
      <c r="H944" t="n">
        <v>7752.0249</v>
      </c>
      <c r="I944" t="n">
        <v>1913.5267</v>
      </c>
      <c r="J944" t="n">
        <v>1044.4467</v>
      </c>
      <c r="K944" t="n">
        <v>4865.0835</v>
      </c>
      <c r="L944" t="n">
        <v>2018</v>
      </c>
      <c r="M944" t="n">
        <v>2040</v>
      </c>
      <c r="N944" t="n">
        <v>0.4968</v>
      </c>
      <c r="O944" t="n">
        <v>0.2905</v>
      </c>
      <c r="P944" t="n">
        <v>2018</v>
      </c>
      <c r="Q944" t="inlineStr"/>
      <c r="R944" t="inlineStr"/>
      <c r="S944" t="n">
        <v>529.8294</v>
      </c>
      <c r="T944" t="n">
        <v>0.00091413</v>
      </c>
      <c r="U944" t="n">
        <v>0.00096913</v>
      </c>
    </row>
    <row r="945">
      <c r="A945" t="inlineStr">
        <is>
          <t>SUP-0095</t>
        </is>
      </c>
      <c r="B945" t="inlineStr">
        <is>
          <t>Agriculture Supplier 095</t>
        </is>
      </c>
      <c r="C945" t="inlineStr">
        <is>
          <t>Agriculture</t>
        </is>
      </c>
      <c r="D945" t="n">
        <v>2018</v>
      </c>
      <c r="E945" t="n">
        <v>14223681.76</v>
      </c>
      <c r="F945" t="n">
        <v>64108697.24</v>
      </c>
      <c r="G945" t="n">
        <v>8592.3112</v>
      </c>
      <c r="H945" t="n">
        <v>8592.3112</v>
      </c>
      <c r="I945" t="n">
        <v>2052.1908</v>
      </c>
      <c r="J945" t="n">
        <v>1499.442</v>
      </c>
      <c r="K945" t="n">
        <v>4636.3459</v>
      </c>
      <c r="L945" t="n">
        <v>2018</v>
      </c>
      <c r="M945" t="n">
        <v>2040</v>
      </c>
      <c r="N945" t="n">
        <v>0.4968</v>
      </c>
      <c r="O945" t="n">
        <v>0.2905</v>
      </c>
      <c r="P945" t="n">
        <v>2018</v>
      </c>
      <c r="Q945" t="inlineStr"/>
      <c r="R945" t="inlineStr"/>
      <c r="S945" t="n">
        <v>529.8294</v>
      </c>
      <c r="T945" t="n">
        <v>0.00091413</v>
      </c>
      <c r="U945" t="n">
        <v>0.00096913</v>
      </c>
    </row>
    <row r="946">
      <c r="A946" t="inlineStr">
        <is>
          <t>SUP-0095</t>
        </is>
      </c>
      <c r="B946" t="inlineStr">
        <is>
          <t>Agriculture Supplier 095</t>
        </is>
      </c>
      <c r="C946" t="inlineStr">
        <is>
          <t>Agriculture</t>
        </is>
      </c>
      <c r="D946" t="n">
        <v>2019</v>
      </c>
      <c r="E946" t="n">
        <v>15356761.9</v>
      </c>
      <c r="F946" t="n">
        <v>74165268.06</v>
      </c>
      <c r="G946" t="n">
        <v>9193.855</v>
      </c>
      <c r="H946" t="n">
        <v>9193.855</v>
      </c>
      <c r="I946" t="n">
        <v>1954.5482</v>
      </c>
      <c r="J946" t="n">
        <v>1859.7306</v>
      </c>
      <c r="K946" t="n">
        <v>5340.8464</v>
      </c>
      <c r="L946" t="n">
        <v>2018</v>
      </c>
      <c r="M946" t="n">
        <v>2040</v>
      </c>
      <c r="N946" t="n">
        <v>0.4968</v>
      </c>
      <c r="O946" t="n">
        <v>0.2905</v>
      </c>
      <c r="P946" t="n">
        <v>2018</v>
      </c>
      <c r="Q946" t="inlineStr"/>
      <c r="R946" t="inlineStr"/>
      <c r="S946" t="n">
        <v>529.8294</v>
      </c>
      <c r="T946" t="n">
        <v>0.00091413</v>
      </c>
      <c r="U946" t="n">
        <v>0.00096913</v>
      </c>
    </row>
    <row r="947">
      <c r="A947" t="inlineStr">
        <is>
          <t>SUP-0095</t>
        </is>
      </c>
      <c r="B947" t="inlineStr">
        <is>
          <t>Agriculture Supplier 095</t>
        </is>
      </c>
      <c r="C947" t="inlineStr">
        <is>
          <t>Agriculture</t>
        </is>
      </c>
      <c r="D947" t="n">
        <v>2020</v>
      </c>
      <c r="E947" t="n">
        <v>14832117.21</v>
      </c>
      <c r="F947" t="n">
        <v>68023118.45</v>
      </c>
      <c r="G947" t="n">
        <v>7590.6999</v>
      </c>
      <c r="H947" t="n">
        <v>7590.6999</v>
      </c>
      <c r="I947" t="n">
        <v>1559.4391</v>
      </c>
      <c r="J947" t="n">
        <v>693.5438</v>
      </c>
      <c r="K947" t="n">
        <v>5709.848</v>
      </c>
      <c r="L947" t="n">
        <v>2018</v>
      </c>
      <c r="M947" t="n">
        <v>2040</v>
      </c>
      <c r="N947" t="n">
        <v>0.4968</v>
      </c>
      <c r="O947" t="n">
        <v>0.2905</v>
      </c>
      <c r="P947" t="n">
        <v>2018</v>
      </c>
      <c r="Q947" t="inlineStr"/>
      <c r="R947" t="inlineStr"/>
      <c r="S947" t="n">
        <v>529.8294</v>
      </c>
      <c r="T947" t="n">
        <v>0.00091413</v>
      </c>
      <c r="U947" t="n">
        <v>0.00096913</v>
      </c>
    </row>
    <row r="948">
      <c r="A948" t="inlineStr">
        <is>
          <t>SUP-0095</t>
        </is>
      </c>
      <c r="B948" t="inlineStr">
        <is>
          <t>Agriculture Supplier 095</t>
        </is>
      </c>
      <c r="C948" t="inlineStr">
        <is>
          <t>Agriculture</t>
        </is>
      </c>
      <c r="D948" t="n">
        <v>2021</v>
      </c>
      <c r="E948" t="n">
        <v>15078892.58</v>
      </c>
      <c r="F948" t="n">
        <v>93537571.83</v>
      </c>
      <c r="G948" t="n">
        <v>7723.3408</v>
      </c>
      <c r="H948" t="n">
        <v>7723.3408</v>
      </c>
      <c r="I948" t="n">
        <v>1946.5401</v>
      </c>
      <c r="J948" t="n">
        <v>1068.144</v>
      </c>
      <c r="K948" t="n">
        <v>4832.7716</v>
      </c>
      <c r="L948" t="n">
        <v>2018</v>
      </c>
      <c r="M948" t="n">
        <v>2040</v>
      </c>
      <c r="N948" t="n">
        <v>0.4968</v>
      </c>
      <c r="O948" t="n">
        <v>0.2905</v>
      </c>
      <c r="P948" t="n">
        <v>2018</v>
      </c>
      <c r="Q948" t="inlineStr"/>
      <c r="R948" t="inlineStr"/>
      <c r="S948" t="n">
        <v>529.8294</v>
      </c>
      <c r="T948" t="n">
        <v>0.00091413</v>
      </c>
      <c r="U948" t="n">
        <v>0.00096913</v>
      </c>
    </row>
    <row r="949">
      <c r="A949" t="inlineStr">
        <is>
          <t>SUP-0095</t>
        </is>
      </c>
      <c r="B949" t="inlineStr">
        <is>
          <t>Agriculture Supplier 095</t>
        </is>
      </c>
      <c r="C949" t="inlineStr">
        <is>
          <t>Agriculture</t>
        </is>
      </c>
      <c r="D949" t="n">
        <v>2022</v>
      </c>
      <c r="E949" t="n">
        <v>18456733.94</v>
      </c>
      <c r="F949" t="n">
        <v>83693085.72</v>
      </c>
      <c r="G949" t="n">
        <v>8931.9566</v>
      </c>
      <c r="H949" t="n">
        <v>8931.9566</v>
      </c>
      <c r="I949" t="n">
        <v>1401.0016</v>
      </c>
      <c r="J949" t="n">
        <v>1939.1802</v>
      </c>
      <c r="K949" t="n">
        <v>5649.2496</v>
      </c>
      <c r="L949" t="n">
        <v>2018</v>
      </c>
      <c r="M949" t="n">
        <v>2040</v>
      </c>
      <c r="N949" t="n">
        <v>0.4968</v>
      </c>
      <c r="O949" t="n">
        <v>0.2905</v>
      </c>
      <c r="P949" t="n">
        <v>2018</v>
      </c>
      <c r="Q949" t="inlineStr"/>
      <c r="R949" t="inlineStr"/>
      <c r="S949" t="n">
        <v>529.8294</v>
      </c>
      <c r="T949" t="n">
        <v>0.00091413</v>
      </c>
      <c r="U949" t="n">
        <v>0.00096913</v>
      </c>
    </row>
    <row r="950">
      <c r="A950" t="inlineStr">
        <is>
          <t>SUP-0095</t>
        </is>
      </c>
      <c r="B950" t="inlineStr">
        <is>
          <t>Agriculture Supplier 095</t>
        </is>
      </c>
      <c r="C950" t="inlineStr">
        <is>
          <t>Agriculture</t>
        </is>
      </c>
      <c r="D950" t="n">
        <v>2023</v>
      </c>
      <c r="E950" t="n">
        <v>20475689.95</v>
      </c>
      <c r="F950" t="n">
        <v>64575317.07</v>
      </c>
      <c r="G950" t="n">
        <v>9648.263199999999</v>
      </c>
      <c r="H950" t="n">
        <v>9648.263199999999</v>
      </c>
      <c r="I950" t="n">
        <v>1062.6615</v>
      </c>
      <c r="J950" t="n">
        <v>1075.1856</v>
      </c>
      <c r="K950" t="n">
        <v>7613.2875</v>
      </c>
      <c r="L950" t="n">
        <v>2018</v>
      </c>
      <c r="M950" t="n">
        <v>2040</v>
      </c>
      <c r="N950" t="n">
        <v>0.4968</v>
      </c>
      <c r="O950" t="n">
        <v>0.2905</v>
      </c>
      <c r="P950" t="n">
        <v>2018</v>
      </c>
      <c r="Q950" t="inlineStr"/>
      <c r="R950" t="inlineStr"/>
      <c r="S950" t="n">
        <v>529.8294</v>
      </c>
      <c r="T950" t="n">
        <v>0.00091413</v>
      </c>
      <c r="U950" t="n">
        <v>0.00096913</v>
      </c>
    </row>
    <row r="951">
      <c r="A951" t="inlineStr">
        <is>
          <t>SUP-0095</t>
        </is>
      </c>
      <c r="B951" t="inlineStr">
        <is>
          <t>Agriculture Supplier 095</t>
        </is>
      </c>
      <c r="C951" t="inlineStr">
        <is>
          <t>Agriculture</t>
        </is>
      </c>
      <c r="D951" t="n">
        <v>2024</v>
      </c>
      <c r="E951" t="n">
        <v>20340938.88</v>
      </c>
      <c r="F951" t="n">
        <v>109469999.08</v>
      </c>
      <c r="G951" t="n">
        <v>7950.7444</v>
      </c>
      <c r="H951" t="n">
        <v>7950.7444</v>
      </c>
      <c r="I951" t="n">
        <v>2011.7181</v>
      </c>
      <c r="J951" t="n">
        <v>677.3013999999999</v>
      </c>
      <c r="K951" t="n">
        <v>4842.7849</v>
      </c>
      <c r="L951" t="n">
        <v>2018</v>
      </c>
      <c r="M951" t="n">
        <v>2040</v>
      </c>
      <c r="N951" t="n">
        <v>0.4968</v>
      </c>
      <c r="O951" t="n">
        <v>0.2905</v>
      </c>
      <c r="P951" t="n">
        <v>2018</v>
      </c>
      <c r="Q951" t="inlineStr"/>
      <c r="R951" t="inlineStr"/>
      <c r="S951" t="n">
        <v>529.8294</v>
      </c>
      <c r="T951" t="n">
        <v>0.00091413</v>
      </c>
      <c r="U951" t="n">
        <v>0.00096913</v>
      </c>
    </row>
    <row r="952">
      <c r="A952" t="inlineStr">
        <is>
          <t>SUP-0096</t>
        </is>
      </c>
      <c r="B952" t="inlineStr">
        <is>
          <t>Agriculture Supplier 096</t>
        </is>
      </c>
      <c r="C952" t="inlineStr">
        <is>
          <t>Agriculture</t>
        </is>
      </c>
      <c r="D952" t="n">
        <v>2015</v>
      </c>
      <c r="E952" t="n">
        <v>6822537.09</v>
      </c>
      <c r="F952" t="n">
        <v>22575394.4</v>
      </c>
      <c r="G952" t="n">
        <v>6586.4424</v>
      </c>
      <c r="H952" t="n">
        <v>6586.4424</v>
      </c>
      <c r="I952" t="n">
        <v>738.0848999999999</v>
      </c>
      <c r="J952" t="n">
        <v>738.0645</v>
      </c>
      <c r="K952" t="n">
        <v>5373.5256</v>
      </c>
      <c r="L952" t="n">
        <v>2021</v>
      </c>
      <c r="M952" t="n">
        <v>2040</v>
      </c>
      <c r="N952" t="n">
        <v>0.619</v>
      </c>
      <c r="O952" t="n">
        <v>0.2241</v>
      </c>
      <c r="P952" t="n">
        <v>2018</v>
      </c>
      <c r="Q952" t="inlineStr"/>
      <c r="R952" t="inlineStr"/>
      <c r="S952" t="n">
        <v>529.8294</v>
      </c>
      <c r="T952" t="n">
        <v>0.00091413</v>
      </c>
      <c r="U952" t="n">
        <v>0.00096913</v>
      </c>
    </row>
    <row r="953">
      <c r="A953" t="inlineStr">
        <is>
          <t>SUP-0096</t>
        </is>
      </c>
      <c r="B953" t="inlineStr">
        <is>
          <t>Agriculture Supplier 096</t>
        </is>
      </c>
      <c r="C953" t="inlineStr">
        <is>
          <t>Agriculture</t>
        </is>
      </c>
      <c r="D953" t="n">
        <v>2016</v>
      </c>
      <c r="E953" t="n">
        <v>6600491.22</v>
      </c>
      <c r="F953" t="n">
        <v>24111414.13</v>
      </c>
      <c r="G953" t="n">
        <v>6381.8432</v>
      </c>
      <c r="H953" t="n">
        <v>6381.8432</v>
      </c>
      <c r="I953" t="n">
        <v>1513.0369</v>
      </c>
      <c r="J953" t="n">
        <v>540.2131000000001</v>
      </c>
      <c r="K953" t="n">
        <v>4681.6269</v>
      </c>
      <c r="L953" t="n">
        <v>2021</v>
      </c>
      <c r="M953" t="n">
        <v>2040</v>
      </c>
      <c r="N953" t="n">
        <v>0.619</v>
      </c>
      <c r="O953" t="n">
        <v>0.2241</v>
      </c>
      <c r="P953" t="n">
        <v>2018</v>
      </c>
      <c r="Q953" t="inlineStr"/>
      <c r="R953" t="inlineStr"/>
      <c r="S953" t="n">
        <v>529.8294</v>
      </c>
      <c r="T953" t="n">
        <v>0.00091413</v>
      </c>
      <c r="U953" t="n">
        <v>0.00096913</v>
      </c>
    </row>
    <row r="954">
      <c r="A954" t="inlineStr">
        <is>
          <t>SUP-0096</t>
        </is>
      </c>
      <c r="B954" t="inlineStr">
        <is>
          <t>Agriculture Supplier 096</t>
        </is>
      </c>
      <c r="C954" t="inlineStr">
        <is>
          <t>Agriculture</t>
        </is>
      </c>
      <c r="D954" t="n">
        <v>2017</v>
      </c>
      <c r="E954" t="n">
        <v>8827197.26</v>
      </c>
      <c r="F954" t="n">
        <v>24141246.05</v>
      </c>
      <c r="G954" t="n">
        <v>6620.1503</v>
      </c>
      <c r="H954" t="n">
        <v>6620.1503</v>
      </c>
      <c r="I954" t="n">
        <v>732.1153</v>
      </c>
      <c r="J954" t="n">
        <v>678.9549</v>
      </c>
      <c r="K954" t="n">
        <v>4873.4746</v>
      </c>
      <c r="L954" t="n">
        <v>2021</v>
      </c>
      <c r="M954" t="n">
        <v>2040</v>
      </c>
      <c r="N954" t="n">
        <v>0.619</v>
      </c>
      <c r="O954" t="n">
        <v>0.2241</v>
      </c>
      <c r="P954" t="n">
        <v>2018</v>
      </c>
      <c r="Q954" t="inlineStr"/>
      <c r="R954" t="inlineStr"/>
      <c r="S954" t="n">
        <v>529.8294</v>
      </c>
      <c r="T954" t="n">
        <v>0.00091413</v>
      </c>
      <c r="U954" t="n">
        <v>0.00096913</v>
      </c>
    </row>
    <row r="955">
      <c r="A955" t="inlineStr">
        <is>
          <t>SUP-0096</t>
        </is>
      </c>
      <c r="B955" t="inlineStr">
        <is>
          <t>Agriculture Supplier 096</t>
        </is>
      </c>
      <c r="C955" t="inlineStr">
        <is>
          <t>Agriculture</t>
        </is>
      </c>
      <c r="D955" t="n">
        <v>2018</v>
      </c>
      <c r="E955" t="n">
        <v>9608723.949999999</v>
      </c>
      <c r="F955" t="n">
        <v>26017656.56</v>
      </c>
      <c r="G955" t="n">
        <v>7103.229</v>
      </c>
      <c r="H955" t="n">
        <v>7103.229</v>
      </c>
      <c r="I955" t="n">
        <v>863.8228</v>
      </c>
      <c r="J955" t="n">
        <v>1365.2203</v>
      </c>
      <c r="K955" t="n">
        <v>4459.1969</v>
      </c>
      <c r="L955" t="n">
        <v>2021</v>
      </c>
      <c r="M955" t="n">
        <v>2040</v>
      </c>
      <c r="N955" t="n">
        <v>0.619</v>
      </c>
      <c r="O955" t="n">
        <v>0.2241</v>
      </c>
      <c r="P955" t="n">
        <v>2018</v>
      </c>
      <c r="Q955" t="inlineStr"/>
      <c r="R955" t="inlineStr"/>
      <c r="S955" t="n">
        <v>529.8294</v>
      </c>
      <c r="T955" t="n">
        <v>0.00091413</v>
      </c>
      <c r="U955" t="n">
        <v>0.00096913</v>
      </c>
    </row>
    <row r="956">
      <c r="A956" t="inlineStr">
        <is>
          <t>SUP-0096</t>
        </is>
      </c>
      <c r="B956" t="inlineStr">
        <is>
          <t>Agriculture Supplier 096</t>
        </is>
      </c>
      <c r="C956" t="inlineStr">
        <is>
          <t>Agriculture</t>
        </is>
      </c>
      <c r="D956" t="n">
        <v>2019</v>
      </c>
      <c r="E956" t="n">
        <v>10262556.65</v>
      </c>
      <c r="F956" t="n">
        <v>20757427.39</v>
      </c>
      <c r="G956" t="n">
        <v>7120.6758</v>
      </c>
      <c r="H956" t="n">
        <v>7120.6758</v>
      </c>
      <c r="I956" t="n">
        <v>940.9936</v>
      </c>
      <c r="J956" t="n">
        <v>873.7059</v>
      </c>
      <c r="K956" t="n">
        <v>5675.035</v>
      </c>
      <c r="L956" t="n">
        <v>2021</v>
      </c>
      <c r="M956" t="n">
        <v>2040</v>
      </c>
      <c r="N956" t="n">
        <v>0.619</v>
      </c>
      <c r="O956" t="n">
        <v>0.2241</v>
      </c>
      <c r="P956" t="n">
        <v>2018</v>
      </c>
      <c r="Q956" t="inlineStr"/>
      <c r="R956" t="inlineStr"/>
      <c r="S956" t="n">
        <v>529.8294</v>
      </c>
      <c r="T956" t="n">
        <v>0.00091413</v>
      </c>
      <c r="U956" t="n">
        <v>0.00096913</v>
      </c>
    </row>
    <row r="957">
      <c r="A957" t="inlineStr">
        <is>
          <t>SUP-0096</t>
        </is>
      </c>
      <c r="B957" t="inlineStr">
        <is>
          <t>Agriculture Supplier 096</t>
        </is>
      </c>
      <c r="C957" t="inlineStr">
        <is>
          <t>Agriculture</t>
        </is>
      </c>
      <c r="D957" t="n">
        <v>2020</v>
      </c>
      <c r="E957" t="n">
        <v>10387861.78</v>
      </c>
      <c r="F957" t="n">
        <v>25118195.36</v>
      </c>
      <c r="G957" t="n">
        <v>7430.0338</v>
      </c>
      <c r="H957" t="n">
        <v>7430.0338</v>
      </c>
      <c r="I957" t="n">
        <v>1450.7566</v>
      </c>
      <c r="J957" t="n">
        <v>935.4142000000001</v>
      </c>
      <c r="K957" t="n">
        <v>4901.4448</v>
      </c>
      <c r="L957" t="n">
        <v>2021</v>
      </c>
      <c r="M957" t="n">
        <v>2040</v>
      </c>
      <c r="N957" t="n">
        <v>0.619</v>
      </c>
      <c r="O957" t="n">
        <v>0.2241</v>
      </c>
      <c r="P957" t="n">
        <v>2018</v>
      </c>
      <c r="Q957" t="inlineStr"/>
      <c r="R957" t="inlineStr"/>
      <c r="S957" t="n">
        <v>529.8294</v>
      </c>
      <c r="T957" t="n">
        <v>0.00091413</v>
      </c>
      <c r="U957" t="n">
        <v>0.00096913</v>
      </c>
    </row>
    <row r="958">
      <c r="A958" t="inlineStr">
        <is>
          <t>SUP-0096</t>
        </is>
      </c>
      <c r="B958" t="inlineStr">
        <is>
          <t>Agriculture Supplier 096</t>
        </is>
      </c>
      <c r="C958" t="inlineStr">
        <is>
          <t>Agriculture</t>
        </is>
      </c>
      <c r="D958" t="n">
        <v>2021</v>
      </c>
      <c r="E958" t="n">
        <v>12294743.13</v>
      </c>
      <c r="F958" t="n">
        <v>34861714.73</v>
      </c>
      <c r="G958" t="n">
        <v>9534.151599999999</v>
      </c>
      <c r="H958" t="n">
        <v>9534.151599999999</v>
      </c>
      <c r="I958" t="n">
        <v>966.4601</v>
      </c>
      <c r="J958" t="n">
        <v>1647.8981</v>
      </c>
      <c r="K958" t="n">
        <v>6371.2657</v>
      </c>
      <c r="L958" t="n">
        <v>2021</v>
      </c>
      <c r="M958" t="n">
        <v>2040</v>
      </c>
      <c r="N958" t="n">
        <v>0.619</v>
      </c>
      <c r="O958" t="n">
        <v>0.2241</v>
      </c>
      <c r="P958" t="n">
        <v>2018</v>
      </c>
      <c r="Q958" t="inlineStr"/>
      <c r="R958" t="inlineStr"/>
      <c r="S958" t="n">
        <v>529.8294</v>
      </c>
      <c r="T958" t="n">
        <v>0.00091413</v>
      </c>
      <c r="U958" t="n">
        <v>0.00096913</v>
      </c>
    </row>
    <row r="959">
      <c r="A959" t="inlineStr">
        <is>
          <t>SUP-0096</t>
        </is>
      </c>
      <c r="B959" t="inlineStr">
        <is>
          <t>Agriculture Supplier 096</t>
        </is>
      </c>
      <c r="C959" t="inlineStr">
        <is>
          <t>Agriculture</t>
        </is>
      </c>
      <c r="D959" t="n">
        <v>2022</v>
      </c>
      <c r="E959" t="n">
        <v>12212339.96</v>
      </c>
      <c r="F959" t="n">
        <v>37811290.35</v>
      </c>
      <c r="G959" t="n">
        <v>7108.2142</v>
      </c>
      <c r="H959" t="n">
        <v>7108.2142</v>
      </c>
      <c r="I959" t="n">
        <v>1809.565</v>
      </c>
      <c r="J959" t="n">
        <v>1068.9714</v>
      </c>
      <c r="K959" t="n">
        <v>4760.5248</v>
      </c>
      <c r="L959" t="n">
        <v>2021</v>
      </c>
      <c r="M959" t="n">
        <v>2040</v>
      </c>
      <c r="N959" t="n">
        <v>0.619</v>
      </c>
      <c r="O959" t="n">
        <v>0.2241</v>
      </c>
      <c r="P959" t="n">
        <v>2018</v>
      </c>
      <c r="Q959" t="inlineStr"/>
      <c r="R959" t="inlineStr"/>
      <c r="S959" t="n">
        <v>529.8294</v>
      </c>
      <c r="T959" t="n">
        <v>0.00091413</v>
      </c>
      <c r="U959" t="n">
        <v>0.00096913</v>
      </c>
    </row>
    <row r="960">
      <c r="A960" t="inlineStr">
        <is>
          <t>SUP-0096</t>
        </is>
      </c>
      <c r="B960" t="inlineStr">
        <is>
          <t>Agriculture Supplier 096</t>
        </is>
      </c>
      <c r="C960" t="inlineStr">
        <is>
          <t>Agriculture</t>
        </is>
      </c>
      <c r="D960" t="n">
        <v>2023</v>
      </c>
      <c r="E960" t="n">
        <v>12083566.3</v>
      </c>
      <c r="F960" t="n">
        <v>38140212.01</v>
      </c>
      <c r="G960" t="n">
        <v>8014.9482</v>
      </c>
      <c r="H960" t="n">
        <v>8014.9482</v>
      </c>
      <c r="I960" t="n">
        <v>1874.9921</v>
      </c>
      <c r="J960" t="n">
        <v>1192.1678</v>
      </c>
      <c r="K960" t="n">
        <v>5522.8877</v>
      </c>
      <c r="L960" t="n">
        <v>2021</v>
      </c>
      <c r="M960" t="n">
        <v>2040</v>
      </c>
      <c r="N960" t="n">
        <v>0.619</v>
      </c>
      <c r="O960" t="n">
        <v>0.2241</v>
      </c>
      <c r="P960" t="n">
        <v>2018</v>
      </c>
      <c r="Q960" t="inlineStr"/>
      <c r="R960" t="inlineStr"/>
      <c r="S960" t="n">
        <v>529.8294</v>
      </c>
      <c r="T960" t="n">
        <v>0.00091413</v>
      </c>
      <c r="U960" t="n">
        <v>0.00096913</v>
      </c>
    </row>
    <row r="961">
      <c r="A961" t="inlineStr">
        <is>
          <t>SUP-0096</t>
        </is>
      </c>
      <c r="B961" t="inlineStr">
        <is>
          <t>Agriculture Supplier 096</t>
        </is>
      </c>
      <c r="C961" t="inlineStr">
        <is>
          <t>Agriculture</t>
        </is>
      </c>
      <c r="D961" t="n">
        <v>2024</v>
      </c>
      <c r="E961" t="n">
        <v>12926260.84</v>
      </c>
      <c r="F961" t="n">
        <v>51411015.33</v>
      </c>
      <c r="G961" t="n">
        <v>8606.8631</v>
      </c>
      <c r="H961" t="n">
        <v>8606.8631</v>
      </c>
      <c r="I961" t="n">
        <v>1982.4204</v>
      </c>
      <c r="J961" t="n">
        <v>1882.2176</v>
      </c>
      <c r="K961" t="n">
        <v>4804.9529</v>
      </c>
      <c r="L961" t="n">
        <v>2021</v>
      </c>
      <c r="M961" t="n">
        <v>2040</v>
      </c>
      <c r="N961" t="n">
        <v>0.619</v>
      </c>
      <c r="O961" t="n">
        <v>0.2241</v>
      </c>
      <c r="P961" t="n">
        <v>2018</v>
      </c>
      <c r="Q961" t="inlineStr"/>
      <c r="R961" t="inlineStr"/>
      <c r="S961" t="n">
        <v>529.8294</v>
      </c>
      <c r="T961" t="n">
        <v>0.00091413</v>
      </c>
      <c r="U961" t="n">
        <v>0.00096913</v>
      </c>
    </row>
    <row r="962">
      <c r="A962" t="inlineStr">
        <is>
          <t>SUP-0097</t>
        </is>
      </c>
      <c r="B962" t="inlineStr">
        <is>
          <t>Metals Supplier 097</t>
        </is>
      </c>
      <c r="C962" t="inlineStr">
        <is>
          <t>Metals</t>
        </is>
      </c>
      <c r="D962" t="n">
        <v>2015</v>
      </c>
      <c r="E962" t="n">
        <v>22518234.23</v>
      </c>
      <c r="F962" t="n">
        <v>138405268.2</v>
      </c>
      <c r="G962" t="n">
        <v>19233.8585</v>
      </c>
      <c r="H962" t="n">
        <v>19233.8585</v>
      </c>
      <c r="I962" t="n">
        <v>2761.2031</v>
      </c>
      <c r="J962" t="n">
        <v>2874.7145</v>
      </c>
      <c r="K962" t="n">
        <v>14318.649</v>
      </c>
      <c r="L962" t="n">
        <v>2018</v>
      </c>
      <c r="M962" t="n">
        <v>2030</v>
      </c>
      <c r="N962" t="n">
        <v>0.503</v>
      </c>
      <c r="O962" t="n">
        <v>0.297</v>
      </c>
      <c r="P962" t="n">
        <v>2019</v>
      </c>
      <c r="Q962" t="n">
        <v>2030</v>
      </c>
      <c r="R962" t="n">
        <v>0.3852</v>
      </c>
      <c r="S962" t="n">
        <v>158.2904</v>
      </c>
      <c r="T962" t="n">
        <v>0.00100695</v>
      </c>
      <c r="U962" t="n">
        <v>0.00065008</v>
      </c>
    </row>
    <row r="963">
      <c r="A963" t="inlineStr">
        <is>
          <t>SUP-0097</t>
        </is>
      </c>
      <c r="B963" t="inlineStr">
        <is>
          <t>Metals Supplier 097</t>
        </is>
      </c>
      <c r="C963" t="inlineStr">
        <is>
          <t>Metals</t>
        </is>
      </c>
      <c r="D963" t="n">
        <v>2016</v>
      </c>
      <c r="E963" t="n">
        <v>27364106.66</v>
      </c>
      <c r="F963" t="n">
        <v>152317075.3</v>
      </c>
      <c r="G963" t="n">
        <v>23743.4995</v>
      </c>
      <c r="H963" t="n">
        <v>23743.4995</v>
      </c>
      <c r="I963" t="n">
        <v>6417.9924</v>
      </c>
      <c r="J963" t="n">
        <v>2550.7374</v>
      </c>
      <c r="K963" t="n">
        <v>15131.2514</v>
      </c>
      <c r="L963" t="n">
        <v>2018</v>
      </c>
      <c r="M963" t="n">
        <v>2030</v>
      </c>
      <c r="N963" t="n">
        <v>0.503</v>
      </c>
      <c r="O963" t="n">
        <v>0.297</v>
      </c>
      <c r="P963" t="n">
        <v>2019</v>
      </c>
      <c r="Q963" t="n">
        <v>2030</v>
      </c>
      <c r="R963" t="n">
        <v>0.3852</v>
      </c>
      <c r="S963" t="n">
        <v>158.2904</v>
      </c>
      <c r="T963" t="n">
        <v>0.00100695</v>
      </c>
      <c r="U963" t="n">
        <v>0.00065008</v>
      </c>
    </row>
    <row r="964">
      <c r="A964" t="inlineStr">
        <is>
          <t>SUP-0097</t>
        </is>
      </c>
      <c r="B964" t="inlineStr">
        <is>
          <t>Metals Supplier 097</t>
        </is>
      </c>
      <c r="C964" t="inlineStr">
        <is>
          <t>Metals</t>
        </is>
      </c>
      <c r="D964" t="n">
        <v>2017</v>
      </c>
      <c r="E964" t="n">
        <v>26517856.21</v>
      </c>
      <c r="F964" t="n">
        <v>109123047.12</v>
      </c>
      <c r="G964" t="n">
        <v>16066.1297</v>
      </c>
      <c r="H964" t="n">
        <v>16066.1297</v>
      </c>
      <c r="I964" t="n">
        <v>1455.1953</v>
      </c>
      <c r="J964" t="n">
        <v>2714.9964</v>
      </c>
      <c r="K964" t="n">
        <v>12100.9271</v>
      </c>
      <c r="L964" t="n">
        <v>2018</v>
      </c>
      <c r="M964" t="n">
        <v>2030</v>
      </c>
      <c r="N964" t="n">
        <v>0.503</v>
      </c>
      <c r="O964" t="n">
        <v>0.297</v>
      </c>
      <c r="P964" t="n">
        <v>2019</v>
      </c>
      <c r="Q964" t="n">
        <v>2030</v>
      </c>
      <c r="R964" t="n">
        <v>0.3852</v>
      </c>
      <c r="S964" t="n">
        <v>158.2904</v>
      </c>
      <c r="T964" t="n">
        <v>0.00100695</v>
      </c>
      <c r="U964" t="n">
        <v>0.00065008</v>
      </c>
    </row>
    <row r="965">
      <c r="A965" t="inlineStr">
        <is>
          <t>SUP-0097</t>
        </is>
      </c>
      <c r="B965" t="inlineStr">
        <is>
          <t>Metals Supplier 097</t>
        </is>
      </c>
      <c r="C965" t="inlineStr">
        <is>
          <t>Metals</t>
        </is>
      </c>
      <c r="D965" t="n">
        <v>2018</v>
      </c>
      <c r="E965" t="n">
        <v>28253752.75</v>
      </c>
      <c r="F965" t="n">
        <v>157678237.2</v>
      </c>
      <c r="G965" t="n">
        <v>22871.2519</v>
      </c>
      <c r="H965" t="n">
        <v>22871.2519</v>
      </c>
      <c r="I965" t="n">
        <v>5971.4777</v>
      </c>
      <c r="J965" t="n">
        <v>2976.2055</v>
      </c>
      <c r="K965" t="n">
        <v>14153.3241</v>
      </c>
      <c r="L965" t="n">
        <v>2018</v>
      </c>
      <c r="M965" t="n">
        <v>2030</v>
      </c>
      <c r="N965" t="n">
        <v>0.503</v>
      </c>
      <c r="O965" t="n">
        <v>0.297</v>
      </c>
      <c r="P965" t="n">
        <v>2019</v>
      </c>
      <c r="Q965" t="n">
        <v>2030</v>
      </c>
      <c r="R965" t="n">
        <v>0.3852</v>
      </c>
      <c r="S965" t="n">
        <v>158.2904</v>
      </c>
      <c r="T965" t="n">
        <v>0.00100695</v>
      </c>
      <c r="U965" t="n">
        <v>0.00065008</v>
      </c>
    </row>
    <row r="966">
      <c r="A966" t="inlineStr">
        <is>
          <t>SUP-0097</t>
        </is>
      </c>
      <c r="B966" t="inlineStr">
        <is>
          <t>Metals Supplier 097</t>
        </is>
      </c>
      <c r="C966" t="inlineStr">
        <is>
          <t>Metals</t>
        </is>
      </c>
      <c r="D966" t="n">
        <v>2019</v>
      </c>
      <c r="E966" t="n">
        <v>32078069.91</v>
      </c>
      <c r="F966" t="n">
        <v>154298287.76</v>
      </c>
      <c r="G966" t="n">
        <v>23730.4296</v>
      </c>
      <c r="H966" t="n">
        <v>23730.4296</v>
      </c>
      <c r="I966" t="n">
        <v>2810.0053</v>
      </c>
      <c r="J966" t="n">
        <v>3501.128</v>
      </c>
      <c r="K966" t="n">
        <v>16331.8985</v>
      </c>
      <c r="L966" t="n">
        <v>2018</v>
      </c>
      <c r="M966" t="n">
        <v>2030</v>
      </c>
      <c r="N966" t="n">
        <v>0.503</v>
      </c>
      <c r="O966" t="n">
        <v>0.297</v>
      </c>
      <c r="P966" t="n">
        <v>2019</v>
      </c>
      <c r="Q966" t="n">
        <v>2030</v>
      </c>
      <c r="R966" t="n">
        <v>0.3852</v>
      </c>
      <c r="S966" t="n">
        <v>158.2904</v>
      </c>
      <c r="T966" t="n">
        <v>0.00100695</v>
      </c>
      <c r="U966" t="n">
        <v>0.00065008</v>
      </c>
    </row>
    <row r="967">
      <c r="A967" t="inlineStr">
        <is>
          <t>SUP-0097</t>
        </is>
      </c>
      <c r="B967" t="inlineStr">
        <is>
          <t>Metals Supplier 097</t>
        </is>
      </c>
      <c r="C967" t="inlineStr">
        <is>
          <t>Metals</t>
        </is>
      </c>
      <c r="D967" t="n">
        <v>2020</v>
      </c>
      <c r="E967" t="n">
        <v>31006975.96</v>
      </c>
      <c r="F967" t="n">
        <v>152986660.28</v>
      </c>
      <c r="G967" t="n">
        <v>22993.6789</v>
      </c>
      <c r="H967" t="n">
        <v>22993.6789</v>
      </c>
      <c r="I967" t="n">
        <v>2608.6427</v>
      </c>
      <c r="J967" t="n">
        <v>4363.1435</v>
      </c>
      <c r="K967" t="n">
        <v>17036.6387</v>
      </c>
      <c r="L967" t="n">
        <v>2018</v>
      </c>
      <c r="M967" t="n">
        <v>2030</v>
      </c>
      <c r="N967" t="n">
        <v>0.503</v>
      </c>
      <c r="O967" t="n">
        <v>0.297</v>
      </c>
      <c r="P967" t="n">
        <v>2019</v>
      </c>
      <c r="Q967" t="n">
        <v>2030</v>
      </c>
      <c r="R967" t="n">
        <v>0.3852</v>
      </c>
      <c r="S967" t="n">
        <v>158.2904</v>
      </c>
      <c r="T967" t="n">
        <v>0.00100695</v>
      </c>
      <c r="U967" t="n">
        <v>0.00065008</v>
      </c>
    </row>
    <row r="968">
      <c r="A968" t="inlineStr">
        <is>
          <t>SUP-0097</t>
        </is>
      </c>
      <c r="B968" t="inlineStr">
        <is>
          <t>Metals Supplier 097</t>
        </is>
      </c>
      <c r="C968" t="inlineStr">
        <is>
          <t>Metals</t>
        </is>
      </c>
      <c r="D968" t="n">
        <v>2021</v>
      </c>
      <c r="E968" t="n">
        <v>26187198.23</v>
      </c>
      <c r="F968" t="n">
        <v>157258887.52</v>
      </c>
      <c r="G968" t="n">
        <v>17535.5082</v>
      </c>
      <c r="H968" t="n">
        <v>17535.5082</v>
      </c>
      <c r="I968" t="n">
        <v>4686.4923</v>
      </c>
      <c r="J968" t="n">
        <v>3832.7203</v>
      </c>
      <c r="K968" t="n">
        <v>9439.776400000001</v>
      </c>
      <c r="L968" t="n">
        <v>2018</v>
      </c>
      <c r="M968" t="n">
        <v>2030</v>
      </c>
      <c r="N968" t="n">
        <v>0.503</v>
      </c>
      <c r="O968" t="n">
        <v>0.297</v>
      </c>
      <c r="P968" t="n">
        <v>2019</v>
      </c>
      <c r="Q968" t="n">
        <v>2030</v>
      </c>
      <c r="R968" t="n">
        <v>0.3852</v>
      </c>
      <c r="S968" t="n">
        <v>158.2904</v>
      </c>
      <c r="T968" t="n">
        <v>0.00100695</v>
      </c>
      <c r="U968" t="n">
        <v>0.00065008</v>
      </c>
    </row>
    <row r="969">
      <c r="A969" t="inlineStr">
        <is>
          <t>SUP-0097</t>
        </is>
      </c>
      <c r="B969" t="inlineStr">
        <is>
          <t>Metals Supplier 097</t>
        </is>
      </c>
      <c r="C969" t="inlineStr">
        <is>
          <t>Metals</t>
        </is>
      </c>
      <c r="D969" t="n">
        <v>2022</v>
      </c>
      <c r="E969" t="n">
        <v>31810001.34</v>
      </c>
      <c r="F969" t="n">
        <v>181113358.31</v>
      </c>
      <c r="G969" t="n">
        <v>28078.7679</v>
      </c>
      <c r="H969" t="n">
        <v>28078.7679</v>
      </c>
      <c r="I969" t="n">
        <v>7151.2739</v>
      </c>
      <c r="J969" t="n">
        <v>5511.7949</v>
      </c>
      <c r="K969" t="n">
        <v>14228.7615</v>
      </c>
      <c r="L969" t="n">
        <v>2018</v>
      </c>
      <c r="M969" t="n">
        <v>2030</v>
      </c>
      <c r="N969" t="n">
        <v>0.503</v>
      </c>
      <c r="O969" t="n">
        <v>0.297</v>
      </c>
      <c r="P969" t="n">
        <v>2019</v>
      </c>
      <c r="Q969" t="n">
        <v>2030</v>
      </c>
      <c r="R969" t="n">
        <v>0.3852</v>
      </c>
      <c r="S969" t="n">
        <v>158.2904</v>
      </c>
      <c r="T969" t="n">
        <v>0.00100695</v>
      </c>
      <c r="U969" t="n">
        <v>0.00065008</v>
      </c>
    </row>
    <row r="970">
      <c r="A970" t="inlineStr">
        <is>
          <t>SUP-0097</t>
        </is>
      </c>
      <c r="B970" t="inlineStr">
        <is>
          <t>Metals Supplier 097</t>
        </is>
      </c>
      <c r="C970" t="inlineStr">
        <is>
          <t>Metals</t>
        </is>
      </c>
      <c r="D970" t="n">
        <v>2023</v>
      </c>
      <c r="E970" t="n">
        <v>26046234.34</v>
      </c>
      <c r="F970" t="n">
        <v>142098234.42</v>
      </c>
      <c r="G970" t="n">
        <v>21751.8555</v>
      </c>
      <c r="H970" t="n">
        <v>21751.8555</v>
      </c>
      <c r="I970" t="n">
        <v>2226.0539</v>
      </c>
      <c r="J970" t="n">
        <v>3112.3748</v>
      </c>
      <c r="K970" t="n">
        <v>16135.6757</v>
      </c>
      <c r="L970" t="n">
        <v>2018</v>
      </c>
      <c r="M970" t="n">
        <v>2030</v>
      </c>
      <c r="N970" t="n">
        <v>0.503</v>
      </c>
      <c r="O970" t="n">
        <v>0.297</v>
      </c>
      <c r="P970" t="n">
        <v>2019</v>
      </c>
      <c r="Q970" t="n">
        <v>2030</v>
      </c>
      <c r="R970" t="n">
        <v>0.3852</v>
      </c>
      <c r="S970" t="n">
        <v>158.2904</v>
      </c>
      <c r="T970" t="n">
        <v>0.00100695</v>
      </c>
      <c r="U970" t="n">
        <v>0.00065008</v>
      </c>
    </row>
    <row r="971">
      <c r="A971" t="inlineStr">
        <is>
          <t>SUP-0097</t>
        </is>
      </c>
      <c r="B971" t="inlineStr">
        <is>
          <t>Metals Supplier 097</t>
        </is>
      </c>
      <c r="C971" t="inlineStr">
        <is>
          <t>Metals</t>
        </is>
      </c>
      <c r="D971" t="n">
        <v>2024</v>
      </c>
      <c r="E971" t="n">
        <v>33698440.31</v>
      </c>
      <c r="F971" t="n">
        <v>182204955.02</v>
      </c>
      <c r="G971" t="n">
        <v>21921.8531</v>
      </c>
      <c r="H971" t="n">
        <v>21921.8531</v>
      </c>
      <c r="I971" t="n">
        <v>3184.4149</v>
      </c>
      <c r="J971" t="n">
        <v>3032.0598</v>
      </c>
      <c r="K971" t="n">
        <v>16104.4523</v>
      </c>
      <c r="L971" t="n">
        <v>2018</v>
      </c>
      <c r="M971" t="n">
        <v>2030</v>
      </c>
      <c r="N971" t="n">
        <v>0.503</v>
      </c>
      <c r="O971" t="n">
        <v>0.297</v>
      </c>
      <c r="P971" t="n">
        <v>2019</v>
      </c>
      <c r="Q971" t="n">
        <v>2030</v>
      </c>
      <c r="R971" t="n">
        <v>0.3852</v>
      </c>
      <c r="S971" t="n">
        <v>158.2904</v>
      </c>
      <c r="T971" t="n">
        <v>0.00100695</v>
      </c>
      <c r="U971" t="n">
        <v>0.00065008</v>
      </c>
    </row>
    <row r="972">
      <c r="A972" t="inlineStr">
        <is>
          <t>SUP-0098</t>
        </is>
      </c>
      <c r="B972" t="inlineStr">
        <is>
          <t>Agriculture Supplier 098</t>
        </is>
      </c>
      <c r="C972" t="inlineStr">
        <is>
          <t>Agriculture</t>
        </is>
      </c>
      <c r="D972" t="n">
        <v>2015</v>
      </c>
      <c r="E972" t="n">
        <v>5187160.04</v>
      </c>
      <c r="F972" t="n">
        <v>15190302.6</v>
      </c>
      <c r="G972" t="n">
        <v>4395.8583</v>
      </c>
      <c r="H972" t="n">
        <v>4395.8583</v>
      </c>
      <c r="I972" t="n">
        <v>1034.288</v>
      </c>
      <c r="J972" t="n">
        <v>661.0056</v>
      </c>
      <c r="K972" t="n">
        <v>2781.9724</v>
      </c>
      <c r="L972" t="n">
        <v>2018</v>
      </c>
      <c r="M972" t="n">
        <v>2040</v>
      </c>
      <c r="N972" t="n">
        <v>0.6899999999999999</v>
      </c>
      <c r="O972" t="n">
        <v>0.3364</v>
      </c>
      <c r="P972" t="n">
        <v>2018</v>
      </c>
      <c r="Q972" t="inlineStr"/>
      <c r="R972" t="inlineStr"/>
      <c r="S972" t="n">
        <v>529.8294</v>
      </c>
      <c r="T972" t="n">
        <v>0.00091413</v>
      </c>
      <c r="U972" t="n">
        <v>0.00096913</v>
      </c>
    </row>
    <row r="973">
      <c r="A973" t="inlineStr">
        <is>
          <t>SUP-0098</t>
        </is>
      </c>
      <c r="B973" t="inlineStr">
        <is>
          <t>Agriculture Supplier 098</t>
        </is>
      </c>
      <c r="C973" t="inlineStr">
        <is>
          <t>Agriculture</t>
        </is>
      </c>
      <c r="D973" t="n">
        <v>2016</v>
      </c>
      <c r="E973" t="n">
        <v>7188419.82</v>
      </c>
      <c r="F973" t="n">
        <v>16670937.41</v>
      </c>
      <c r="G973" t="n">
        <v>5519.0226</v>
      </c>
      <c r="H973" t="n">
        <v>5519.0226</v>
      </c>
      <c r="I973" t="n">
        <v>458.8828</v>
      </c>
      <c r="J973" t="n">
        <v>1036.0014</v>
      </c>
      <c r="K973" t="n">
        <v>3653.304</v>
      </c>
      <c r="L973" t="n">
        <v>2018</v>
      </c>
      <c r="M973" t="n">
        <v>2040</v>
      </c>
      <c r="N973" t="n">
        <v>0.6899999999999999</v>
      </c>
      <c r="O973" t="n">
        <v>0.3364</v>
      </c>
      <c r="P973" t="n">
        <v>2018</v>
      </c>
      <c r="Q973" t="inlineStr"/>
      <c r="R973" t="inlineStr"/>
      <c r="S973" t="n">
        <v>529.8294</v>
      </c>
      <c r="T973" t="n">
        <v>0.00091413</v>
      </c>
      <c r="U973" t="n">
        <v>0.00096913</v>
      </c>
    </row>
    <row r="974">
      <c r="A974" t="inlineStr">
        <is>
          <t>SUP-0098</t>
        </is>
      </c>
      <c r="B974" t="inlineStr">
        <is>
          <t>Agriculture Supplier 098</t>
        </is>
      </c>
      <c r="C974" t="inlineStr">
        <is>
          <t>Agriculture</t>
        </is>
      </c>
      <c r="D974" t="n">
        <v>2017</v>
      </c>
      <c r="E974" t="n">
        <v>6546420.09</v>
      </c>
      <c r="F974" t="n">
        <v>17002067.05</v>
      </c>
      <c r="G974" t="n">
        <v>3852.4151</v>
      </c>
      <c r="H974" t="n">
        <v>3852.4151</v>
      </c>
      <c r="I974" t="n">
        <v>982.1092</v>
      </c>
      <c r="J974" t="n">
        <v>663.2216</v>
      </c>
      <c r="K974" t="n">
        <v>2172.0013</v>
      </c>
      <c r="L974" t="n">
        <v>2018</v>
      </c>
      <c r="M974" t="n">
        <v>2040</v>
      </c>
      <c r="N974" t="n">
        <v>0.6899999999999999</v>
      </c>
      <c r="O974" t="n">
        <v>0.3364</v>
      </c>
      <c r="P974" t="n">
        <v>2018</v>
      </c>
      <c r="Q974" t="inlineStr"/>
      <c r="R974" t="inlineStr"/>
      <c r="S974" t="n">
        <v>529.8294</v>
      </c>
      <c r="T974" t="n">
        <v>0.00091413</v>
      </c>
      <c r="U974" t="n">
        <v>0.00096913</v>
      </c>
    </row>
    <row r="975">
      <c r="A975" t="inlineStr">
        <is>
          <t>SUP-0098</t>
        </is>
      </c>
      <c r="B975" t="inlineStr">
        <is>
          <t>Agriculture Supplier 098</t>
        </is>
      </c>
      <c r="C975" t="inlineStr">
        <is>
          <t>Agriculture</t>
        </is>
      </c>
      <c r="D975" t="n">
        <v>2018</v>
      </c>
      <c r="E975" t="n">
        <v>8200293.09</v>
      </c>
      <c r="F975" t="n">
        <v>19556724.41</v>
      </c>
      <c r="G975" t="n">
        <v>4801.2623</v>
      </c>
      <c r="H975" t="n">
        <v>4801.2623</v>
      </c>
      <c r="I975" t="n">
        <v>1277.1851</v>
      </c>
      <c r="J975" t="n">
        <v>1043.3251</v>
      </c>
      <c r="K975" t="n">
        <v>2505.2515</v>
      </c>
      <c r="L975" t="n">
        <v>2018</v>
      </c>
      <c r="M975" t="n">
        <v>2040</v>
      </c>
      <c r="N975" t="n">
        <v>0.6899999999999999</v>
      </c>
      <c r="O975" t="n">
        <v>0.3364</v>
      </c>
      <c r="P975" t="n">
        <v>2018</v>
      </c>
      <c r="Q975" t="inlineStr"/>
      <c r="R975" t="inlineStr"/>
      <c r="S975" t="n">
        <v>529.8294</v>
      </c>
      <c r="T975" t="n">
        <v>0.00091413</v>
      </c>
      <c r="U975" t="n">
        <v>0.00096913</v>
      </c>
    </row>
    <row r="976">
      <c r="A976" t="inlineStr">
        <is>
          <t>SUP-0098</t>
        </is>
      </c>
      <c r="B976" t="inlineStr">
        <is>
          <t>Agriculture Supplier 098</t>
        </is>
      </c>
      <c r="C976" t="inlineStr">
        <is>
          <t>Agriculture</t>
        </is>
      </c>
      <c r="D976" t="n">
        <v>2019</v>
      </c>
      <c r="E976" t="n">
        <v>9047377.92</v>
      </c>
      <c r="F976" t="n">
        <v>23362924.15</v>
      </c>
      <c r="G976" t="n">
        <v>6112.7099</v>
      </c>
      <c r="H976" t="n">
        <v>6112.7099</v>
      </c>
      <c r="I976" t="n">
        <v>805.4678</v>
      </c>
      <c r="J976" t="n">
        <v>1296.9732</v>
      </c>
      <c r="K976" t="n">
        <v>4054.0254</v>
      </c>
      <c r="L976" t="n">
        <v>2018</v>
      </c>
      <c r="M976" t="n">
        <v>2040</v>
      </c>
      <c r="N976" t="n">
        <v>0.6899999999999999</v>
      </c>
      <c r="O976" t="n">
        <v>0.3364</v>
      </c>
      <c r="P976" t="n">
        <v>2018</v>
      </c>
      <c r="Q976" t="inlineStr"/>
      <c r="R976" t="inlineStr"/>
      <c r="S976" t="n">
        <v>529.8294</v>
      </c>
      <c r="T976" t="n">
        <v>0.00091413</v>
      </c>
      <c r="U976" t="n">
        <v>0.00096913</v>
      </c>
    </row>
    <row r="977">
      <c r="A977" t="inlineStr">
        <is>
          <t>SUP-0098</t>
        </is>
      </c>
      <c r="B977" t="inlineStr">
        <is>
          <t>Agriculture Supplier 098</t>
        </is>
      </c>
      <c r="C977" t="inlineStr">
        <is>
          <t>Agriculture</t>
        </is>
      </c>
      <c r="D977" t="n">
        <v>2020</v>
      </c>
      <c r="E977" t="n">
        <v>9412362.68</v>
      </c>
      <c r="F977" t="n">
        <v>21268744.19</v>
      </c>
      <c r="G977" t="n">
        <v>5175.0211</v>
      </c>
      <c r="H977" t="n">
        <v>5175.0211</v>
      </c>
      <c r="I977" t="n">
        <v>742.0945</v>
      </c>
      <c r="J977" t="n">
        <v>969.5155</v>
      </c>
      <c r="K977" t="n">
        <v>3452.2301</v>
      </c>
      <c r="L977" t="n">
        <v>2018</v>
      </c>
      <c r="M977" t="n">
        <v>2040</v>
      </c>
      <c r="N977" t="n">
        <v>0.6899999999999999</v>
      </c>
      <c r="O977" t="n">
        <v>0.3364</v>
      </c>
      <c r="P977" t="n">
        <v>2018</v>
      </c>
      <c r="Q977" t="inlineStr"/>
      <c r="R977" t="inlineStr"/>
      <c r="S977" t="n">
        <v>529.8294</v>
      </c>
      <c r="T977" t="n">
        <v>0.00091413</v>
      </c>
      <c r="U977" t="n">
        <v>0.00096913</v>
      </c>
    </row>
    <row r="978">
      <c r="A978" t="inlineStr">
        <is>
          <t>SUP-0098</t>
        </is>
      </c>
      <c r="B978" t="inlineStr">
        <is>
          <t>Agriculture Supplier 098</t>
        </is>
      </c>
      <c r="C978" t="inlineStr">
        <is>
          <t>Agriculture</t>
        </is>
      </c>
      <c r="D978" t="n">
        <v>2021</v>
      </c>
      <c r="E978" t="n">
        <v>8239577.55</v>
      </c>
      <c r="F978" t="n">
        <v>23808530.34</v>
      </c>
      <c r="G978" t="n">
        <v>5883.5852</v>
      </c>
      <c r="H978" t="n">
        <v>5883.5852</v>
      </c>
      <c r="I978" t="n">
        <v>851.3944</v>
      </c>
      <c r="J978" t="n">
        <v>1091.9368</v>
      </c>
      <c r="K978" t="n">
        <v>3532.1154</v>
      </c>
      <c r="L978" t="n">
        <v>2018</v>
      </c>
      <c r="M978" t="n">
        <v>2040</v>
      </c>
      <c r="N978" t="n">
        <v>0.6899999999999999</v>
      </c>
      <c r="O978" t="n">
        <v>0.3364</v>
      </c>
      <c r="P978" t="n">
        <v>2018</v>
      </c>
      <c r="Q978" t="inlineStr"/>
      <c r="R978" t="inlineStr"/>
      <c r="S978" t="n">
        <v>529.8294</v>
      </c>
      <c r="T978" t="n">
        <v>0.00091413</v>
      </c>
      <c r="U978" t="n">
        <v>0.00096913</v>
      </c>
    </row>
    <row r="979">
      <c r="A979" t="inlineStr">
        <is>
          <t>SUP-0098</t>
        </is>
      </c>
      <c r="B979" t="inlineStr">
        <is>
          <t>Agriculture Supplier 098</t>
        </is>
      </c>
      <c r="C979" t="inlineStr">
        <is>
          <t>Agriculture</t>
        </is>
      </c>
      <c r="D979" t="n">
        <v>2022</v>
      </c>
      <c r="E979" t="n">
        <v>9632002.970000001</v>
      </c>
      <c r="F979" t="n">
        <v>22071256.58</v>
      </c>
      <c r="G979" t="n">
        <v>6100.1315</v>
      </c>
      <c r="H979" t="n">
        <v>6100.1315</v>
      </c>
      <c r="I979" t="n">
        <v>1175.1247</v>
      </c>
      <c r="J979" t="n">
        <v>580.7793</v>
      </c>
      <c r="K979" t="n">
        <v>4193.5557</v>
      </c>
      <c r="L979" t="n">
        <v>2018</v>
      </c>
      <c r="M979" t="n">
        <v>2040</v>
      </c>
      <c r="N979" t="n">
        <v>0.6899999999999999</v>
      </c>
      <c r="O979" t="n">
        <v>0.3364</v>
      </c>
      <c r="P979" t="n">
        <v>2018</v>
      </c>
      <c r="Q979" t="inlineStr"/>
      <c r="R979" t="inlineStr"/>
      <c r="S979" t="n">
        <v>529.8294</v>
      </c>
      <c r="T979" t="n">
        <v>0.00091413</v>
      </c>
      <c r="U979" t="n">
        <v>0.00096913</v>
      </c>
    </row>
    <row r="980">
      <c r="A980" t="inlineStr">
        <is>
          <t>SUP-0098</t>
        </is>
      </c>
      <c r="B980" t="inlineStr">
        <is>
          <t>Agriculture Supplier 098</t>
        </is>
      </c>
      <c r="C980" t="inlineStr">
        <is>
          <t>Agriculture</t>
        </is>
      </c>
      <c r="D980" t="n">
        <v>2023</v>
      </c>
      <c r="E980" t="n">
        <v>10164459.19</v>
      </c>
      <c r="F980" t="n">
        <v>25050637.37</v>
      </c>
      <c r="G980" t="n">
        <v>8463.5864</v>
      </c>
      <c r="H980" t="n">
        <v>8463.5864</v>
      </c>
      <c r="I980" t="n">
        <v>865.4156</v>
      </c>
      <c r="J980" t="n">
        <v>1661.3056</v>
      </c>
      <c r="K980" t="n">
        <v>6185.1384</v>
      </c>
      <c r="L980" t="n">
        <v>2018</v>
      </c>
      <c r="M980" t="n">
        <v>2040</v>
      </c>
      <c r="N980" t="n">
        <v>0.6899999999999999</v>
      </c>
      <c r="O980" t="n">
        <v>0.3364</v>
      </c>
      <c r="P980" t="n">
        <v>2018</v>
      </c>
      <c r="Q980" t="inlineStr"/>
      <c r="R980" t="inlineStr"/>
      <c r="S980" t="n">
        <v>529.8294</v>
      </c>
      <c r="T980" t="n">
        <v>0.00091413</v>
      </c>
      <c r="U980" t="n">
        <v>0.00096913</v>
      </c>
    </row>
    <row r="981">
      <c r="A981" t="inlineStr">
        <is>
          <t>SUP-0098</t>
        </is>
      </c>
      <c r="B981" t="inlineStr">
        <is>
          <t>Agriculture Supplier 098</t>
        </is>
      </c>
      <c r="C981" t="inlineStr">
        <is>
          <t>Agriculture</t>
        </is>
      </c>
      <c r="D981" t="n">
        <v>2024</v>
      </c>
      <c r="E981" t="n">
        <v>13020933.35</v>
      </c>
      <c r="F981" t="n">
        <v>27032088.13</v>
      </c>
      <c r="G981" t="n">
        <v>9228.651400000001</v>
      </c>
      <c r="H981" t="n">
        <v>9228.651400000001</v>
      </c>
      <c r="I981" t="n">
        <v>2118.8366</v>
      </c>
      <c r="J981" t="n">
        <v>837.7094</v>
      </c>
      <c r="K981" t="n">
        <v>6800.3033</v>
      </c>
      <c r="L981" t="n">
        <v>2018</v>
      </c>
      <c r="M981" t="n">
        <v>2040</v>
      </c>
      <c r="N981" t="n">
        <v>0.6899999999999999</v>
      </c>
      <c r="O981" t="n">
        <v>0.3364</v>
      </c>
      <c r="P981" t="n">
        <v>2018</v>
      </c>
      <c r="Q981" t="inlineStr"/>
      <c r="R981" t="inlineStr"/>
      <c r="S981" t="n">
        <v>529.8294</v>
      </c>
      <c r="T981" t="n">
        <v>0.00091413</v>
      </c>
      <c r="U981" t="n">
        <v>0.00096913</v>
      </c>
    </row>
    <row r="982">
      <c r="A982" t="inlineStr">
        <is>
          <t>SUP-0099</t>
        </is>
      </c>
      <c r="B982" t="inlineStr">
        <is>
          <t>Electronics Supplier 099</t>
        </is>
      </c>
      <c r="C982" t="inlineStr">
        <is>
          <t>Electronics</t>
        </is>
      </c>
      <c r="D982" t="n">
        <v>2015</v>
      </c>
      <c r="E982" t="n">
        <v>14219401.56</v>
      </c>
      <c r="F982" t="n">
        <v>113490318</v>
      </c>
      <c r="G982" t="n">
        <v>14012.1536</v>
      </c>
      <c r="H982" t="n">
        <v>14012.1536</v>
      </c>
      <c r="I982" t="n">
        <v>3072.3499</v>
      </c>
      <c r="J982" t="n">
        <v>1282.144</v>
      </c>
      <c r="K982" t="n">
        <v>9856.667600000001</v>
      </c>
      <c r="L982" t="inlineStr"/>
      <c r="M982" t="inlineStr"/>
      <c r="N982" t="inlineStr"/>
      <c r="O982" t="inlineStr"/>
      <c r="P982" t="n">
        <v>2018</v>
      </c>
      <c r="Q982" t="n">
        <v>2040</v>
      </c>
      <c r="R982" t="n">
        <v>0.3424</v>
      </c>
      <c r="S982" t="n">
        <v>635.1588</v>
      </c>
      <c r="T982" t="n">
        <v>0.00086105</v>
      </c>
      <c r="U982" t="n">
        <v>0.00013947</v>
      </c>
    </row>
    <row r="983">
      <c r="A983" t="inlineStr">
        <is>
          <t>SUP-0099</t>
        </is>
      </c>
      <c r="B983" t="inlineStr">
        <is>
          <t>Electronics Supplier 099</t>
        </is>
      </c>
      <c r="C983" t="inlineStr">
        <is>
          <t>Electronics</t>
        </is>
      </c>
      <c r="D983" t="n">
        <v>2016</v>
      </c>
      <c r="E983" t="n">
        <v>13539045.32</v>
      </c>
      <c r="F983" t="n">
        <v>110688288.5</v>
      </c>
      <c r="G983" t="n">
        <v>12626.5667</v>
      </c>
      <c r="H983" t="n">
        <v>12626.5667</v>
      </c>
      <c r="I983" t="n">
        <v>2427.4577</v>
      </c>
      <c r="J983" t="n">
        <v>1708.8392</v>
      </c>
      <c r="K983" t="n">
        <v>9269.0371</v>
      </c>
      <c r="L983" t="inlineStr"/>
      <c r="M983" t="inlineStr"/>
      <c r="N983" t="inlineStr"/>
      <c r="O983" t="inlineStr"/>
      <c r="P983" t="n">
        <v>2018</v>
      </c>
      <c r="Q983" t="n">
        <v>2040</v>
      </c>
      <c r="R983" t="n">
        <v>0.3424</v>
      </c>
      <c r="S983" t="n">
        <v>635.1588</v>
      </c>
      <c r="T983" t="n">
        <v>0.00086105</v>
      </c>
      <c r="U983" t="n">
        <v>0.00013947</v>
      </c>
    </row>
    <row r="984">
      <c r="A984" t="inlineStr">
        <is>
          <t>SUP-0099</t>
        </is>
      </c>
      <c r="B984" t="inlineStr">
        <is>
          <t>Electronics Supplier 099</t>
        </is>
      </c>
      <c r="C984" t="inlineStr">
        <is>
          <t>Electronics</t>
        </is>
      </c>
      <c r="D984" t="n">
        <v>2017</v>
      </c>
      <c r="E984" t="n">
        <v>16069183.28</v>
      </c>
      <c r="F984" t="n">
        <v>124425937.66</v>
      </c>
      <c r="G984" t="n">
        <v>14337.4849</v>
      </c>
      <c r="H984" t="n">
        <v>14337.4849</v>
      </c>
      <c r="I984" t="n">
        <v>2243.2945</v>
      </c>
      <c r="J984" t="n">
        <v>2167.7765</v>
      </c>
      <c r="K984" t="n">
        <v>9117.753199999999</v>
      </c>
      <c r="L984" t="inlineStr"/>
      <c r="M984" t="inlineStr"/>
      <c r="N984" t="inlineStr"/>
      <c r="O984" t="inlineStr"/>
      <c r="P984" t="n">
        <v>2018</v>
      </c>
      <c r="Q984" t="n">
        <v>2040</v>
      </c>
      <c r="R984" t="n">
        <v>0.3424</v>
      </c>
      <c r="S984" t="n">
        <v>635.1588</v>
      </c>
      <c r="T984" t="n">
        <v>0.00086105</v>
      </c>
      <c r="U984" t="n">
        <v>0.00013947</v>
      </c>
    </row>
    <row r="985">
      <c r="A985" t="inlineStr">
        <is>
          <t>SUP-0099</t>
        </is>
      </c>
      <c r="B985" t="inlineStr">
        <is>
          <t>Electronics Supplier 099</t>
        </is>
      </c>
      <c r="C985" t="inlineStr">
        <is>
          <t>Electronics</t>
        </is>
      </c>
      <c r="D985" t="n">
        <v>2018</v>
      </c>
      <c r="E985" t="n">
        <v>17447330.89</v>
      </c>
      <c r="F985" t="n">
        <v>79811208.73999999</v>
      </c>
      <c r="G985" t="n">
        <v>16574.4934</v>
      </c>
      <c r="H985" t="n">
        <v>16574.4934</v>
      </c>
      <c r="I985" t="n">
        <v>1667.2068</v>
      </c>
      <c r="J985" t="n">
        <v>3315.9773</v>
      </c>
      <c r="K985" t="n">
        <v>13154.4295</v>
      </c>
      <c r="L985" t="inlineStr"/>
      <c r="M985" t="inlineStr"/>
      <c r="N985" t="inlineStr"/>
      <c r="O985" t="inlineStr"/>
      <c r="P985" t="n">
        <v>2018</v>
      </c>
      <c r="Q985" t="n">
        <v>2040</v>
      </c>
      <c r="R985" t="n">
        <v>0.3424</v>
      </c>
      <c r="S985" t="n">
        <v>635.1588</v>
      </c>
      <c r="T985" t="n">
        <v>0.00086105</v>
      </c>
      <c r="U985" t="n">
        <v>0.00013947</v>
      </c>
    </row>
    <row r="986">
      <c r="A986" t="inlineStr">
        <is>
          <t>SUP-0099</t>
        </is>
      </c>
      <c r="B986" t="inlineStr">
        <is>
          <t>Electronics Supplier 099</t>
        </is>
      </c>
      <c r="C986" t="inlineStr">
        <is>
          <t>Electronics</t>
        </is>
      </c>
      <c r="D986" t="n">
        <v>2019</v>
      </c>
      <c r="E986" t="n">
        <v>16393744.63</v>
      </c>
      <c r="F986" t="n">
        <v>139704411.32</v>
      </c>
      <c r="G986" t="n">
        <v>16117.9146</v>
      </c>
      <c r="H986" t="n">
        <v>16117.9146</v>
      </c>
      <c r="I986" t="n">
        <v>2997.9488</v>
      </c>
      <c r="J986" t="n">
        <v>1452.5465</v>
      </c>
      <c r="K986" t="n">
        <v>11674.9315</v>
      </c>
      <c r="L986" t="inlineStr"/>
      <c r="M986" t="inlineStr"/>
      <c r="N986" t="inlineStr"/>
      <c r="O986" t="inlineStr"/>
      <c r="P986" t="n">
        <v>2018</v>
      </c>
      <c r="Q986" t="n">
        <v>2040</v>
      </c>
      <c r="R986" t="n">
        <v>0.3424</v>
      </c>
      <c r="S986" t="n">
        <v>635.1588</v>
      </c>
      <c r="T986" t="n">
        <v>0.00086105</v>
      </c>
      <c r="U986" t="n">
        <v>0.00013947</v>
      </c>
    </row>
    <row r="987">
      <c r="A987" t="inlineStr">
        <is>
          <t>SUP-0099</t>
        </is>
      </c>
      <c r="B987" t="inlineStr">
        <is>
          <t>Electronics Supplier 099</t>
        </is>
      </c>
      <c r="C987" t="inlineStr">
        <is>
          <t>Electronics</t>
        </is>
      </c>
      <c r="D987" t="n">
        <v>2020</v>
      </c>
      <c r="E987" t="n">
        <v>16954443.49</v>
      </c>
      <c r="F987" t="n">
        <v>104611483.7</v>
      </c>
      <c r="G987" t="n">
        <v>14641.9562</v>
      </c>
      <c r="H987" t="n">
        <v>14641.9562</v>
      </c>
      <c r="I987" t="n">
        <v>1486.0346</v>
      </c>
      <c r="J987" t="n">
        <v>2506.204</v>
      </c>
      <c r="K987" t="n">
        <v>11359.1499</v>
      </c>
      <c r="L987" t="inlineStr"/>
      <c r="M987" t="inlineStr"/>
      <c r="N987" t="inlineStr"/>
      <c r="O987" t="inlineStr"/>
      <c r="P987" t="n">
        <v>2018</v>
      </c>
      <c r="Q987" t="n">
        <v>2040</v>
      </c>
      <c r="R987" t="n">
        <v>0.3424</v>
      </c>
      <c r="S987" t="n">
        <v>635.1588</v>
      </c>
      <c r="T987" t="n">
        <v>0.00086105</v>
      </c>
      <c r="U987" t="n">
        <v>0.00013947</v>
      </c>
    </row>
    <row r="988">
      <c r="A988" t="inlineStr">
        <is>
          <t>SUP-0099</t>
        </is>
      </c>
      <c r="B988" t="inlineStr">
        <is>
          <t>Electronics Supplier 099</t>
        </is>
      </c>
      <c r="C988" t="inlineStr">
        <is>
          <t>Electronics</t>
        </is>
      </c>
      <c r="D988" t="n">
        <v>2021</v>
      </c>
      <c r="E988" t="n">
        <v>17481976.02</v>
      </c>
      <c r="F988" t="n">
        <v>146172792.09</v>
      </c>
      <c r="G988" t="n">
        <v>16827.3921</v>
      </c>
      <c r="H988" t="n">
        <v>16827.3921</v>
      </c>
      <c r="I988" t="n">
        <v>1964.9271</v>
      </c>
      <c r="J988" t="n">
        <v>1636.2643</v>
      </c>
      <c r="K988" t="n">
        <v>12773.0758</v>
      </c>
      <c r="L988" t="inlineStr"/>
      <c r="M988" t="inlineStr"/>
      <c r="N988" t="inlineStr"/>
      <c r="O988" t="inlineStr"/>
      <c r="P988" t="n">
        <v>2018</v>
      </c>
      <c r="Q988" t="n">
        <v>2040</v>
      </c>
      <c r="R988" t="n">
        <v>0.3424</v>
      </c>
      <c r="S988" t="n">
        <v>635.1588</v>
      </c>
      <c r="T988" t="n">
        <v>0.00086105</v>
      </c>
      <c r="U988" t="n">
        <v>0.00013947</v>
      </c>
    </row>
    <row r="989">
      <c r="A989" t="inlineStr">
        <is>
          <t>SUP-0099</t>
        </is>
      </c>
      <c r="B989" t="inlineStr">
        <is>
          <t>Electronics Supplier 099</t>
        </is>
      </c>
      <c r="C989" t="inlineStr">
        <is>
          <t>Electronics</t>
        </is>
      </c>
      <c r="D989" t="n">
        <v>2022</v>
      </c>
      <c r="E989" t="n">
        <v>20695105.41</v>
      </c>
      <c r="F989" t="n">
        <v>127225038.99</v>
      </c>
      <c r="G989" t="n">
        <v>19705.2327</v>
      </c>
      <c r="H989" t="n">
        <v>19705.2327</v>
      </c>
      <c r="I989" t="n">
        <v>4300.3817</v>
      </c>
      <c r="J989" t="n">
        <v>3692.1102</v>
      </c>
      <c r="K989" t="n">
        <v>11283.4371</v>
      </c>
      <c r="L989" t="inlineStr"/>
      <c r="M989" t="inlineStr"/>
      <c r="N989" t="inlineStr"/>
      <c r="O989" t="inlineStr"/>
      <c r="P989" t="n">
        <v>2018</v>
      </c>
      <c r="Q989" t="n">
        <v>2040</v>
      </c>
      <c r="R989" t="n">
        <v>0.3424</v>
      </c>
      <c r="S989" t="n">
        <v>635.1588</v>
      </c>
      <c r="T989" t="n">
        <v>0.00086105</v>
      </c>
      <c r="U989" t="n">
        <v>0.00013947</v>
      </c>
    </row>
    <row r="990">
      <c r="A990" t="inlineStr">
        <is>
          <t>SUP-0099</t>
        </is>
      </c>
      <c r="B990" t="inlineStr">
        <is>
          <t>Electronics Supplier 099</t>
        </is>
      </c>
      <c r="C990" t="inlineStr">
        <is>
          <t>Electronics</t>
        </is>
      </c>
      <c r="D990" t="n">
        <v>2023</v>
      </c>
      <c r="E990" t="n">
        <v>19518863.16</v>
      </c>
      <c r="F990" t="n">
        <v>137810329.72</v>
      </c>
      <c r="G990" t="n">
        <v>17267.8245</v>
      </c>
      <c r="H990" t="n">
        <v>17267.8245</v>
      </c>
      <c r="I990" t="n">
        <v>4294.1847</v>
      </c>
      <c r="J990" t="n">
        <v>2489.7378</v>
      </c>
      <c r="K990" t="n">
        <v>9072.6073</v>
      </c>
      <c r="L990" t="inlineStr"/>
      <c r="M990" t="inlineStr"/>
      <c r="N990" t="inlineStr"/>
      <c r="O990" t="inlineStr"/>
      <c r="P990" t="n">
        <v>2018</v>
      </c>
      <c r="Q990" t="n">
        <v>2040</v>
      </c>
      <c r="R990" t="n">
        <v>0.3424</v>
      </c>
      <c r="S990" t="n">
        <v>635.1588</v>
      </c>
      <c r="T990" t="n">
        <v>0.00086105</v>
      </c>
      <c r="U990" t="n">
        <v>0.00013947</v>
      </c>
    </row>
    <row r="991">
      <c r="A991" t="inlineStr">
        <is>
          <t>SUP-0099</t>
        </is>
      </c>
      <c r="B991" t="inlineStr">
        <is>
          <t>Electronics Supplier 099</t>
        </is>
      </c>
      <c r="C991" t="inlineStr">
        <is>
          <t>Electronics</t>
        </is>
      </c>
      <c r="D991" t="n">
        <v>2024</v>
      </c>
      <c r="E991" t="n">
        <v>20992163.61</v>
      </c>
      <c r="F991" t="n">
        <v>160096225.06</v>
      </c>
      <c r="G991" t="n">
        <v>18252.1913</v>
      </c>
      <c r="H991" t="n">
        <v>18252.1913</v>
      </c>
      <c r="I991" t="n">
        <v>2435.7444</v>
      </c>
      <c r="J991" t="n">
        <v>2310.3448</v>
      </c>
      <c r="K991" t="n">
        <v>14376.6566</v>
      </c>
      <c r="L991" t="inlineStr"/>
      <c r="M991" t="inlineStr"/>
      <c r="N991" t="inlineStr"/>
      <c r="O991" t="inlineStr"/>
      <c r="P991" t="n">
        <v>2018</v>
      </c>
      <c r="Q991" t="n">
        <v>2040</v>
      </c>
      <c r="R991" t="n">
        <v>0.3424</v>
      </c>
      <c r="S991" t="n">
        <v>635.1588</v>
      </c>
      <c r="T991" t="n">
        <v>0.00086105</v>
      </c>
      <c r="U991" t="n">
        <v>0.00013947</v>
      </c>
    </row>
    <row r="992">
      <c r="A992" t="inlineStr">
        <is>
          <t>SUP-0100</t>
        </is>
      </c>
      <c r="B992" t="inlineStr">
        <is>
          <t>Textiles Supplier 100</t>
        </is>
      </c>
      <c r="C992" t="inlineStr">
        <is>
          <t>Textiles</t>
        </is>
      </c>
      <c r="D992" t="n">
        <v>2015</v>
      </c>
      <c r="E992" t="n">
        <v>13718581.43</v>
      </c>
      <c r="F992" t="n">
        <v>106749313.62</v>
      </c>
      <c r="G992" t="n">
        <v>2384.4465</v>
      </c>
      <c r="H992" t="n">
        <v>2384.4465</v>
      </c>
      <c r="I992" t="n">
        <v>307.9411</v>
      </c>
      <c r="J992" t="n">
        <v>204.2674</v>
      </c>
      <c r="K992" t="n">
        <v>2077.9014</v>
      </c>
      <c r="L992" t="n">
        <v>2021</v>
      </c>
      <c r="M992" t="n">
        <v>2040</v>
      </c>
      <c r="N992" t="n">
        <v>0.4388</v>
      </c>
      <c r="O992" t="n">
        <v>0.2538</v>
      </c>
      <c r="P992" t="n">
        <v>2019</v>
      </c>
      <c r="Q992" t="n">
        <v>2030</v>
      </c>
      <c r="R992" t="n">
        <v>0.3171</v>
      </c>
      <c r="S992" t="n">
        <v>401.7335</v>
      </c>
      <c r="T992" t="n">
        <v>0.00029221</v>
      </c>
      <c r="U992" t="n">
        <v>0.00017343</v>
      </c>
    </row>
    <row r="993">
      <c r="A993" t="inlineStr">
        <is>
          <t>SUP-0100</t>
        </is>
      </c>
      <c r="B993" t="inlineStr">
        <is>
          <t>Textiles Supplier 100</t>
        </is>
      </c>
      <c r="C993" t="inlineStr">
        <is>
          <t>Textiles</t>
        </is>
      </c>
      <c r="D993" t="n">
        <v>2016</v>
      </c>
      <c r="E993" t="n">
        <v>17187988.86</v>
      </c>
      <c r="F993" t="n">
        <v>84683323.48999999</v>
      </c>
      <c r="G993" t="n">
        <v>3813.1932</v>
      </c>
      <c r="H993" t="n">
        <v>3813.1932</v>
      </c>
      <c r="I993" t="n">
        <v>381.845</v>
      </c>
      <c r="J993" t="n">
        <v>323.0969</v>
      </c>
      <c r="K993" t="n">
        <v>3115.7329</v>
      </c>
      <c r="L993" t="n">
        <v>2021</v>
      </c>
      <c r="M993" t="n">
        <v>2040</v>
      </c>
      <c r="N993" t="n">
        <v>0.4388</v>
      </c>
      <c r="O993" t="n">
        <v>0.2538</v>
      </c>
      <c r="P993" t="n">
        <v>2019</v>
      </c>
      <c r="Q993" t="n">
        <v>2030</v>
      </c>
      <c r="R993" t="n">
        <v>0.3171</v>
      </c>
      <c r="S993" t="n">
        <v>401.7335</v>
      </c>
      <c r="T993" t="n">
        <v>0.00029221</v>
      </c>
      <c r="U993" t="n">
        <v>0.00017343</v>
      </c>
    </row>
    <row r="994">
      <c r="A994" t="inlineStr">
        <is>
          <t>SUP-0100</t>
        </is>
      </c>
      <c r="B994" t="inlineStr">
        <is>
          <t>Textiles Supplier 100</t>
        </is>
      </c>
      <c r="C994" t="inlineStr">
        <is>
          <t>Textiles</t>
        </is>
      </c>
      <c r="D994" t="n">
        <v>2017</v>
      </c>
      <c r="E994" t="n">
        <v>12596103.48</v>
      </c>
      <c r="F994" t="n">
        <v>84877044.79000001</v>
      </c>
      <c r="G994" t="n">
        <v>1985.1952</v>
      </c>
      <c r="H994" t="n">
        <v>1985.1952</v>
      </c>
      <c r="I994" t="n">
        <v>368.3827</v>
      </c>
      <c r="J994" t="n">
        <v>152.7146</v>
      </c>
      <c r="K994" t="n">
        <v>1479.6647</v>
      </c>
      <c r="L994" t="n">
        <v>2021</v>
      </c>
      <c r="M994" t="n">
        <v>2040</v>
      </c>
      <c r="N994" t="n">
        <v>0.4388</v>
      </c>
      <c r="O994" t="n">
        <v>0.2538</v>
      </c>
      <c r="P994" t="n">
        <v>2019</v>
      </c>
      <c r="Q994" t="n">
        <v>2030</v>
      </c>
      <c r="R994" t="n">
        <v>0.3171</v>
      </c>
      <c r="S994" t="n">
        <v>401.7335</v>
      </c>
      <c r="T994" t="n">
        <v>0.00029221</v>
      </c>
      <c r="U994" t="n">
        <v>0.00017343</v>
      </c>
    </row>
    <row r="995">
      <c r="A995" t="inlineStr">
        <is>
          <t>SUP-0100</t>
        </is>
      </c>
      <c r="B995" t="inlineStr">
        <is>
          <t>Textiles Supplier 100</t>
        </is>
      </c>
      <c r="C995" t="inlineStr">
        <is>
          <t>Textiles</t>
        </is>
      </c>
      <c r="D995" t="n">
        <v>2018</v>
      </c>
      <c r="E995" t="n">
        <v>14932737.31</v>
      </c>
      <c r="F995" t="n">
        <v>72839947.68000001</v>
      </c>
      <c r="G995" t="n">
        <v>2975.3629</v>
      </c>
      <c r="H995" t="n">
        <v>2975.3629</v>
      </c>
      <c r="I995" t="n">
        <v>820.2539</v>
      </c>
      <c r="J995" t="n">
        <v>599.8927</v>
      </c>
      <c r="K995" t="n">
        <v>1873.328</v>
      </c>
      <c r="L995" t="n">
        <v>2021</v>
      </c>
      <c r="M995" t="n">
        <v>2040</v>
      </c>
      <c r="N995" t="n">
        <v>0.4388</v>
      </c>
      <c r="O995" t="n">
        <v>0.2538</v>
      </c>
      <c r="P995" t="n">
        <v>2019</v>
      </c>
      <c r="Q995" t="n">
        <v>2030</v>
      </c>
      <c r="R995" t="n">
        <v>0.3171</v>
      </c>
      <c r="S995" t="n">
        <v>401.7335</v>
      </c>
      <c r="T995" t="n">
        <v>0.00029221</v>
      </c>
      <c r="U995" t="n">
        <v>0.00017343</v>
      </c>
    </row>
    <row r="996">
      <c r="A996" t="inlineStr">
        <is>
          <t>SUP-0100</t>
        </is>
      </c>
      <c r="B996" t="inlineStr">
        <is>
          <t>Textiles Supplier 100</t>
        </is>
      </c>
      <c r="C996" t="inlineStr">
        <is>
          <t>Textiles</t>
        </is>
      </c>
      <c r="D996" t="n">
        <v>2019</v>
      </c>
      <c r="E996" t="n">
        <v>16443779.31</v>
      </c>
      <c r="F996" t="n">
        <v>84578057.51000001</v>
      </c>
      <c r="G996" t="n">
        <v>3143.7062</v>
      </c>
      <c r="H996" t="n">
        <v>3143.7062</v>
      </c>
      <c r="I996" t="n">
        <v>801.4589</v>
      </c>
      <c r="J996" t="n">
        <v>440.31</v>
      </c>
      <c r="K996" t="n">
        <v>1932.104</v>
      </c>
      <c r="L996" t="n">
        <v>2021</v>
      </c>
      <c r="M996" t="n">
        <v>2040</v>
      </c>
      <c r="N996" t="n">
        <v>0.4388</v>
      </c>
      <c r="O996" t="n">
        <v>0.2538</v>
      </c>
      <c r="P996" t="n">
        <v>2019</v>
      </c>
      <c r="Q996" t="n">
        <v>2030</v>
      </c>
      <c r="R996" t="n">
        <v>0.3171</v>
      </c>
      <c r="S996" t="n">
        <v>401.7335</v>
      </c>
      <c r="T996" t="n">
        <v>0.00029221</v>
      </c>
      <c r="U996" t="n">
        <v>0.00017343</v>
      </c>
    </row>
    <row r="997">
      <c r="A997" t="inlineStr">
        <is>
          <t>SUP-0100</t>
        </is>
      </c>
      <c r="B997" t="inlineStr">
        <is>
          <t>Textiles Supplier 100</t>
        </is>
      </c>
      <c r="C997" t="inlineStr">
        <is>
          <t>Textiles</t>
        </is>
      </c>
      <c r="D997" t="n">
        <v>2020</v>
      </c>
      <c r="E997" t="n">
        <v>16320806.31</v>
      </c>
      <c r="F997" t="n">
        <v>91639535.77</v>
      </c>
      <c r="G997" t="n">
        <v>2549.134</v>
      </c>
      <c r="H997" t="n">
        <v>2549.134</v>
      </c>
      <c r="I997" t="n">
        <v>457.0056</v>
      </c>
      <c r="J997" t="n">
        <v>183.8167</v>
      </c>
      <c r="K997" t="n">
        <v>2067.0889</v>
      </c>
      <c r="L997" t="n">
        <v>2021</v>
      </c>
      <c r="M997" t="n">
        <v>2040</v>
      </c>
      <c r="N997" t="n">
        <v>0.4388</v>
      </c>
      <c r="O997" t="n">
        <v>0.2538</v>
      </c>
      <c r="P997" t="n">
        <v>2019</v>
      </c>
      <c r="Q997" t="n">
        <v>2030</v>
      </c>
      <c r="R997" t="n">
        <v>0.3171</v>
      </c>
      <c r="S997" t="n">
        <v>401.7335</v>
      </c>
      <c r="T997" t="n">
        <v>0.00029221</v>
      </c>
      <c r="U997" t="n">
        <v>0.00017343</v>
      </c>
    </row>
    <row r="998">
      <c r="A998" t="inlineStr">
        <is>
          <t>SUP-0100</t>
        </is>
      </c>
      <c r="B998" t="inlineStr">
        <is>
          <t>Textiles Supplier 100</t>
        </is>
      </c>
      <c r="C998" t="inlineStr">
        <is>
          <t>Textiles</t>
        </is>
      </c>
      <c r="D998" t="n">
        <v>2021</v>
      </c>
      <c r="E998" t="n">
        <v>15485788.82</v>
      </c>
      <c r="F998" t="n">
        <v>85489603.54000001</v>
      </c>
      <c r="G998" t="n">
        <v>2981.1122</v>
      </c>
      <c r="H998" t="n">
        <v>2981.1122</v>
      </c>
      <c r="I998" t="n">
        <v>277.5135</v>
      </c>
      <c r="J998" t="n">
        <v>249.052</v>
      </c>
      <c r="K998" t="n">
        <v>2512.6167</v>
      </c>
      <c r="L998" t="n">
        <v>2021</v>
      </c>
      <c r="M998" t="n">
        <v>2040</v>
      </c>
      <c r="N998" t="n">
        <v>0.4388</v>
      </c>
      <c r="O998" t="n">
        <v>0.2538</v>
      </c>
      <c r="P998" t="n">
        <v>2019</v>
      </c>
      <c r="Q998" t="n">
        <v>2030</v>
      </c>
      <c r="R998" t="n">
        <v>0.3171</v>
      </c>
      <c r="S998" t="n">
        <v>401.7335</v>
      </c>
      <c r="T998" t="n">
        <v>0.00029221</v>
      </c>
      <c r="U998" t="n">
        <v>0.00017343</v>
      </c>
    </row>
    <row r="999">
      <c r="A999" t="inlineStr">
        <is>
          <t>SUP-0100</t>
        </is>
      </c>
      <c r="B999" t="inlineStr">
        <is>
          <t>Textiles Supplier 100</t>
        </is>
      </c>
      <c r="C999" t="inlineStr">
        <is>
          <t>Textiles</t>
        </is>
      </c>
      <c r="D999" t="n">
        <v>2022</v>
      </c>
      <c r="E999" t="n">
        <v>15752555.25</v>
      </c>
      <c r="F999" t="n">
        <v>96550144.47</v>
      </c>
      <c r="G999" t="n">
        <v>2848.0414</v>
      </c>
      <c r="H999" t="n">
        <v>2848.0414</v>
      </c>
      <c r="I999" t="n">
        <v>250.7892</v>
      </c>
      <c r="J999" t="n">
        <v>317.6502</v>
      </c>
      <c r="K999" t="n">
        <v>2143.8433</v>
      </c>
      <c r="L999" t="n">
        <v>2021</v>
      </c>
      <c r="M999" t="n">
        <v>2040</v>
      </c>
      <c r="N999" t="n">
        <v>0.4388</v>
      </c>
      <c r="O999" t="n">
        <v>0.2538</v>
      </c>
      <c r="P999" t="n">
        <v>2019</v>
      </c>
      <c r="Q999" t="n">
        <v>2030</v>
      </c>
      <c r="R999" t="n">
        <v>0.3171</v>
      </c>
      <c r="S999" t="n">
        <v>401.7335</v>
      </c>
      <c r="T999" t="n">
        <v>0.00029221</v>
      </c>
      <c r="U999" t="n">
        <v>0.00017343</v>
      </c>
    </row>
    <row r="1000">
      <c r="A1000" t="inlineStr">
        <is>
          <t>SUP-0100</t>
        </is>
      </c>
      <c r="B1000" t="inlineStr">
        <is>
          <t>Textiles Supplier 100</t>
        </is>
      </c>
      <c r="C1000" t="inlineStr">
        <is>
          <t>Textiles</t>
        </is>
      </c>
      <c r="D1000" t="n">
        <v>2023</v>
      </c>
      <c r="E1000" t="n">
        <v>16449695.07</v>
      </c>
      <c r="F1000" t="n">
        <v>99813279.56999999</v>
      </c>
      <c r="G1000" t="n">
        <v>2997.4418</v>
      </c>
      <c r="H1000" t="n">
        <v>2997.4418</v>
      </c>
      <c r="I1000" t="n">
        <v>706.7492999999999</v>
      </c>
      <c r="J1000" t="n">
        <v>312.2851</v>
      </c>
      <c r="K1000" t="n">
        <v>1792.0128</v>
      </c>
      <c r="L1000" t="n">
        <v>2021</v>
      </c>
      <c r="M1000" t="n">
        <v>2040</v>
      </c>
      <c r="N1000" t="n">
        <v>0.4388</v>
      </c>
      <c r="O1000" t="n">
        <v>0.2538</v>
      </c>
      <c r="P1000" t="n">
        <v>2019</v>
      </c>
      <c r="Q1000" t="n">
        <v>2030</v>
      </c>
      <c r="R1000" t="n">
        <v>0.3171</v>
      </c>
      <c r="S1000" t="n">
        <v>401.7335</v>
      </c>
      <c r="T1000" t="n">
        <v>0.00029221</v>
      </c>
      <c r="U1000" t="n">
        <v>0.00017343</v>
      </c>
    </row>
    <row r="1001">
      <c r="A1001" t="inlineStr">
        <is>
          <t>SUP-0100</t>
        </is>
      </c>
      <c r="B1001" t="inlineStr">
        <is>
          <t>Textiles Supplier 100</t>
        </is>
      </c>
      <c r="C1001" t="inlineStr">
        <is>
          <t>Textiles</t>
        </is>
      </c>
      <c r="D1001" t="n">
        <v>2024</v>
      </c>
      <c r="E1001" t="n">
        <v>13864228.9</v>
      </c>
      <c r="F1001" t="n">
        <v>112478844.45</v>
      </c>
      <c r="G1001" t="n">
        <v>2905.4854</v>
      </c>
      <c r="H1001" t="n">
        <v>2905.4854</v>
      </c>
      <c r="I1001" t="n">
        <v>541.6402</v>
      </c>
      <c r="J1001" t="n">
        <v>572.5276</v>
      </c>
      <c r="K1001" t="n">
        <v>1759.8716</v>
      </c>
      <c r="L1001" t="n">
        <v>2021</v>
      </c>
      <c r="M1001" t="n">
        <v>2040</v>
      </c>
      <c r="N1001" t="n">
        <v>0.4388</v>
      </c>
      <c r="O1001" t="n">
        <v>0.2538</v>
      </c>
      <c r="P1001" t="n">
        <v>2019</v>
      </c>
      <c r="Q1001" t="n">
        <v>2030</v>
      </c>
      <c r="R1001" t="n">
        <v>0.3171</v>
      </c>
      <c r="S1001" t="n">
        <v>401.7335</v>
      </c>
      <c r="T1001" t="n">
        <v>0.00029221</v>
      </c>
      <c r="U1001" t="n">
        <v>0.00017343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Supplier_Industry</t>
        </is>
      </c>
      <c r="D1" t="inlineStr">
        <is>
          <t>Baseline_Year</t>
        </is>
      </c>
      <c r="E1" t="inlineStr">
        <is>
          <t>Target_Year</t>
        </is>
      </c>
      <c r="F1" t="inlineStr">
        <is>
          <t>Target_Reduction_Percentage</t>
        </is>
      </c>
      <c r="G1" t="inlineStr">
        <is>
          <t>Interim_Target_Reduction_Percentage</t>
        </is>
      </c>
      <c r="H1" t="inlineStr">
        <is>
          <t>Target_Type</t>
        </is>
      </c>
      <c r="I1" t="inlineStr">
        <is>
          <t>Target_Source</t>
        </is>
      </c>
    </row>
    <row r="2">
      <c r="A2" t="inlineStr">
        <is>
          <t>SUP-0020</t>
        </is>
      </c>
      <c r="B2" t="inlineStr">
        <is>
          <t>Logistics Supplier 020</t>
        </is>
      </c>
      <c r="C2" t="inlineStr">
        <is>
          <t>Logistics</t>
        </is>
      </c>
      <c r="D2" t="n">
        <v>2020</v>
      </c>
      <c r="E2" t="n">
        <v>2035</v>
      </c>
      <c r="F2" t="n">
        <v>0.668</v>
      </c>
      <c r="G2" t="n">
        <v>0.2613</v>
      </c>
      <c r="H2" t="inlineStr">
        <is>
          <t>Intensity</t>
        </is>
      </c>
      <c r="I2" t="inlineStr">
        <is>
          <t>SBTi</t>
        </is>
      </c>
    </row>
    <row r="3">
      <c r="A3" t="inlineStr">
        <is>
          <t>SUP-0095</t>
        </is>
      </c>
      <c r="B3" t="inlineStr">
        <is>
          <t>Agriculture Supplier 095</t>
        </is>
      </c>
      <c r="C3" t="inlineStr">
        <is>
          <t>Agriculture</t>
        </is>
      </c>
      <c r="D3" t="n">
        <v>2018</v>
      </c>
      <c r="E3" t="n">
        <v>2040</v>
      </c>
      <c r="F3" t="n">
        <v>0.4968</v>
      </c>
      <c r="G3" t="n">
        <v>0.2905</v>
      </c>
      <c r="H3" t="inlineStr">
        <is>
          <t>Intensity</t>
        </is>
      </c>
      <c r="I3" t="inlineStr">
        <is>
          <t>Contractual Target</t>
        </is>
      </c>
    </row>
    <row r="4">
      <c r="A4" t="inlineStr">
        <is>
          <t>SUP-0059</t>
        </is>
      </c>
      <c r="B4" t="inlineStr">
        <is>
          <t>Agriculture Supplier 059</t>
        </is>
      </c>
      <c r="C4" t="inlineStr">
        <is>
          <t>Agriculture</t>
        </is>
      </c>
      <c r="D4" t="n">
        <v>2021</v>
      </c>
      <c r="E4" t="n">
        <v>2030</v>
      </c>
      <c r="F4" t="n">
        <v>0.495</v>
      </c>
      <c r="G4" t="n">
        <v>0.1874</v>
      </c>
      <c r="H4" t="inlineStr">
        <is>
          <t>Absolute</t>
        </is>
      </c>
      <c r="I4" t="inlineStr">
        <is>
          <t>CDP</t>
        </is>
      </c>
    </row>
    <row r="5">
      <c r="A5" t="inlineStr">
        <is>
          <t>SUP-0021</t>
        </is>
      </c>
      <c r="B5" t="inlineStr">
        <is>
          <t>Textiles Supplier 021</t>
        </is>
      </c>
      <c r="C5" t="inlineStr">
        <is>
          <t>Textiles</t>
        </is>
      </c>
      <c r="D5" t="n">
        <v>2018</v>
      </c>
      <c r="E5" t="n">
        <v>2030</v>
      </c>
      <c r="F5" t="n">
        <v>0.4825</v>
      </c>
      <c r="G5" t="n">
        <v>0.2517</v>
      </c>
      <c r="H5" t="inlineStr">
        <is>
          <t>Absolute</t>
        </is>
      </c>
      <c r="I5" t="inlineStr">
        <is>
          <t>Supplier Survey</t>
        </is>
      </c>
    </row>
    <row r="6">
      <c r="A6" t="inlineStr">
        <is>
          <t>SUP-0060</t>
        </is>
      </c>
      <c r="B6" t="inlineStr">
        <is>
          <t>Electronics Supplier 060</t>
        </is>
      </c>
      <c r="C6" t="inlineStr">
        <is>
          <t>Electronics</t>
        </is>
      </c>
      <c r="D6" t="n">
        <v>2020</v>
      </c>
      <c r="E6" t="n">
        <v>2040</v>
      </c>
      <c r="F6" t="n">
        <v>0.5996</v>
      </c>
      <c r="G6" t="n">
        <v>0.2984</v>
      </c>
      <c r="H6" t="inlineStr">
        <is>
          <t>Absolute</t>
        </is>
      </c>
      <c r="I6" t="inlineStr">
        <is>
          <t>Contractual Target</t>
        </is>
      </c>
    </row>
    <row r="7">
      <c r="A7" t="inlineStr">
        <is>
          <t>SUP-0016</t>
        </is>
      </c>
      <c r="B7" t="inlineStr">
        <is>
          <t>Metals Supplier 016</t>
        </is>
      </c>
      <c r="C7" t="inlineStr">
        <is>
          <t>Metals</t>
        </is>
      </c>
      <c r="D7" t="n">
        <v>2018</v>
      </c>
      <c r="E7" t="n">
        <v>2040</v>
      </c>
      <c r="F7" t="n">
        <v>0.2599</v>
      </c>
      <c r="G7" t="n">
        <v>0.1001</v>
      </c>
      <c r="H7" t="inlineStr">
        <is>
          <t>Absolute</t>
        </is>
      </c>
      <c r="I7" t="inlineStr">
        <is>
          <t>CDP</t>
        </is>
      </c>
    </row>
    <row r="8">
      <c r="A8" t="inlineStr">
        <is>
          <t>SUP-0004</t>
        </is>
      </c>
      <c r="B8" t="inlineStr">
        <is>
          <t>Agriculture Supplier 004</t>
        </is>
      </c>
      <c r="C8" t="inlineStr">
        <is>
          <t>Agriculture</t>
        </is>
      </c>
      <c r="D8" t="n">
        <v>2020</v>
      </c>
      <c r="E8" t="n">
        <v>2040</v>
      </c>
      <c r="F8" t="n">
        <v>0.5872000000000001</v>
      </c>
      <c r="G8" t="n">
        <v>0.3238</v>
      </c>
      <c r="H8" t="inlineStr">
        <is>
          <t>Absolute</t>
        </is>
      </c>
      <c r="I8" t="inlineStr">
        <is>
          <t>CDP</t>
        </is>
      </c>
    </row>
    <row r="9">
      <c r="A9" t="inlineStr">
        <is>
          <t>SUP-0074</t>
        </is>
      </c>
      <c r="B9" t="inlineStr">
        <is>
          <t>Agriculture Supplier 074</t>
        </is>
      </c>
      <c r="C9" t="inlineStr">
        <is>
          <t>Agriculture</t>
        </is>
      </c>
      <c r="D9" t="n">
        <v>2020</v>
      </c>
      <c r="E9" t="n">
        <v>2040</v>
      </c>
      <c r="F9" t="n">
        <v>0.5813</v>
      </c>
      <c r="G9" t="n">
        <v>0.2506</v>
      </c>
      <c r="H9" t="inlineStr">
        <is>
          <t>Absolute</t>
        </is>
      </c>
      <c r="I9" t="inlineStr">
        <is>
          <t>Supplier Survey</t>
        </is>
      </c>
    </row>
    <row r="10">
      <c r="A10" t="inlineStr">
        <is>
          <t>SUP-0027</t>
        </is>
      </c>
      <c r="B10" t="inlineStr">
        <is>
          <t>Metals Supplier 027</t>
        </is>
      </c>
      <c r="C10" t="inlineStr">
        <is>
          <t>Metals</t>
        </is>
      </c>
      <c r="D10" t="n">
        <v>2019</v>
      </c>
      <c r="E10" t="n">
        <v>2030</v>
      </c>
      <c r="F10" t="n">
        <v>0.2739</v>
      </c>
      <c r="G10" t="n">
        <v>0.1728</v>
      </c>
      <c r="H10" t="inlineStr">
        <is>
          <t>Absolute</t>
        </is>
      </c>
      <c r="I10" t="inlineStr">
        <is>
          <t>SBTi</t>
        </is>
      </c>
    </row>
    <row r="11">
      <c r="A11" t="inlineStr">
        <is>
          <t>SUP-0028</t>
        </is>
      </c>
      <c r="B11" t="inlineStr">
        <is>
          <t>Professional Supplier 028</t>
        </is>
      </c>
      <c r="C11" t="inlineStr">
        <is>
          <t>Professional Services</t>
        </is>
      </c>
      <c r="D11" t="n">
        <v>2020</v>
      </c>
      <c r="E11" t="n">
        <v>2035</v>
      </c>
      <c r="F11" t="n">
        <v>0.5648</v>
      </c>
      <c r="G11" t="n">
        <v>0.2914</v>
      </c>
      <c r="H11" t="inlineStr">
        <is>
          <t>Intensity</t>
        </is>
      </c>
      <c r="I11" t="inlineStr">
        <is>
          <t>CDP</t>
        </is>
      </c>
    </row>
    <row r="12">
      <c r="A12" t="inlineStr">
        <is>
          <t>SUP-0089</t>
        </is>
      </c>
      <c r="B12" t="inlineStr">
        <is>
          <t>Professional Supplier 089</t>
        </is>
      </c>
      <c r="C12" t="inlineStr">
        <is>
          <t>Professional Services</t>
        </is>
      </c>
      <c r="D12" t="n">
        <v>2021</v>
      </c>
      <c r="E12" t="n">
        <v>2035</v>
      </c>
      <c r="F12" t="n">
        <v>0.3882</v>
      </c>
      <c r="G12" t="n">
        <v>0.2508</v>
      </c>
      <c r="H12" t="inlineStr">
        <is>
          <t>Absolute</t>
        </is>
      </c>
      <c r="I12" t="inlineStr">
        <is>
          <t>CDP</t>
        </is>
      </c>
    </row>
    <row r="13">
      <c r="A13" t="inlineStr">
        <is>
          <t>SUP-0078</t>
        </is>
      </c>
      <c r="B13" t="inlineStr">
        <is>
          <t>Metals Supplier 078</t>
        </is>
      </c>
      <c r="C13" t="inlineStr">
        <is>
          <t>Metals</t>
        </is>
      </c>
      <c r="D13" t="n">
        <v>2021</v>
      </c>
      <c r="E13" t="n">
        <v>2040</v>
      </c>
      <c r="F13" t="n">
        <v>0.2592</v>
      </c>
      <c r="G13" t="n">
        <v>0.1569</v>
      </c>
      <c r="H13" t="inlineStr">
        <is>
          <t>Absolute</t>
        </is>
      </c>
      <c r="I13" t="inlineStr">
        <is>
          <t>SBTi</t>
        </is>
      </c>
    </row>
    <row r="14">
      <c r="A14" t="inlineStr">
        <is>
          <t>SUP-0043</t>
        </is>
      </c>
      <c r="B14" t="inlineStr">
        <is>
          <t>Logistics Supplier 043</t>
        </is>
      </c>
      <c r="C14" t="inlineStr">
        <is>
          <t>Logistics</t>
        </is>
      </c>
      <c r="D14" t="n">
        <v>2018</v>
      </c>
      <c r="E14" t="n">
        <v>2035</v>
      </c>
      <c r="F14" t="n">
        <v>0.543</v>
      </c>
      <c r="G14" t="n">
        <v>0.1921</v>
      </c>
      <c r="H14" t="inlineStr">
        <is>
          <t>Absolute</t>
        </is>
      </c>
      <c r="I14" t="inlineStr">
        <is>
          <t>Supplier Survey</t>
        </is>
      </c>
    </row>
    <row r="15">
      <c r="A15" t="inlineStr">
        <is>
          <t>SUP-0011</t>
        </is>
      </c>
      <c r="B15" t="inlineStr">
        <is>
          <t>Agriculture Supplier 011</t>
        </is>
      </c>
      <c r="C15" t="inlineStr">
        <is>
          <t>Agriculture</t>
        </is>
      </c>
      <c r="D15" t="n">
        <v>2020</v>
      </c>
      <c r="E15" t="n">
        <v>2040</v>
      </c>
      <c r="F15" t="n">
        <v>0.3477</v>
      </c>
      <c r="G15" t="n">
        <v>0.1695</v>
      </c>
      <c r="H15" t="inlineStr">
        <is>
          <t>Absolute</t>
        </is>
      </c>
      <c r="I15" t="inlineStr">
        <is>
          <t>SBTi</t>
        </is>
      </c>
    </row>
    <row r="16">
      <c r="A16" t="inlineStr">
        <is>
          <t>SUP-0045</t>
        </is>
      </c>
      <c r="B16" t="inlineStr">
        <is>
          <t>Logistics Supplier 045</t>
        </is>
      </c>
      <c r="C16" t="inlineStr">
        <is>
          <t>Logistics</t>
        </is>
      </c>
      <c r="D16" t="n">
        <v>2019</v>
      </c>
      <c r="E16" t="n">
        <v>2035</v>
      </c>
      <c r="F16" t="n">
        <v>0.5906</v>
      </c>
      <c r="G16" t="n">
        <v>0.2263</v>
      </c>
      <c r="H16" t="inlineStr">
        <is>
          <t>Intensity</t>
        </is>
      </c>
      <c r="I16" t="inlineStr">
        <is>
          <t>Contractual Target</t>
        </is>
      </c>
    </row>
    <row r="17">
      <c r="A17" t="inlineStr">
        <is>
          <t>SUP-0061</t>
        </is>
      </c>
      <c r="B17" t="inlineStr">
        <is>
          <t>Metals Supplier 061</t>
        </is>
      </c>
      <c r="C17" t="inlineStr">
        <is>
          <t>Metals</t>
        </is>
      </c>
      <c r="D17" t="n">
        <v>2018</v>
      </c>
      <c r="E17" t="n">
        <v>2040</v>
      </c>
      <c r="F17" t="n">
        <v>0.342</v>
      </c>
      <c r="G17" t="n">
        <v>0.2056</v>
      </c>
      <c r="H17" t="inlineStr">
        <is>
          <t>Absolute</t>
        </is>
      </c>
      <c r="I17" t="inlineStr">
        <is>
          <t>Supplier Survey</t>
        </is>
      </c>
    </row>
    <row r="18">
      <c r="A18" t="inlineStr">
        <is>
          <t>SUP-0040</t>
        </is>
      </c>
      <c r="B18" t="inlineStr">
        <is>
          <t>Chemicals Supplier 040</t>
        </is>
      </c>
      <c r="C18" t="inlineStr">
        <is>
          <t>Chemicals</t>
        </is>
      </c>
      <c r="D18" t="n">
        <v>2021</v>
      </c>
      <c r="E18" t="n">
        <v>2030</v>
      </c>
      <c r="F18" t="n">
        <v>0.5251</v>
      </c>
      <c r="G18" t="n">
        <v>0.198</v>
      </c>
      <c r="H18" t="inlineStr">
        <is>
          <t>Intensity</t>
        </is>
      </c>
      <c r="I18" t="inlineStr">
        <is>
          <t>Supplier Survey</t>
        </is>
      </c>
    </row>
    <row r="19">
      <c r="A19" t="inlineStr">
        <is>
          <t>SUP-0033</t>
        </is>
      </c>
      <c r="B19" t="inlineStr">
        <is>
          <t>Metals Supplier 033</t>
        </is>
      </c>
      <c r="C19" t="inlineStr">
        <is>
          <t>Metals</t>
        </is>
      </c>
      <c r="D19" t="n">
        <v>2021</v>
      </c>
      <c r="E19" t="n">
        <v>2030</v>
      </c>
      <c r="F19" t="n">
        <v>0.3204</v>
      </c>
      <c r="G19" t="n">
        <v>0.1259</v>
      </c>
      <c r="H19" t="inlineStr">
        <is>
          <t>Intensity</t>
        </is>
      </c>
      <c r="I19" t="inlineStr">
        <is>
          <t>Contractual Target</t>
        </is>
      </c>
    </row>
    <row r="20">
      <c r="A20" t="inlineStr">
        <is>
          <t>SUP-0062</t>
        </is>
      </c>
      <c r="B20" t="inlineStr">
        <is>
          <t>Textiles Supplier 062</t>
        </is>
      </c>
      <c r="C20" t="inlineStr">
        <is>
          <t>Textiles</t>
        </is>
      </c>
      <c r="D20" t="n">
        <v>2018</v>
      </c>
      <c r="E20" t="n">
        <v>2030</v>
      </c>
      <c r="F20" t="n">
        <v>0.5281</v>
      </c>
      <c r="G20" t="n">
        <v>0.1906</v>
      </c>
      <c r="H20" t="inlineStr">
        <is>
          <t>Absolute</t>
        </is>
      </c>
      <c r="I20" t="inlineStr">
        <is>
          <t>Contractual Target</t>
        </is>
      </c>
    </row>
    <row r="21">
      <c r="A21" t="inlineStr">
        <is>
          <t>SUP-0097</t>
        </is>
      </c>
      <c r="B21" t="inlineStr">
        <is>
          <t>Metals Supplier 097</t>
        </is>
      </c>
      <c r="C21" t="inlineStr">
        <is>
          <t>Metals</t>
        </is>
      </c>
      <c r="D21" t="n">
        <v>2018</v>
      </c>
      <c r="E21" t="n">
        <v>2030</v>
      </c>
      <c r="F21" t="n">
        <v>0.503</v>
      </c>
      <c r="G21" t="n">
        <v>0.297</v>
      </c>
      <c r="H21" t="inlineStr">
        <is>
          <t>Absolute</t>
        </is>
      </c>
      <c r="I21" t="inlineStr">
        <is>
          <t>CDP</t>
        </is>
      </c>
    </row>
    <row r="22">
      <c r="A22" t="inlineStr">
        <is>
          <t>SUP-0073</t>
        </is>
      </c>
      <c r="B22" t="inlineStr">
        <is>
          <t>Packaging Supplier 073</t>
        </is>
      </c>
      <c r="C22" t="inlineStr">
        <is>
          <t>Packaging</t>
        </is>
      </c>
      <c r="D22" t="n">
        <v>2021</v>
      </c>
      <c r="E22" t="n">
        <v>2030</v>
      </c>
      <c r="F22" t="n">
        <v>0.6005</v>
      </c>
      <c r="G22" t="n">
        <v>0.3773</v>
      </c>
      <c r="H22" t="inlineStr">
        <is>
          <t>Intensity</t>
        </is>
      </c>
      <c r="I22" t="inlineStr">
        <is>
          <t>SBTi</t>
        </is>
      </c>
    </row>
    <row r="23">
      <c r="A23" t="inlineStr">
        <is>
          <t>SUP-0096</t>
        </is>
      </c>
      <c r="B23" t="inlineStr">
        <is>
          <t>Agriculture Supplier 096</t>
        </is>
      </c>
      <c r="C23" t="inlineStr">
        <is>
          <t>Agriculture</t>
        </is>
      </c>
      <c r="D23" t="n">
        <v>2021</v>
      </c>
      <c r="E23" t="n">
        <v>2040</v>
      </c>
      <c r="F23" t="n">
        <v>0.619</v>
      </c>
      <c r="G23" t="n">
        <v>0.2241</v>
      </c>
      <c r="H23" t="inlineStr">
        <is>
          <t>Absolute</t>
        </is>
      </c>
      <c r="I23" t="inlineStr">
        <is>
          <t>SBTi</t>
        </is>
      </c>
    </row>
    <row r="24">
      <c r="A24" t="inlineStr">
        <is>
          <t>SUP-0072</t>
        </is>
      </c>
      <c r="B24" t="inlineStr">
        <is>
          <t>Electronics Supplier 072</t>
        </is>
      </c>
      <c r="C24" t="inlineStr">
        <is>
          <t>Electronics</t>
        </is>
      </c>
      <c r="D24" t="n">
        <v>2018</v>
      </c>
      <c r="E24" t="n">
        <v>2040</v>
      </c>
      <c r="F24" t="n">
        <v>0.5726</v>
      </c>
      <c r="G24" t="n">
        <v>0.3086</v>
      </c>
      <c r="H24" t="inlineStr">
        <is>
          <t>Intensity</t>
        </is>
      </c>
      <c r="I24" t="inlineStr">
        <is>
          <t>Supplier Survey</t>
        </is>
      </c>
    </row>
    <row r="25">
      <c r="A25" t="inlineStr">
        <is>
          <t>SUP-0007</t>
        </is>
      </c>
      <c r="B25" t="inlineStr">
        <is>
          <t>Chemicals Supplier 007</t>
        </is>
      </c>
      <c r="C25" t="inlineStr">
        <is>
          <t>Chemicals</t>
        </is>
      </c>
      <c r="D25" t="n">
        <v>2019</v>
      </c>
      <c r="E25" t="n">
        <v>2030</v>
      </c>
      <c r="F25" t="n">
        <v>0.5673</v>
      </c>
      <c r="G25" t="n">
        <v>0.2314</v>
      </c>
      <c r="H25" t="inlineStr">
        <is>
          <t>Absolute</t>
        </is>
      </c>
      <c r="I25" t="inlineStr">
        <is>
          <t>SBTi</t>
        </is>
      </c>
    </row>
    <row r="26">
      <c r="A26" t="inlineStr">
        <is>
          <t>SUP-0034</t>
        </is>
      </c>
      <c r="B26" t="inlineStr">
        <is>
          <t>Logistics Supplier 034</t>
        </is>
      </c>
      <c r="C26" t="inlineStr">
        <is>
          <t>Logistics</t>
        </is>
      </c>
      <c r="D26" t="n">
        <v>2020</v>
      </c>
      <c r="E26" t="n">
        <v>2035</v>
      </c>
      <c r="F26" t="n">
        <v>0.5058</v>
      </c>
      <c r="G26" t="n">
        <v>0.1853</v>
      </c>
      <c r="H26" t="inlineStr">
        <is>
          <t>Absolute</t>
        </is>
      </c>
      <c r="I26" t="inlineStr">
        <is>
          <t>Contractual Target</t>
        </is>
      </c>
    </row>
    <row r="27">
      <c r="A27" t="inlineStr">
        <is>
          <t>SUP-0077</t>
        </is>
      </c>
      <c r="B27" t="inlineStr">
        <is>
          <t>Packaging Supplier 077</t>
        </is>
      </c>
      <c r="C27" t="inlineStr">
        <is>
          <t>Packaging</t>
        </is>
      </c>
      <c r="D27" t="n">
        <v>2018</v>
      </c>
      <c r="E27" t="n">
        <v>2030</v>
      </c>
      <c r="F27" t="n">
        <v>0.6421</v>
      </c>
      <c r="G27" t="n">
        <v>0.3614</v>
      </c>
      <c r="H27" t="inlineStr">
        <is>
          <t>Absolute</t>
        </is>
      </c>
      <c r="I27" t="inlineStr">
        <is>
          <t>CDP</t>
        </is>
      </c>
    </row>
    <row r="28">
      <c r="A28" t="inlineStr">
        <is>
          <t>SUP-0098</t>
        </is>
      </c>
      <c r="B28" t="inlineStr">
        <is>
          <t>Agriculture Supplier 098</t>
        </is>
      </c>
      <c r="C28" t="inlineStr">
        <is>
          <t>Agriculture</t>
        </is>
      </c>
      <c r="D28" t="n">
        <v>2018</v>
      </c>
      <c r="E28" t="n">
        <v>2040</v>
      </c>
      <c r="F28" t="n">
        <v>0.6899999999999999</v>
      </c>
      <c r="G28" t="n">
        <v>0.3364</v>
      </c>
      <c r="H28" t="inlineStr">
        <is>
          <t>Intensity</t>
        </is>
      </c>
      <c r="I28" t="inlineStr">
        <is>
          <t>SBTi</t>
        </is>
      </c>
    </row>
    <row r="29">
      <c r="A29" t="inlineStr">
        <is>
          <t>SUP-0088</t>
        </is>
      </c>
      <c r="B29" t="inlineStr">
        <is>
          <t>Packaging Supplier 088</t>
        </is>
      </c>
      <c r="C29" t="inlineStr">
        <is>
          <t>Packaging</t>
        </is>
      </c>
      <c r="D29" t="n">
        <v>2019</v>
      </c>
      <c r="E29" t="n">
        <v>2035</v>
      </c>
      <c r="F29" t="n">
        <v>0.4862</v>
      </c>
      <c r="G29" t="n">
        <v>0.1913</v>
      </c>
      <c r="H29" t="inlineStr">
        <is>
          <t>Intensity</t>
        </is>
      </c>
      <c r="I29" t="inlineStr">
        <is>
          <t>Supplier Survey</t>
        </is>
      </c>
    </row>
    <row r="30">
      <c r="A30" t="inlineStr">
        <is>
          <t>SUP-0037</t>
        </is>
      </c>
      <c r="B30" t="inlineStr">
        <is>
          <t>Agriculture Supplier 037</t>
        </is>
      </c>
      <c r="C30" t="inlineStr">
        <is>
          <t>Agriculture</t>
        </is>
      </c>
      <c r="D30" t="n">
        <v>2019</v>
      </c>
      <c r="E30" t="n">
        <v>2035</v>
      </c>
      <c r="F30" t="n">
        <v>0.5499000000000001</v>
      </c>
      <c r="G30" t="n">
        <v>0.2996</v>
      </c>
      <c r="H30" t="inlineStr">
        <is>
          <t>Intensity</t>
        </is>
      </c>
      <c r="I30" t="inlineStr">
        <is>
          <t>Supplier Survey</t>
        </is>
      </c>
    </row>
    <row r="31">
      <c r="A31" t="inlineStr">
        <is>
          <t>SUP-0003</t>
        </is>
      </c>
      <c r="B31" t="inlineStr">
        <is>
          <t>Electronics Supplier 003</t>
        </is>
      </c>
      <c r="C31" t="inlineStr">
        <is>
          <t>Electronics</t>
        </is>
      </c>
      <c r="D31" t="n">
        <v>2018</v>
      </c>
      <c r="E31" t="n">
        <v>2030</v>
      </c>
      <c r="F31" t="n">
        <v>0.4542</v>
      </c>
      <c r="G31" t="n">
        <v>0.214</v>
      </c>
      <c r="H31" t="inlineStr">
        <is>
          <t>Absolute</t>
        </is>
      </c>
      <c r="I31" t="inlineStr">
        <is>
          <t>SBTi</t>
        </is>
      </c>
    </row>
    <row r="32">
      <c r="A32" t="inlineStr">
        <is>
          <t>SUP-0023</t>
        </is>
      </c>
      <c r="B32" t="inlineStr">
        <is>
          <t>Agriculture Supplier 023</t>
        </is>
      </c>
      <c r="C32" t="inlineStr">
        <is>
          <t>Agriculture</t>
        </is>
      </c>
      <c r="D32" t="n">
        <v>2018</v>
      </c>
      <c r="E32" t="n">
        <v>2040</v>
      </c>
      <c r="F32" t="n">
        <v>0.339</v>
      </c>
      <c r="G32" t="n">
        <v>0.1496</v>
      </c>
      <c r="H32" t="inlineStr">
        <is>
          <t>Absolute</t>
        </is>
      </c>
      <c r="I32" t="inlineStr">
        <is>
          <t>SBTi</t>
        </is>
      </c>
    </row>
    <row r="33">
      <c r="A33" t="inlineStr">
        <is>
          <t>SUP-0019</t>
        </is>
      </c>
      <c r="B33" t="inlineStr">
        <is>
          <t>Metals Supplier 019</t>
        </is>
      </c>
      <c r="C33" t="inlineStr">
        <is>
          <t>Metals</t>
        </is>
      </c>
      <c r="D33" t="n">
        <v>2021</v>
      </c>
      <c r="E33" t="n">
        <v>2035</v>
      </c>
      <c r="F33" t="n">
        <v>0.5173</v>
      </c>
      <c r="G33" t="n">
        <v>0.245</v>
      </c>
      <c r="H33" t="inlineStr">
        <is>
          <t>Absolute</t>
        </is>
      </c>
      <c r="I33" t="inlineStr">
        <is>
          <t>Contractual Target</t>
        </is>
      </c>
    </row>
    <row r="34">
      <c r="A34" t="inlineStr">
        <is>
          <t>SUP-0094</t>
        </is>
      </c>
      <c r="B34" t="inlineStr">
        <is>
          <t>Metals Supplier 094</t>
        </is>
      </c>
      <c r="C34" t="inlineStr">
        <is>
          <t>Metals</t>
        </is>
      </c>
      <c r="D34" t="n">
        <v>2018</v>
      </c>
      <c r="E34" t="n">
        <v>2040</v>
      </c>
      <c r="F34" t="n">
        <v>0.3585</v>
      </c>
      <c r="G34" t="n">
        <v>0.1294</v>
      </c>
      <c r="H34" t="inlineStr">
        <is>
          <t>Absolute</t>
        </is>
      </c>
      <c r="I34" t="inlineStr">
        <is>
          <t>Supplier Survey</t>
        </is>
      </c>
    </row>
    <row r="35">
      <c r="A35" t="inlineStr">
        <is>
          <t>SUP-0054</t>
        </is>
      </c>
      <c r="B35" t="inlineStr">
        <is>
          <t>Chemicals Supplier 054</t>
        </is>
      </c>
      <c r="C35" t="inlineStr">
        <is>
          <t>Chemicals</t>
        </is>
      </c>
      <c r="D35" t="n">
        <v>2019</v>
      </c>
      <c r="E35" t="n">
        <v>2035</v>
      </c>
      <c r="F35" t="n">
        <v>0.3128</v>
      </c>
      <c r="G35" t="n">
        <v>0.1632</v>
      </c>
      <c r="H35" t="inlineStr">
        <is>
          <t>Absolute</t>
        </is>
      </c>
      <c r="I35" t="inlineStr">
        <is>
          <t>Supplier Survey</t>
        </is>
      </c>
    </row>
    <row r="36">
      <c r="A36" t="inlineStr">
        <is>
          <t>SUP-0070</t>
        </is>
      </c>
      <c r="B36" t="inlineStr">
        <is>
          <t>Agriculture Supplier 070</t>
        </is>
      </c>
      <c r="C36" t="inlineStr">
        <is>
          <t>Agriculture</t>
        </is>
      </c>
      <c r="D36" t="n">
        <v>2020</v>
      </c>
      <c r="E36" t="n">
        <v>2035</v>
      </c>
      <c r="F36" t="n">
        <v>0.5262</v>
      </c>
      <c r="G36" t="n">
        <v>0.2341</v>
      </c>
      <c r="H36" t="inlineStr">
        <is>
          <t>Intensity</t>
        </is>
      </c>
      <c r="I36" t="inlineStr">
        <is>
          <t>Supplier Survey</t>
        </is>
      </c>
    </row>
    <row r="37">
      <c r="A37" t="inlineStr">
        <is>
          <t>SUP-0086</t>
        </is>
      </c>
      <c r="B37" t="inlineStr">
        <is>
          <t>Metals Supplier 086</t>
        </is>
      </c>
      <c r="C37" t="inlineStr">
        <is>
          <t>Metals</t>
        </is>
      </c>
      <c r="D37" t="n">
        <v>2019</v>
      </c>
      <c r="E37" t="n">
        <v>2035</v>
      </c>
      <c r="F37" t="n">
        <v>0.4157</v>
      </c>
      <c r="G37" t="n">
        <v>0.2236</v>
      </c>
      <c r="H37" t="inlineStr">
        <is>
          <t>Absolute</t>
        </is>
      </c>
      <c r="I37" t="inlineStr">
        <is>
          <t>Contractual Target</t>
        </is>
      </c>
    </row>
    <row r="38">
      <c r="A38" t="inlineStr">
        <is>
          <t>SUP-0031</t>
        </is>
      </c>
      <c r="B38" t="inlineStr">
        <is>
          <t>Professional Supplier 031</t>
        </is>
      </c>
      <c r="C38" t="inlineStr">
        <is>
          <t>Professional Services</t>
        </is>
      </c>
      <c r="D38" t="n">
        <v>2020</v>
      </c>
      <c r="E38" t="n">
        <v>2040</v>
      </c>
      <c r="F38" t="n">
        <v>0.6432</v>
      </c>
      <c r="G38" t="n">
        <v>0.4028</v>
      </c>
      <c r="H38" t="inlineStr">
        <is>
          <t>Absolute</t>
        </is>
      </c>
      <c r="I38" t="inlineStr">
        <is>
          <t>Supplier Survey</t>
        </is>
      </c>
    </row>
    <row r="39">
      <c r="A39" t="inlineStr">
        <is>
          <t>SUP-0017</t>
        </is>
      </c>
      <c r="B39" t="inlineStr">
        <is>
          <t>Electronics Supplier 017</t>
        </is>
      </c>
      <c r="C39" t="inlineStr">
        <is>
          <t>Electronics</t>
        </is>
      </c>
      <c r="D39" t="n">
        <v>2020</v>
      </c>
      <c r="E39" t="n">
        <v>2035</v>
      </c>
      <c r="F39" t="n">
        <v>0.5999</v>
      </c>
      <c r="G39" t="n">
        <v>0.2666</v>
      </c>
      <c r="H39" t="inlineStr">
        <is>
          <t>Intensity</t>
        </is>
      </c>
      <c r="I39" t="inlineStr">
        <is>
          <t>CDP</t>
        </is>
      </c>
    </row>
    <row r="40">
      <c r="A40" t="inlineStr">
        <is>
          <t>SUP-0049</t>
        </is>
      </c>
      <c r="B40" t="inlineStr">
        <is>
          <t>Logistics Supplier 049</t>
        </is>
      </c>
      <c r="C40" t="inlineStr">
        <is>
          <t>Logistics</t>
        </is>
      </c>
      <c r="D40" t="n">
        <v>2019</v>
      </c>
      <c r="E40" t="n">
        <v>2030</v>
      </c>
      <c r="F40" t="n">
        <v>0.236</v>
      </c>
      <c r="G40" t="n">
        <v>0.1422</v>
      </c>
      <c r="H40" t="inlineStr">
        <is>
          <t>Absolute</t>
        </is>
      </c>
      <c r="I40" t="inlineStr">
        <is>
          <t>SBTi</t>
        </is>
      </c>
    </row>
    <row r="41">
      <c r="A41" t="inlineStr">
        <is>
          <t>SUP-0082</t>
        </is>
      </c>
      <c r="B41" t="inlineStr">
        <is>
          <t>Packaging Supplier 082</t>
        </is>
      </c>
      <c r="C41" t="inlineStr">
        <is>
          <t>Packaging</t>
        </is>
      </c>
      <c r="D41" t="n">
        <v>2018</v>
      </c>
      <c r="E41" t="n">
        <v>2030</v>
      </c>
      <c r="F41" t="n">
        <v>0.3671</v>
      </c>
      <c r="G41" t="n">
        <v>0.1475</v>
      </c>
      <c r="H41" t="inlineStr">
        <is>
          <t>Absolute</t>
        </is>
      </c>
      <c r="I41" t="inlineStr">
        <is>
          <t>SBTi</t>
        </is>
      </c>
    </row>
    <row r="42">
      <c r="A42" t="inlineStr">
        <is>
          <t>SUP-0055</t>
        </is>
      </c>
      <c r="B42" t="inlineStr">
        <is>
          <t>Chemicals Supplier 055</t>
        </is>
      </c>
      <c r="C42" t="inlineStr">
        <is>
          <t>Chemicals</t>
        </is>
      </c>
      <c r="D42" t="n">
        <v>2020</v>
      </c>
      <c r="E42" t="n">
        <v>2040</v>
      </c>
      <c r="F42" t="n">
        <v>0.6136</v>
      </c>
      <c r="G42" t="n">
        <v>0.3724</v>
      </c>
      <c r="H42" t="inlineStr">
        <is>
          <t>Absolute</t>
        </is>
      </c>
      <c r="I42" t="inlineStr">
        <is>
          <t>SBTi</t>
        </is>
      </c>
    </row>
    <row r="43">
      <c r="A43" t="inlineStr">
        <is>
          <t>SUP-0063</t>
        </is>
      </c>
      <c r="B43" t="inlineStr">
        <is>
          <t>Chemicals Supplier 063</t>
        </is>
      </c>
      <c r="C43" t="inlineStr">
        <is>
          <t>Chemicals</t>
        </is>
      </c>
      <c r="D43" t="n">
        <v>2020</v>
      </c>
      <c r="E43" t="n">
        <v>2030</v>
      </c>
      <c r="F43" t="n">
        <v>0.5004</v>
      </c>
      <c r="G43" t="n">
        <v>0.1931</v>
      </c>
      <c r="H43" t="inlineStr">
        <is>
          <t>Absolute</t>
        </is>
      </c>
      <c r="I43" t="inlineStr">
        <is>
          <t>Supplier Survey</t>
        </is>
      </c>
    </row>
    <row r="44">
      <c r="A44" t="inlineStr">
        <is>
          <t>SUP-0075</t>
        </is>
      </c>
      <c r="B44" t="inlineStr">
        <is>
          <t>Metals Supplier 075</t>
        </is>
      </c>
      <c r="C44" t="inlineStr">
        <is>
          <t>Metals</t>
        </is>
      </c>
      <c r="D44" t="n">
        <v>2021</v>
      </c>
      <c r="E44" t="n">
        <v>2030</v>
      </c>
      <c r="F44" t="n">
        <v>0.5861</v>
      </c>
      <c r="G44" t="n">
        <v>0.2598</v>
      </c>
      <c r="H44" t="inlineStr">
        <is>
          <t>Absolute</t>
        </is>
      </c>
      <c r="I44" t="inlineStr">
        <is>
          <t>Contractual Target</t>
        </is>
      </c>
    </row>
    <row r="45">
      <c r="A45" t="inlineStr">
        <is>
          <t>SUP-0047</t>
        </is>
      </c>
      <c r="B45" t="inlineStr">
        <is>
          <t>Packaging Supplier 047</t>
        </is>
      </c>
      <c r="C45" t="inlineStr">
        <is>
          <t>Packaging</t>
        </is>
      </c>
      <c r="D45" t="n">
        <v>2018</v>
      </c>
      <c r="E45" t="n">
        <v>2040</v>
      </c>
      <c r="F45" t="n">
        <v>0.3939</v>
      </c>
      <c r="G45" t="n">
        <v>0.2136</v>
      </c>
      <c r="H45" t="inlineStr">
        <is>
          <t>Absolute</t>
        </is>
      </c>
      <c r="I45" t="inlineStr">
        <is>
          <t>Supplier Survey</t>
        </is>
      </c>
    </row>
    <row r="46">
      <c r="A46" t="inlineStr">
        <is>
          <t>SUP-0090</t>
        </is>
      </c>
      <c r="B46" t="inlineStr">
        <is>
          <t>Textiles Supplier 090</t>
        </is>
      </c>
      <c r="C46" t="inlineStr">
        <is>
          <t>Textiles</t>
        </is>
      </c>
      <c r="D46" t="n">
        <v>2018</v>
      </c>
      <c r="E46" t="n">
        <v>2040</v>
      </c>
      <c r="F46" t="n">
        <v>0.2819</v>
      </c>
      <c r="G46" t="n">
        <v>0.1127</v>
      </c>
      <c r="H46" t="inlineStr">
        <is>
          <t>Intensity</t>
        </is>
      </c>
      <c r="I46" t="inlineStr">
        <is>
          <t>Supplier Survey</t>
        </is>
      </c>
    </row>
    <row r="47">
      <c r="A47" t="inlineStr">
        <is>
          <t>SUP-0001</t>
        </is>
      </c>
      <c r="B47" t="inlineStr">
        <is>
          <t>Professional Supplier 001</t>
        </is>
      </c>
      <c r="C47" t="inlineStr">
        <is>
          <t>Professional Services</t>
        </is>
      </c>
      <c r="D47" t="n">
        <v>2021</v>
      </c>
      <c r="E47" t="n">
        <v>2040</v>
      </c>
      <c r="F47" t="n">
        <v>0.478</v>
      </c>
      <c r="G47" t="n">
        <v>0.2876</v>
      </c>
      <c r="H47" t="inlineStr">
        <is>
          <t>Intensity</t>
        </is>
      </c>
      <c r="I47" t="inlineStr">
        <is>
          <t>Supplier Survey</t>
        </is>
      </c>
    </row>
    <row r="48">
      <c r="A48" t="inlineStr">
        <is>
          <t>SUP-0010</t>
        </is>
      </c>
      <c r="B48" t="inlineStr">
        <is>
          <t>Packaging Supplier 010</t>
        </is>
      </c>
      <c r="C48" t="inlineStr">
        <is>
          <t>Packaging</t>
        </is>
      </c>
      <c r="D48" t="n">
        <v>2018</v>
      </c>
      <c r="E48" t="n">
        <v>2035</v>
      </c>
      <c r="F48" t="n">
        <v>0.3963</v>
      </c>
      <c r="G48" t="n">
        <v>0.1482</v>
      </c>
      <c r="H48" t="inlineStr">
        <is>
          <t>Intensity</t>
        </is>
      </c>
      <c r="I48" t="inlineStr">
        <is>
          <t>CDP</t>
        </is>
      </c>
    </row>
    <row r="49">
      <c r="A49" t="inlineStr">
        <is>
          <t>SUP-0076</t>
        </is>
      </c>
      <c r="B49" t="inlineStr">
        <is>
          <t>Chemicals Supplier 076</t>
        </is>
      </c>
      <c r="C49" t="inlineStr">
        <is>
          <t>Chemicals</t>
        </is>
      </c>
      <c r="D49" t="n">
        <v>2018</v>
      </c>
      <c r="E49" t="n">
        <v>2035</v>
      </c>
      <c r="F49" t="n">
        <v>0.4347</v>
      </c>
      <c r="G49" t="n">
        <v>0.1718</v>
      </c>
      <c r="H49" t="inlineStr">
        <is>
          <t>Absolute</t>
        </is>
      </c>
      <c r="I49" t="inlineStr">
        <is>
          <t>SBTi</t>
        </is>
      </c>
    </row>
    <row r="50">
      <c r="A50" t="inlineStr">
        <is>
          <t>SUP-0002</t>
        </is>
      </c>
      <c r="B50" t="inlineStr">
        <is>
          <t>Textiles Supplier 002</t>
        </is>
      </c>
      <c r="C50" t="inlineStr">
        <is>
          <t>Textiles</t>
        </is>
      </c>
      <c r="D50" t="n">
        <v>2021</v>
      </c>
      <c r="E50" t="n">
        <v>2040</v>
      </c>
      <c r="F50" t="n">
        <v>0.3164</v>
      </c>
      <c r="G50" t="n">
        <v>0.1385</v>
      </c>
      <c r="H50" t="inlineStr">
        <is>
          <t>Absolute</t>
        </is>
      </c>
      <c r="I50" t="inlineStr">
        <is>
          <t>SBTi</t>
        </is>
      </c>
    </row>
    <row r="51">
      <c r="A51" t="inlineStr">
        <is>
          <t>SUP-0051</t>
        </is>
      </c>
      <c r="B51" t="inlineStr">
        <is>
          <t>Textiles Supplier 051</t>
        </is>
      </c>
      <c r="C51" t="inlineStr">
        <is>
          <t>Textiles</t>
        </is>
      </c>
      <c r="D51" t="n">
        <v>2021</v>
      </c>
      <c r="E51" t="n">
        <v>2035</v>
      </c>
      <c r="F51" t="n">
        <v>0.4466</v>
      </c>
      <c r="G51" t="n">
        <v>0.1676</v>
      </c>
      <c r="H51" t="inlineStr">
        <is>
          <t>Absolute</t>
        </is>
      </c>
      <c r="I51" t="inlineStr">
        <is>
          <t>Contractual Target</t>
        </is>
      </c>
    </row>
    <row r="52">
      <c r="A52" t="inlineStr">
        <is>
          <t>SUP-0071</t>
        </is>
      </c>
      <c r="B52" t="inlineStr">
        <is>
          <t>Chemicals Supplier 071</t>
        </is>
      </c>
      <c r="C52" t="inlineStr">
        <is>
          <t>Chemicals</t>
        </is>
      </c>
      <c r="D52" t="n">
        <v>2021</v>
      </c>
      <c r="E52" t="n">
        <v>2040</v>
      </c>
      <c r="F52" t="n">
        <v>0.5246</v>
      </c>
      <c r="G52" t="n">
        <v>0.2891</v>
      </c>
      <c r="H52" t="inlineStr">
        <is>
          <t>Intensity</t>
        </is>
      </c>
      <c r="I52" t="inlineStr">
        <is>
          <t>Supplier Survey</t>
        </is>
      </c>
    </row>
    <row r="53">
      <c r="A53" t="inlineStr">
        <is>
          <t>SUP-0025</t>
        </is>
      </c>
      <c r="B53" t="inlineStr">
        <is>
          <t>Metals Supplier 025</t>
        </is>
      </c>
      <c r="C53" t="inlineStr">
        <is>
          <t>Metals</t>
        </is>
      </c>
      <c r="D53" t="n">
        <v>2020</v>
      </c>
      <c r="E53" t="n">
        <v>2030</v>
      </c>
      <c r="F53" t="n">
        <v>0.3833</v>
      </c>
      <c r="G53" t="n">
        <v>0.1962</v>
      </c>
      <c r="H53" t="inlineStr">
        <is>
          <t>Absolute</t>
        </is>
      </c>
      <c r="I53" t="inlineStr">
        <is>
          <t>Contractual Target</t>
        </is>
      </c>
    </row>
    <row r="54">
      <c r="A54" t="inlineStr">
        <is>
          <t>SUP-0053</t>
        </is>
      </c>
      <c r="B54" t="inlineStr">
        <is>
          <t>Electronics Supplier 053</t>
        </is>
      </c>
      <c r="C54" t="inlineStr">
        <is>
          <t>Electronics</t>
        </is>
      </c>
      <c r="D54" t="n">
        <v>2021</v>
      </c>
      <c r="E54" t="n">
        <v>2030</v>
      </c>
      <c r="F54" t="n">
        <v>0.5843</v>
      </c>
      <c r="G54" t="n">
        <v>0.3539</v>
      </c>
      <c r="H54" t="inlineStr">
        <is>
          <t>Absolute</t>
        </is>
      </c>
      <c r="I54" t="inlineStr">
        <is>
          <t>CDP</t>
        </is>
      </c>
    </row>
    <row r="55">
      <c r="A55" t="inlineStr">
        <is>
          <t>SUP-0026</t>
        </is>
      </c>
      <c r="B55" t="inlineStr">
        <is>
          <t>Professional Supplier 026</t>
        </is>
      </c>
      <c r="C55" t="inlineStr">
        <is>
          <t>Professional Services</t>
        </is>
      </c>
      <c r="D55" t="n">
        <v>2019</v>
      </c>
      <c r="E55" t="n">
        <v>2040</v>
      </c>
      <c r="F55" t="n">
        <v>0.4936</v>
      </c>
      <c r="G55" t="n">
        <v>0.2987</v>
      </c>
      <c r="H55" t="inlineStr">
        <is>
          <t>Absolute</t>
        </is>
      </c>
      <c r="I55" t="inlineStr">
        <is>
          <t>Supplier Survey</t>
        </is>
      </c>
    </row>
    <row r="56">
      <c r="A56" t="inlineStr">
        <is>
          <t>SUP-0015</t>
        </is>
      </c>
      <c r="B56" t="inlineStr">
        <is>
          <t>Packaging Supplier 015</t>
        </is>
      </c>
      <c r="C56" t="inlineStr">
        <is>
          <t>Packaging</t>
        </is>
      </c>
      <c r="D56" t="n">
        <v>2019</v>
      </c>
      <c r="E56" t="n">
        <v>2040</v>
      </c>
      <c r="F56" t="n">
        <v>0.2525</v>
      </c>
      <c r="G56" t="n">
        <v>0.1186</v>
      </c>
      <c r="H56" t="inlineStr">
        <is>
          <t>Intensity</t>
        </is>
      </c>
      <c r="I56" t="inlineStr">
        <is>
          <t>Supplier Survey</t>
        </is>
      </c>
    </row>
    <row r="57">
      <c r="A57" t="inlineStr">
        <is>
          <t>SUP-0087</t>
        </is>
      </c>
      <c r="B57" t="inlineStr">
        <is>
          <t>Agriculture Supplier 087</t>
        </is>
      </c>
      <c r="C57" t="inlineStr">
        <is>
          <t>Agriculture</t>
        </is>
      </c>
      <c r="D57" t="n">
        <v>2020</v>
      </c>
      <c r="E57" t="n">
        <v>2035</v>
      </c>
      <c r="F57" t="n">
        <v>0.2888</v>
      </c>
      <c r="G57" t="n">
        <v>0.1304</v>
      </c>
      <c r="H57" t="inlineStr">
        <is>
          <t>Absolute</t>
        </is>
      </c>
      <c r="I57" t="inlineStr">
        <is>
          <t>CDP</t>
        </is>
      </c>
    </row>
    <row r="58">
      <c r="A58" t="inlineStr">
        <is>
          <t>SUP-0032</t>
        </is>
      </c>
      <c r="B58" t="inlineStr">
        <is>
          <t>Agriculture Supplier 032</t>
        </is>
      </c>
      <c r="C58" t="inlineStr">
        <is>
          <t>Agriculture</t>
        </is>
      </c>
      <c r="D58" t="n">
        <v>2018</v>
      </c>
      <c r="E58" t="n">
        <v>2035</v>
      </c>
      <c r="F58" t="n">
        <v>0.4241</v>
      </c>
      <c r="G58" t="n">
        <v>0.1876</v>
      </c>
      <c r="H58" t="inlineStr">
        <is>
          <t>Absolute</t>
        </is>
      </c>
      <c r="I58" t="inlineStr">
        <is>
          <t>Contractual Target</t>
        </is>
      </c>
    </row>
    <row r="59">
      <c r="A59" t="inlineStr">
        <is>
          <t>SUP-0066</t>
        </is>
      </c>
      <c r="B59" t="inlineStr">
        <is>
          <t>Electronics Supplier 066</t>
        </is>
      </c>
      <c r="C59" t="inlineStr">
        <is>
          <t>Electronics</t>
        </is>
      </c>
      <c r="D59" t="n">
        <v>2020</v>
      </c>
      <c r="E59" t="n">
        <v>2030</v>
      </c>
      <c r="F59" t="n">
        <v>0.339</v>
      </c>
      <c r="G59" t="n">
        <v>0.1901</v>
      </c>
      <c r="H59" t="inlineStr">
        <is>
          <t>Absolute</t>
        </is>
      </c>
      <c r="I59" t="inlineStr">
        <is>
          <t>Supplier Survey</t>
        </is>
      </c>
    </row>
    <row r="60">
      <c r="A60" t="inlineStr">
        <is>
          <t>SUP-0100</t>
        </is>
      </c>
      <c r="B60" t="inlineStr">
        <is>
          <t>Textiles Supplier 100</t>
        </is>
      </c>
      <c r="C60" t="inlineStr">
        <is>
          <t>Textiles</t>
        </is>
      </c>
      <c r="D60" t="n">
        <v>2021</v>
      </c>
      <c r="E60" t="n">
        <v>2040</v>
      </c>
      <c r="F60" t="n">
        <v>0.4388</v>
      </c>
      <c r="G60" t="n">
        <v>0.2538</v>
      </c>
      <c r="H60" t="inlineStr">
        <is>
          <t>Intensity</t>
        </is>
      </c>
      <c r="I60" t="inlineStr">
        <is>
          <t>Supplier Survey</t>
        </is>
      </c>
    </row>
    <row r="61">
      <c r="A61" t="inlineStr">
        <is>
          <t>SUP-0038</t>
        </is>
      </c>
      <c r="B61" t="inlineStr">
        <is>
          <t>Agriculture Supplier 038</t>
        </is>
      </c>
      <c r="C61" t="inlineStr">
        <is>
          <t>Agriculture</t>
        </is>
      </c>
      <c r="D61" t="n">
        <v>2020</v>
      </c>
      <c r="E61" t="n">
        <v>2040</v>
      </c>
      <c r="F61" t="n">
        <v>0.6816</v>
      </c>
      <c r="G61" t="n">
        <v>0.3985</v>
      </c>
      <c r="H61" t="inlineStr">
        <is>
          <t>Intensity</t>
        </is>
      </c>
      <c r="I61" t="inlineStr">
        <is>
          <t>SBTi</t>
        </is>
      </c>
    </row>
    <row r="62">
      <c r="A62" t="inlineStr">
        <is>
          <t>SUP-0065</t>
        </is>
      </c>
      <c r="B62" t="inlineStr">
        <is>
          <t>Agriculture Supplier 065</t>
        </is>
      </c>
      <c r="C62" t="inlineStr">
        <is>
          <t>Agriculture</t>
        </is>
      </c>
      <c r="D62" t="n">
        <v>2018</v>
      </c>
      <c r="E62" t="n">
        <v>2035</v>
      </c>
      <c r="F62" t="n">
        <v>0.42</v>
      </c>
      <c r="G62" t="n">
        <v>0.2167</v>
      </c>
      <c r="H62" t="inlineStr">
        <is>
          <t>Absolute</t>
        </is>
      </c>
      <c r="I62" t="inlineStr">
        <is>
          <t>Supplier Survey</t>
        </is>
      </c>
    </row>
    <row r="63">
      <c r="A63" t="inlineStr">
        <is>
          <t>SUP-0080</t>
        </is>
      </c>
      <c r="B63" t="inlineStr">
        <is>
          <t>Packaging Supplier 080</t>
        </is>
      </c>
      <c r="C63" t="inlineStr">
        <is>
          <t>Packaging</t>
        </is>
      </c>
      <c r="D63" t="n">
        <v>2019</v>
      </c>
      <c r="E63" t="n">
        <v>2040</v>
      </c>
      <c r="F63" t="n">
        <v>0.6923</v>
      </c>
      <c r="G63" t="n">
        <v>0.3022</v>
      </c>
      <c r="H63" t="inlineStr">
        <is>
          <t>Intensity</t>
        </is>
      </c>
      <c r="I63" t="inlineStr">
        <is>
          <t>Contractual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Supplier_Industry</t>
        </is>
      </c>
      <c r="B1" t="inlineStr">
        <is>
          <t>Industry_Baseline_Year</t>
        </is>
      </c>
      <c r="C1" t="inlineStr">
        <is>
          <t>Industry_Target_Year</t>
        </is>
      </c>
      <c r="D1" t="inlineStr">
        <is>
          <t>Industry_Reduction_Percentage</t>
        </is>
      </c>
      <c r="E1" t="inlineStr">
        <is>
          <t>Industry_Emission_Factor</t>
        </is>
      </c>
      <c r="F1" t="inlineStr">
        <is>
          <t>Spend_Based_Emission_Factor</t>
        </is>
      </c>
      <c r="G1" t="inlineStr">
        <is>
          <t>Revenue_Based_Emission_Intensity</t>
        </is>
      </c>
    </row>
    <row r="2">
      <c r="A2" t="inlineStr">
        <is>
          <t>Electronics</t>
        </is>
      </c>
      <c r="B2" t="n">
        <v>2018</v>
      </c>
      <c r="C2" t="n">
        <v>2040</v>
      </c>
      <c r="D2" t="n">
        <v>0.3424</v>
      </c>
      <c r="E2" t="n">
        <v>635.1588</v>
      </c>
      <c r="F2" t="n">
        <v>0.00086105</v>
      </c>
      <c r="G2" t="n">
        <v>0.00013947</v>
      </c>
    </row>
    <row r="3">
      <c r="A3" t="inlineStr">
        <is>
          <t>Logistics</t>
        </is>
      </c>
      <c r="B3" t="n">
        <v>2019</v>
      </c>
      <c r="C3" t="n">
        <v>2040</v>
      </c>
      <c r="D3" t="n">
        <v>0.4616</v>
      </c>
      <c r="E3" t="n">
        <v>591.6386</v>
      </c>
      <c r="F3" t="n">
        <v>0.00022349</v>
      </c>
      <c r="G3" t="n">
        <v>0.00047787</v>
      </c>
    </row>
    <row r="4">
      <c r="A4" t="inlineStr">
        <is>
          <t>Chemicals</t>
        </is>
      </c>
      <c r="B4" t="n">
        <v>2019</v>
      </c>
      <c r="C4" t="n">
        <v>2035</v>
      </c>
      <c r="D4" t="n">
        <v>0.5229</v>
      </c>
      <c r="E4" t="n">
        <v>506.3191</v>
      </c>
      <c r="F4" t="n">
        <v>0.00100149</v>
      </c>
      <c r="G4" t="n">
        <v>0.00047124</v>
      </c>
    </row>
    <row r="5">
      <c r="A5" t="inlineStr">
        <is>
          <t>Metals</t>
        </is>
      </c>
      <c r="B5" t="n">
        <v>2019</v>
      </c>
      <c r="C5" t="n">
        <v>2030</v>
      </c>
      <c r="D5" t="n">
        <v>0.3852</v>
      </c>
      <c r="E5" t="n">
        <v>158.2904</v>
      </c>
      <c r="F5" t="n">
        <v>0.00100695</v>
      </c>
      <c r="G5" t="n">
        <v>0.00065008</v>
      </c>
    </row>
    <row r="6">
      <c r="A6" t="inlineStr">
        <is>
          <t>Packaging</t>
        </is>
      </c>
      <c r="B6" t="n">
        <v>2018</v>
      </c>
      <c r="C6" t="n">
        <v>2040</v>
      </c>
      <c r="D6" t="n">
        <v>0.3112</v>
      </c>
      <c r="E6" t="n">
        <v>702.4188</v>
      </c>
      <c r="F6" t="n">
        <v>0.0010803</v>
      </c>
      <c r="G6" t="n">
        <v>0.00078946</v>
      </c>
    </row>
    <row r="7">
      <c r="A7" t="inlineStr">
        <is>
          <t>Professional Services</t>
        </is>
      </c>
      <c r="B7" t="n">
        <v>2020</v>
      </c>
      <c r="C7" t="inlineStr"/>
      <c r="D7" t="inlineStr"/>
      <c r="E7" t="n">
        <v>400.0326</v>
      </c>
      <c r="F7" t="n">
        <v>0.00012906</v>
      </c>
      <c r="G7" t="n">
        <v>0.00019658</v>
      </c>
    </row>
    <row r="8">
      <c r="A8" t="inlineStr">
        <is>
          <t>Agriculture</t>
        </is>
      </c>
      <c r="B8" t="n">
        <v>2018</v>
      </c>
      <c r="C8" t="inlineStr"/>
      <c r="D8" t="inlineStr"/>
      <c r="E8" t="n">
        <v>529.8294</v>
      </c>
      <c r="F8" t="n">
        <v>0.00091413</v>
      </c>
      <c r="G8" t="n">
        <v>0.00096913</v>
      </c>
    </row>
    <row r="9">
      <c r="A9" t="inlineStr">
        <is>
          <t>Textiles</t>
        </is>
      </c>
      <c r="B9" t="n">
        <v>2019</v>
      </c>
      <c r="C9" t="n">
        <v>2030</v>
      </c>
      <c r="D9" t="n">
        <v>0.3171</v>
      </c>
      <c r="E9" t="n">
        <v>401.7335</v>
      </c>
      <c r="F9" t="n">
        <v>0.00029221</v>
      </c>
      <c r="G9" t="n">
        <v>0.00017343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Supplier_Industry</t>
        </is>
      </c>
      <c r="D1" t="inlineStr">
        <is>
          <t>Supplier_Year</t>
        </is>
      </c>
      <c r="E1" t="inlineStr">
        <is>
          <t>Gross_Spend</t>
        </is>
      </c>
      <c r="F1" t="inlineStr">
        <is>
          <t>Revenue</t>
        </is>
      </c>
      <c r="G1" t="inlineStr">
        <is>
          <t>Reported_Emissions</t>
        </is>
      </c>
      <c r="H1" t="inlineStr">
        <is>
          <t>Scope1_Emission</t>
        </is>
      </c>
      <c r="I1" t="inlineStr">
        <is>
          <t>Scope2_Emission</t>
        </is>
      </c>
      <c r="J1" t="inlineStr">
        <is>
          <t>Scope3_Emission</t>
        </is>
      </c>
      <c r="K1" t="inlineStr">
        <is>
          <t>Baseline_Year</t>
        </is>
      </c>
      <c r="L1" t="inlineStr">
        <is>
          <t>Target_Year</t>
        </is>
      </c>
      <c r="M1" t="inlineStr">
        <is>
          <t>Target_Reduction_Percentage</t>
        </is>
      </c>
      <c r="N1" t="inlineStr">
        <is>
          <t>Interim_Target_Reduction_Percentage</t>
        </is>
      </c>
      <c r="O1" t="inlineStr">
        <is>
          <t>Industry_Baseline_Year</t>
        </is>
      </c>
      <c r="P1" t="inlineStr">
        <is>
          <t>Industry_Target_Year</t>
        </is>
      </c>
      <c r="Q1" t="inlineStr">
        <is>
          <t>Industry_Reduction_Percentage</t>
        </is>
      </c>
      <c r="R1" t="inlineStr">
        <is>
          <t>Industry_Emission_Factor</t>
        </is>
      </c>
      <c r="S1" t="inlineStr">
        <is>
          <t>Spend_Based_Emission_Factor</t>
        </is>
      </c>
      <c r="T1" t="inlineStr">
        <is>
          <t>Revenue_Based_Emission_Intensity</t>
        </is>
      </c>
      <c r="U1" t="inlineStr">
        <is>
          <t>Total_Emission_Value</t>
        </is>
      </c>
      <c r="V1" t="inlineStr">
        <is>
          <t>Emission_Source_Flag</t>
        </is>
      </c>
      <c r="W1" t="inlineStr">
        <is>
          <t>Emissions_Data_Available_Flag</t>
        </is>
      </c>
      <c r="X1" t="inlineStr">
        <is>
          <t>Spend_Based_Emission</t>
        </is>
      </c>
      <c r="Y1" t="inlineStr">
        <is>
          <t>Revenue_Based_Emission</t>
        </is>
      </c>
      <c r="Z1" t="inlineStr">
        <is>
          <t>Spend_Based_vs_Actual</t>
        </is>
      </c>
      <c r="AA1" t="inlineStr">
        <is>
          <t>Revenue_Based_vs_Actual</t>
        </is>
      </c>
      <c r="AB1" t="inlineStr">
        <is>
          <t>Spend_Based_Variance_Percentage</t>
        </is>
      </c>
      <c r="AC1" t="inlineStr">
        <is>
          <t>Revenue_Based_Variance_Percentage</t>
        </is>
      </c>
      <c r="AD1" t="inlineStr">
        <is>
          <t>Data_Quality_Flag</t>
        </is>
      </c>
      <c r="AE1" t="inlineStr">
        <is>
          <t>Missing_Parameter_Flag</t>
        </is>
      </c>
      <c r="AF1" t="inlineStr">
        <is>
          <t>Base_Confidence_Score</t>
        </is>
      </c>
      <c r="AG1" t="inlineStr">
        <is>
          <t>Validation_Flag</t>
        </is>
      </c>
    </row>
    <row r="2">
      <c r="A2" t="inlineStr">
        <is>
          <t>SUP-0001</t>
        </is>
      </c>
      <c r="B2" t="inlineStr">
        <is>
          <t>Professional Supplier 001</t>
        </is>
      </c>
      <c r="C2" t="inlineStr">
        <is>
          <t>Professional Services</t>
        </is>
      </c>
      <c r="D2" t="n">
        <v>2015</v>
      </c>
      <c r="E2" t="n">
        <v>8929709.460000001</v>
      </c>
      <c r="F2" t="n">
        <v>14715731.77</v>
      </c>
      <c r="G2" t="n">
        <v>861.0205999999999</v>
      </c>
      <c r="H2" t="n">
        <v>195.7142</v>
      </c>
      <c r="I2" t="n">
        <v>60.2963</v>
      </c>
      <c r="J2" t="n">
        <v>583.9106</v>
      </c>
      <c r="K2" t="n">
        <v>2021</v>
      </c>
      <c r="L2" t="n">
        <v>2040</v>
      </c>
      <c r="M2" t="n">
        <v>0.478</v>
      </c>
      <c r="N2" t="n">
        <v>0.2876</v>
      </c>
      <c r="O2" t="n">
        <v>2020</v>
      </c>
      <c r="P2" t="inlineStr"/>
      <c r="Q2" t="inlineStr"/>
      <c r="R2" t="n">
        <v>400.0326</v>
      </c>
      <c r="S2" t="n">
        <v>0.00012906</v>
      </c>
      <c r="T2" t="n">
        <v>0.00019658</v>
      </c>
      <c r="U2" t="n">
        <v>861.0205999999999</v>
      </c>
      <c r="V2" t="inlineStr">
        <is>
          <t>Provided Total Emissions</t>
        </is>
      </c>
      <c r="W2" t="b">
        <v>1</v>
      </c>
      <c r="X2" t="n">
        <v>1152.4683</v>
      </c>
      <c r="Y2" t="n">
        <v>2892.8186</v>
      </c>
      <c r="Z2" t="n">
        <v>291.4477</v>
      </c>
      <c r="AA2" t="n">
        <v>2031.798</v>
      </c>
      <c r="AB2" t="n">
        <v>0.338491</v>
      </c>
      <c r="AC2" t="n">
        <v>2.359755</v>
      </c>
      <c r="AD2" t="inlineStr">
        <is>
          <t>High</t>
        </is>
      </c>
      <c r="AE2" t="inlineStr">
        <is>
          <t>None</t>
        </is>
      </c>
      <c r="AF2" t="n">
        <v>0.95</v>
      </c>
      <c r="AG2" t="inlineStr">
        <is>
          <t>Valid</t>
        </is>
      </c>
    </row>
    <row r="3">
      <c r="A3" t="inlineStr">
        <is>
          <t>SUP-0001</t>
        </is>
      </c>
      <c r="B3" t="inlineStr">
        <is>
          <t>Professional Supplier 001</t>
        </is>
      </c>
      <c r="C3" t="inlineStr">
        <is>
          <t>Professional Services</t>
        </is>
      </c>
      <c r="D3" t="n">
        <v>2016</v>
      </c>
      <c r="E3" t="n">
        <v>8058644.32</v>
      </c>
      <c r="F3" t="n">
        <v>20293448.65</v>
      </c>
      <c r="G3" t="n">
        <v>625.7589</v>
      </c>
      <c r="H3" t="n">
        <v>132.5924</v>
      </c>
      <c r="I3" t="n">
        <v>103.3699</v>
      </c>
      <c r="J3" t="n">
        <v>357.3145</v>
      </c>
      <c r="K3" t="n">
        <v>2021</v>
      </c>
      <c r="L3" t="n">
        <v>2040</v>
      </c>
      <c r="M3" t="n">
        <v>0.478</v>
      </c>
      <c r="N3" t="n">
        <v>0.2876</v>
      </c>
      <c r="O3" t="n">
        <v>2020</v>
      </c>
      <c r="P3" t="inlineStr"/>
      <c r="Q3" t="inlineStr"/>
      <c r="R3" t="n">
        <v>400.0326</v>
      </c>
      <c r="S3" t="n">
        <v>0.00012906</v>
      </c>
      <c r="T3" t="n">
        <v>0.00019658</v>
      </c>
      <c r="U3" t="n">
        <v>625.7589</v>
      </c>
      <c r="V3" t="inlineStr">
        <is>
          <t>Provided Total Emissions</t>
        </is>
      </c>
      <c r="W3" t="b">
        <v>1</v>
      </c>
      <c r="X3" t="n">
        <v>1040.0486</v>
      </c>
      <c r="Y3" t="n">
        <v>3989.2861</v>
      </c>
      <c r="Z3" t="n">
        <v>414.2897</v>
      </c>
      <c r="AA3" t="n">
        <v>3363.5272</v>
      </c>
      <c r="AB3" t="n">
        <v>0.66206</v>
      </c>
      <c r="AC3" t="n">
        <v>5.375117</v>
      </c>
      <c r="AD3" t="inlineStr">
        <is>
          <t>High</t>
        </is>
      </c>
      <c r="AE3" t="inlineStr">
        <is>
          <t>None</t>
        </is>
      </c>
      <c r="AF3" t="n">
        <v>0.95</v>
      </c>
      <c r="AG3" t="inlineStr">
        <is>
          <t>Valid</t>
        </is>
      </c>
    </row>
    <row r="4">
      <c r="A4" t="inlineStr">
        <is>
          <t>SUP-0001</t>
        </is>
      </c>
      <c r="B4" t="inlineStr">
        <is>
          <t>Professional Supplier 001</t>
        </is>
      </c>
      <c r="C4" t="inlineStr">
        <is>
          <t>Professional Services</t>
        </is>
      </c>
      <c r="D4" t="n">
        <v>2017</v>
      </c>
      <c r="E4" t="n">
        <v>9417684.77</v>
      </c>
      <c r="F4" t="n">
        <v>23571903.73</v>
      </c>
      <c r="G4" t="n">
        <v>739.6495</v>
      </c>
      <c r="H4" t="n">
        <v>59.7084</v>
      </c>
      <c r="I4" t="n">
        <v>108.5578</v>
      </c>
      <c r="J4" t="n">
        <v>574.7995</v>
      </c>
      <c r="K4" t="n">
        <v>2021</v>
      </c>
      <c r="L4" t="n">
        <v>2040</v>
      </c>
      <c r="M4" t="n">
        <v>0.478</v>
      </c>
      <c r="N4" t="n">
        <v>0.2876</v>
      </c>
      <c r="O4" t="n">
        <v>2020</v>
      </c>
      <c r="P4" t="inlineStr"/>
      <c r="Q4" t="inlineStr"/>
      <c r="R4" t="n">
        <v>400.0326</v>
      </c>
      <c r="S4" t="n">
        <v>0.00012906</v>
      </c>
      <c r="T4" t="n">
        <v>0.00019658</v>
      </c>
      <c r="U4" t="n">
        <v>739.6495</v>
      </c>
      <c r="V4" t="inlineStr">
        <is>
          <t>Provided Total Emissions</t>
        </is>
      </c>
      <c r="W4" t="b">
        <v>1</v>
      </c>
      <c r="X4" t="n">
        <v>1215.4464</v>
      </c>
      <c r="Y4" t="n">
        <v>4633.7648</v>
      </c>
      <c r="Z4" t="n">
        <v>475.7969</v>
      </c>
      <c r="AA4" t="n">
        <v>3894.1153</v>
      </c>
      <c r="AB4" t="n">
        <v>0.643273</v>
      </c>
      <c r="AC4" t="n">
        <v>5.264812</v>
      </c>
      <c r="AD4" t="inlineStr">
        <is>
          <t>High</t>
        </is>
      </c>
      <c r="AE4" t="inlineStr">
        <is>
          <t>None</t>
        </is>
      </c>
      <c r="AF4" t="n">
        <v>0.95</v>
      </c>
      <c r="AG4" t="inlineStr">
        <is>
          <t>Valid</t>
        </is>
      </c>
    </row>
    <row r="5">
      <c r="A5" t="inlineStr">
        <is>
          <t>SUP-0001</t>
        </is>
      </c>
      <c r="B5" t="inlineStr">
        <is>
          <t>Professional Supplier 001</t>
        </is>
      </c>
      <c r="C5" t="inlineStr">
        <is>
          <t>Professional Services</t>
        </is>
      </c>
      <c r="D5" t="n">
        <v>2018</v>
      </c>
      <c r="E5" t="n">
        <v>9654240.4</v>
      </c>
      <c r="F5" t="n">
        <v>17715731.68</v>
      </c>
      <c r="G5" t="n">
        <v>942.8898</v>
      </c>
      <c r="H5" t="n">
        <v>224.324</v>
      </c>
      <c r="I5" t="n">
        <v>101.4968</v>
      </c>
      <c r="J5" t="n">
        <v>604.2606</v>
      </c>
      <c r="K5" t="n">
        <v>2021</v>
      </c>
      <c r="L5" t="n">
        <v>2040</v>
      </c>
      <c r="M5" t="n">
        <v>0.478</v>
      </c>
      <c r="N5" t="n">
        <v>0.2876</v>
      </c>
      <c r="O5" t="n">
        <v>2020</v>
      </c>
      <c r="P5" t="inlineStr"/>
      <c r="Q5" t="inlineStr"/>
      <c r="R5" t="n">
        <v>400.0326</v>
      </c>
      <c r="S5" t="n">
        <v>0.00012906</v>
      </c>
      <c r="T5" t="n">
        <v>0.00019658</v>
      </c>
      <c r="U5" t="n">
        <v>942.8898</v>
      </c>
      <c r="V5" t="inlineStr">
        <is>
          <t>Provided Total Emissions</t>
        </is>
      </c>
      <c r="W5" t="b">
        <v>1</v>
      </c>
      <c r="X5" t="n">
        <v>1245.9763</v>
      </c>
      <c r="Y5" t="n">
        <v>3482.5585</v>
      </c>
      <c r="Z5" t="n">
        <v>303.0865</v>
      </c>
      <c r="AA5" t="n">
        <v>2539.6687</v>
      </c>
      <c r="AB5" t="n">
        <v>0.321444</v>
      </c>
      <c r="AC5" t="n">
        <v>2.693495</v>
      </c>
      <c r="AD5" t="inlineStr">
        <is>
          <t>High</t>
        </is>
      </c>
      <c r="AE5" t="inlineStr">
        <is>
          <t>None</t>
        </is>
      </c>
      <c r="AF5" t="n">
        <v>0.95</v>
      </c>
      <c r="AG5" t="inlineStr">
        <is>
          <t>Valid</t>
        </is>
      </c>
    </row>
    <row r="6">
      <c r="A6" t="inlineStr">
        <is>
          <t>SUP-0001</t>
        </is>
      </c>
      <c r="B6" t="inlineStr">
        <is>
          <t>Professional Supplier 001</t>
        </is>
      </c>
      <c r="C6" t="inlineStr">
        <is>
          <t>Professional Services</t>
        </is>
      </c>
      <c r="D6" t="n">
        <v>2019</v>
      </c>
      <c r="E6" t="n">
        <v>11716475.76</v>
      </c>
      <c r="F6" t="n">
        <v>22734685.87</v>
      </c>
      <c r="G6" t="n">
        <v>794.7667</v>
      </c>
      <c r="H6" t="n">
        <v>188.2817</v>
      </c>
      <c r="I6" t="n">
        <v>168.7676</v>
      </c>
      <c r="J6" t="n">
        <v>416.0885</v>
      </c>
      <c r="K6" t="n">
        <v>2021</v>
      </c>
      <c r="L6" t="n">
        <v>2040</v>
      </c>
      <c r="M6" t="n">
        <v>0.478</v>
      </c>
      <c r="N6" t="n">
        <v>0.2876</v>
      </c>
      <c r="O6" t="n">
        <v>2020</v>
      </c>
      <c r="P6" t="inlineStr"/>
      <c r="Q6" t="inlineStr"/>
      <c r="R6" t="n">
        <v>400.0326</v>
      </c>
      <c r="S6" t="n">
        <v>0.00012906</v>
      </c>
      <c r="T6" t="n">
        <v>0.00019658</v>
      </c>
      <c r="U6" t="n">
        <v>794.7667</v>
      </c>
      <c r="V6" t="inlineStr">
        <is>
          <t>Provided Total Emissions</t>
        </is>
      </c>
      <c r="W6" t="b">
        <v>1</v>
      </c>
      <c r="X6" t="n">
        <v>1512.1284</v>
      </c>
      <c r="Y6" t="n">
        <v>4469.1845</v>
      </c>
      <c r="Z6" t="n">
        <v>717.3617</v>
      </c>
      <c r="AA6" t="n">
        <v>3674.4178</v>
      </c>
      <c r="AB6" t="n">
        <v>0.902607</v>
      </c>
      <c r="AC6" t="n">
        <v>4.623266</v>
      </c>
      <c r="AD6" t="inlineStr">
        <is>
          <t>High</t>
        </is>
      </c>
      <c r="AE6" t="inlineStr">
        <is>
          <t>None</t>
        </is>
      </c>
      <c r="AF6" t="n">
        <v>0.95</v>
      </c>
      <c r="AG6" t="inlineStr">
        <is>
          <t>Valid</t>
        </is>
      </c>
    </row>
    <row r="7">
      <c r="A7" t="inlineStr">
        <is>
          <t>SUP-0001</t>
        </is>
      </c>
      <c r="B7" t="inlineStr">
        <is>
          <t>Professional Supplier 001</t>
        </is>
      </c>
      <c r="C7" t="inlineStr">
        <is>
          <t>Professional Services</t>
        </is>
      </c>
      <c r="D7" t="n">
        <v>2020</v>
      </c>
      <c r="E7" t="n">
        <v>12062470.15</v>
      </c>
      <c r="F7" t="n">
        <v>20630532.84</v>
      </c>
      <c r="G7" t="n">
        <v>1122.4783</v>
      </c>
      <c r="H7" t="n">
        <v>120.1681</v>
      </c>
      <c r="I7" t="n">
        <v>140.1851</v>
      </c>
      <c r="J7" t="n">
        <v>909.4936</v>
      </c>
      <c r="K7" t="n">
        <v>2021</v>
      </c>
      <c r="L7" t="n">
        <v>2040</v>
      </c>
      <c r="M7" t="n">
        <v>0.478</v>
      </c>
      <c r="N7" t="n">
        <v>0.2876</v>
      </c>
      <c r="O7" t="n">
        <v>2020</v>
      </c>
      <c r="P7" t="inlineStr"/>
      <c r="Q7" t="inlineStr"/>
      <c r="R7" t="n">
        <v>400.0326</v>
      </c>
      <c r="S7" t="n">
        <v>0.00012906</v>
      </c>
      <c r="T7" t="n">
        <v>0.00019658</v>
      </c>
      <c r="U7" t="n">
        <v>1122.4783</v>
      </c>
      <c r="V7" t="inlineStr">
        <is>
          <t>Provided Total Emissions</t>
        </is>
      </c>
      <c r="W7" t="b">
        <v>1</v>
      </c>
      <c r="X7" t="n">
        <v>1556.7824</v>
      </c>
      <c r="Y7" t="n">
        <v>4055.5501</v>
      </c>
      <c r="Z7" t="n">
        <v>434.3041</v>
      </c>
      <c r="AA7" t="n">
        <v>2933.0718</v>
      </c>
      <c r="AB7" t="n">
        <v>0.386915</v>
      </c>
      <c r="AC7" t="n">
        <v>2.613032</v>
      </c>
      <c r="AD7" t="inlineStr">
        <is>
          <t>High</t>
        </is>
      </c>
      <c r="AE7" t="inlineStr">
        <is>
          <t>None</t>
        </is>
      </c>
      <c r="AF7" t="n">
        <v>0.95</v>
      </c>
      <c r="AG7" t="inlineStr">
        <is>
          <t>Valid</t>
        </is>
      </c>
    </row>
    <row r="8">
      <c r="A8" t="inlineStr">
        <is>
          <t>SUP-0001</t>
        </is>
      </c>
      <c r="B8" t="inlineStr">
        <is>
          <t>Professional Supplier 001</t>
        </is>
      </c>
      <c r="C8" t="inlineStr">
        <is>
          <t>Professional Services</t>
        </is>
      </c>
      <c r="D8" t="n">
        <v>2021</v>
      </c>
      <c r="E8" t="n">
        <v>13887283.88</v>
      </c>
      <c r="F8" t="n">
        <v>26196286.22</v>
      </c>
      <c r="G8" t="n">
        <v>799.0691</v>
      </c>
      <c r="H8" t="n">
        <v>194.798</v>
      </c>
      <c r="I8" t="n">
        <v>124.877</v>
      </c>
      <c r="J8" t="n">
        <v>505.039</v>
      </c>
      <c r="K8" t="n">
        <v>2021</v>
      </c>
      <c r="L8" t="n">
        <v>2040</v>
      </c>
      <c r="M8" t="n">
        <v>0.478</v>
      </c>
      <c r="N8" t="n">
        <v>0.2876</v>
      </c>
      <c r="O8" t="n">
        <v>2020</v>
      </c>
      <c r="P8" t="inlineStr"/>
      <c r="Q8" t="inlineStr"/>
      <c r="R8" t="n">
        <v>400.0326</v>
      </c>
      <c r="S8" t="n">
        <v>0.00012906</v>
      </c>
      <c r="T8" t="n">
        <v>0.00019658</v>
      </c>
      <c r="U8" t="n">
        <v>799.0691</v>
      </c>
      <c r="V8" t="inlineStr">
        <is>
          <t>Provided Total Emissions</t>
        </is>
      </c>
      <c r="W8" t="b">
        <v>1</v>
      </c>
      <c r="X8" t="n">
        <v>1792.2929</v>
      </c>
      <c r="Y8" t="n">
        <v>5149.6659</v>
      </c>
      <c r="Z8" t="n">
        <v>993.2238</v>
      </c>
      <c r="AA8" t="n">
        <v>4350.5968</v>
      </c>
      <c r="AB8" t="n">
        <v>1.242976</v>
      </c>
      <c r="AC8" t="n">
        <v>5.444582</v>
      </c>
      <c r="AD8" t="inlineStr">
        <is>
          <t>High</t>
        </is>
      </c>
      <c r="AE8" t="inlineStr">
        <is>
          <t>None</t>
        </is>
      </c>
      <c r="AF8" t="n">
        <v>0.95</v>
      </c>
      <c r="AG8" t="inlineStr">
        <is>
          <t>Valid</t>
        </is>
      </c>
    </row>
    <row r="9">
      <c r="A9" t="inlineStr">
        <is>
          <t>SUP-0001</t>
        </is>
      </c>
      <c r="B9" t="inlineStr">
        <is>
          <t>Professional Supplier 001</t>
        </is>
      </c>
      <c r="C9" t="inlineStr">
        <is>
          <t>Professional Services</t>
        </is>
      </c>
      <c r="D9" t="n">
        <v>2022</v>
      </c>
      <c r="E9" t="n">
        <v>12897527.16</v>
      </c>
      <c r="F9" t="n">
        <v>22352818.62</v>
      </c>
      <c r="G9" t="n">
        <v>1167.0447</v>
      </c>
      <c r="H9" t="n">
        <v>215.6192</v>
      </c>
      <c r="I9" t="n">
        <v>117.8514</v>
      </c>
      <c r="J9" t="n">
        <v>733.6514</v>
      </c>
      <c r="K9" t="n">
        <v>2021</v>
      </c>
      <c r="L9" t="n">
        <v>2040</v>
      </c>
      <c r="M9" t="n">
        <v>0.478</v>
      </c>
      <c r="N9" t="n">
        <v>0.2876</v>
      </c>
      <c r="O9" t="n">
        <v>2020</v>
      </c>
      <c r="P9" t="inlineStr"/>
      <c r="Q9" t="inlineStr"/>
      <c r="R9" t="n">
        <v>400.0326</v>
      </c>
      <c r="S9" t="n">
        <v>0.00012906</v>
      </c>
      <c r="T9" t="n">
        <v>0.00019658</v>
      </c>
      <c r="U9" t="n">
        <v>1167.0447</v>
      </c>
      <c r="V9" t="inlineStr">
        <is>
          <t>Provided Total Emissions</t>
        </is>
      </c>
      <c r="W9" t="b">
        <v>1</v>
      </c>
      <c r="X9" t="n">
        <v>1664.5549</v>
      </c>
      <c r="Y9" t="n">
        <v>4394.1171</v>
      </c>
      <c r="Z9" t="n">
        <v>497.5102</v>
      </c>
      <c r="AA9" t="n">
        <v>3227.0724</v>
      </c>
      <c r="AB9" t="n">
        <v>0.426299</v>
      </c>
      <c r="AC9" t="n">
        <v>2.765166</v>
      </c>
      <c r="AD9" t="inlineStr">
        <is>
          <t>High</t>
        </is>
      </c>
      <c r="AE9" t="inlineStr">
        <is>
          <t>None</t>
        </is>
      </c>
      <c r="AF9" t="n">
        <v>0.95</v>
      </c>
      <c r="AG9" t="inlineStr">
        <is>
          <t>Valid</t>
        </is>
      </c>
    </row>
    <row r="10">
      <c r="A10" t="inlineStr">
        <is>
          <t>SUP-0001</t>
        </is>
      </c>
      <c r="B10" t="inlineStr">
        <is>
          <t>Professional Supplier 001</t>
        </is>
      </c>
      <c r="C10" t="inlineStr">
        <is>
          <t>Professional Services</t>
        </is>
      </c>
      <c r="D10" t="n">
        <v>2023</v>
      </c>
      <c r="E10" t="n">
        <v>14756108.85</v>
      </c>
      <c r="F10" t="n">
        <v>31573987.56</v>
      </c>
      <c r="G10" t="n">
        <v>1234.4554</v>
      </c>
      <c r="H10" t="n">
        <v>206.4269</v>
      </c>
      <c r="I10" t="n">
        <v>258.8131</v>
      </c>
      <c r="J10" t="n">
        <v>714.2435</v>
      </c>
      <c r="K10" t="n">
        <v>2021</v>
      </c>
      <c r="L10" t="n">
        <v>2040</v>
      </c>
      <c r="M10" t="n">
        <v>0.478</v>
      </c>
      <c r="N10" t="n">
        <v>0.2876</v>
      </c>
      <c r="O10" t="n">
        <v>2020</v>
      </c>
      <c r="P10" t="inlineStr"/>
      <c r="Q10" t="inlineStr"/>
      <c r="R10" t="n">
        <v>400.0326</v>
      </c>
      <c r="S10" t="n">
        <v>0.00012906</v>
      </c>
      <c r="T10" t="n">
        <v>0.00019658</v>
      </c>
      <c r="U10" t="n">
        <v>1234.4554</v>
      </c>
      <c r="V10" t="inlineStr">
        <is>
          <t>Provided Total Emissions</t>
        </is>
      </c>
      <c r="W10" t="b">
        <v>1</v>
      </c>
      <c r="X10" t="n">
        <v>1904.4234</v>
      </c>
      <c r="Y10" t="n">
        <v>6206.8145</v>
      </c>
      <c r="Z10" t="n">
        <v>669.968</v>
      </c>
      <c r="AA10" t="n">
        <v>4972.3591</v>
      </c>
      <c r="AB10" t="n">
        <v>0.542724</v>
      </c>
      <c r="AC10" t="n">
        <v>4.027978</v>
      </c>
      <c r="AD10" t="inlineStr">
        <is>
          <t>High</t>
        </is>
      </c>
      <c r="AE10" t="inlineStr">
        <is>
          <t>None</t>
        </is>
      </c>
      <c r="AF10" t="n">
        <v>0.95</v>
      </c>
      <c r="AG10" t="inlineStr">
        <is>
          <t>Valid</t>
        </is>
      </c>
    </row>
    <row r="11">
      <c r="A11" t="inlineStr">
        <is>
          <t>SUP-0001</t>
        </is>
      </c>
      <c r="B11" t="inlineStr">
        <is>
          <t>Professional Supplier 001</t>
        </is>
      </c>
      <c r="C11" t="inlineStr">
        <is>
          <t>Professional Services</t>
        </is>
      </c>
      <c r="D11" t="n">
        <v>2024</v>
      </c>
      <c r="E11" t="n">
        <v>14659284.07</v>
      </c>
      <c r="F11" t="n">
        <v>38852519.79</v>
      </c>
      <c r="G11" t="n">
        <v>996.923</v>
      </c>
      <c r="H11" t="n">
        <v>170.7065</v>
      </c>
      <c r="I11" t="n">
        <v>70.4457</v>
      </c>
      <c r="J11" t="n">
        <v>823.8057</v>
      </c>
      <c r="K11" t="n">
        <v>2021</v>
      </c>
      <c r="L11" t="n">
        <v>2040</v>
      </c>
      <c r="M11" t="n">
        <v>0.478</v>
      </c>
      <c r="N11" t="n">
        <v>0.2876</v>
      </c>
      <c r="O11" t="n">
        <v>2020</v>
      </c>
      <c r="P11" t="inlineStr"/>
      <c r="Q11" t="inlineStr"/>
      <c r="R11" t="n">
        <v>400.0326</v>
      </c>
      <c r="S11" t="n">
        <v>0.00012906</v>
      </c>
      <c r="T11" t="n">
        <v>0.00019658</v>
      </c>
      <c r="U11" t="n">
        <v>996.923</v>
      </c>
      <c r="V11" t="inlineStr">
        <is>
          <t>Provided Total Emissions</t>
        </is>
      </c>
      <c r="W11" t="b">
        <v>1</v>
      </c>
      <c r="X11" t="n">
        <v>1891.9272</v>
      </c>
      <c r="Y11" t="n">
        <v>7637.6283</v>
      </c>
      <c r="Z11" t="n">
        <v>895.0042</v>
      </c>
      <c r="AA11" t="n">
        <v>6640.7053</v>
      </c>
      <c r="AB11" t="n">
        <v>0.897767</v>
      </c>
      <c r="AC11" t="n">
        <v>6.661202</v>
      </c>
      <c r="AD11" t="inlineStr">
        <is>
          <t>High</t>
        </is>
      </c>
      <c r="AE11" t="inlineStr">
        <is>
          <t>None</t>
        </is>
      </c>
      <c r="AF11" t="n">
        <v>0.95</v>
      </c>
      <c r="AG11" t="inlineStr">
        <is>
          <t>Valid</t>
        </is>
      </c>
    </row>
    <row r="12">
      <c r="A12" t="inlineStr">
        <is>
          <t>SUP-0002</t>
        </is>
      </c>
      <c r="B12" t="inlineStr">
        <is>
          <t>Textiles Supplier 002</t>
        </is>
      </c>
      <c r="C12" t="inlineStr">
        <is>
          <t>Textiles</t>
        </is>
      </c>
      <c r="D12" t="n">
        <v>2015</v>
      </c>
      <c r="E12" t="n">
        <v>1770328.1</v>
      </c>
      <c r="F12" t="n">
        <v>8439368.800000001</v>
      </c>
      <c r="G12" t="n">
        <v>499.0619</v>
      </c>
      <c r="H12" t="n">
        <v>58.5424</v>
      </c>
      <c r="I12" t="n">
        <v>53.6096</v>
      </c>
      <c r="J12" t="n">
        <v>373.7621</v>
      </c>
      <c r="K12" t="n">
        <v>2021</v>
      </c>
      <c r="L12" t="n">
        <v>2040</v>
      </c>
      <c r="M12" t="n">
        <v>0.3164</v>
      </c>
      <c r="N12" t="n">
        <v>0.1385</v>
      </c>
      <c r="O12" t="n">
        <v>2019</v>
      </c>
      <c r="P12" t="n">
        <v>2030</v>
      </c>
      <c r="Q12" t="n">
        <v>0.3171</v>
      </c>
      <c r="R12" t="n">
        <v>401.7335</v>
      </c>
      <c r="S12" t="n">
        <v>0.00029221</v>
      </c>
      <c r="T12" t="n">
        <v>0.00017343</v>
      </c>
      <c r="U12" t="n">
        <v>499.0619</v>
      </c>
      <c r="V12" t="inlineStr">
        <is>
          <t>Provided Total Emissions</t>
        </is>
      </c>
      <c r="W12" t="b">
        <v>1</v>
      </c>
      <c r="X12" t="n">
        <v>517.3076</v>
      </c>
      <c r="Y12" t="n">
        <v>1463.6397</v>
      </c>
      <c r="Z12" t="n">
        <v>18.2457</v>
      </c>
      <c r="AA12" t="n">
        <v>964.5778</v>
      </c>
      <c r="AB12" t="n">
        <v>0.03656</v>
      </c>
      <c r="AC12" t="n">
        <v>1.932782</v>
      </c>
      <c r="AD12" t="inlineStr">
        <is>
          <t>High</t>
        </is>
      </c>
      <c r="AE12" t="inlineStr">
        <is>
          <t>None</t>
        </is>
      </c>
      <c r="AF12" t="n">
        <v>0.95</v>
      </c>
      <c r="AG12" t="inlineStr">
        <is>
          <t>Valid</t>
        </is>
      </c>
    </row>
    <row r="13">
      <c r="A13" t="inlineStr">
        <is>
          <t>SUP-0002</t>
        </is>
      </c>
      <c r="B13" t="inlineStr">
        <is>
          <t>Textiles Supplier 002</t>
        </is>
      </c>
      <c r="C13" t="inlineStr">
        <is>
          <t>Textiles</t>
        </is>
      </c>
      <c r="D13" t="n">
        <v>2016</v>
      </c>
      <c r="E13" t="n">
        <v>1790052.2</v>
      </c>
      <c r="F13" t="n">
        <v>7431301.54</v>
      </c>
      <c r="G13" t="n">
        <v>499.5827</v>
      </c>
      <c r="H13" t="n">
        <v>69.348</v>
      </c>
      <c r="I13" t="n">
        <v>59.7784</v>
      </c>
      <c r="J13" t="n">
        <v>345.2596</v>
      </c>
      <c r="K13" t="n">
        <v>2021</v>
      </c>
      <c r="L13" t="n">
        <v>2040</v>
      </c>
      <c r="M13" t="n">
        <v>0.3164</v>
      </c>
      <c r="N13" t="n">
        <v>0.1385</v>
      </c>
      <c r="O13" t="n">
        <v>2019</v>
      </c>
      <c r="P13" t="n">
        <v>2030</v>
      </c>
      <c r="Q13" t="n">
        <v>0.3171</v>
      </c>
      <c r="R13" t="n">
        <v>401.7335</v>
      </c>
      <c r="S13" t="n">
        <v>0.00029221</v>
      </c>
      <c r="T13" t="n">
        <v>0.00017343</v>
      </c>
      <c r="U13" t="n">
        <v>499.5827</v>
      </c>
      <c r="V13" t="inlineStr">
        <is>
          <t>Provided Total Emissions</t>
        </is>
      </c>
      <c r="W13" t="b">
        <v>1</v>
      </c>
      <c r="X13" t="n">
        <v>523.0712</v>
      </c>
      <c r="Y13" t="n">
        <v>1288.8106</v>
      </c>
      <c r="Z13" t="n">
        <v>23.4885</v>
      </c>
      <c r="AA13" t="n">
        <v>789.2279</v>
      </c>
      <c r="AB13" t="n">
        <v>0.047016</v>
      </c>
      <c r="AC13" t="n">
        <v>1.579774</v>
      </c>
      <c r="AD13" t="inlineStr">
        <is>
          <t>High</t>
        </is>
      </c>
      <c r="AE13" t="inlineStr">
        <is>
          <t>None</t>
        </is>
      </c>
      <c r="AF13" t="n">
        <v>0.95</v>
      </c>
      <c r="AG13" t="inlineStr">
        <is>
          <t>Valid</t>
        </is>
      </c>
    </row>
    <row r="14">
      <c r="A14" t="inlineStr">
        <is>
          <t>SUP-0002</t>
        </is>
      </c>
      <c r="B14" t="inlineStr">
        <is>
          <t>Textiles Supplier 002</t>
        </is>
      </c>
      <c r="C14" t="inlineStr">
        <is>
          <t>Textiles</t>
        </is>
      </c>
      <c r="D14" t="n">
        <v>2017</v>
      </c>
      <c r="E14" t="n">
        <v>1589094.76</v>
      </c>
      <c r="F14" t="n">
        <v>6542947.16</v>
      </c>
      <c r="G14" t="n">
        <v>589.2366</v>
      </c>
      <c r="H14" t="n">
        <v>82.97629999999999</v>
      </c>
      <c r="I14" t="n">
        <v>118.6589</v>
      </c>
      <c r="J14" t="n">
        <v>384.2626</v>
      </c>
      <c r="K14" t="n">
        <v>2021</v>
      </c>
      <c r="L14" t="n">
        <v>2040</v>
      </c>
      <c r="M14" t="n">
        <v>0.3164</v>
      </c>
      <c r="N14" t="n">
        <v>0.1385</v>
      </c>
      <c r="O14" t="n">
        <v>2019</v>
      </c>
      <c r="P14" t="n">
        <v>2030</v>
      </c>
      <c r="Q14" t="n">
        <v>0.3171</v>
      </c>
      <c r="R14" t="n">
        <v>401.7335</v>
      </c>
      <c r="S14" t="n">
        <v>0.00029221</v>
      </c>
      <c r="T14" t="n">
        <v>0.00017343</v>
      </c>
      <c r="U14" t="n">
        <v>589.2366</v>
      </c>
      <c r="V14" t="inlineStr">
        <is>
          <t>Provided Total Emissions</t>
        </is>
      </c>
      <c r="W14" t="b">
        <v>1</v>
      </c>
      <c r="X14" t="n">
        <v>464.3494</v>
      </c>
      <c r="Y14" t="n">
        <v>1134.7433</v>
      </c>
      <c r="Z14" t="n">
        <v>-124.8872</v>
      </c>
      <c r="AA14" t="n">
        <v>545.5067</v>
      </c>
      <c r="AB14" t="n">
        <v>-0.211947</v>
      </c>
      <c r="AC14" t="n">
        <v>0.925786</v>
      </c>
      <c r="AD14" t="inlineStr">
        <is>
          <t>High</t>
        </is>
      </c>
      <c r="AE14" t="inlineStr">
        <is>
          <t>None</t>
        </is>
      </c>
      <c r="AF14" t="n">
        <v>0.95</v>
      </c>
      <c r="AG14" t="inlineStr">
        <is>
          <t>Valid</t>
        </is>
      </c>
    </row>
    <row r="15">
      <c r="A15" t="inlineStr">
        <is>
          <t>SUP-0002</t>
        </is>
      </c>
      <c r="B15" t="inlineStr">
        <is>
          <t>Textiles Supplier 002</t>
        </is>
      </c>
      <c r="C15" t="inlineStr">
        <is>
          <t>Textiles</t>
        </is>
      </c>
      <c r="D15" t="n">
        <v>2018</v>
      </c>
      <c r="E15" t="n">
        <v>1791485.54</v>
      </c>
      <c r="F15" t="n">
        <v>8389559.220000001</v>
      </c>
      <c r="G15" t="n">
        <v>605.8899</v>
      </c>
      <c r="H15" t="n">
        <v>64.7509</v>
      </c>
      <c r="I15" t="n">
        <v>35.0649</v>
      </c>
      <c r="J15" t="n">
        <v>486.9595</v>
      </c>
      <c r="K15" t="n">
        <v>2021</v>
      </c>
      <c r="L15" t="n">
        <v>2040</v>
      </c>
      <c r="M15" t="n">
        <v>0.3164</v>
      </c>
      <c r="N15" t="n">
        <v>0.1385</v>
      </c>
      <c r="O15" t="n">
        <v>2019</v>
      </c>
      <c r="P15" t="n">
        <v>2030</v>
      </c>
      <c r="Q15" t="n">
        <v>0.3171</v>
      </c>
      <c r="R15" t="n">
        <v>401.7335</v>
      </c>
      <c r="S15" t="n">
        <v>0.00029221</v>
      </c>
      <c r="T15" t="n">
        <v>0.00017343</v>
      </c>
      <c r="U15" t="n">
        <v>605.8899</v>
      </c>
      <c r="V15" t="inlineStr">
        <is>
          <t>Provided Total Emissions</t>
        </is>
      </c>
      <c r="W15" t="b">
        <v>1</v>
      </c>
      <c r="X15" t="n">
        <v>523.49</v>
      </c>
      <c r="Y15" t="n">
        <v>1455.0013</v>
      </c>
      <c r="Z15" t="n">
        <v>-82.3999</v>
      </c>
      <c r="AA15" t="n">
        <v>849.1114</v>
      </c>
      <c r="AB15" t="n">
        <v>-0.135998</v>
      </c>
      <c r="AC15" t="n">
        <v>1.401428</v>
      </c>
      <c r="AD15" t="inlineStr">
        <is>
          <t>High</t>
        </is>
      </c>
      <c r="AE15" t="inlineStr">
        <is>
          <t>None</t>
        </is>
      </c>
      <c r="AF15" t="n">
        <v>0.95</v>
      </c>
      <c r="AG15" t="inlineStr">
        <is>
          <t>Valid</t>
        </is>
      </c>
    </row>
    <row r="16">
      <c r="A16" t="inlineStr">
        <is>
          <t>SUP-0002</t>
        </is>
      </c>
      <c r="B16" t="inlineStr">
        <is>
          <t>Textiles Supplier 002</t>
        </is>
      </c>
      <c r="C16" t="inlineStr">
        <is>
          <t>Textiles</t>
        </is>
      </c>
      <c r="D16" t="n">
        <v>2019</v>
      </c>
      <c r="E16" t="n">
        <v>1559804.3</v>
      </c>
      <c r="F16" t="n">
        <v>7534341.52</v>
      </c>
      <c r="G16" t="n">
        <v>546.4897</v>
      </c>
      <c r="H16" t="n">
        <v>111.48</v>
      </c>
      <c r="I16" t="n">
        <v>46.314</v>
      </c>
      <c r="J16" t="n">
        <v>392.9195</v>
      </c>
      <c r="K16" t="n">
        <v>2021</v>
      </c>
      <c r="L16" t="n">
        <v>2040</v>
      </c>
      <c r="M16" t="n">
        <v>0.3164</v>
      </c>
      <c r="N16" t="n">
        <v>0.1385</v>
      </c>
      <c r="O16" t="n">
        <v>2019</v>
      </c>
      <c r="P16" t="n">
        <v>2030</v>
      </c>
      <c r="Q16" t="n">
        <v>0.3171</v>
      </c>
      <c r="R16" t="n">
        <v>401.7335</v>
      </c>
      <c r="S16" t="n">
        <v>0.00029221</v>
      </c>
      <c r="T16" t="n">
        <v>0.00017343</v>
      </c>
      <c r="U16" t="n">
        <v>546.4897</v>
      </c>
      <c r="V16" t="inlineStr">
        <is>
          <t>Provided Total Emissions</t>
        </is>
      </c>
      <c r="W16" t="b">
        <v>1</v>
      </c>
      <c r="X16" t="n">
        <v>455.7904</v>
      </c>
      <c r="Y16" t="n">
        <v>1306.6808</v>
      </c>
      <c r="Z16" t="n">
        <v>-90.69929999999999</v>
      </c>
      <c r="AA16" t="n">
        <v>760.1911</v>
      </c>
      <c r="AB16" t="n">
        <v>-0.165967</v>
      </c>
      <c r="AC16" t="n">
        <v>1.391044</v>
      </c>
      <c r="AD16" t="inlineStr">
        <is>
          <t>High</t>
        </is>
      </c>
      <c r="AE16" t="inlineStr">
        <is>
          <t>None</t>
        </is>
      </c>
      <c r="AF16" t="n">
        <v>0.95</v>
      </c>
      <c r="AG16" t="inlineStr">
        <is>
          <t>Valid</t>
        </is>
      </c>
    </row>
    <row r="17">
      <c r="A17" t="inlineStr">
        <is>
          <t>SUP-0002</t>
        </is>
      </c>
      <c r="B17" t="inlineStr">
        <is>
          <t>Textiles Supplier 002</t>
        </is>
      </c>
      <c r="C17" t="inlineStr">
        <is>
          <t>Textiles</t>
        </is>
      </c>
      <c r="D17" t="n">
        <v>2020</v>
      </c>
      <c r="E17" t="n">
        <v>2148801.46</v>
      </c>
      <c r="F17" t="n">
        <v>8745123.380000001</v>
      </c>
      <c r="G17" t="n">
        <v>803.9844000000001</v>
      </c>
      <c r="H17" t="n">
        <v>193.8878</v>
      </c>
      <c r="I17" t="n">
        <v>88.1413</v>
      </c>
      <c r="J17" t="n">
        <v>525.8351</v>
      </c>
      <c r="K17" t="n">
        <v>2021</v>
      </c>
      <c r="L17" t="n">
        <v>2040</v>
      </c>
      <c r="M17" t="n">
        <v>0.3164</v>
      </c>
      <c r="N17" t="n">
        <v>0.1385</v>
      </c>
      <c r="O17" t="n">
        <v>2019</v>
      </c>
      <c r="P17" t="n">
        <v>2030</v>
      </c>
      <c r="Q17" t="n">
        <v>0.3171</v>
      </c>
      <c r="R17" t="n">
        <v>401.7335</v>
      </c>
      <c r="S17" t="n">
        <v>0.00029221</v>
      </c>
      <c r="T17" t="n">
        <v>0.00017343</v>
      </c>
      <c r="U17" t="n">
        <v>803.9844000000001</v>
      </c>
      <c r="V17" t="inlineStr">
        <is>
          <t>Provided Total Emissions</t>
        </is>
      </c>
      <c r="W17" t="b">
        <v>1</v>
      </c>
      <c r="X17" t="n">
        <v>627.9013</v>
      </c>
      <c r="Y17" t="n">
        <v>1516.6667</v>
      </c>
      <c r="Z17" t="n">
        <v>-176.0831</v>
      </c>
      <c r="AA17" t="n">
        <v>712.6823000000001</v>
      </c>
      <c r="AB17" t="n">
        <v>-0.219013</v>
      </c>
      <c r="AC17" t="n">
        <v>0.8864379999999999</v>
      </c>
      <c r="AD17" t="inlineStr">
        <is>
          <t>High</t>
        </is>
      </c>
      <c r="AE17" t="inlineStr">
        <is>
          <t>None</t>
        </is>
      </c>
      <c r="AF17" t="n">
        <v>0.95</v>
      </c>
      <c r="AG17" t="inlineStr">
        <is>
          <t>Valid</t>
        </is>
      </c>
    </row>
    <row r="18">
      <c r="A18" t="inlineStr">
        <is>
          <t>SUP-0002</t>
        </is>
      </c>
      <c r="B18" t="inlineStr">
        <is>
          <t>Textiles Supplier 002</t>
        </is>
      </c>
      <c r="C18" t="inlineStr">
        <is>
          <t>Textiles</t>
        </is>
      </c>
      <c r="D18" t="n">
        <v>2021</v>
      </c>
      <c r="E18" t="n">
        <v>1954844.5</v>
      </c>
      <c r="F18" t="n">
        <v>9204133.109999999</v>
      </c>
      <c r="G18" t="n">
        <v>523.6636999999999</v>
      </c>
      <c r="H18" t="n">
        <v>40.0254</v>
      </c>
      <c r="I18" t="n">
        <v>45.1173</v>
      </c>
      <c r="J18" t="n">
        <v>433.4619</v>
      </c>
      <c r="K18" t="n">
        <v>2021</v>
      </c>
      <c r="L18" t="n">
        <v>2040</v>
      </c>
      <c r="M18" t="n">
        <v>0.3164</v>
      </c>
      <c r="N18" t="n">
        <v>0.1385</v>
      </c>
      <c r="O18" t="n">
        <v>2019</v>
      </c>
      <c r="P18" t="n">
        <v>2030</v>
      </c>
      <c r="Q18" t="n">
        <v>0.3171</v>
      </c>
      <c r="R18" t="n">
        <v>401.7335</v>
      </c>
      <c r="S18" t="n">
        <v>0.00029221</v>
      </c>
      <c r="T18" t="n">
        <v>0.00017343</v>
      </c>
      <c r="U18" t="n">
        <v>523.6636999999999</v>
      </c>
      <c r="V18" t="inlineStr">
        <is>
          <t>Provided Total Emissions</t>
        </is>
      </c>
      <c r="W18" t="b">
        <v>1</v>
      </c>
      <c r="X18" t="n">
        <v>571.2251</v>
      </c>
      <c r="Y18" t="n">
        <v>1596.2728</v>
      </c>
      <c r="Z18" t="n">
        <v>47.5614</v>
      </c>
      <c r="AA18" t="n">
        <v>1072.6091</v>
      </c>
      <c r="AB18" t="n">
        <v>0.090824</v>
      </c>
      <c r="AC18" t="n">
        <v>2.048279</v>
      </c>
      <c r="AD18" t="inlineStr">
        <is>
          <t>High</t>
        </is>
      </c>
      <c r="AE18" t="inlineStr">
        <is>
          <t>None</t>
        </is>
      </c>
      <c r="AF18" t="n">
        <v>0.95</v>
      </c>
      <c r="AG18" t="inlineStr">
        <is>
          <t>Valid</t>
        </is>
      </c>
    </row>
    <row r="19">
      <c r="A19" t="inlineStr">
        <is>
          <t>SUP-0002</t>
        </is>
      </c>
      <c r="B19" t="inlineStr">
        <is>
          <t>Textiles Supplier 002</t>
        </is>
      </c>
      <c r="C19" t="inlineStr">
        <is>
          <t>Textiles</t>
        </is>
      </c>
      <c r="D19" t="n">
        <v>2022</v>
      </c>
      <c r="E19" t="n">
        <v>2076524.99</v>
      </c>
      <c r="F19" t="n">
        <v>8611039.42</v>
      </c>
      <c r="G19" t="n">
        <v>689.9704</v>
      </c>
      <c r="H19" t="n">
        <v>151.5974</v>
      </c>
      <c r="I19" t="n">
        <v>58.3124</v>
      </c>
      <c r="J19" t="n">
        <v>479.4331</v>
      </c>
      <c r="K19" t="n">
        <v>2021</v>
      </c>
      <c r="L19" t="n">
        <v>2040</v>
      </c>
      <c r="M19" t="n">
        <v>0.3164</v>
      </c>
      <c r="N19" t="n">
        <v>0.1385</v>
      </c>
      <c r="O19" t="n">
        <v>2019</v>
      </c>
      <c r="P19" t="n">
        <v>2030</v>
      </c>
      <c r="Q19" t="n">
        <v>0.3171</v>
      </c>
      <c r="R19" t="n">
        <v>401.7335</v>
      </c>
      <c r="S19" t="n">
        <v>0.00029221</v>
      </c>
      <c r="T19" t="n">
        <v>0.00017343</v>
      </c>
      <c r="U19" t="n">
        <v>689.9704</v>
      </c>
      <c r="V19" t="inlineStr">
        <is>
          <t>Provided Total Emissions</t>
        </is>
      </c>
      <c r="W19" t="b">
        <v>1</v>
      </c>
      <c r="X19" t="n">
        <v>606.7814</v>
      </c>
      <c r="Y19" t="n">
        <v>1493.4126</v>
      </c>
      <c r="Z19" t="n">
        <v>-83.18899999999999</v>
      </c>
      <c r="AA19" t="n">
        <v>803.4422</v>
      </c>
      <c r="AB19" t="n">
        <v>-0.120569</v>
      </c>
      <c r="AC19" t="n">
        <v>1.164459</v>
      </c>
      <c r="AD19" t="inlineStr">
        <is>
          <t>High</t>
        </is>
      </c>
      <c r="AE19" t="inlineStr">
        <is>
          <t>None</t>
        </is>
      </c>
      <c r="AF19" t="n">
        <v>0.95</v>
      </c>
      <c r="AG19" t="inlineStr">
        <is>
          <t>Valid</t>
        </is>
      </c>
    </row>
    <row r="20">
      <c r="A20" t="inlineStr">
        <is>
          <t>SUP-0002</t>
        </is>
      </c>
      <c r="B20" t="inlineStr">
        <is>
          <t>Textiles Supplier 002</t>
        </is>
      </c>
      <c r="C20" t="inlineStr">
        <is>
          <t>Textiles</t>
        </is>
      </c>
      <c r="D20" t="n">
        <v>2023</v>
      </c>
      <c r="E20" t="n">
        <v>2023176.04</v>
      </c>
      <c r="F20" t="n">
        <v>10863173.79</v>
      </c>
      <c r="G20" t="n">
        <v>648.4259</v>
      </c>
      <c r="H20" t="n">
        <v>169.1121</v>
      </c>
      <c r="I20" t="n">
        <v>99.0613</v>
      </c>
      <c r="J20" t="n">
        <v>399.1243</v>
      </c>
      <c r="K20" t="n">
        <v>2021</v>
      </c>
      <c r="L20" t="n">
        <v>2040</v>
      </c>
      <c r="M20" t="n">
        <v>0.3164</v>
      </c>
      <c r="N20" t="n">
        <v>0.1385</v>
      </c>
      <c r="O20" t="n">
        <v>2019</v>
      </c>
      <c r="P20" t="n">
        <v>2030</v>
      </c>
      <c r="Q20" t="n">
        <v>0.3171</v>
      </c>
      <c r="R20" t="n">
        <v>401.7335</v>
      </c>
      <c r="S20" t="n">
        <v>0.00029221</v>
      </c>
      <c r="T20" t="n">
        <v>0.00017343</v>
      </c>
      <c r="U20" t="n">
        <v>648.4259</v>
      </c>
      <c r="V20" t="inlineStr">
        <is>
          <t>Provided Total Emissions</t>
        </is>
      </c>
      <c r="W20" t="b">
        <v>1</v>
      </c>
      <c r="X20" t="n">
        <v>591.1923</v>
      </c>
      <c r="Y20" t="n">
        <v>1884.0002</v>
      </c>
      <c r="Z20" t="n">
        <v>-57.2336</v>
      </c>
      <c r="AA20" t="n">
        <v>1235.5743</v>
      </c>
      <c r="AB20" t="n">
        <v>-0.088265</v>
      </c>
      <c r="AC20" t="n">
        <v>1.905498</v>
      </c>
      <c r="AD20" t="inlineStr">
        <is>
          <t>High</t>
        </is>
      </c>
      <c r="AE20" t="inlineStr">
        <is>
          <t>None</t>
        </is>
      </c>
      <c r="AF20" t="n">
        <v>0.95</v>
      </c>
      <c r="AG20" t="inlineStr">
        <is>
          <t>Valid</t>
        </is>
      </c>
    </row>
    <row r="21">
      <c r="A21" t="inlineStr">
        <is>
          <t>SUP-0002</t>
        </is>
      </c>
      <c r="B21" t="inlineStr">
        <is>
          <t>Textiles Supplier 002</t>
        </is>
      </c>
      <c r="C21" t="inlineStr">
        <is>
          <t>Textiles</t>
        </is>
      </c>
      <c r="D21" t="n">
        <v>2024</v>
      </c>
      <c r="E21" t="n">
        <v>1961826.78</v>
      </c>
      <c r="F21" t="n">
        <v>7611105.33</v>
      </c>
      <c r="G21" t="n">
        <v>609.8191</v>
      </c>
      <c r="H21" t="n">
        <v>130.8505</v>
      </c>
      <c r="I21" t="n">
        <v>61.9081</v>
      </c>
      <c r="J21" t="n">
        <v>437.2972</v>
      </c>
      <c r="K21" t="n">
        <v>2021</v>
      </c>
      <c r="L21" t="n">
        <v>2040</v>
      </c>
      <c r="M21" t="n">
        <v>0.3164</v>
      </c>
      <c r="N21" t="n">
        <v>0.1385</v>
      </c>
      <c r="O21" t="n">
        <v>2019</v>
      </c>
      <c r="P21" t="n">
        <v>2030</v>
      </c>
      <c r="Q21" t="n">
        <v>0.3171</v>
      </c>
      <c r="R21" t="n">
        <v>401.7335</v>
      </c>
      <c r="S21" t="n">
        <v>0.00029221</v>
      </c>
      <c r="T21" t="n">
        <v>0.00017343</v>
      </c>
      <c r="U21" t="n">
        <v>609.8191</v>
      </c>
      <c r="V21" t="inlineStr">
        <is>
          <t>Provided Total Emissions</t>
        </is>
      </c>
      <c r="W21" t="b">
        <v>1</v>
      </c>
      <c r="X21" t="n">
        <v>573.2654</v>
      </c>
      <c r="Y21" t="n">
        <v>1319.994</v>
      </c>
      <c r="Z21" t="n">
        <v>-36.5537</v>
      </c>
      <c r="AA21" t="n">
        <v>710.1749</v>
      </c>
      <c r="AB21" t="n">
        <v>-0.059942</v>
      </c>
      <c r="AC21" t="n">
        <v>1.164567</v>
      </c>
      <c r="AD21" t="inlineStr">
        <is>
          <t>High</t>
        </is>
      </c>
      <c r="AE21" t="inlineStr">
        <is>
          <t>None</t>
        </is>
      </c>
      <c r="AF21" t="n">
        <v>0.95</v>
      </c>
      <c r="AG21" t="inlineStr">
        <is>
          <t>Valid</t>
        </is>
      </c>
    </row>
    <row r="22">
      <c r="A22" t="inlineStr">
        <is>
          <t>SUP-0003</t>
        </is>
      </c>
      <c r="B22" t="inlineStr">
        <is>
          <t>Electronics Supplier 003</t>
        </is>
      </c>
      <c r="C22" t="inlineStr">
        <is>
          <t>Electronics</t>
        </is>
      </c>
      <c r="D22" t="n">
        <v>2015</v>
      </c>
      <c r="E22" t="n">
        <v>9739586.59</v>
      </c>
      <c r="F22" t="n">
        <v>59308624.42</v>
      </c>
      <c r="G22" t="n">
        <v>9908.0875</v>
      </c>
      <c r="H22" t="n">
        <v>2372.3859</v>
      </c>
      <c r="I22" t="n">
        <v>1415.2186</v>
      </c>
      <c r="J22" t="n">
        <v>6276.9161</v>
      </c>
      <c r="K22" t="n">
        <v>2018</v>
      </c>
      <c r="L22" t="n">
        <v>2030</v>
      </c>
      <c r="M22" t="n">
        <v>0.4542</v>
      </c>
      <c r="N22" t="n">
        <v>0.214</v>
      </c>
      <c r="O22" t="n">
        <v>2018</v>
      </c>
      <c r="P22" t="n">
        <v>2040</v>
      </c>
      <c r="Q22" t="n">
        <v>0.3424</v>
      </c>
      <c r="R22" t="n">
        <v>635.1588</v>
      </c>
      <c r="S22" t="n">
        <v>0.00086105</v>
      </c>
      <c r="T22" t="n">
        <v>0.00013947</v>
      </c>
      <c r="U22" t="n">
        <v>9908.0875</v>
      </c>
      <c r="V22" t="inlineStr">
        <is>
          <t>Provided Total Emissions</t>
        </is>
      </c>
      <c r="W22" t="b">
        <v>1</v>
      </c>
      <c r="X22" t="n">
        <v>8386.271000000001</v>
      </c>
      <c r="Y22" t="n">
        <v>8271.773800000001</v>
      </c>
      <c r="Z22" t="n">
        <v>-1521.8165</v>
      </c>
      <c r="AA22" t="n">
        <v>-1636.3137</v>
      </c>
      <c r="AB22" t="n">
        <v>-0.153593</v>
      </c>
      <c r="AC22" t="n">
        <v>-0.165149</v>
      </c>
      <c r="AD22" t="inlineStr">
        <is>
          <t>High</t>
        </is>
      </c>
      <c r="AE22" t="inlineStr">
        <is>
          <t>None</t>
        </is>
      </c>
      <c r="AF22" t="n">
        <v>0.95</v>
      </c>
      <c r="AG22" t="inlineStr">
        <is>
          <t>Valid</t>
        </is>
      </c>
    </row>
    <row r="23">
      <c r="A23" t="inlineStr">
        <is>
          <t>SUP-0003</t>
        </is>
      </c>
      <c r="B23" t="inlineStr">
        <is>
          <t>Electronics Supplier 003</t>
        </is>
      </c>
      <c r="C23" t="inlineStr">
        <is>
          <t>Electronics</t>
        </is>
      </c>
      <c r="D23" t="n">
        <v>2016</v>
      </c>
      <c r="E23" t="n">
        <v>10601619.07</v>
      </c>
      <c r="F23" t="n">
        <v>53872838.97</v>
      </c>
      <c r="G23" t="n">
        <v>9411.6836</v>
      </c>
      <c r="H23" t="n">
        <v>1230.989</v>
      </c>
      <c r="I23" t="n">
        <v>1937.7465</v>
      </c>
      <c r="J23" t="n">
        <v>6501.1085</v>
      </c>
      <c r="K23" t="n">
        <v>2018</v>
      </c>
      <c r="L23" t="n">
        <v>2030</v>
      </c>
      <c r="M23" t="n">
        <v>0.4542</v>
      </c>
      <c r="N23" t="n">
        <v>0.214</v>
      </c>
      <c r="O23" t="n">
        <v>2018</v>
      </c>
      <c r="P23" t="n">
        <v>2040</v>
      </c>
      <c r="Q23" t="n">
        <v>0.3424</v>
      </c>
      <c r="R23" t="n">
        <v>635.1588</v>
      </c>
      <c r="S23" t="n">
        <v>0.00086105</v>
      </c>
      <c r="T23" t="n">
        <v>0.00013947</v>
      </c>
      <c r="U23" t="n">
        <v>9411.6836</v>
      </c>
      <c r="V23" t="inlineStr">
        <is>
          <t>Provided Total Emissions</t>
        </is>
      </c>
      <c r="W23" t="b">
        <v>1</v>
      </c>
      <c r="X23" t="n">
        <v>9128.524100000001</v>
      </c>
      <c r="Y23" t="n">
        <v>7513.6449</v>
      </c>
      <c r="Z23" t="n">
        <v>-283.1595</v>
      </c>
      <c r="AA23" t="n">
        <v>-1898.0387</v>
      </c>
      <c r="AB23" t="n">
        <v>-0.030086</v>
      </c>
      <c r="AC23" t="n">
        <v>-0.201668</v>
      </c>
      <c r="AD23" t="inlineStr">
        <is>
          <t>High</t>
        </is>
      </c>
      <c r="AE23" t="inlineStr">
        <is>
          <t>None</t>
        </is>
      </c>
      <c r="AF23" t="n">
        <v>0.95</v>
      </c>
      <c r="AG23" t="inlineStr">
        <is>
          <t>Valid</t>
        </is>
      </c>
    </row>
    <row r="24">
      <c r="A24" t="inlineStr">
        <is>
          <t>SUP-0003</t>
        </is>
      </c>
      <c r="B24" t="inlineStr">
        <is>
          <t>Electronics Supplier 003</t>
        </is>
      </c>
      <c r="C24" t="inlineStr">
        <is>
          <t>Electronics</t>
        </is>
      </c>
      <c r="D24" t="n">
        <v>2017</v>
      </c>
      <c r="E24" t="n">
        <v>10796082.02</v>
      </c>
      <c r="F24" t="n">
        <v>62471010.23</v>
      </c>
      <c r="G24" t="n">
        <v>11732.3983</v>
      </c>
      <c r="H24" t="n">
        <v>2864.7932</v>
      </c>
      <c r="I24" t="n">
        <v>2165.3717</v>
      </c>
      <c r="J24" t="n">
        <v>7037.7831</v>
      </c>
      <c r="K24" t="n">
        <v>2018</v>
      </c>
      <c r="L24" t="n">
        <v>2030</v>
      </c>
      <c r="M24" t="n">
        <v>0.4542</v>
      </c>
      <c r="N24" t="n">
        <v>0.214</v>
      </c>
      <c r="O24" t="n">
        <v>2018</v>
      </c>
      <c r="P24" t="n">
        <v>2040</v>
      </c>
      <c r="Q24" t="n">
        <v>0.3424</v>
      </c>
      <c r="R24" t="n">
        <v>635.1588</v>
      </c>
      <c r="S24" t="n">
        <v>0.00086105</v>
      </c>
      <c r="T24" t="n">
        <v>0.00013947</v>
      </c>
      <c r="U24" t="n">
        <v>11732.3983</v>
      </c>
      <c r="V24" t="inlineStr">
        <is>
          <t>Provided Total Emissions</t>
        </is>
      </c>
      <c r="W24" t="b">
        <v>1</v>
      </c>
      <c r="X24" t="n">
        <v>9295.966399999999</v>
      </c>
      <c r="Y24" t="n">
        <v>8712.8318</v>
      </c>
      <c r="Z24" t="n">
        <v>-2436.4319</v>
      </c>
      <c r="AA24" t="n">
        <v>-3019.5665</v>
      </c>
      <c r="AB24" t="n">
        <v>-0.207667</v>
      </c>
      <c r="AC24" t="n">
        <v>-0.25737</v>
      </c>
      <c r="AD24" t="inlineStr">
        <is>
          <t>High</t>
        </is>
      </c>
      <c r="AE24" t="inlineStr">
        <is>
          <t>None</t>
        </is>
      </c>
      <c r="AF24" t="n">
        <v>0.95</v>
      </c>
      <c r="AG24" t="inlineStr">
        <is>
          <t>Valid</t>
        </is>
      </c>
    </row>
    <row r="25">
      <c r="A25" t="inlineStr">
        <is>
          <t>SUP-0003</t>
        </is>
      </c>
      <c r="B25" t="inlineStr">
        <is>
          <t>Electronics Supplier 003</t>
        </is>
      </c>
      <c r="C25" t="inlineStr">
        <is>
          <t>Electronics</t>
        </is>
      </c>
      <c r="D25" t="n">
        <v>2018</v>
      </c>
      <c r="E25" t="n">
        <v>10887250.84</v>
      </c>
      <c r="F25" t="n">
        <v>71839497.98</v>
      </c>
      <c r="G25" t="n">
        <v>12549.8807</v>
      </c>
      <c r="H25" t="n">
        <v>1057.6605</v>
      </c>
      <c r="I25" t="n">
        <v>2847.3924</v>
      </c>
      <c r="J25" t="n">
        <v>8698.409299999999</v>
      </c>
      <c r="K25" t="n">
        <v>2018</v>
      </c>
      <c r="L25" t="n">
        <v>2030</v>
      </c>
      <c r="M25" t="n">
        <v>0.4542</v>
      </c>
      <c r="N25" t="n">
        <v>0.214</v>
      </c>
      <c r="O25" t="n">
        <v>2018</v>
      </c>
      <c r="P25" t="n">
        <v>2040</v>
      </c>
      <c r="Q25" t="n">
        <v>0.3424</v>
      </c>
      <c r="R25" t="n">
        <v>635.1588</v>
      </c>
      <c r="S25" t="n">
        <v>0.00086105</v>
      </c>
      <c r="T25" t="n">
        <v>0.00013947</v>
      </c>
      <c r="U25" t="n">
        <v>12549.8807</v>
      </c>
      <c r="V25" t="inlineStr">
        <is>
          <t>Provided Total Emissions</t>
        </is>
      </c>
      <c r="W25" t="b">
        <v>1</v>
      </c>
      <c r="X25" t="n">
        <v>9374.4673</v>
      </c>
      <c r="Y25" t="n">
        <v>10019.4548</v>
      </c>
      <c r="Z25" t="n">
        <v>-3175.4134</v>
      </c>
      <c r="AA25" t="n">
        <v>-2530.4259</v>
      </c>
      <c r="AB25" t="n">
        <v>-0.253023</v>
      </c>
      <c r="AC25" t="n">
        <v>-0.201629</v>
      </c>
      <c r="AD25" t="inlineStr">
        <is>
          <t>High</t>
        </is>
      </c>
      <c r="AE25" t="inlineStr">
        <is>
          <t>None</t>
        </is>
      </c>
      <c r="AF25" t="n">
        <v>0.95</v>
      </c>
      <c r="AG25" t="inlineStr">
        <is>
          <t>Valid</t>
        </is>
      </c>
    </row>
    <row r="26">
      <c r="A26" t="inlineStr">
        <is>
          <t>SUP-0003</t>
        </is>
      </c>
      <c r="B26" t="inlineStr">
        <is>
          <t>Electronics Supplier 003</t>
        </is>
      </c>
      <c r="C26" t="inlineStr">
        <is>
          <t>Electronics</t>
        </is>
      </c>
      <c r="D26" t="n">
        <v>2019</v>
      </c>
      <c r="E26" t="n">
        <v>14555246.06</v>
      </c>
      <c r="F26" t="n">
        <v>76450343.89</v>
      </c>
      <c r="G26" t="n">
        <v>12156.8405</v>
      </c>
      <c r="H26" t="n">
        <v>2373.4495</v>
      </c>
      <c r="I26" t="n">
        <v>2589.4371</v>
      </c>
      <c r="J26" t="n">
        <v>7099.9158</v>
      </c>
      <c r="K26" t="n">
        <v>2018</v>
      </c>
      <c r="L26" t="n">
        <v>2030</v>
      </c>
      <c r="M26" t="n">
        <v>0.4542</v>
      </c>
      <c r="N26" t="n">
        <v>0.214</v>
      </c>
      <c r="O26" t="n">
        <v>2018</v>
      </c>
      <c r="P26" t="n">
        <v>2040</v>
      </c>
      <c r="Q26" t="n">
        <v>0.3424</v>
      </c>
      <c r="R26" t="n">
        <v>635.1588</v>
      </c>
      <c r="S26" t="n">
        <v>0.00086105</v>
      </c>
      <c r="T26" t="n">
        <v>0.00013947</v>
      </c>
      <c r="U26" t="n">
        <v>12156.8405</v>
      </c>
      <c r="V26" t="inlineStr">
        <is>
          <t>Provided Total Emissions</t>
        </is>
      </c>
      <c r="W26" t="b">
        <v>1</v>
      </c>
      <c r="X26" t="n">
        <v>12532.7946</v>
      </c>
      <c r="Y26" t="n">
        <v>10662.5295</v>
      </c>
      <c r="Z26" t="n">
        <v>375.9541</v>
      </c>
      <c r="AA26" t="n">
        <v>-1494.311</v>
      </c>
      <c r="AB26" t="n">
        <v>0.030925</v>
      </c>
      <c r="AC26" t="n">
        <v>-0.122919</v>
      </c>
      <c r="AD26" t="inlineStr">
        <is>
          <t>High</t>
        </is>
      </c>
      <c r="AE26" t="inlineStr">
        <is>
          <t>None</t>
        </is>
      </c>
      <c r="AF26" t="n">
        <v>0.95</v>
      </c>
      <c r="AG26" t="inlineStr">
        <is>
          <t>Valid</t>
        </is>
      </c>
    </row>
    <row r="27">
      <c r="A27" t="inlineStr">
        <is>
          <t>SUP-0003</t>
        </is>
      </c>
      <c r="B27" t="inlineStr">
        <is>
          <t>Electronics Supplier 003</t>
        </is>
      </c>
      <c r="C27" t="inlineStr">
        <is>
          <t>Electronics</t>
        </is>
      </c>
      <c r="D27" t="n">
        <v>2020</v>
      </c>
      <c r="E27" t="n">
        <v>12369884.6</v>
      </c>
      <c r="F27" t="n">
        <v>74795000.51000001</v>
      </c>
      <c r="G27" t="n">
        <v>8004.9401</v>
      </c>
      <c r="H27" t="n">
        <v>2134.5305</v>
      </c>
      <c r="I27" t="n">
        <v>813.4703</v>
      </c>
      <c r="J27" t="n">
        <v>5200.4394</v>
      </c>
      <c r="K27" t="n">
        <v>2018</v>
      </c>
      <c r="L27" t="n">
        <v>2030</v>
      </c>
      <c r="M27" t="n">
        <v>0.4542</v>
      </c>
      <c r="N27" t="n">
        <v>0.214</v>
      </c>
      <c r="O27" t="n">
        <v>2018</v>
      </c>
      <c r="P27" t="n">
        <v>2040</v>
      </c>
      <c r="Q27" t="n">
        <v>0.3424</v>
      </c>
      <c r="R27" t="n">
        <v>635.1588</v>
      </c>
      <c r="S27" t="n">
        <v>0.00086105</v>
      </c>
      <c r="T27" t="n">
        <v>0.00013947</v>
      </c>
      <c r="U27" t="n">
        <v>8004.9401</v>
      </c>
      <c r="V27" t="inlineStr">
        <is>
          <t>Provided Total Emissions</t>
        </is>
      </c>
      <c r="W27" t="b">
        <v>1</v>
      </c>
      <c r="X27" t="n">
        <v>10651.0891</v>
      </c>
      <c r="Y27" t="n">
        <v>10431.6587</v>
      </c>
      <c r="Z27" t="n">
        <v>2646.149</v>
      </c>
      <c r="AA27" t="n">
        <v>2426.7186</v>
      </c>
      <c r="AB27" t="n">
        <v>0.330565</v>
      </c>
      <c r="AC27" t="n">
        <v>0.303153</v>
      </c>
      <c r="AD27" t="inlineStr">
        <is>
          <t>High</t>
        </is>
      </c>
      <c r="AE27" t="inlineStr">
        <is>
          <t>None</t>
        </is>
      </c>
      <c r="AF27" t="n">
        <v>0.95</v>
      </c>
      <c r="AG27" t="inlineStr">
        <is>
          <t>Valid</t>
        </is>
      </c>
    </row>
    <row r="28">
      <c r="A28" t="inlineStr">
        <is>
          <t>SUP-0003</t>
        </is>
      </c>
      <c r="B28" t="inlineStr">
        <is>
          <t>Electronics Supplier 003</t>
        </is>
      </c>
      <c r="C28" t="inlineStr">
        <is>
          <t>Electronics</t>
        </is>
      </c>
      <c r="D28" t="n">
        <v>2021</v>
      </c>
      <c r="E28" t="n">
        <v>11161092.71</v>
      </c>
      <c r="F28" t="n">
        <v>78096888.22</v>
      </c>
      <c r="G28" t="n">
        <v>7991.1847</v>
      </c>
      <c r="H28" t="n">
        <v>1105.7544</v>
      </c>
      <c r="I28" t="n">
        <v>593.8429</v>
      </c>
      <c r="J28" t="n">
        <v>6937.0956</v>
      </c>
      <c r="K28" t="n">
        <v>2018</v>
      </c>
      <c r="L28" t="n">
        <v>2030</v>
      </c>
      <c r="M28" t="n">
        <v>0.4542</v>
      </c>
      <c r="N28" t="n">
        <v>0.214</v>
      </c>
      <c r="O28" t="n">
        <v>2018</v>
      </c>
      <c r="P28" t="n">
        <v>2040</v>
      </c>
      <c r="Q28" t="n">
        <v>0.3424</v>
      </c>
      <c r="R28" t="n">
        <v>635.1588</v>
      </c>
      <c r="S28" t="n">
        <v>0.00086105</v>
      </c>
      <c r="T28" t="n">
        <v>0.00013947</v>
      </c>
      <c r="U28" t="n">
        <v>7991.1847</v>
      </c>
      <c r="V28" t="inlineStr">
        <is>
          <t>Provided Total Emissions</t>
        </is>
      </c>
      <c r="W28" t="b">
        <v>1</v>
      </c>
      <c r="X28" t="n">
        <v>9610.258900000001</v>
      </c>
      <c r="Y28" t="n">
        <v>10892.173</v>
      </c>
      <c r="Z28" t="n">
        <v>1619.0742</v>
      </c>
      <c r="AA28" t="n">
        <v>2900.9883</v>
      </c>
      <c r="AB28" t="n">
        <v>0.202608</v>
      </c>
      <c r="AC28" t="n">
        <v>0.363024</v>
      </c>
      <c r="AD28" t="inlineStr">
        <is>
          <t>High</t>
        </is>
      </c>
      <c r="AE28" t="inlineStr">
        <is>
          <t>None</t>
        </is>
      </c>
      <c r="AF28" t="n">
        <v>0.95</v>
      </c>
      <c r="AG28" t="inlineStr">
        <is>
          <t>Valid</t>
        </is>
      </c>
    </row>
    <row r="29">
      <c r="A29" t="inlineStr">
        <is>
          <t>SUP-0003</t>
        </is>
      </c>
      <c r="B29" t="inlineStr">
        <is>
          <t>Electronics Supplier 003</t>
        </is>
      </c>
      <c r="C29" t="inlineStr">
        <is>
          <t>Electronics</t>
        </is>
      </c>
      <c r="D29" t="n">
        <v>2022</v>
      </c>
      <c r="E29" t="n">
        <v>12966415.32</v>
      </c>
      <c r="F29" t="n">
        <v>59928624.34</v>
      </c>
      <c r="G29" t="n">
        <v>9800.518700000001</v>
      </c>
      <c r="H29" t="n">
        <v>2691.3298</v>
      </c>
      <c r="I29" t="n">
        <v>2023.6517</v>
      </c>
      <c r="J29" t="n">
        <v>5343.6376</v>
      </c>
      <c r="K29" t="n">
        <v>2018</v>
      </c>
      <c r="L29" t="n">
        <v>2030</v>
      </c>
      <c r="M29" t="n">
        <v>0.4542</v>
      </c>
      <c r="N29" t="n">
        <v>0.214</v>
      </c>
      <c r="O29" t="n">
        <v>2018</v>
      </c>
      <c r="P29" t="n">
        <v>2040</v>
      </c>
      <c r="Q29" t="n">
        <v>0.3424</v>
      </c>
      <c r="R29" t="n">
        <v>635.1588</v>
      </c>
      <c r="S29" t="n">
        <v>0.00086105</v>
      </c>
      <c r="T29" t="n">
        <v>0.00013947</v>
      </c>
      <c r="U29" t="n">
        <v>9800.518700000001</v>
      </c>
      <c r="V29" t="inlineStr">
        <is>
          <t>Provided Total Emissions</t>
        </is>
      </c>
      <c r="W29" t="b">
        <v>1</v>
      </c>
      <c r="X29" t="n">
        <v>11164.7319</v>
      </c>
      <c r="Y29" t="n">
        <v>8358.245199999999</v>
      </c>
      <c r="Z29" t="n">
        <v>1364.2132</v>
      </c>
      <c r="AA29" t="n">
        <v>-1442.2735</v>
      </c>
      <c r="AB29" t="n">
        <v>0.139198</v>
      </c>
      <c r="AC29" t="n">
        <v>-0.147163</v>
      </c>
      <c r="AD29" t="inlineStr">
        <is>
          <t>High</t>
        </is>
      </c>
      <c r="AE29" t="inlineStr">
        <is>
          <t>None</t>
        </is>
      </c>
      <c r="AF29" t="n">
        <v>0.95</v>
      </c>
      <c r="AG29" t="inlineStr">
        <is>
          <t>Valid</t>
        </is>
      </c>
    </row>
    <row r="30">
      <c r="A30" t="inlineStr">
        <is>
          <t>SUP-0003</t>
        </is>
      </c>
      <c r="B30" t="inlineStr">
        <is>
          <t>Electronics Supplier 003</t>
        </is>
      </c>
      <c r="C30" t="inlineStr">
        <is>
          <t>Electronics</t>
        </is>
      </c>
      <c r="D30" t="n">
        <v>2023</v>
      </c>
      <c r="E30" t="n">
        <v>14814677.09</v>
      </c>
      <c r="F30" t="n">
        <v>80965223.59999999</v>
      </c>
      <c r="G30" t="n">
        <v>7871.8427</v>
      </c>
      <c r="H30" t="n">
        <v>1952.8787</v>
      </c>
      <c r="I30" t="n">
        <v>1249.3878</v>
      </c>
      <c r="J30" t="n">
        <v>4725.7116</v>
      </c>
      <c r="K30" t="n">
        <v>2018</v>
      </c>
      <c r="L30" t="n">
        <v>2030</v>
      </c>
      <c r="M30" t="n">
        <v>0.4542</v>
      </c>
      <c r="N30" t="n">
        <v>0.214</v>
      </c>
      <c r="O30" t="n">
        <v>2018</v>
      </c>
      <c r="P30" t="n">
        <v>2040</v>
      </c>
      <c r="Q30" t="n">
        <v>0.3424</v>
      </c>
      <c r="R30" t="n">
        <v>635.1588</v>
      </c>
      <c r="S30" t="n">
        <v>0.00086105</v>
      </c>
      <c r="T30" t="n">
        <v>0.00013947</v>
      </c>
      <c r="U30" t="n">
        <v>7871.8427</v>
      </c>
      <c r="V30" t="inlineStr">
        <is>
          <t>Provided Total Emissions</t>
        </is>
      </c>
      <c r="W30" t="b">
        <v>1</v>
      </c>
      <c r="X30" t="n">
        <v>12756.1777</v>
      </c>
      <c r="Y30" t="n">
        <v>11292.2197</v>
      </c>
      <c r="Z30" t="n">
        <v>4884.335</v>
      </c>
      <c r="AA30" t="n">
        <v>3420.377</v>
      </c>
      <c r="AB30" t="n">
        <v>0.620482</v>
      </c>
      <c r="AC30" t="n">
        <v>0.434508</v>
      </c>
      <c r="AD30" t="inlineStr">
        <is>
          <t>High</t>
        </is>
      </c>
      <c r="AE30" t="inlineStr">
        <is>
          <t>None</t>
        </is>
      </c>
      <c r="AF30" t="n">
        <v>0.95</v>
      </c>
      <c r="AG30" t="inlineStr">
        <is>
          <t>Valid</t>
        </is>
      </c>
    </row>
    <row r="31">
      <c r="A31" t="inlineStr">
        <is>
          <t>SUP-0003</t>
        </is>
      </c>
      <c r="B31" t="inlineStr">
        <is>
          <t>Electronics Supplier 003</t>
        </is>
      </c>
      <c r="C31" t="inlineStr">
        <is>
          <t>Electronics</t>
        </is>
      </c>
      <c r="D31" t="n">
        <v>2024</v>
      </c>
      <c r="E31" t="n">
        <v>13228903.84</v>
      </c>
      <c r="F31" t="n">
        <v>91085503.23</v>
      </c>
      <c r="G31" t="n">
        <v>10076.1724</v>
      </c>
      <c r="H31" t="n">
        <v>1598.8289</v>
      </c>
      <c r="I31" t="n">
        <v>1283.6593</v>
      </c>
      <c r="J31" t="n">
        <v>7805.0472</v>
      </c>
      <c r="K31" t="n">
        <v>2018</v>
      </c>
      <c r="L31" t="n">
        <v>2030</v>
      </c>
      <c r="M31" t="n">
        <v>0.4542</v>
      </c>
      <c r="N31" t="n">
        <v>0.214</v>
      </c>
      <c r="O31" t="n">
        <v>2018</v>
      </c>
      <c r="P31" t="n">
        <v>2040</v>
      </c>
      <c r="Q31" t="n">
        <v>0.3424</v>
      </c>
      <c r="R31" t="n">
        <v>635.1588</v>
      </c>
      <c r="S31" t="n">
        <v>0.00086105</v>
      </c>
      <c r="T31" t="n">
        <v>0.00013947</v>
      </c>
      <c r="U31" t="n">
        <v>10076.1724</v>
      </c>
      <c r="V31" t="inlineStr">
        <is>
          <t>Provided Total Emissions</t>
        </is>
      </c>
      <c r="W31" t="b">
        <v>1</v>
      </c>
      <c r="X31" t="n">
        <v>11390.7477</v>
      </c>
      <c r="Y31" t="n">
        <v>12703.6951</v>
      </c>
      <c r="Z31" t="n">
        <v>1314.5753</v>
      </c>
      <c r="AA31" t="n">
        <v>2627.5227</v>
      </c>
      <c r="AB31" t="n">
        <v>0.130464</v>
      </c>
      <c r="AC31" t="n">
        <v>0.260766</v>
      </c>
      <c r="AD31" t="inlineStr">
        <is>
          <t>High</t>
        </is>
      </c>
      <c r="AE31" t="inlineStr">
        <is>
          <t>None</t>
        </is>
      </c>
      <c r="AF31" t="n">
        <v>0.95</v>
      </c>
      <c r="AG31" t="inlineStr">
        <is>
          <t>Valid</t>
        </is>
      </c>
    </row>
    <row r="32">
      <c r="A32" t="inlineStr">
        <is>
          <t>SUP-0004</t>
        </is>
      </c>
      <c r="B32" t="inlineStr">
        <is>
          <t>Agriculture Supplier 004</t>
        </is>
      </c>
      <c r="C32" t="inlineStr">
        <is>
          <t>Agriculture</t>
        </is>
      </c>
      <c r="D32" t="n">
        <v>2015</v>
      </c>
      <c r="E32" t="n">
        <v>3248283.06</v>
      </c>
      <c r="F32" t="n">
        <v>24238178.76</v>
      </c>
      <c r="G32" t="n">
        <v>1855.6969</v>
      </c>
      <c r="H32" t="n">
        <v>464.7769</v>
      </c>
      <c r="I32" t="n">
        <v>399.9877</v>
      </c>
      <c r="J32" t="n">
        <v>1215.0983</v>
      </c>
      <c r="K32" t="n">
        <v>2020</v>
      </c>
      <c r="L32" t="n">
        <v>2040</v>
      </c>
      <c r="M32" t="n">
        <v>0.5872000000000001</v>
      </c>
      <c r="N32" t="n">
        <v>0.3238</v>
      </c>
      <c r="O32" t="n">
        <v>2018</v>
      </c>
      <c r="P32" t="inlineStr"/>
      <c r="Q32" t="inlineStr"/>
      <c r="R32" t="n">
        <v>529.8294</v>
      </c>
      <c r="S32" t="n">
        <v>0.00091413</v>
      </c>
      <c r="T32" t="n">
        <v>0.00096913</v>
      </c>
      <c r="U32" t="n">
        <v>1855.6969</v>
      </c>
      <c r="V32" t="inlineStr">
        <is>
          <t>Provided Total Emissions</t>
        </is>
      </c>
      <c r="W32" t="b">
        <v>1</v>
      </c>
      <c r="X32" t="n">
        <v>2969.353</v>
      </c>
      <c r="Y32" t="n">
        <v>23489.9462</v>
      </c>
      <c r="Z32" t="n">
        <v>1113.6561</v>
      </c>
      <c r="AA32" t="n">
        <v>21634.2493</v>
      </c>
      <c r="AB32" t="n">
        <v>0.600128</v>
      </c>
      <c r="AC32" t="n">
        <v>11.658288</v>
      </c>
      <c r="AD32" t="inlineStr">
        <is>
          <t>High</t>
        </is>
      </c>
      <c r="AE32" t="inlineStr">
        <is>
          <t>None</t>
        </is>
      </c>
      <c r="AF32" t="n">
        <v>0.95</v>
      </c>
      <c r="AG32" t="inlineStr">
        <is>
          <t>Valid</t>
        </is>
      </c>
    </row>
    <row r="33">
      <c r="A33" t="inlineStr">
        <is>
          <t>SUP-0004</t>
        </is>
      </c>
      <c r="B33" t="inlineStr">
        <is>
          <t>Agriculture Supplier 004</t>
        </is>
      </c>
      <c r="C33" t="inlineStr">
        <is>
          <t>Agriculture</t>
        </is>
      </c>
      <c r="D33" t="n">
        <v>2016</v>
      </c>
      <c r="E33" t="n">
        <v>2935030.81</v>
      </c>
      <c r="F33" t="n">
        <v>23259957.01</v>
      </c>
      <c r="G33" t="n">
        <v>1748.1843</v>
      </c>
      <c r="H33" t="n">
        <v>318.2508</v>
      </c>
      <c r="I33" t="n">
        <v>244.3842</v>
      </c>
      <c r="J33" t="n">
        <v>1173.4049</v>
      </c>
      <c r="K33" t="n">
        <v>2020</v>
      </c>
      <c r="L33" t="n">
        <v>2040</v>
      </c>
      <c r="M33" t="n">
        <v>0.5872000000000001</v>
      </c>
      <c r="N33" t="n">
        <v>0.3238</v>
      </c>
      <c r="O33" t="n">
        <v>2018</v>
      </c>
      <c r="P33" t="inlineStr"/>
      <c r="Q33" t="inlineStr"/>
      <c r="R33" t="n">
        <v>529.8294</v>
      </c>
      <c r="S33" t="n">
        <v>0.00091413</v>
      </c>
      <c r="T33" t="n">
        <v>0.00096913</v>
      </c>
      <c r="U33" t="n">
        <v>1748.1843</v>
      </c>
      <c r="V33" t="inlineStr">
        <is>
          <t>Provided Total Emissions</t>
        </is>
      </c>
      <c r="W33" t="b">
        <v>1</v>
      </c>
      <c r="X33" t="n">
        <v>2682.9997</v>
      </c>
      <c r="Y33" t="n">
        <v>22541.9221</v>
      </c>
      <c r="Z33" t="n">
        <v>934.8154</v>
      </c>
      <c r="AA33" t="n">
        <v>20793.7378</v>
      </c>
      <c r="AB33" t="n">
        <v>0.534735</v>
      </c>
      <c r="AC33" t="n">
        <v>11.894477</v>
      </c>
      <c r="AD33" t="inlineStr">
        <is>
          <t>High</t>
        </is>
      </c>
      <c r="AE33" t="inlineStr">
        <is>
          <t>None</t>
        </is>
      </c>
      <c r="AF33" t="n">
        <v>0.95</v>
      </c>
      <c r="AG33" t="inlineStr">
        <is>
          <t>Valid</t>
        </is>
      </c>
    </row>
    <row r="34">
      <c r="A34" t="inlineStr">
        <is>
          <t>SUP-0004</t>
        </is>
      </c>
      <c r="B34" t="inlineStr">
        <is>
          <t>Agriculture Supplier 004</t>
        </is>
      </c>
      <c r="C34" t="inlineStr">
        <is>
          <t>Agriculture</t>
        </is>
      </c>
      <c r="D34" t="n">
        <v>2017</v>
      </c>
      <c r="E34" t="n">
        <v>3272591.36</v>
      </c>
      <c r="F34" t="n">
        <v>25990862.4</v>
      </c>
      <c r="G34" t="n">
        <v>2469.054</v>
      </c>
      <c r="H34" t="n">
        <v>259.6962</v>
      </c>
      <c r="I34" t="n">
        <v>353.9369</v>
      </c>
      <c r="J34" t="n">
        <v>1812.2557</v>
      </c>
      <c r="K34" t="n">
        <v>2020</v>
      </c>
      <c r="L34" t="n">
        <v>2040</v>
      </c>
      <c r="M34" t="n">
        <v>0.5872000000000001</v>
      </c>
      <c r="N34" t="n">
        <v>0.3238</v>
      </c>
      <c r="O34" t="n">
        <v>2018</v>
      </c>
      <c r="P34" t="inlineStr"/>
      <c r="Q34" t="inlineStr"/>
      <c r="R34" t="n">
        <v>529.8294</v>
      </c>
      <c r="S34" t="n">
        <v>0.00091413</v>
      </c>
      <c r="T34" t="n">
        <v>0.00096913</v>
      </c>
      <c r="U34" t="n">
        <v>2469.054</v>
      </c>
      <c r="V34" t="inlineStr">
        <is>
          <t>Provided Total Emissions</t>
        </is>
      </c>
      <c r="W34" t="b">
        <v>1</v>
      </c>
      <c r="X34" t="n">
        <v>2991.5739</v>
      </c>
      <c r="Y34" t="n">
        <v>25188.5245</v>
      </c>
      <c r="Z34" t="n">
        <v>522.5199</v>
      </c>
      <c r="AA34" t="n">
        <v>22719.4705</v>
      </c>
      <c r="AB34" t="n">
        <v>0.211628</v>
      </c>
      <c r="AC34" t="n">
        <v>9.201689999999999</v>
      </c>
      <c r="AD34" t="inlineStr">
        <is>
          <t>High</t>
        </is>
      </c>
      <c r="AE34" t="inlineStr">
        <is>
          <t>None</t>
        </is>
      </c>
      <c r="AF34" t="n">
        <v>0.95</v>
      </c>
      <c r="AG34" t="inlineStr">
        <is>
          <t>Valid</t>
        </is>
      </c>
    </row>
    <row r="35">
      <c r="A35" t="inlineStr">
        <is>
          <t>SUP-0004</t>
        </is>
      </c>
      <c r="B35" t="inlineStr">
        <is>
          <t>Agriculture Supplier 004</t>
        </is>
      </c>
      <c r="C35" t="inlineStr">
        <is>
          <t>Agriculture</t>
        </is>
      </c>
      <c r="D35" t="n">
        <v>2018</v>
      </c>
      <c r="E35" t="n">
        <v>3389213.35</v>
      </c>
      <c r="F35" t="n">
        <v>24860123.58</v>
      </c>
      <c r="G35" t="n">
        <v>1925.4376</v>
      </c>
      <c r="H35" t="n">
        <v>364.5507</v>
      </c>
      <c r="I35" t="n">
        <v>298.3637</v>
      </c>
      <c r="J35" t="n">
        <v>1584.3977</v>
      </c>
      <c r="K35" t="n">
        <v>2020</v>
      </c>
      <c r="L35" t="n">
        <v>2040</v>
      </c>
      <c r="M35" t="n">
        <v>0.5872000000000001</v>
      </c>
      <c r="N35" t="n">
        <v>0.3238</v>
      </c>
      <c r="O35" t="n">
        <v>2018</v>
      </c>
      <c r="P35" t="inlineStr"/>
      <c r="Q35" t="inlineStr"/>
      <c r="R35" t="n">
        <v>529.8294</v>
      </c>
      <c r="S35" t="n">
        <v>0.00091413</v>
      </c>
      <c r="T35" t="n">
        <v>0.00096913</v>
      </c>
      <c r="U35" t="n">
        <v>1925.4376</v>
      </c>
      <c r="V35" t="inlineStr">
        <is>
          <t>Provided Total Emissions</t>
        </is>
      </c>
      <c r="W35" t="b">
        <v>1</v>
      </c>
      <c r="X35" t="n">
        <v>3098.1816</v>
      </c>
      <c r="Y35" t="n">
        <v>24092.6916</v>
      </c>
      <c r="Z35" t="n">
        <v>1172.744</v>
      </c>
      <c r="AA35" t="n">
        <v>22167.254</v>
      </c>
      <c r="AB35" t="n">
        <v>0.609079</v>
      </c>
      <c r="AC35" t="n">
        <v>11.512839</v>
      </c>
      <c r="AD35" t="inlineStr">
        <is>
          <t>High</t>
        </is>
      </c>
      <c r="AE35" t="inlineStr">
        <is>
          <t>None</t>
        </is>
      </c>
      <c r="AF35" t="n">
        <v>0.95</v>
      </c>
      <c r="AG35" t="inlineStr">
        <is>
          <t>Valid</t>
        </is>
      </c>
    </row>
    <row r="36">
      <c r="A36" t="inlineStr">
        <is>
          <t>SUP-0004</t>
        </is>
      </c>
      <c r="B36" t="inlineStr">
        <is>
          <t>Agriculture Supplier 004</t>
        </is>
      </c>
      <c r="C36" t="inlineStr">
        <is>
          <t>Agriculture</t>
        </is>
      </c>
      <c r="D36" t="n">
        <v>2019</v>
      </c>
      <c r="E36" t="n">
        <v>3284894.83</v>
      </c>
      <c r="F36" t="n">
        <v>21806293.22</v>
      </c>
      <c r="G36" t="n">
        <v>1595.1515</v>
      </c>
      <c r="H36" t="n">
        <v>139.2399</v>
      </c>
      <c r="I36" t="n">
        <v>192.2808</v>
      </c>
      <c r="J36" t="n">
        <v>1248.0126</v>
      </c>
      <c r="K36" t="n">
        <v>2020</v>
      </c>
      <c r="L36" t="n">
        <v>2040</v>
      </c>
      <c r="M36" t="n">
        <v>0.5872000000000001</v>
      </c>
      <c r="N36" t="n">
        <v>0.3238</v>
      </c>
      <c r="O36" t="n">
        <v>2018</v>
      </c>
      <c r="P36" t="inlineStr"/>
      <c r="Q36" t="inlineStr"/>
      <c r="R36" t="n">
        <v>529.8294</v>
      </c>
      <c r="S36" t="n">
        <v>0.00091413</v>
      </c>
      <c r="T36" t="n">
        <v>0.00096913</v>
      </c>
      <c r="U36" t="n">
        <v>1595.1515</v>
      </c>
      <c r="V36" t="inlineStr">
        <is>
          <t>Provided Total Emissions</t>
        </is>
      </c>
      <c r="W36" t="b">
        <v>1</v>
      </c>
      <c r="X36" t="n">
        <v>3002.8209</v>
      </c>
      <c r="Y36" t="n">
        <v>21133.1329</v>
      </c>
      <c r="Z36" t="n">
        <v>1407.6694</v>
      </c>
      <c r="AA36" t="n">
        <v>19537.9814</v>
      </c>
      <c r="AB36" t="n">
        <v>0.882468</v>
      </c>
      <c r="AC36" t="n">
        <v>12.248355</v>
      </c>
      <c r="AD36" t="inlineStr">
        <is>
          <t>High</t>
        </is>
      </c>
      <c r="AE36" t="inlineStr">
        <is>
          <t>None</t>
        </is>
      </c>
      <c r="AF36" t="n">
        <v>0.95</v>
      </c>
      <c r="AG36" t="inlineStr">
        <is>
          <t>Valid</t>
        </is>
      </c>
    </row>
    <row r="37">
      <c r="A37" t="inlineStr">
        <is>
          <t>SUP-0004</t>
        </is>
      </c>
      <c r="B37" t="inlineStr">
        <is>
          <t>Agriculture Supplier 004</t>
        </is>
      </c>
      <c r="C37" t="inlineStr">
        <is>
          <t>Agriculture</t>
        </is>
      </c>
      <c r="D37" t="n">
        <v>2020</v>
      </c>
      <c r="E37" t="n">
        <v>3209136.19</v>
      </c>
      <c r="F37" t="n">
        <v>24639303.36</v>
      </c>
      <c r="G37" t="n">
        <v>1681.5914</v>
      </c>
      <c r="H37" t="n">
        <v>134.0797</v>
      </c>
      <c r="I37" t="n">
        <v>359.4707</v>
      </c>
      <c r="J37" t="n">
        <v>1209.118</v>
      </c>
      <c r="K37" t="n">
        <v>2020</v>
      </c>
      <c r="L37" t="n">
        <v>2040</v>
      </c>
      <c r="M37" t="n">
        <v>0.5872000000000001</v>
      </c>
      <c r="N37" t="n">
        <v>0.3238</v>
      </c>
      <c r="O37" t="n">
        <v>2018</v>
      </c>
      <c r="P37" t="inlineStr"/>
      <c r="Q37" t="inlineStr"/>
      <c r="R37" t="n">
        <v>529.8294</v>
      </c>
      <c r="S37" t="n">
        <v>0.00091413</v>
      </c>
      <c r="T37" t="n">
        <v>0.00096913</v>
      </c>
      <c r="U37" t="n">
        <v>1681.5914</v>
      </c>
      <c r="V37" t="inlineStr">
        <is>
          <t>Provided Total Emissions</t>
        </is>
      </c>
      <c r="W37" t="b">
        <v>1</v>
      </c>
      <c r="X37" t="n">
        <v>2933.5677</v>
      </c>
      <c r="Y37" t="n">
        <v>23878.6881</v>
      </c>
      <c r="Z37" t="n">
        <v>1251.9763</v>
      </c>
      <c r="AA37" t="n">
        <v>22197.0967</v>
      </c>
      <c r="AB37" t="n">
        <v>0.744519</v>
      </c>
      <c r="AC37" t="n">
        <v>13.200054</v>
      </c>
      <c r="AD37" t="inlineStr">
        <is>
          <t>High</t>
        </is>
      </c>
      <c r="AE37" t="inlineStr">
        <is>
          <t>None</t>
        </is>
      </c>
      <c r="AF37" t="n">
        <v>0.95</v>
      </c>
      <c r="AG37" t="inlineStr">
        <is>
          <t>Valid</t>
        </is>
      </c>
    </row>
    <row r="38">
      <c r="A38" t="inlineStr">
        <is>
          <t>SUP-0004</t>
        </is>
      </c>
      <c r="B38" t="inlineStr">
        <is>
          <t>Agriculture Supplier 004</t>
        </is>
      </c>
      <c r="C38" t="inlineStr">
        <is>
          <t>Agriculture</t>
        </is>
      </c>
      <c r="D38" t="n">
        <v>2021</v>
      </c>
      <c r="E38" t="n">
        <v>3154363.1</v>
      </c>
      <c r="F38" t="n">
        <v>23708763.23</v>
      </c>
      <c r="G38" t="n">
        <v>1746.0112</v>
      </c>
      <c r="H38" t="n">
        <v>254.928</v>
      </c>
      <c r="I38" t="n">
        <v>298.5227</v>
      </c>
      <c r="J38" t="n">
        <v>1116.9592</v>
      </c>
      <c r="K38" t="n">
        <v>2020</v>
      </c>
      <c r="L38" t="n">
        <v>2040</v>
      </c>
      <c r="M38" t="n">
        <v>0.5872000000000001</v>
      </c>
      <c r="N38" t="n">
        <v>0.3238</v>
      </c>
      <c r="O38" t="n">
        <v>2018</v>
      </c>
      <c r="P38" t="inlineStr"/>
      <c r="Q38" t="inlineStr"/>
      <c r="R38" t="n">
        <v>529.8294</v>
      </c>
      <c r="S38" t="n">
        <v>0.00091413</v>
      </c>
      <c r="T38" t="n">
        <v>0.00096913</v>
      </c>
      <c r="U38" t="n">
        <v>1746.0112</v>
      </c>
      <c r="V38" t="inlineStr">
        <is>
          <t>Provided Total Emissions</t>
        </is>
      </c>
      <c r="W38" t="b">
        <v>1</v>
      </c>
      <c r="X38" t="n">
        <v>2883.4979</v>
      </c>
      <c r="Y38" t="n">
        <v>22976.8737</v>
      </c>
      <c r="Z38" t="n">
        <v>1137.4867</v>
      </c>
      <c r="AA38" t="n">
        <v>21230.8625</v>
      </c>
      <c r="AB38" t="n">
        <v>0.651477</v>
      </c>
      <c r="AC38" t="n">
        <v>12.159637</v>
      </c>
      <c r="AD38" t="inlineStr">
        <is>
          <t>High</t>
        </is>
      </c>
      <c r="AE38" t="inlineStr">
        <is>
          <t>None</t>
        </is>
      </c>
      <c r="AF38" t="n">
        <v>0.95</v>
      </c>
      <c r="AG38" t="inlineStr">
        <is>
          <t>Valid</t>
        </is>
      </c>
    </row>
    <row r="39">
      <c r="A39" t="inlineStr">
        <is>
          <t>SUP-0004</t>
        </is>
      </c>
      <c r="B39" t="inlineStr">
        <is>
          <t>Agriculture Supplier 004</t>
        </is>
      </c>
      <c r="C39" t="inlineStr">
        <is>
          <t>Agriculture</t>
        </is>
      </c>
      <c r="D39" t="n">
        <v>2022</v>
      </c>
      <c r="E39" t="n">
        <v>2796674.77</v>
      </c>
      <c r="F39" t="n">
        <v>26084925.33</v>
      </c>
      <c r="G39" t="n">
        <v>1443.3948</v>
      </c>
      <c r="H39" t="n">
        <v>351.3276</v>
      </c>
      <c r="I39" t="n">
        <v>98.75960000000001</v>
      </c>
      <c r="J39" t="n">
        <v>998.1058</v>
      </c>
      <c r="K39" t="n">
        <v>2020</v>
      </c>
      <c r="L39" t="n">
        <v>2040</v>
      </c>
      <c r="M39" t="n">
        <v>0.5872000000000001</v>
      </c>
      <c r="N39" t="n">
        <v>0.3238</v>
      </c>
      <c r="O39" t="n">
        <v>2018</v>
      </c>
      <c r="P39" t="inlineStr"/>
      <c r="Q39" t="inlineStr"/>
      <c r="R39" t="n">
        <v>529.8294</v>
      </c>
      <c r="S39" t="n">
        <v>0.00091413</v>
      </c>
      <c r="T39" t="n">
        <v>0.00096913</v>
      </c>
      <c r="U39" t="n">
        <v>1443.3948</v>
      </c>
      <c r="V39" t="inlineStr">
        <is>
          <t>Provided Total Emissions</t>
        </is>
      </c>
      <c r="W39" t="b">
        <v>1</v>
      </c>
      <c r="X39" t="n">
        <v>2556.5243</v>
      </c>
      <c r="Y39" t="n">
        <v>25279.6837</v>
      </c>
      <c r="Z39" t="n">
        <v>1113.1295</v>
      </c>
      <c r="AA39" t="n">
        <v>23836.2889</v>
      </c>
      <c r="AB39" t="n">
        <v>0.771189</v>
      </c>
      <c r="AC39" t="n">
        <v>16.514047</v>
      </c>
      <c r="AD39" t="inlineStr">
        <is>
          <t>High</t>
        </is>
      </c>
      <c r="AE39" t="inlineStr">
        <is>
          <t>None</t>
        </is>
      </c>
      <c r="AF39" t="n">
        <v>0.95</v>
      </c>
      <c r="AG39" t="inlineStr">
        <is>
          <t>Valid</t>
        </is>
      </c>
    </row>
    <row r="40">
      <c r="A40" t="inlineStr">
        <is>
          <t>SUP-0004</t>
        </is>
      </c>
      <c r="B40" t="inlineStr">
        <is>
          <t>Agriculture Supplier 004</t>
        </is>
      </c>
      <c r="C40" t="inlineStr">
        <is>
          <t>Agriculture</t>
        </is>
      </c>
      <c r="D40" t="n">
        <v>2023</v>
      </c>
      <c r="E40" t="n">
        <v>3570305.46</v>
      </c>
      <c r="F40" t="n">
        <v>32337727.18</v>
      </c>
      <c r="G40" t="n">
        <v>1971.8728</v>
      </c>
      <c r="H40" t="n">
        <v>313.6885</v>
      </c>
      <c r="I40" t="n">
        <v>287.178</v>
      </c>
      <c r="J40" t="n">
        <v>1321.3631</v>
      </c>
      <c r="K40" t="n">
        <v>2020</v>
      </c>
      <c r="L40" t="n">
        <v>2040</v>
      </c>
      <c r="M40" t="n">
        <v>0.5872000000000001</v>
      </c>
      <c r="N40" t="n">
        <v>0.3238</v>
      </c>
      <c r="O40" t="n">
        <v>2018</v>
      </c>
      <c r="P40" t="inlineStr"/>
      <c r="Q40" t="inlineStr"/>
      <c r="R40" t="n">
        <v>529.8294</v>
      </c>
      <c r="S40" t="n">
        <v>0.00091413</v>
      </c>
      <c r="T40" t="n">
        <v>0.00096913</v>
      </c>
      <c r="U40" t="n">
        <v>1971.8728</v>
      </c>
      <c r="V40" t="inlineStr">
        <is>
          <t>Provided Total Emissions</t>
        </is>
      </c>
      <c r="W40" t="b">
        <v>1</v>
      </c>
      <c r="X40" t="n">
        <v>3263.7233</v>
      </c>
      <c r="Y40" t="n">
        <v>31339.4615</v>
      </c>
      <c r="Z40" t="n">
        <v>1291.8505</v>
      </c>
      <c r="AA40" t="n">
        <v>29367.5887</v>
      </c>
      <c r="AB40" t="n">
        <v>0.655139</v>
      </c>
      <c r="AC40" t="n">
        <v>14.893247</v>
      </c>
      <c r="AD40" t="inlineStr">
        <is>
          <t>High</t>
        </is>
      </c>
      <c r="AE40" t="inlineStr">
        <is>
          <t>None</t>
        </is>
      </c>
      <c r="AF40" t="n">
        <v>0.95</v>
      </c>
      <c r="AG40" t="inlineStr">
        <is>
          <t>Valid</t>
        </is>
      </c>
    </row>
    <row r="41">
      <c r="A41" t="inlineStr">
        <is>
          <t>SUP-0004</t>
        </is>
      </c>
      <c r="B41" t="inlineStr">
        <is>
          <t>Agriculture Supplier 004</t>
        </is>
      </c>
      <c r="C41" t="inlineStr">
        <is>
          <t>Agriculture</t>
        </is>
      </c>
      <c r="D41" t="n">
        <v>2024</v>
      </c>
      <c r="E41" t="n">
        <v>3011484.28</v>
      </c>
      <c r="F41" t="n">
        <v>23161310.55</v>
      </c>
      <c r="G41" t="n">
        <v>1450.8271</v>
      </c>
      <c r="H41" t="n">
        <v>153.3148</v>
      </c>
      <c r="I41" t="n">
        <v>105.5242</v>
      </c>
      <c r="J41" t="n">
        <v>1198.7452</v>
      </c>
      <c r="K41" t="n">
        <v>2020</v>
      </c>
      <c r="L41" t="n">
        <v>2040</v>
      </c>
      <c r="M41" t="n">
        <v>0.5872000000000001</v>
      </c>
      <c r="N41" t="n">
        <v>0.3238</v>
      </c>
      <c r="O41" t="n">
        <v>2018</v>
      </c>
      <c r="P41" t="inlineStr"/>
      <c r="Q41" t="inlineStr"/>
      <c r="R41" t="n">
        <v>529.8294</v>
      </c>
      <c r="S41" t="n">
        <v>0.00091413</v>
      </c>
      <c r="T41" t="n">
        <v>0.00096913</v>
      </c>
      <c r="U41" t="n">
        <v>1450.8271</v>
      </c>
      <c r="V41" t="inlineStr">
        <is>
          <t>Provided Total Emissions</t>
        </is>
      </c>
      <c r="W41" t="b">
        <v>1</v>
      </c>
      <c r="X41" t="n">
        <v>2752.8881</v>
      </c>
      <c r="Y41" t="n">
        <v>22446.3209</v>
      </c>
      <c r="Z41" t="n">
        <v>1302.061</v>
      </c>
      <c r="AA41" t="n">
        <v>20995.4938</v>
      </c>
      <c r="AB41" t="n">
        <v>0.897461</v>
      </c>
      <c r="AC41" t="n">
        <v>14.471396</v>
      </c>
      <c r="AD41" t="inlineStr">
        <is>
          <t>High</t>
        </is>
      </c>
      <c r="AE41" t="inlineStr">
        <is>
          <t>None</t>
        </is>
      </c>
      <c r="AF41" t="n">
        <v>0.95</v>
      </c>
      <c r="AG41" t="inlineStr">
        <is>
          <t>Valid</t>
        </is>
      </c>
    </row>
    <row r="42">
      <c r="A42" t="inlineStr">
        <is>
          <t>SUP-0005</t>
        </is>
      </c>
      <c r="B42" t="inlineStr">
        <is>
          <t>Professional Supplier 005</t>
        </is>
      </c>
      <c r="C42" t="inlineStr">
        <is>
          <t>Professional Services</t>
        </is>
      </c>
      <c r="D42" t="n">
        <v>2015</v>
      </c>
      <c r="E42" t="n">
        <v>8299184.74</v>
      </c>
      <c r="F42" t="n">
        <v>20458486.28</v>
      </c>
      <c r="G42" t="n">
        <v>1197.6171</v>
      </c>
      <c r="H42" t="n">
        <v>180.4901</v>
      </c>
      <c r="I42" t="n">
        <v>222.3723</v>
      </c>
      <c r="J42" t="n">
        <v>926.24</v>
      </c>
      <c r="K42" t="inlineStr"/>
      <c r="L42" t="inlineStr"/>
      <c r="M42" t="inlineStr"/>
      <c r="N42" t="inlineStr"/>
      <c r="O42" t="n">
        <v>2020</v>
      </c>
      <c r="P42" t="inlineStr"/>
      <c r="Q42" t="inlineStr"/>
      <c r="R42" t="n">
        <v>400.0326</v>
      </c>
      <c r="S42" t="n">
        <v>0.00012906</v>
      </c>
      <c r="T42" t="n">
        <v>0.00019658</v>
      </c>
      <c r="U42" t="n">
        <v>1197.6171</v>
      </c>
      <c r="V42" t="inlineStr">
        <is>
          <t>Provided Total Emissions</t>
        </is>
      </c>
      <c r="W42" t="b">
        <v>1</v>
      </c>
      <c r="X42" t="n">
        <v>1071.0928</v>
      </c>
      <c r="Y42" t="n">
        <v>4021.7292</v>
      </c>
      <c r="Z42" t="n">
        <v>-126.5243</v>
      </c>
      <c r="AA42" t="n">
        <v>2824.1121</v>
      </c>
      <c r="AB42" t="n">
        <v>-0.105647</v>
      </c>
      <c r="AC42" t="n">
        <v>2.358109</v>
      </c>
      <c r="AD42" t="inlineStr">
        <is>
          <t>High</t>
        </is>
      </c>
      <c r="AE42" t="inlineStr">
        <is>
          <t>None</t>
        </is>
      </c>
      <c r="AF42" t="n">
        <v>0.95</v>
      </c>
      <c r="AG42" t="inlineStr">
        <is>
          <t>Valid</t>
        </is>
      </c>
    </row>
    <row r="43">
      <c r="A43" t="inlineStr">
        <is>
          <t>SUP-0005</t>
        </is>
      </c>
      <c r="B43" t="inlineStr">
        <is>
          <t>Professional Supplier 005</t>
        </is>
      </c>
      <c r="C43" t="inlineStr">
        <is>
          <t>Professional Services</t>
        </is>
      </c>
      <c r="D43" t="n">
        <v>2016</v>
      </c>
      <c r="E43" t="n">
        <v>7323161.93</v>
      </c>
      <c r="F43" t="n">
        <v>22624314</v>
      </c>
      <c r="G43" t="n">
        <v>1169.5428</v>
      </c>
      <c r="H43" t="n">
        <v>173.2119</v>
      </c>
      <c r="I43" t="n">
        <v>254.4095</v>
      </c>
      <c r="J43" t="n">
        <v>775.4459000000001</v>
      </c>
      <c r="K43" t="inlineStr"/>
      <c r="L43" t="inlineStr"/>
      <c r="M43" t="inlineStr"/>
      <c r="N43" t="inlineStr"/>
      <c r="O43" t="n">
        <v>2020</v>
      </c>
      <c r="P43" t="inlineStr"/>
      <c r="Q43" t="inlineStr"/>
      <c r="R43" t="n">
        <v>400.0326</v>
      </c>
      <c r="S43" t="n">
        <v>0.00012906</v>
      </c>
      <c r="T43" t="n">
        <v>0.00019658</v>
      </c>
      <c r="U43" t="n">
        <v>1169.5428</v>
      </c>
      <c r="V43" t="inlineStr">
        <is>
          <t>Provided Total Emissions</t>
        </is>
      </c>
      <c r="W43" t="b">
        <v>1</v>
      </c>
      <c r="X43" t="n">
        <v>945.1273</v>
      </c>
      <c r="Y43" t="n">
        <v>4447.4876</v>
      </c>
      <c r="Z43" t="n">
        <v>-224.4155</v>
      </c>
      <c r="AA43" t="n">
        <v>3277.9448</v>
      </c>
      <c r="AB43" t="n">
        <v>-0.191883</v>
      </c>
      <c r="AC43" t="n">
        <v>2.802757</v>
      </c>
      <c r="AD43" t="inlineStr">
        <is>
          <t>High</t>
        </is>
      </c>
      <c r="AE43" t="inlineStr">
        <is>
          <t>None</t>
        </is>
      </c>
      <c r="AF43" t="n">
        <v>0.95</v>
      </c>
      <c r="AG43" t="inlineStr">
        <is>
          <t>Valid</t>
        </is>
      </c>
    </row>
    <row r="44">
      <c r="A44" t="inlineStr">
        <is>
          <t>SUP-0005</t>
        </is>
      </c>
      <c r="B44" t="inlineStr">
        <is>
          <t>Professional Supplier 005</t>
        </is>
      </c>
      <c r="C44" t="inlineStr">
        <is>
          <t>Professional Services</t>
        </is>
      </c>
      <c r="D44" t="n">
        <v>2017</v>
      </c>
      <c r="E44" t="n">
        <v>10271328.08</v>
      </c>
      <c r="F44" t="n">
        <v>23091198.31</v>
      </c>
      <c r="G44" t="n">
        <v>1771.975</v>
      </c>
      <c r="H44" t="n">
        <v>471.7758</v>
      </c>
      <c r="I44" t="n">
        <v>208.1619</v>
      </c>
      <c r="J44" t="n">
        <v>1168.9986</v>
      </c>
      <c r="K44" t="inlineStr"/>
      <c r="L44" t="inlineStr"/>
      <c r="M44" t="inlineStr"/>
      <c r="N44" t="inlineStr"/>
      <c r="O44" t="n">
        <v>2020</v>
      </c>
      <c r="P44" t="inlineStr"/>
      <c r="Q44" t="inlineStr"/>
      <c r="R44" t="n">
        <v>400.0326</v>
      </c>
      <c r="S44" t="n">
        <v>0.00012906</v>
      </c>
      <c r="T44" t="n">
        <v>0.00019658</v>
      </c>
      <c r="U44" t="n">
        <v>1771.975</v>
      </c>
      <c r="V44" t="inlineStr">
        <is>
          <t>Provided Total Emissions</t>
        </is>
      </c>
      <c r="W44" t="b">
        <v>1</v>
      </c>
      <c r="X44" t="n">
        <v>1325.6176</v>
      </c>
      <c r="Y44" t="n">
        <v>4539.2678</v>
      </c>
      <c r="Z44" t="n">
        <v>-446.3574</v>
      </c>
      <c r="AA44" t="n">
        <v>2767.2928</v>
      </c>
      <c r="AB44" t="n">
        <v>-0.251898</v>
      </c>
      <c r="AC44" t="n">
        <v>1.5617</v>
      </c>
      <c r="AD44" t="inlineStr">
        <is>
          <t>High</t>
        </is>
      </c>
      <c r="AE44" t="inlineStr">
        <is>
          <t>None</t>
        </is>
      </c>
      <c r="AF44" t="n">
        <v>0.95</v>
      </c>
      <c r="AG44" t="inlineStr">
        <is>
          <t>Valid</t>
        </is>
      </c>
    </row>
    <row r="45">
      <c r="A45" t="inlineStr">
        <is>
          <t>SUP-0005</t>
        </is>
      </c>
      <c r="B45" t="inlineStr">
        <is>
          <t>Professional Supplier 005</t>
        </is>
      </c>
      <c r="C45" t="inlineStr">
        <is>
          <t>Professional Services</t>
        </is>
      </c>
      <c r="D45" t="n">
        <v>2018</v>
      </c>
      <c r="E45" t="n">
        <v>9778368.060000001</v>
      </c>
      <c r="F45" t="n">
        <v>26622380.12</v>
      </c>
      <c r="G45" t="n">
        <v>1319.2567</v>
      </c>
      <c r="H45" t="n">
        <v>382.4871</v>
      </c>
      <c r="I45" t="n">
        <v>251.0158</v>
      </c>
      <c r="J45" t="n">
        <v>816.9723</v>
      </c>
      <c r="K45" t="inlineStr"/>
      <c r="L45" t="inlineStr"/>
      <c r="M45" t="inlineStr"/>
      <c r="N45" t="inlineStr"/>
      <c r="O45" t="n">
        <v>2020</v>
      </c>
      <c r="P45" t="inlineStr"/>
      <c r="Q45" t="inlineStr"/>
      <c r="R45" t="n">
        <v>400.0326</v>
      </c>
      <c r="S45" t="n">
        <v>0.00012906</v>
      </c>
      <c r="T45" t="n">
        <v>0.00019658</v>
      </c>
      <c r="U45" t="n">
        <v>1319.2567</v>
      </c>
      <c r="V45" t="inlineStr">
        <is>
          <t>Provided Total Emissions</t>
        </is>
      </c>
      <c r="W45" t="b">
        <v>1</v>
      </c>
      <c r="X45" t="n">
        <v>1261.9962</v>
      </c>
      <c r="Y45" t="n">
        <v>5233.4275</v>
      </c>
      <c r="Z45" t="n">
        <v>-57.2605</v>
      </c>
      <c r="AA45" t="n">
        <v>3914.1708</v>
      </c>
      <c r="AB45" t="n">
        <v>-0.043404</v>
      </c>
      <c r="AC45" t="n">
        <v>2.966952</v>
      </c>
      <c r="AD45" t="inlineStr">
        <is>
          <t>High</t>
        </is>
      </c>
      <c r="AE45" t="inlineStr">
        <is>
          <t>None</t>
        </is>
      </c>
      <c r="AF45" t="n">
        <v>0.95</v>
      </c>
      <c r="AG45" t="inlineStr">
        <is>
          <t>Valid</t>
        </is>
      </c>
    </row>
    <row r="46">
      <c r="A46" t="inlineStr">
        <is>
          <t>SUP-0005</t>
        </is>
      </c>
      <c r="B46" t="inlineStr">
        <is>
          <t>Professional Supplier 005</t>
        </is>
      </c>
      <c r="C46" t="inlineStr">
        <is>
          <t>Professional Services</t>
        </is>
      </c>
      <c r="D46" t="n">
        <v>2019</v>
      </c>
      <c r="E46" t="n">
        <v>11098051.17</v>
      </c>
      <c r="F46" t="n">
        <v>32622907.78</v>
      </c>
      <c r="G46" t="n">
        <v>1757.8138</v>
      </c>
      <c r="H46" t="n">
        <v>371.3183</v>
      </c>
      <c r="I46" t="n">
        <v>223.5141</v>
      </c>
      <c r="J46" t="n">
        <v>1263.4087</v>
      </c>
      <c r="K46" t="inlineStr"/>
      <c r="L46" t="inlineStr"/>
      <c r="M46" t="inlineStr"/>
      <c r="N46" t="inlineStr"/>
      <c r="O46" t="n">
        <v>2020</v>
      </c>
      <c r="P46" t="inlineStr"/>
      <c r="Q46" t="inlineStr"/>
      <c r="R46" t="n">
        <v>400.0326</v>
      </c>
      <c r="S46" t="n">
        <v>0.00012906</v>
      </c>
      <c r="T46" t="n">
        <v>0.00019658</v>
      </c>
      <c r="U46" t="n">
        <v>1757.8138</v>
      </c>
      <c r="V46" t="inlineStr">
        <is>
          <t>Provided Total Emissions</t>
        </is>
      </c>
      <c r="W46" t="b">
        <v>1</v>
      </c>
      <c r="X46" t="n">
        <v>1432.3145</v>
      </c>
      <c r="Y46" t="n">
        <v>6413.0112</v>
      </c>
      <c r="Z46" t="n">
        <v>-325.4993</v>
      </c>
      <c r="AA46" t="n">
        <v>4655.1974</v>
      </c>
      <c r="AB46" t="n">
        <v>-0.185173</v>
      </c>
      <c r="AC46" t="n">
        <v>2.648288</v>
      </c>
      <c r="AD46" t="inlineStr">
        <is>
          <t>High</t>
        </is>
      </c>
      <c r="AE46" t="inlineStr">
        <is>
          <t>None</t>
        </is>
      </c>
      <c r="AF46" t="n">
        <v>0.95</v>
      </c>
      <c r="AG46" t="inlineStr">
        <is>
          <t>Valid</t>
        </is>
      </c>
    </row>
    <row r="47">
      <c r="A47" t="inlineStr">
        <is>
          <t>SUP-0005</t>
        </is>
      </c>
      <c r="B47" t="inlineStr">
        <is>
          <t>Professional Supplier 005</t>
        </is>
      </c>
      <c r="C47" t="inlineStr">
        <is>
          <t>Professional Services</t>
        </is>
      </c>
      <c r="D47" t="n">
        <v>2020</v>
      </c>
      <c r="E47" t="n">
        <v>10760799.46</v>
      </c>
      <c r="F47" t="n">
        <v>31894910.8</v>
      </c>
      <c r="G47" t="n">
        <v>1938.4515</v>
      </c>
      <c r="H47" t="n">
        <v>209.3714</v>
      </c>
      <c r="I47" t="n">
        <v>367.4339</v>
      </c>
      <c r="J47" t="n">
        <v>1357.2159</v>
      </c>
      <c r="K47" t="inlineStr"/>
      <c r="L47" t="inlineStr"/>
      <c r="M47" t="inlineStr"/>
      <c r="N47" t="inlineStr"/>
      <c r="O47" t="n">
        <v>2020</v>
      </c>
      <c r="P47" t="inlineStr"/>
      <c r="Q47" t="inlineStr"/>
      <c r="R47" t="n">
        <v>400.0326</v>
      </c>
      <c r="S47" t="n">
        <v>0.00012906</v>
      </c>
      <c r="T47" t="n">
        <v>0.00019658</v>
      </c>
      <c r="U47" t="n">
        <v>1938.4515</v>
      </c>
      <c r="V47" t="inlineStr">
        <is>
          <t>Provided Total Emissions</t>
        </is>
      </c>
      <c r="W47" t="b">
        <v>1</v>
      </c>
      <c r="X47" t="n">
        <v>1388.7888</v>
      </c>
      <c r="Y47" t="n">
        <v>6269.9016</v>
      </c>
      <c r="Z47" t="n">
        <v>-549.6627</v>
      </c>
      <c r="AA47" t="n">
        <v>4331.4501</v>
      </c>
      <c r="AB47" t="n">
        <v>-0.283558</v>
      </c>
      <c r="AC47" t="n">
        <v>2.23449</v>
      </c>
      <c r="AD47" t="inlineStr">
        <is>
          <t>High</t>
        </is>
      </c>
      <c r="AE47" t="inlineStr">
        <is>
          <t>None</t>
        </is>
      </c>
      <c r="AF47" t="n">
        <v>0.95</v>
      </c>
      <c r="AG47" t="inlineStr">
        <is>
          <t>Valid</t>
        </is>
      </c>
    </row>
    <row r="48">
      <c r="A48" t="inlineStr">
        <is>
          <t>SUP-0005</t>
        </is>
      </c>
      <c r="B48" t="inlineStr">
        <is>
          <t>Professional Supplier 005</t>
        </is>
      </c>
      <c r="C48" t="inlineStr">
        <is>
          <t>Professional Services</t>
        </is>
      </c>
      <c r="D48" t="n">
        <v>2021</v>
      </c>
      <c r="E48" t="n">
        <v>13965651.18</v>
      </c>
      <c r="F48" t="n">
        <v>43319160.51</v>
      </c>
      <c r="G48" t="n">
        <v>2065.1932</v>
      </c>
      <c r="H48" t="n">
        <v>565.2486</v>
      </c>
      <c r="I48" t="n">
        <v>148.1754</v>
      </c>
      <c r="J48" t="n">
        <v>1344.5044</v>
      </c>
      <c r="K48" t="inlineStr"/>
      <c r="L48" t="inlineStr"/>
      <c r="M48" t="inlineStr"/>
      <c r="N48" t="inlineStr"/>
      <c r="O48" t="n">
        <v>2020</v>
      </c>
      <c r="P48" t="inlineStr"/>
      <c r="Q48" t="inlineStr"/>
      <c r="R48" t="n">
        <v>400.0326</v>
      </c>
      <c r="S48" t="n">
        <v>0.00012906</v>
      </c>
      <c r="T48" t="n">
        <v>0.00019658</v>
      </c>
      <c r="U48" t="n">
        <v>2065.1932</v>
      </c>
      <c r="V48" t="inlineStr">
        <is>
          <t>Provided Total Emissions</t>
        </is>
      </c>
      <c r="W48" t="b">
        <v>1</v>
      </c>
      <c r="X48" t="n">
        <v>1802.4069</v>
      </c>
      <c r="Y48" t="n">
        <v>8515.6806</v>
      </c>
      <c r="Z48" t="n">
        <v>-262.7863</v>
      </c>
      <c r="AA48" t="n">
        <v>6450.4874</v>
      </c>
      <c r="AB48" t="n">
        <v>-0.127245</v>
      </c>
      <c r="AC48" t="n">
        <v>3.12343</v>
      </c>
      <c r="AD48" t="inlineStr">
        <is>
          <t>High</t>
        </is>
      </c>
      <c r="AE48" t="inlineStr">
        <is>
          <t>None</t>
        </is>
      </c>
      <c r="AF48" t="n">
        <v>0.95</v>
      </c>
      <c r="AG48" t="inlineStr">
        <is>
          <t>Valid</t>
        </is>
      </c>
    </row>
    <row r="49">
      <c r="A49" t="inlineStr">
        <is>
          <t>SUP-0005</t>
        </is>
      </c>
      <c r="B49" t="inlineStr">
        <is>
          <t>Professional Supplier 005</t>
        </is>
      </c>
      <c r="C49" t="inlineStr">
        <is>
          <t>Professional Services</t>
        </is>
      </c>
      <c r="D49" t="n">
        <v>2022</v>
      </c>
      <c r="E49" t="n">
        <v>12041826.56</v>
      </c>
      <c r="F49" t="n">
        <v>28736377.98</v>
      </c>
      <c r="G49" t="n">
        <v>1990.5615</v>
      </c>
      <c r="H49" t="n">
        <v>336.7648</v>
      </c>
      <c r="I49" t="n">
        <v>310.4892</v>
      </c>
      <c r="J49" t="n">
        <v>1411.8684</v>
      </c>
      <c r="K49" t="inlineStr"/>
      <c r="L49" t="inlineStr"/>
      <c r="M49" t="inlineStr"/>
      <c r="N49" t="inlineStr"/>
      <c r="O49" t="n">
        <v>2020</v>
      </c>
      <c r="P49" t="inlineStr"/>
      <c r="Q49" t="inlineStr"/>
      <c r="R49" t="n">
        <v>400.0326</v>
      </c>
      <c r="S49" t="n">
        <v>0.00012906</v>
      </c>
      <c r="T49" t="n">
        <v>0.00019658</v>
      </c>
      <c r="U49" t="n">
        <v>1990.5615</v>
      </c>
      <c r="V49" t="inlineStr">
        <is>
          <t>Provided Total Emissions</t>
        </is>
      </c>
      <c r="W49" t="b">
        <v>1</v>
      </c>
      <c r="X49" t="n">
        <v>1554.1181</v>
      </c>
      <c r="Y49" t="n">
        <v>5648.9972</v>
      </c>
      <c r="Z49" t="n">
        <v>-436.4434</v>
      </c>
      <c r="AA49" t="n">
        <v>3658.4357</v>
      </c>
      <c r="AB49" t="n">
        <v>-0.219256</v>
      </c>
      <c r="AC49" t="n">
        <v>1.837891</v>
      </c>
      <c r="AD49" t="inlineStr">
        <is>
          <t>High</t>
        </is>
      </c>
      <c r="AE49" t="inlineStr">
        <is>
          <t>None</t>
        </is>
      </c>
      <c r="AF49" t="n">
        <v>0.95</v>
      </c>
      <c r="AG49" t="inlineStr">
        <is>
          <t>Valid</t>
        </is>
      </c>
    </row>
    <row r="50">
      <c r="A50" t="inlineStr">
        <is>
          <t>SUP-0005</t>
        </is>
      </c>
      <c r="B50" t="inlineStr">
        <is>
          <t>Professional Supplier 005</t>
        </is>
      </c>
      <c r="C50" t="inlineStr">
        <is>
          <t>Professional Services</t>
        </is>
      </c>
      <c r="D50" t="n">
        <v>2023</v>
      </c>
      <c r="E50" t="n">
        <v>16390199.55</v>
      </c>
      <c r="F50" t="n">
        <v>47439491.98</v>
      </c>
      <c r="G50" t="n">
        <v>2738.4791</v>
      </c>
      <c r="H50" t="n">
        <v>419.0667</v>
      </c>
      <c r="I50" t="n">
        <v>390.0898</v>
      </c>
      <c r="J50" t="n">
        <v>2101.7651</v>
      </c>
      <c r="K50" t="inlineStr"/>
      <c r="L50" t="inlineStr"/>
      <c r="M50" t="inlineStr"/>
      <c r="N50" t="inlineStr"/>
      <c r="O50" t="n">
        <v>2020</v>
      </c>
      <c r="P50" t="inlineStr"/>
      <c r="Q50" t="inlineStr"/>
      <c r="R50" t="n">
        <v>400.0326</v>
      </c>
      <c r="S50" t="n">
        <v>0.00012906</v>
      </c>
      <c r="T50" t="n">
        <v>0.00019658</v>
      </c>
      <c r="U50" t="n">
        <v>2738.4791</v>
      </c>
      <c r="V50" t="inlineStr">
        <is>
          <t>Provided Total Emissions</t>
        </is>
      </c>
      <c r="W50" t="b">
        <v>1</v>
      </c>
      <c r="X50" t="n">
        <v>2115.3192</v>
      </c>
      <c r="Y50" t="n">
        <v>9325.6553</v>
      </c>
      <c r="Z50" t="n">
        <v>-623.1599</v>
      </c>
      <c r="AA50" t="n">
        <v>6587.1762</v>
      </c>
      <c r="AB50" t="n">
        <v>-0.227557</v>
      </c>
      <c r="AC50" t="n">
        <v>2.405414</v>
      </c>
      <c r="AD50" t="inlineStr">
        <is>
          <t>High</t>
        </is>
      </c>
      <c r="AE50" t="inlineStr">
        <is>
          <t>None</t>
        </is>
      </c>
      <c r="AF50" t="n">
        <v>0.95</v>
      </c>
      <c r="AG50" t="inlineStr">
        <is>
          <t>Valid</t>
        </is>
      </c>
    </row>
    <row r="51">
      <c r="A51" t="inlineStr">
        <is>
          <t>SUP-0005</t>
        </is>
      </c>
      <c r="B51" t="inlineStr">
        <is>
          <t>Professional Supplier 005</t>
        </is>
      </c>
      <c r="C51" t="inlineStr">
        <is>
          <t>Professional Services</t>
        </is>
      </c>
      <c r="D51" t="n">
        <v>2024</v>
      </c>
      <c r="E51" t="n">
        <v>13924074.52</v>
      </c>
      <c r="F51" t="n">
        <v>42364209.75</v>
      </c>
      <c r="G51" t="n">
        <v>2514.5094</v>
      </c>
      <c r="H51" t="n">
        <v>358.4463</v>
      </c>
      <c r="I51" t="n">
        <v>434.7338</v>
      </c>
      <c r="J51" t="n">
        <v>1680.3886</v>
      </c>
      <c r="K51" t="inlineStr"/>
      <c r="L51" t="inlineStr"/>
      <c r="M51" t="inlineStr"/>
      <c r="N51" t="inlineStr"/>
      <c r="O51" t="n">
        <v>2020</v>
      </c>
      <c r="P51" t="inlineStr"/>
      <c r="Q51" t="inlineStr"/>
      <c r="R51" t="n">
        <v>400.0326</v>
      </c>
      <c r="S51" t="n">
        <v>0.00012906</v>
      </c>
      <c r="T51" t="n">
        <v>0.00019658</v>
      </c>
      <c r="U51" t="n">
        <v>2514.5094</v>
      </c>
      <c r="V51" t="inlineStr">
        <is>
          <t>Provided Total Emissions</t>
        </is>
      </c>
      <c r="W51" t="b">
        <v>1</v>
      </c>
      <c r="X51" t="n">
        <v>1797.0411</v>
      </c>
      <c r="Y51" t="n">
        <v>8327.956399999999</v>
      </c>
      <c r="Z51" t="n">
        <v>-717.4683</v>
      </c>
      <c r="AA51" t="n">
        <v>5813.447</v>
      </c>
      <c r="AB51" t="n">
        <v>-0.285331</v>
      </c>
      <c r="AC51" t="n">
        <v>2.311961</v>
      </c>
      <c r="AD51" t="inlineStr">
        <is>
          <t>High</t>
        </is>
      </c>
      <c r="AE51" t="inlineStr">
        <is>
          <t>None</t>
        </is>
      </c>
      <c r="AF51" t="n">
        <v>0.95</v>
      </c>
      <c r="AG51" t="inlineStr">
        <is>
          <t>Valid</t>
        </is>
      </c>
    </row>
    <row r="52">
      <c r="A52" t="inlineStr">
        <is>
          <t>SUP-0006</t>
        </is>
      </c>
      <c r="B52" t="inlineStr">
        <is>
          <t>Agriculture Supplier 006</t>
        </is>
      </c>
      <c r="C52" t="inlineStr">
        <is>
          <t>Agriculture</t>
        </is>
      </c>
      <c r="D52" t="n">
        <v>2015</v>
      </c>
      <c r="E52" t="n">
        <v>22000328.94</v>
      </c>
      <c r="F52" t="n">
        <v>37709605.66</v>
      </c>
      <c r="G52" t="n">
        <v>13835.4074</v>
      </c>
      <c r="H52" t="n">
        <v>1383.2229</v>
      </c>
      <c r="I52" t="n">
        <v>2474.9302</v>
      </c>
      <c r="J52" t="n">
        <v>11224.0567</v>
      </c>
      <c r="K52" t="inlineStr"/>
      <c r="L52" t="inlineStr"/>
      <c r="M52" t="inlineStr"/>
      <c r="N52" t="inlineStr"/>
      <c r="O52" t="n">
        <v>2018</v>
      </c>
      <c r="P52" t="inlineStr"/>
      <c r="Q52" t="inlineStr"/>
      <c r="R52" t="n">
        <v>529.8294</v>
      </c>
      <c r="S52" t="n">
        <v>0.00091413</v>
      </c>
      <c r="T52" t="n">
        <v>0.00096913</v>
      </c>
      <c r="U52" t="n">
        <v>13835.4074</v>
      </c>
      <c r="V52" t="inlineStr">
        <is>
          <t>Provided Total Emissions</t>
        </is>
      </c>
      <c r="W52" t="b">
        <v>1</v>
      </c>
      <c r="X52" t="n">
        <v>20111.1607</v>
      </c>
      <c r="Y52" t="n">
        <v>36545.5101</v>
      </c>
      <c r="Z52" t="n">
        <v>6275.7533</v>
      </c>
      <c r="AA52" t="n">
        <v>22710.1027</v>
      </c>
      <c r="AB52" t="n">
        <v>0.453601</v>
      </c>
      <c r="AC52" t="n">
        <v>1.641448</v>
      </c>
      <c r="AD52" t="inlineStr">
        <is>
          <t>High</t>
        </is>
      </c>
      <c r="AE52" t="inlineStr">
        <is>
          <t>None</t>
        </is>
      </c>
      <c r="AF52" t="n">
        <v>0.95</v>
      </c>
      <c r="AG52" t="inlineStr">
        <is>
          <t>Valid</t>
        </is>
      </c>
    </row>
    <row r="53">
      <c r="A53" t="inlineStr">
        <is>
          <t>SUP-0006</t>
        </is>
      </c>
      <c r="B53" t="inlineStr">
        <is>
          <t>Agriculture Supplier 006</t>
        </is>
      </c>
      <c r="C53" t="inlineStr">
        <is>
          <t>Agriculture</t>
        </is>
      </c>
      <c r="D53" t="n">
        <v>2016</v>
      </c>
      <c r="E53" t="n">
        <v>22265353.89</v>
      </c>
      <c r="F53" t="n">
        <v>38842341.44</v>
      </c>
      <c r="G53" t="n">
        <v>18443.2783</v>
      </c>
      <c r="H53" t="n">
        <v>2935.5479</v>
      </c>
      <c r="I53" t="n">
        <v>3286.9499</v>
      </c>
      <c r="J53" t="n">
        <v>12194.4996</v>
      </c>
      <c r="K53" t="inlineStr"/>
      <c r="L53" t="inlineStr"/>
      <c r="M53" t="inlineStr"/>
      <c r="N53" t="inlineStr"/>
      <c r="O53" t="n">
        <v>2018</v>
      </c>
      <c r="P53" t="inlineStr"/>
      <c r="Q53" t="inlineStr"/>
      <c r="R53" t="n">
        <v>529.8294</v>
      </c>
      <c r="S53" t="n">
        <v>0.00091413</v>
      </c>
      <c r="T53" t="n">
        <v>0.00096913</v>
      </c>
      <c r="U53" t="n">
        <v>18443.2783</v>
      </c>
      <c r="V53" t="inlineStr">
        <is>
          <t>Provided Total Emissions</t>
        </is>
      </c>
      <c r="W53" t="b">
        <v>1</v>
      </c>
      <c r="X53" t="n">
        <v>20353.428</v>
      </c>
      <c r="Y53" t="n">
        <v>37643.2784</v>
      </c>
      <c r="Z53" t="n">
        <v>1910.1497</v>
      </c>
      <c r="AA53" t="n">
        <v>19200.0001</v>
      </c>
      <c r="AB53" t="n">
        <v>0.103569</v>
      </c>
      <c r="AC53" t="n">
        <v>1.04103</v>
      </c>
      <c r="AD53" t="inlineStr">
        <is>
          <t>High</t>
        </is>
      </c>
      <c r="AE53" t="inlineStr">
        <is>
          <t>None</t>
        </is>
      </c>
      <c r="AF53" t="n">
        <v>0.95</v>
      </c>
      <c r="AG53" t="inlineStr">
        <is>
          <t>Valid</t>
        </is>
      </c>
    </row>
    <row r="54">
      <c r="A54" t="inlineStr">
        <is>
          <t>SUP-0006</t>
        </is>
      </c>
      <c r="B54" t="inlineStr">
        <is>
          <t>Agriculture Supplier 006</t>
        </is>
      </c>
      <c r="C54" t="inlineStr">
        <is>
          <t>Agriculture</t>
        </is>
      </c>
      <c r="D54" t="n">
        <v>2017</v>
      </c>
      <c r="E54" t="n">
        <v>19154362.77</v>
      </c>
      <c r="F54" t="n">
        <v>37331410.04</v>
      </c>
      <c r="G54" t="n">
        <v>13319.2487</v>
      </c>
      <c r="H54" t="n">
        <v>2987.8117</v>
      </c>
      <c r="I54" t="n">
        <v>999.2521</v>
      </c>
      <c r="J54" t="n">
        <v>9105.312099999999</v>
      </c>
      <c r="K54" t="inlineStr"/>
      <c r="L54" t="inlineStr"/>
      <c r="M54" t="inlineStr"/>
      <c r="N54" t="inlineStr"/>
      <c r="O54" t="n">
        <v>2018</v>
      </c>
      <c r="P54" t="inlineStr"/>
      <c r="Q54" t="inlineStr"/>
      <c r="R54" t="n">
        <v>529.8294</v>
      </c>
      <c r="S54" t="n">
        <v>0.00091413</v>
      </c>
      <c r="T54" t="n">
        <v>0.00096913</v>
      </c>
      <c r="U54" t="n">
        <v>13319.2487</v>
      </c>
      <c r="V54" t="inlineStr">
        <is>
          <t>Provided Total Emissions</t>
        </is>
      </c>
      <c r="W54" t="b">
        <v>1</v>
      </c>
      <c r="X54" t="n">
        <v>17509.5776</v>
      </c>
      <c r="Y54" t="n">
        <v>36178.9894</v>
      </c>
      <c r="Z54" t="n">
        <v>4190.3289</v>
      </c>
      <c r="AA54" t="n">
        <v>22859.7407</v>
      </c>
      <c r="AB54" t="n">
        <v>0.314607</v>
      </c>
      <c r="AC54" t="n">
        <v>1.716294</v>
      </c>
      <c r="AD54" t="inlineStr">
        <is>
          <t>High</t>
        </is>
      </c>
      <c r="AE54" t="inlineStr">
        <is>
          <t>None</t>
        </is>
      </c>
      <c r="AF54" t="n">
        <v>0.95</v>
      </c>
      <c r="AG54" t="inlineStr">
        <is>
          <t>Valid</t>
        </is>
      </c>
    </row>
    <row r="55">
      <c r="A55" t="inlineStr">
        <is>
          <t>SUP-0006</t>
        </is>
      </c>
      <c r="B55" t="inlineStr">
        <is>
          <t>Agriculture Supplier 006</t>
        </is>
      </c>
      <c r="C55" t="inlineStr">
        <is>
          <t>Agriculture</t>
        </is>
      </c>
      <c r="D55" t="n">
        <v>2018</v>
      </c>
      <c r="E55" t="n">
        <v>26192695.78</v>
      </c>
      <c r="F55" t="n">
        <v>47430128.29</v>
      </c>
      <c r="G55" t="n">
        <v>16554.2419</v>
      </c>
      <c r="H55" t="n">
        <v>2979.0625</v>
      </c>
      <c r="I55" t="n">
        <v>2251.5248</v>
      </c>
      <c r="J55" t="n">
        <v>11501.4661</v>
      </c>
      <c r="K55" t="inlineStr"/>
      <c r="L55" t="inlineStr"/>
      <c r="M55" t="inlineStr"/>
      <c r="N55" t="inlineStr"/>
      <c r="O55" t="n">
        <v>2018</v>
      </c>
      <c r="P55" t="inlineStr"/>
      <c r="Q55" t="inlineStr"/>
      <c r="R55" t="n">
        <v>529.8294</v>
      </c>
      <c r="S55" t="n">
        <v>0.00091413</v>
      </c>
      <c r="T55" t="n">
        <v>0.00096913</v>
      </c>
      <c r="U55" t="n">
        <v>16554.2419</v>
      </c>
      <c r="V55" t="inlineStr">
        <is>
          <t>Provided Total Emissions</t>
        </is>
      </c>
      <c r="W55" t="b">
        <v>1</v>
      </c>
      <c r="X55" t="n">
        <v>23943.529</v>
      </c>
      <c r="Y55" t="n">
        <v>45965.9602</v>
      </c>
      <c r="Z55" t="n">
        <v>7389.2871</v>
      </c>
      <c r="AA55" t="n">
        <v>29411.7183</v>
      </c>
      <c r="AB55" t="n">
        <v>0.446368</v>
      </c>
      <c r="AC55" t="n">
        <v>1.776688</v>
      </c>
      <c r="AD55" t="inlineStr">
        <is>
          <t>High</t>
        </is>
      </c>
      <c r="AE55" t="inlineStr">
        <is>
          <t>None</t>
        </is>
      </c>
      <c r="AF55" t="n">
        <v>0.95</v>
      </c>
      <c r="AG55" t="inlineStr">
        <is>
          <t>Valid</t>
        </is>
      </c>
    </row>
    <row r="56">
      <c r="A56" t="inlineStr">
        <is>
          <t>SUP-0006</t>
        </is>
      </c>
      <c r="B56" t="inlineStr">
        <is>
          <t>Agriculture Supplier 006</t>
        </is>
      </c>
      <c r="C56" t="inlineStr">
        <is>
          <t>Agriculture</t>
        </is>
      </c>
      <c r="D56" t="n">
        <v>2019</v>
      </c>
      <c r="E56" t="n">
        <v>24417292.17</v>
      </c>
      <c r="F56" t="n">
        <v>42615624.82</v>
      </c>
      <c r="G56" t="n">
        <v>14239.3504</v>
      </c>
      <c r="H56" t="n">
        <v>2998.755</v>
      </c>
      <c r="I56" t="n">
        <v>2256.3318</v>
      </c>
      <c r="J56" t="n">
        <v>9398.4638</v>
      </c>
      <c r="K56" t="inlineStr"/>
      <c r="L56" t="inlineStr"/>
      <c r="M56" t="inlineStr"/>
      <c r="N56" t="inlineStr"/>
      <c r="O56" t="n">
        <v>2018</v>
      </c>
      <c r="P56" t="inlineStr"/>
      <c r="Q56" t="inlineStr"/>
      <c r="R56" t="n">
        <v>529.8294</v>
      </c>
      <c r="S56" t="n">
        <v>0.00091413</v>
      </c>
      <c r="T56" t="n">
        <v>0.00096913</v>
      </c>
      <c r="U56" t="n">
        <v>14239.3504</v>
      </c>
      <c r="V56" t="inlineStr">
        <is>
          <t>Provided Total Emissions</t>
        </is>
      </c>
      <c r="W56" t="b">
        <v>1</v>
      </c>
      <c r="X56" t="n">
        <v>22320.5793</v>
      </c>
      <c r="Y56" t="n">
        <v>41300.0805</v>
      </c>
      <c r="Z56" t="n">
        <v>8081.2289</v>
      </c>
      <c r="AA56" t="n">
        <v>27060.7301</v>
      </c>
      <c r="AB56" t="n">
        <v>0.567528</v>
      </c>
      <c r="AC56" t="n">
        <v>1.900419</v>
      </c>
      <c r="AD56" t="inlineStr">
        <is>
          <t>High</t>
        </is>
      </c>
      <c r="AE56" t="inlineStr">
        <is>
          <t>None</t>
        </is>
      </c>
      <c r="AF56" t="n">
        <v>0.95</v>
      </c>
      <c r="AG56" t="inlineStr">
        <is>
          <t>Valid</t>
        </is>
      </c>
    </row>
    <row r="57">
      <c r="A57" t="inlineStr">
        <is>
          <t>SUP-0006</t>
        </is>
      </c>
      <c r="B57" t="inlineStr">
        <is>
          <t>Agriculture Supplier 006</t>
        </is>
      </c>
      <c r="C57" t="inlineStr">
        <is>
          <t>Agriculture</t>
        </is>
      </c>
      <c r="D57" t="n">
        <v>2020</v>
      </c>
      <c r="E57" t="n">
        <v>22035056.84</v>
      </c>
      <c r="F57" t="n">
        <v>44130055.91</v>
      </c>
      <c r="G57" t="n">
        <v>14326.947</v>
      </c>
      <c r="H57" t="n">
        <v>3188.7712</v>
      </c>
      <c r="I57" t="n">
        <v>2721.3067</v>
      </c>
      <c r="J57" t="n">
        <v>8208.2345</v>
      </c>
      <c r="K57" t="inlineStr"/>
      <c r="L57" t="inlineStr"/>
      <c r="M57" t="inlineStr"/>
      <c r="N57" t="inlineStr"/>
      <c r="O57" t="n">
        <v>2018</v>
      </c>
      <c r="P57" t="inlineStr"/>
      <c r="Q57" t="inlineStr"/>
      <c r="R57" t="n">
        <v>529.8294</v>
      </c>
      <c r="S57" t="n">
        <v>0.00091413</v>
      </c>
      <c r="T57" t="n">
        <v>0.00096913</v>
      </c>
      <c r="U57" t="n">
        <v>14326.947</v>
      </c>
      <c r="V57" t="inlineStr">
        <is>
          <t>Provided Total Emissions</t>
        </is>
      </c>
      <c r="W57" t="b">
        <v>1</v>
      </c>
      <c r="X57" t="n">
        <v>20142.9065</v>
      </c>
      <c r="Y57" t="n">
        <v>42767.7611</v>
      </c>
      <c r="Z57" t="n">
        <v>5815.9595</v>
      </c>
      <c r="AA57" t="n">
        <v>28440.8141</v>
      </c>
      <c r="AB57" t="n">
        <v>0.405945</v>
      </c>
      <c r="AC57" t="n">
        <v>1.985127</v>
      </c>
      <c r="AD57" t="inlineStr">
        <is>
          <t>High</t>
        </is>
      </c>
      <c r="AE57" t="inlineStr">
        <is>
          <t>None</t>
        </is>
      </c>
      <c r="AF57" t="n">
        <v>0.95</v>
      </c>
      <c r="AG57" t="inlineStr">
        <is>
          <t>Valid</t>
        </is>
      </c>
    </row>
    <row r="58">
      <c r="A58" t="inlineStr">
        <is>
          <t>SUP-0006</t>
        </is>
      </c>
      <c r="B58" t="inlineStr">
        <is>
          <t>Agriculture Supplier 006</t>
        </is>
      </c>
      <c r="C58" t="inlineStr">
        <is>
          <t>Agriculture</t>
        </is>
      </c>
      <c r="D58" t="n">
        <v>2021</v>
      </c>
      <c r="E58" t="n">
        <v>28729052.19</v>
      </c>
      <c r="F58" t="n">
        <v>41079496.59</v>
      </c>
      <c r="G58" t="n">
        <v>22455.4527</v>
      </c>
      <c r="H58" t="n">
        <v>1794.2627</v>
      </c>
      <c r="I58" t="n">
        <v>2145.2376</v>
      </c>
      <c r="J58" t="n">
        <v>18992.3269</v>
      </c>
      <c r="K58" t="inlineStr"/>
      <c r="L58" t="inlineStr"/>
      <c r="M58" t="inlineStr"/>
      <c r="N58" t="inlineStr"/>
      <c r="O58" t="n">
        <v>2018</v>
      </c>
      <c r="P58" t="inlineStr"/>
      <c r="Q58" t="inlineStr"/>
      <c r="R58" t="n">
        <v>529.8294</v>
      </c>
      <c r="S58" t="n">
        <v>0.00091413</v>
      </c>
      <c r="T58" t="n">
        <v>0.00096913</v>
      </c>
      <c r="U58" t="n">
        <v>22455.4527</v>
      </c>
      <c r="V58" t="inlineStr">
        <is>
          <t>Provided Total Emissions</t>
        </is>
      </c>
      <c r="W58" t="b">
        <v>1</v>
      </c>
      <c r="X58" t="n">
        <v>26262.0885</v>
      </c>
      <c r="Y58" t="n">
        <v>39811.3725</v>
      </c>
      <c r="Z58" t="n">
        <v>3806.6358</v>
      </c>
      <c r="AA58" t="n">
        <v>17355.9198</v>
      </c>
      <c r="AB58" t="n">
        <v>0.169519</v>
      </c>
      <c r="AC58" t="n">
        <v>0.772904</v>
      </c>
      <c r="AD58" t="inlineStr">
        <is>
          <t>High</t>
        </is>
      </c>
      <c r="AE58" t="inlineStr">
        <is>
          <t>None</t>
        </is>
      </c>
      <c r="AF58" t="n">
        <v>0.95</v>
      </c>
      <c r="AG58" t="inlineStr">
        <is>
          <t>Valid</t>
        </is>
      </c>
    </row>
    <row r="59">
      <c r="A59" t="inlineStr">
        <is>
          <t>SUP-0006</t>
        </is>
      </c>
      <c r="B59" t="inlineStr">
        <is>
          <t>Agriculture Supplier 006</t>
        </is>
      </c>
      <c r="C59" t="inlineStr">
        <is>
          <t>Agriculture</t>
        </is>
      </c>
      <c r="D59" t="n">
        <v>2022</v>
      </c>
      <c r="E59" t="n">
        <v>30047547.05</v>
      </c>
      <c r="F59" t="n">
        <v>62389889.68</v>
      </c>
      <c r="G59" t="n">
        <v>23043.8068</v>
      </c>
      <c r="H59" t="n">
        <v>2851.4669</v>
      </c>
      <c r="I59" t="n">
        <v>3596.1378</v>
      </c>
      <c r="J59" t="n">
        <v>18178.1685</v>
      </c>
      <c r="K59" t="inlineStr"/>
      <c r="L59" t="inlineStr"/>
      <c r="M59" t="inlineStr"/>
      <c r="N59" t="inlineStr"/>
      <c r="O59" t="n">
        <v>2018</v>
      </c>
      <c r="P59" t="inlineStr"/>
      <c r="Q59" t="inlineStr"/>
      <c r="R59" t="n">
        <v>529.8294</v>
      </c>
      <c r="S59" t="n">
        <v>0.00091413</v>
      </c>
      <c r="T59" t="n">
        <v>0.00096913</v>
      </c>
      <c r="U59" t="n">
        <v>23043.8068</v>
      </c>
      <c r="V59" t="inlineStr">
        <is>
          <t>Provided Total Emissions</t>
        </is>
      </c>
      <c r="W59" t="b">
        <v>1</v>
      </c>
      <c r="X59" t="n">
        <v>27467.3642</v>
      </c>
      <c r="Y59" t="n">
        <v>60463.9138</v>
      </c>
      <c r="Z59" t="n">
        <v>4423.5574</v>
      </c>
      <c r="AA59" t="n">
        <v>37420.107</v>
      </c>
      <c r="AB59" t="n">
        <v>0.191963</v>
      </c>
      <c r="AC59" t="n">
        <v>1.623868</v>
      </c>
      <c r="AD59" t="inlineStr">
        <is>
          <t>High</t>
        </is>
      </c>
      <c r="AE59" t="inlineStr">
        <is>
          <t>None</t>
        </is>
      </c>
      <c r="AF59" t="n">
        <v>0.95</v>
      </c>
      <c r="AG59" t="inlineStr">
        <is>
          <t>Valid</t>
        </is>
      </c>
    </row>
    <row r="60">
      <c r="A60" t="inlineStr">
        <is>
          <t>SUP-0006</t>
        </is>
      </c>
      <c r="B60" t="inlineStr">
        <is>
          <t>Agriculture Supplier 006</t>
        </is>
      </c>
      <c r="C60" t="inlineStr">
        <is>
          <t>Agriculture</t>
        </is>
      </c>
      <c r="D60" t="n">
        <v>2023</v>
      </c>
      <c r="E60" t="n">
        <v>27635058.41</v>
      </c>
      <c r="F60" t="n">
        <v>47949045.65</v>
      </c>
      <c r="G60" t="n">
        <v>20405.9294</v>
      </c>
      <c r="H60" t="n">
        <v>4974.3319</v>
      </c>
      <c r="I60" t="n">
        <v>2184.5332</v>
      </c>
      <c r="J60" t="n">
        <v>13718.0898</v>
      </c>
      <c r="K60" t="inlineStr"/>
      <c r="L60" t="inlineStr"/>
      <c r="M60" t="inlineStr"/>
      <c r="N60" t="inlineStr"/>
      <c r="O60" t="n">
        <v>2018</v>
      </c>
      <c r="P60" t="inlineStr"/>
      <c r="Q60" t="inlineStr"/>
      <c r="R60" t="n">
        <v>529.8294</v>
      </c>
      <c r="S60" t="n">
        <v>0.00091413</v>
      </c>
      <c r="T60" t="n">
        <v>0.00096913</v>
      </c>
      <c r="U60" t="n">
        <v>20405.9294</v>
      </c>
      <c r="V60" t="inlineStr">
        <is>
          <t>Provided Total Emissions</t>
        </is>
      </c>
      <c r="W60" t="b">
        <v>1</v>
      </c>
      <c r="X60" t="n">
        <v>25262.0359</v>
      </c>
      <c r="Y60" t="n">
        <v>46468.8586</v>
      </c>
      <c r="Z60" t="n">
        <v>4856.1065</v>
      </c>
      <c r="AA60" t="n">
        <v>26062.9292</v>
      </c>
      <c r="AB60" t="n">
        <v>0.237975</v>
      </c>
      <c r="AC60" t="n">
        <v>1.277223</v>
      </c>
      <c r="AD60" t="inlineStr">
        <is>
          <t>High</t>
        </is>
      </c>
      <c r="AE60" t="inlineStr">
        <is>
          <t>None</t>
        </is>
      </c>
      <c r="AF60" t="n">
        <v>0.95</v>
      </c>
      <c r="AG60" t="inlineStr">
        <is>
          <t>Valid</t>
        </is>
      </c>
    </row>
    <row r="61">
      <c r="A61" t="inlineStr">
        <is>
          <t>SUP-0006</t>
        </is>
      </c>
      <c r="B61" t="inlineStr">
        <is>
          <t>Agriculture Supplier 006</t>
        </is>
      </c>
      <c r="C61" t="inlineStr">
        <is>
          <t>Agriculture</t>
        </is>
      </c>
      <c r="D61" t="n">
        <v>2024</v>
      </c>
      <c r="E61" t="n">
        <v>28569472.27</v>
      </c>
      <c r="F61" t="n">
        <v>64789530</v>
      </c>
      <c r="G61" t="n">
        <v>20436.7272</v>
      </c>
      <c r="H61" t="n">
        <v>1834.7707</v>
      </c>
      <c r="I61" t="n">
        <v>1396.9006</v>
      </c>
      <c r="J61" t="n">
        <v>15397.2718</v>
      </c>
      <c r="K61" t="inlineStr"/>
      <c r="L61" t="inlineStr"/>
      <c r="M61" t="inlineStr"/>
      <c r="N61" t="inlineStr"/>
      <c r="O61" t="n">
        <v>2018</v>
      </c>
      <c r="P61" t="inlineStr"/>
      <c r="Q61" t="inlineStr"/>
      <c r="R61" t="n">
        <v>529.8294</v>
      </c>
      <c r="S61" t="n">
        <v>0.00091413</v>
      </c>
      <c r="T61" t="n">
        <v>0.00096913</v>
      </c>
      <c r="U61" t="n">
        <v>20436.7272</v>
      </c>
      <c r="V61" t="inlineStr">
        <is>
          <t>Provided Total Emissions</t>
        </is>
      </c>
      <c r="W61" t="b">
        <v>1</v>
      </c>
      <c r="X61" t="n">
        <v>26116.2117</v>
      </c>
      <c r="Y61" t="n">
        <v>62789.4772</v>
      </c>
      <c r="Z61" t="n">
        <v>5679.4845</v>
      </c>
      <c r="AA61" t="n">
        <v>42352.75</v>
      </c>
      <c r="AB61" t="n">
        <v>0.277906</v>
      </c>
      <c r="AC61" t="n">
        <v>2.072384</v>
      </c>
      <c r="AD61" t="inlineStr">
        <is>
          <t>High</t>
        </is>
      </c>
      <c r="AE61" t="inlineStr">
        <is>
          <t>None</t>
        </is>
      </c>
      <c r="AF61" t="n">
        <v>0.95</v>
      </c>
      <c r="AG61" t="inlineStr">
        <is>
          <t>Valid</t>
        </is>
      </c>
    </row>
    <row r="62">
      <c r="A62" t="inlineStr">
        <is>
          <t>SUP-0007</t>
        </is>
      </c>
      <c r="B62" t="inlineStr">
        <is>
          <t>Chemicals Supplier 007</t>
        </is>
      </c>
      <c r="C62" t="inlineStr">
        <is>
          <t>Chemicals</t>
        </is>
      </c>
      <c r="D62" t="n">
        <v>2015</v>
      </c>
      <c r="E62" t="n">
        <v>19995092.71</v>
      </c>
      <c r="F62" t="n">
        <v>120617779.88</v>
      </c>
      <c r="G62" t="n">
        <v>23182.7697</v>
      </c>
      <c r="H62" t="n">
        <v>5334.4184</v>
      </c>
      <c r="I62" t="n">
        <v>1925.7557</v>
      </c>
      <c r="J62" t="n">
        <v>15406.277</v>
      </c>
      <c r="K62" t="n">
        <v>2019</v>
      </c>
      <c r="L62" t="n">
        <v>2030</v>
      </c>
      <c r="M62" t="n">
        <v>0.5673</v>
      </c>
      <c r="N62" t="n">
        <v>0.2314</v>
      </c>
      <c r="O62" t="n">
        <v>2019</v>
      </c>
      <c r="P62" t="n">
        <v>2035</v>
      </c>
      <c r="Q62" t="n">
        <v>0.5229</v>
      </c>
      <c r="R62" t="n">
        <v>506.3191</v>
      </c>
      <c r="S62" t="n">
        <v>0.00100149</v>
      </c>
      <c r="T62" t="n">
        <v>0.00047124</v>
      </c>
      <c r="U62" t="n">
        <v>23182.7697</v>
      </c>
      <c r="V62" t="inlineStr">
        <is>
          <t>Provided Total Emissions</t>
        </is>
      </c>
      <c r="W62" t="b">
        <v>1</v>
      </c>
      <c r="X62" t="n">
        <v>20024.8854</v>
      </c>
      <c r="Y62" t="n">
        <v>56839.9226</v>
      </c>
      <c r="Z62" t="n">
        <v>-3157.8843</v>
      </c>
      <c r="AA62" t="n">
        <v>33657.1529</v>
      </c>
      <c r="AB62" t="n">
        <v>-0.136217</v>
      </c>
      <c r="AC62" t="n">
        <v>1.451818</v>
      </c>
      <c r="AD62" t="inlineStr">
        <is>
          <t>High</t>
        </is>
      </c>
      <c r="AE62" t="inlineStr">
        <is>
          <t>None</t>
        </is>
      </c>
      <c r="AF62" t="n">
        <v>0.95</v>
      </c>
      <c r="AG62" t="inlineStr">
        <is>
          <t>Valid</t>
        </is>
      </c>
    </row>
    <row r="63">
      <c r="A63" t="inlineStr">
        <is>
          <t>SUP-0007</t>
        </is>
      </c>
      <c r="B63" t="inlineStr">
        <is>
          <t>Chemicals Supplier 007</t>
        </is>
      </c>
      <c r="C63" t="inlineStr">
        <is>
          <t>Chemicals</t>
        </is>
      </c>
      <c r="D63" t="n">
        <v>2016</v>
      </c>
      <c r="E63" t="n">
        <v>20630325.86</v>
      </c>
      <c r="F63" t="n">
        <v>146171163.57</v>
      </c>
      <c r="G63" t="n">
        <v>24935.9606</v>
      </c>
      <c r="H63" t="n">
        <v>2336.9043</v>
      </c>
      <c r="I63" t="n">
        <v>4993.2744</v>
      </c>
      <c r="J63" t="n">
        <v>16505.9142</v>
      </c>
      <c r="K63" t="n">
        <v>2019</v>
      </c>
      <c r="L63" t="n">
        <v>2030</v>
      </c>
      <c r="M63" t="n">
        <v>0.5673</v>
      </c>
      <c r="N63" t="n">
        <v>0.2314</v>
      </c>
      <c r="O63" t="n">
        <v>2019</v>
      </c>
      <c r="P63" t="n">
        <v>2035</v>
      </c>
      <c r="Q63" t="n">
        <v>0.5229</v>
      </c>
      <c r="R63" t="n">
        <v>506.3191</v>
      </c>
      <c r="S63" t="n">
        <v>0.00100149</v>
      </c>
      <c r="T63" t="n">
        <v>0.00047124</v>
      </c>
      <c r="U63" t="n">
        <v>24935.9606</v>
      </c>
      <c r="V63" t="inlineStr">
        <is>
          <t>Provided Total Emissions</t>
        </is>
      </c>
      <c r="W63" t="b">
        <v>1</v>
      </c>
      <c r="X63" t="n">
        <v>20661.065</v>
      </c>
      <c r="Y63" t="n">
        <v>68881.6991</v>
      </c>
      <c r="Z63" t="n">
        <v>-4274.8956</v>
      </c>
      <c r="AA63" t="n">
        <v>43945.7385</v>
      </c>
      <c r="AB63" t="n">
        <v>-0.171435</v>
      </c>
      <c r="AC63" t="n">
        <v>1.762344</v>
      </c>
      <c r="AD63" t="inlineStr">
        <is>
          <t>High</t>
        </is>
      </c>
      <c r="AE63" t="inlineStr">
        <is>
          <t>None</t>
        </is>
      </c>
      <c r="AF63" t="n">
        <v>0.95</v>
      </c>
      <c r="AG63" t="inlineStr">
        <is>
          <t>Valid</t>
        </is>
      </c>
    </row>
    <row r="64">
      <c r="A64" t="inlineStr">
        <is>
          <t>SUP-0007</t>
        </is>
      </c>
      <c r="B64" t="inlineStr">
        <is>
          <t>Chemicals Supplier 007</t>
        </is>
      </c>
      <c r="C64" t="inlineStr">
        <is>
          <t>Chemicals</t>
        </is>
      </c>
      <c r="D64" t="n">
        <v>2017</v>
      </c>
      <c r="E64" t="n">
        <v>21691524.2</v>
      </c>
      <c r="F64" t="n">
        <v>125919887.15</v>
      </c>
      <c r="G64" t="n">
        <v>22439.4559</v>
      </c>
      <c r="H64" t="n">
        <v>3524.0297</v>
      </c>
      <c r="I64" t="n">
        <v>2981.3683</v>
      </c>
      <c r="J64" t="n">
        <v>16836.1163</v>
      </c>
      <c r="K64" t="n">
        <v>2019</v>
      </c>
      <c r="L64" t="n">
        <v>2030</v>
      </c>
      <c r="M64" t="n">
        <v>0.5673</v>
      </c>
      <c r="N64" t="n">
        <v>0.2314</v>
      </c>
      <c r="O64" t="n">
        <v>2019</v>
      </c>
      <c r="P64" t="n">
        <v>2035</v>
      </c>
      <c r="Q64" t="n">
        <v>0.5229</v>
      </c>
      <c r="R64" t="n">
        <v>506.3191</v>
      </c>
      <c r="S64" t="n">
        <v>0.00100149</v>
      </c>
      <c r="T64" t="n">
        <v>0.00047124</v>
      </c>
      <c r="U64" t="n">
        <v>22439.4559</v>
      </c>
      <c r="V64" t="inlineStr">
        <is>
          <t>Provided Total Emissions</t>
        </is>
      </c>
      <c r="W64" t="b">
        <v>1</v>
      </c>
      <c r="X64" t="n">
        <v>21723.8446</v>
      </c>
      <c r="Y64" t="n">
        <v>59338.4876</v>
      </c>
      <c r="Z64" t="n">
        <v>-715.6113</v>
      </c>
      <c r="AA64" t="n">
        <v>36899.0317</v>
      </c>
      <c r="AB64" t="n">
        <v>-0.031891</v>
      </c>
      <c r="AC64" t="n">
        <v>1.644382</v>
      </c>
      <c r="AD64" t="inlineStr">
        <is>
          <t>High</t>
        </is>
      </c>
      <c r="AE64" t="inlineStr">
        <is>
          <t>None</t>
        </is>
      </c>
      <c r="AF64" t="n">
        <v>0.95</v>
      </c>
      <c r="AG64" t="inlineStr">
        <is>
          <t>Valid</t>
        </is>
      </c>
    </row>
    <row r="65">
      <c r="A65" t="inlineStr">
        <is>
          <t>SUP-0007</t>
        </is>
      </c>
      <c r="B65" t="inlineStr">
        <is>
          <t>Chemicals Supplier 007</t>
        </is>
      </c>
      <c r="C65" t="inlineStr">
        <is>
          <t>Chemicals</t>
        </is>
      </c>
      <c r="D65" t="n">
        <v>2018</v>
      </c>
      <c r="E65" t="n">
        <v>25955331.66</v>
      </c>
      <c r="F65" t="n">
        <v>162091933.12</v>
      </c>
      <c r="G65" t="n">
        <v>34303.111</v>
      </c>
      <c r="H65" t="n">
        <v>3902.6275</v>
      </c>
      <c r="I65" t="n">
        <v>6183.1368</v>
      </c>
      <c r="J65" t="n">
        <v>24113.155</v>
      </c>
      <c r="K65" t="n">
        <v>2019</v>
      </c>
      <c r="L65" t="n">
        <v>2030</v>
      </c>
      <c r="M65" t="n">
        <v>0.5673</v>
      </c>
      <c r="N65" t="n">
        <v>0.2314</v>
      </c>
      <c r="O65" t="n">
        <v>2019</v>
      </c>
      <c r="P65" t="n">
        <v>2035</v>
      </c>
      <c r="Q65" t="n">
        <v>0.5229</v>
      </c>
      <c r="R65" t="n">
        <v>506.3191</v>
      </c>
      <c r="S65" t="n">
        <v>0.00100149</v>
      </c>
      <c r="T65" t="n">
        <v>0.00047124</v>
      </c>
      <c r="U65" t="n">
        <v>34303.111</v>
      </c>
      <c r="V65" t="inlineStr">
        <is>
          <t>Provided Total Emissions</t>
        </is>
      </c>
      <c r="W65" t="b">
        <v>1</v>
      </c>
      <c r="X65" t="n">
        <v>25994.0051</v>
      </c>
      <c r="Y65" t="n">
        <v>76384.2026</v>
      </c>
      <c r="Z65" t="n">
        <v>-8309.1059</v>
      </c>
      <c r="AA65" t="n">
        <v>42081.0916</v>
      </c>
      <c r="AB65" t="n">
        <v>-0.242226</v>
      </c>
      <c r="AC65" t="n">
        <v>1.226743</v>
      </c>
      <c r="AD65" t="inlineStr">
        <is>
          <t>High</t>
        </is>
      </c>
      <c r="AE65" t="inlineStr">
        <is>
          <t>None</t>
        </is>
      </c>
      <c r="AF65" t="n">
        <v>0.95</v>
      </c>
      <c r="AG65" t="inlineStr">
        <is>
          <t>Valid</t>
        </is>
      </c>
    </row>
    <row r="66">
      <c r="A66" t="inlineStr">
        <is>
          <t>SUP-0007</t>
        </is>
      </c>
      <c r="B66" t="inlineStr">
        <is>
          <t>Chemicals Supplier 007</t>
        </is>
      </c>
      <c r="C66" t="inlineStr">
        <is>
          <t>Chemicals</t>
        </is>
      </c>
      <c r="D66" t="n">
        <v>2019</v>
      </c>
      <c r="E66" t="n">
        <v>24849723.88</v>
      </c>
      <c r="F66" t="n">
        <v>194432607.95</v>
      </c>
      <c r="G66" t="n">
        <v>28820.1528</v>
      </c>
      <c r="H66" t="n">
        <v>6593.8254</v>
      </c>
      <c r="I66" t="n">
        <v>1999.3427</v>
      </c>
      <c r="J66" t="n">
        <v>21453.7198</v>
      </c>
      <c r="K66" t="n">
        <v>2019</v>
      </c>
      <c r="L66" t="n">
        <v>2030</v>
      </c>
      <c r="M66" t="n">
        <v>0.5673</v>
      </c>
      <c r="N66" t="n">
        <v>0.2314</v>
      </c>
      <c r="O66" t="n">
        <v>2019</v>
      </c>
      <c r="P66" t="n">
        <v>2035</v>
      </c>
      <c r="Q66" t="n">
        <v>0.5229</v>
      </c>
      <c r="R66" t="n">
        <v>506.3191</v>
      </c>
      <c r="S66" t="n">
        <v>0.00100149</v>
      </c>
      <c r="T66" t="n">
        <v>0.00047124</v>
      </c>
      <c r="U66" t="n">
        <v>28820.1528</v>
      </c>
      <c r="V66" t="inlineStr">
        <is>
          <t>Provided Total Emissions</t>
        </is>
      </c>
      <c r="W66" t="b">
        <v>1</v>
      </c>
      <c r="X66" t="n">
        <v>24886.75</v>
      </c>
      <c r="Y66" t="n">
        <v>91624.4222</v>
      </c>
      <c r="Z66" t="n">
        <v>-3933.4028</v>
      </c>
      <c r="AA66" t="n">
        <v>62804.2694</v>
      </c>
      <c r="AB66" t="n">
        <v>-0.136481</v>
      </c>
      <c r="AC66" t="n">
        <v>2.179179</v>
      </c>
      <c r="AD66" t="inlineStr">
        <is>
          <t>High</t>
        </is>
      </c>
      <c r="AE66" t="inlineStr">
        <is>
          <t>None</t>
        </is>
      </c>
      <c r="AF66" t="n">
        <v>0.95</v>
      </c>
      <c r="AG66" t="inlineStr">
        <is>
          <t>Valid</t>
        </is>
      </c>
    </row>
    <row r="67">
      <c r="A67" t="inlineStr">
        <is>
          <t>SUP-0007</t>
        </is>
      </c>
      <c r="B67" t="inlineStr">
        <is>
          <t>Chemicals Supplier 007</t>
        </is>
      </c>
      <c r="C67" t="inlineStr">
        <is>
          <t>Chemicals</t>
        </is>
      </c>
      <c r="D67" t="n">
        <v>2020</v>
      </c>
      <c r="E67" t="n">
        <v>27624847.37</v>
      </c>
      <c r="F67" t="n">
        <v>234168347.25</v>
      </c>
      <c r="G67" t="n">
        <v>32114.4623</v>
      </c>
      <c r="H67" t="n">
        <v>2554.9954</v>
      </c>
      <c r="I67" t="n">
        <v>5386.718</v>
      </c>
      <c r="J67" t="n">
        <v>24133.6386</v>
      </c>
      <c r="K67" t="n">
        <v>2019</v>
      </c>
      <c r="L67" t="n">
        <v>2030</v>
      </c>
      <c r="M67" t="n">
        <v>0.5673</v>
      </c>
      <c r="N67" t="n">
        <v>0.2314</v>
      </c>
      <c r="O67" t="n">
        <v>2019</v>
      </c>
      <c r="P67" t="n">
        <v>2035</v>
      </c>
      <c r="Q67" t="n">
        <v>0.5229</v>
      </c>
      <c r="R67" t="n">
        <v>506.3191</v>
      </c>
      <c r="S67" t="n">
        <v>0.00100149</v>
      </c>
      <c r="T67" t="n">
        <v>0.00047124</v>
      </c>
      <c r="U67" t="n">
        <v>32114.4623</v>
      </c>
      <c r="V67" t="inlineStr">
        <is>
          <t>Provided Total Emissions</t>
        </is>
      </c>
      <c r="W67" t="b">
        <v>1</v>
      </c>
      <c r="X67" t="n">
        <v>27666.0084</v>
      </c>
      <c r="Y67" t="n">
        <v>110349.492</v>
      </c>
      <c r="Z67" t="n">
        <v>-4448.4539</v>
      </c>
      <c r="AA67" t="n">
        <v>78235.0297</v>
      </c>
      <c r="AB67" t="n">
        <v>-0.138519</v>
      </c>
      <c r="AC67" t="n">
        <v>2.436131</v>
      </c>
      <c r="AD67" t="inlineStr">
        <is>
          <t>High</t>
        </is>
      </c>
      <c r="AE67" t="inlineStr">
        <is>
          <t>None</t>
        </is>
      </c>
      <c r="AF67" t="n">
        <v>0.95</v>
      </c>
      <c r="AG67" t="inlineStr">
        <is>
          <t>Valid</t>
        </is>
      </c>
    </row>
    <row r="68">
      <c r="A68" t="inlineStr">
        <is>
          <t>SUP-0007</t>
        </is>
      </c>
      <c r="B68" t="inlineStr">
        <is>
          <t>Chemicals Supplier 007</t>
        </is>
      </c>
      <c r="C68" t="inlineStr">
        <is>
          <t>Chemicals</t>
        </is>
      </c>
      <c r="D68" t="n">
        <v>2021</v>
      </c>
      <c r="E68" t="n">
        <v>28262114.56</v>
      </c>
      <c r="F68" t="n">
        <v>225133941.84</v>
      </c>
      <c r="G68" t="n">
        <v>39637.9162</v>
      </c>
      <c r="H68" t="n">
        <v>7472.9496</v>
      </c>
      <c r="I68" t="n">
        <v>4003.0989</v>
      </c>
      <c r="J68" t="n">
        <v>25846.239</v>
      </c>
      <c r="K68" t="n">
        <v>2019</v>
      </c>
      <c r="L68" t="n">
        <v>2030</v>
      </c>
      <c r="M68" t="n">
        <v>0.5673</v>
      </c>
      <c r="N68" t="n">
        <v>0.2314</v>
      </c>
      <c r="O68" t="n">
        <v>2019</v>
      </c>
      <c r="P68" t="n">
        <v>2035</v>
      </c>
      <c r="Q68" t="n">
        <v>0.5229</v>
      </c>
      <c r="R68" t="n">
        <v>506.3191</v>
      </c>
      <c r="S68" t="n">
        <v>0.00100149</v>
      </c>
      <c r="T68" t="n">
        <v>0.00047124</v>
      </c>
      <c r="U68" t="n">
        <v>39637.9162</v>
      </c>
      <c r="V68" t="inlineStr">
        <is>
          <t>Provided Total Emissions</t>
        </is>
      </c>
      <c r="W68" t="b">
        <v>1</v>
      </c>
      <c r="X68" t="n">
        <v>28304.2251</v>
      </c>
      <c r="Y68" t="n">
        <v>106092.1188</v>
      </c>
      <c r="Z68" t="n">
        <v>-11333.6911</v>
      </c>
      <c r="AA68" t="n">
        <v>66454.2026</v>
      </c>
      <c r="AB68" t="n">
        <v>-0.285931</v>
      </c>
      <c r="AC68" t="n">
        <v>1.676531</v>
      </c>
      <c r="AD68" t="inlineStr">
        <is>
          <t>High</t>
        </is>
      </c>
      <c r="AE68" t="inlineStr">
        <is>
          <t>None</t>
        </is>
      </c>
      <c r="AF68" t="n">
        <v>0.95</v>
      </c>
      <c r="AG68" t="inlineStr">
        <is>
          <t>Valid</t>
        </is>
      </c>
    </row>
    <row r="69">
      <c r="A69" t="inlineStr">
        <is>
          <t>SUP-0007</t>
        </is>
      </c>
      <c r="B69" t="inlineStr">
        <is>
          <t>Chemicals Supplier 007</t>
        </is>
      </c>
      <c r="C69" t="inlineStr">
        <is>
          <t>Chemicals</t>
        </is>
      </c>
      <c r="D69" t="n">
        <v>2022</v>
      </c>
      <c r="E69" t="n">
        <v>30107576.95</v>
      </c>
      <c r="F69" t="n">
        <v>247887481.19</v>
      </c>
      <c r="G69" t="n">
        <v>28927.8767</v>
      </c>
      <c r="H69" t="n">
        <v>5447.4423</v>
      </c>
      <c r="I69" t="n">
        <v>5966.9615</v>
      </c>
      <c r="J69" t="n">
        <v>17948.5245</v>
      </c>
      <c r="K69" t="n">
        <v>2019</v>
      </c>
      <c r="L69" t="n">
        <v>2030</v>
      </c>
      <c r="M69" t="n">
        <v>0.5673</v>
      </c>
      <c r="N69" t="n">
        <v>0.2314</v>
      </c>
      <c r="O69" t="n">
        <v>2019</v>
      </c>
      <c r="P69" t="n">
        <v>2035</v>
      </c>
      <c r="Q69" t="n">
        <v>0.5229</v>
      </c>
      <c r="R69" t="n">
        <v>506.3191</v>
      </c>
      <c r="S69" t="n">
        <v>0.00100149</v>
      </c>
      <c r="T69" t="n">
        <v>0.00047124</v>
      </c>
      <c r="U69" t="n">
        <v>28927.8767</v>
      </c>
      <c r="V69" t="inlineStr">
        <is>
          <t>Provided Total Emissions</t>
        </is>
      </c>
      <c r="W69" t="b">
        <v>1</v>
      </c>
      <c r="X69" t="n">
        <v>30152.4372</v>
      </c>
      <c r="Y69" t="n">
        <v>116814.4966</v>
      </c>
      <c r="Z69" t="n">
        <v>1224.5605</v>
      </c>
      <c r="AA69" t="n">
        <v>87886.61990000001</v>
      </c>
      <c r="AB69" t="n">
        <v>0.042332</v>
      </c>
      <c r="AC69" t="n">
        <v>3.038129</v>
      </c>
      <c r="AD69" t="inlineStr">
        <is>
          <t>High</t>
        </is>
      </c>
      <c r="AE69" t="inlineStr">
        <is>
          <t>None</t>
        </is>
      </c>
      <c r="AF69" t="n">
        <v>0.95</v>
      </c>
      <c r="AG69" t="inlineStr">
        <is>
          <t>Valid</t>
        </is>
      </c>
    </row>
    <row r="70">
      <c r="A70" t="inlineStr">
        <is>
          <t>SUP-0007</t>
        </is>
      </c>
      <c r="B70" t="inlineStr">
        <is>
          <t>Chemicals Supplier 007</t>
        </is>
      </c>
      <c r="C70" t="inlineStr">
        <is>
          <t>Chemicals</t>
        </is>
      </c>
      <c r="D70" t="n">
        <v>2023</v>
      </c>
      <c r="E70" t="n">
        <v>34544558.59</v>
      </c>
      <c r="F70" t="n">
        <v>212344917.76</v>
      </c>
      <c r="G70" t="n">
        <v>26732.4761</v>
      </c>
      <c r="H70" t="n">
        <v>4377.8896</v>
      </c>
      <c r="I70" t="n">
        <v>2021.8906</v>
      </c>
      <c r="J70" t="n">
        <v>20042.7884</v>
      </c>
      <c r="K70" t="n">
        <v>2019</v>
      </c>
      <c r="L70" t="n">
        <v>2030</v>
      </c>
      <c r="M70" t="n">
        <v>0.5673</v>
      </c>
      <c r="N70" t="n">
        <v>0.2314</v>
      </c>
      <c r="O70" t="n">
        <v>2019</v>
      </c>
      <c r="P70" t="n">
        <v>2035</v>
      </c>
      <c r="Q70" t="n">
        <v>0.5229</v>
      </c>
      <c r="R70" t="n">
        <v>506.3191</v>
      </c>
      <c r="S70" t="n">
        <v>0.00100149</v>
      </c>
      <c r="T70" t="n">
        <v>0.00047124</v>
      </c>
      <c r="U70" t="n">
        <v>26732.4761</v>
      </c>
      <c r="V70" t="inlineStr">
        <is>
          <t>Provided Total Emissions</t>
        </is>
      </c>
      <c r="W70" t="b">
        <v>1</v>
      </c>
      <c r="X70" t="n">
        <v>34596.03</v>
      </c>
      <c r="Y70" t="n">
        <v>100065.419</v>
      </c>
      <c r="Z70" t="n">
        <v>7863.5539</v>
      </c>
      <c r="AA70" t="n">
        <v>73332.94289999999</v>
      </c>
      <c r="AB70" t="n">
        <v>0.294157</v>
      </c>
      <c r="AC70" t="n">
        <v>2.743216</v>
      </c>
      <c r="AD70" t="inlineStr">
        <is>
          <t>High</t>
        </is>
      </c>
      <c r="AE70" t="inlineStr">
        <is>
          <t>None</t>
        </is>
      </c>
      <c r="AF70" t="n">
        <v>0.95</v>
      </c>
      <c r="AG70" t="inlineStr">
        <is>
          <t>Valid</t>
        </is>
      </c>
    </row>
    <row r="71">
      <c r="A71" t="inlineStr">
        <is>
          <t>SUP-0007</t>
        </is>
      </c>
      <c r="B71" t="inlineStr">
        <is>
          <t>Chemicals Supplier 007</t>
        </is>
      </c>
      <c r="C71" t="inlineStr">
        <is>
          <t>Chemicals</t>
        </is>
      </c>
      <c r="D71" t="n">
        <v>2024</v>
      </c>
      <c r="E71" t="n">
        <v>40236055.73</v>
      </c>
      <c r="F71" t="n">
        <v>391577893.99</v>
      </c>
      <c r="G71" t="n">
        <v>38148.1199</v>
      </c>
      <c r="H71" t="n">
        <v>8103.1886</v>
      </c>
      <c r="I71" t="n">
        <v>3254.2091</v>
      </c>
      <c r="J71" t="n">
        <v>25070.6768</v>
      </c>
      <c r="K71" t="n">
        <v>2019</v>
      </c>
      <c r="L71" t="n">
        <v>2030</v>
      </c>
      <c r="M71" t="n">
        <v>0.5673</v>
      </c>
      <c r="N71" t="n">
        <v>0.2314</v>
      </c>
      <c r="O71" t="n">
        <v>2019</v>
      </c>
      <c r="P71" t="n">
        <v>2035</v>
      </c>
      <c r="Q71" t="n">
        <v>0.5229</v>
      </c>
      <c r="R71" t="n">
        <v>506.3191</v>
      </c>
      <c r="S71" t="n">
        <v>0.00100149</v>
      </c>
      <c r="T71" t="n">
        <v>0.00047124</v>
      </c>
      <c r="U71" t="n">
        <v>38148.1199</v>
      </c>
      <c r="V71" t="inlineStr">
        <is>
          <t>Provided Total Emissions</t>
        </is>
      </c>
      <c r="W71" t="b">
        <v>1</v>
      </c>
      <c r="X71" t="n">
        <v>40296.0075</v>
      </c>
      <c r="Y71" t="n">
        <v>184527.1668</v>
      </c>
      <c r="Z71" t="n">
        <v>2147.8876</v>
      </c>
      <c r="AA71" t="n">
        <v>146379.0469</v>
      </c>
      <c r="AB71" t="n">
        <v>0.056304</v>
      </c>
      <c r="AC71" t="n">
        <v>3.837123</v>
      </c>
      <c r="AD71" t="inlineStr">
        <is>
          <t>High</t>
        </is>
      </c>
      <c r="AE71" t="inlineStr">
        <is>
          <t>None</t>
        </is>
      </c>
      <c r="AF71" t="n">
        <v>0.95</v>
      </c>
      <c r="AG71" t="inlineStr">
        <is>
          <t>Valid</t>
        </is>
      </c>
    </row>
    <row r="72">
      <c r="A72" t="inlineStr">
        <is>
          <t>SUP-0008</t>
        </is>
      </c>
      <c r="B72" t="inlineStr">
        <is>
          <t>Electronics Supplier 008</t>
        </is>
      </c>
      <c r="C72" t="inlineStr">
        <is>
          <t>Electronics</t>
        </is>
      </c>
      <c r="D72" t="n">
        <v>2015</v>
      </c>
      <c r="E72" t="n">
        <v>10624481.24</v>
      </c>
      <c r="F72" t="n">
        <v>60069851.45</v>
      </c>
      <c r="G72" t="n">
        <v>7692.1155</v>
      </c>
      <c r="H72" t="n">
        <v>1902.3197</v>
      </c>
      <c r="I72" t="n">
        <v>1708.1663</v>
      </c>
      <c r="J72" t="n">
        <v>4549.5684</v>
      </c>
      <c r="K72" t="inlineStr"/>
      <c r="L72" t="inlineStr"/>
      <c r="M72" t="inlineStr"/>
      <c r="N72" t="inlineStr"/>
      <c r="O72" t="n">
        <v>2018</v>
      </c>
      <c r="P72" t="n">
        <v>2040</v>
      </c>
      <c r="Q72" t="n">
        <v>0.3424</v>
      </c>
      <c r="R72" t="n">
        <v>635.1588</v>
      </c>
      <c r="S72" t="n">
        <v>0.00086105</v>
      </c>
      <c r="T72" t="n">
        <v>0.00013947</v>
      </c>
      <c r="U72" t="n">
        <v>7692.1155</v>
      </c>
      <c r="V72" t="inlineStr">
        <is>
          <t>Provided Total Emissions</t>
        </is>
      </c>
      <c r="W72" t="b">
        <v>1</v>
      </c>
      <c r="X72" t="n">
        <v>9148.2096</v>
      </c>
      <c r="Y72" t="n">
        <v>8377.9422</v>
      </c>
      <c r="Z72" t="n">
        <v>1456.0941</v>
      </c>
      <c r="AA72" t="n">
        <v>685.8267</v>
      </c>
      <c r="AB72" t="n">
        <v>0.189297</v>
      </c>
      <c r="AC72" t="n">
        <v>0.08916</v>
      </c>
      <c r="AD72" t="inlineStr">
        <is>
          <t>High</t>
        </is>
      </c>
      <c r="AE72" t="inlineStr">
        <is>
          <t>None</t>
        </is>
      </c>
      <c r="AF72" t="n">
        <v>0.95</v>
      </c>
      <c r="AG72" t="inlineStr">
        <is>
          <t>Valid</t>
        </is>
      </c>
    </row>
    <row r="73">
      <c r="A73" t="inlineStr">
        <is>
          <t>SUP-0008</t>
        </is>
      </c>
      <c r="B73" t="inlineStr">
        <is>
          <t>Electronics Supplier 008</t>
        </is>
      </c>
      <c r="C73" t="inlineStr">
        <is>
          <t>Electronics</t>
        </is>
      </c>
      <c r="D73" t="n">
        <v>2016</v>
      </c>
      <c r="E73" t="n">
        <v>11862504.75</v>
      </c>
      <c r="F73" t="n">
        <v>56349929.7</v>
      </c>
      <c r="G73" t="n">
        <v>7808.3116</v>
      </c>
      <c r="H73" t="n">
        <v>2207.2186</v>
      </c>
      <c r="I73" t="n">
        <v>1636.7816</v>
      </c>
      <c r="J73" t="n">
        <v>4092.6678</v>
      </c>
      <c r="K73" t="inlineStr"/>
      <c r="L73" t="inlineStr"/>
      <c r="M73" t="inlineStr"/>
      <c r="N73" t="inlineStr"/>
      <c r="O73" t="n">
        <v>2018</v>
      </c>
      <c r="P73" t="n">
        <v>2040</v>
      </c>
      <c r="Q73" t="n">
        <v>0.3424</v>
      </c>
      <c r="R73" t="n">
        <v>635.1588</v>
      </c>
      <c r="S73" t="n">
        <v>0.00086105</v>
      </c>
      <c r="T73" t="n">
        <v>0.00013947</v>
      </c>
      <c r="U73" t="n">
        <v>7808.3116</v>
      </c>
      <c r="V73" t="inlineStr">
        <is>
          <t>Provided Total Emissions</t>
        </is>
      </c>
      <c r="W73" t="b">
        <v>1</v>
      </c>
      <c r="X73" t="n">
        <v>10214.2097</v>
      </c>
      <c r="Y73" t="n">
        <v>7859.1247</v>
      </c>
      <c r="Z73" t="n">
        <v>2405.8981</v>
      </c>
      <c r="AA73" t="n">
        <v>50.8131</v>
      </c>
      <c r="AB73" t="n">
        <v>0.30812</v>
      </c>
      <c r="AC73" t="n">
        <v>0.006508</v>
      </c>
      <c r="AD73" t="inlineStr">
        <is>
          <t>High</t>
        </is>
      </c>
      <c r="AE73" t="inlineStr">
        <is>
          <t>None</t>
        </is>
      </c>
      <c r="AF73" t="n">
        <v>0.95</v>
      </c>
      <c r="AG73" t="inlineStr">
        <is>
          <t>Valid</t>
        </is>
      </c>
    </row>
    <row r="74">
      <c r="A74" t="inlineStr">
        <is>
          <t>SUP-0008</t>
        </is>
      </c>
      <c r="B74" t="inlineStr">
        <is>
          <t>Electronics Supplier 008</t>
        </is>
      </c>
      <c r="C74" t="inlineStr">
        <is>
          <t>Electronics</t>
        </is>
      </c>
      <c r="D74" t="n">
        <v>2017</v>
      </c>
      <c r="E74" t="n">
        <v>11827144.76</v>
      </c>
      <c r="F74" t="n">
        <v>46870852.57</v>
      </c>
      <c r="G74" t="n">
        <v>8592.168799999999</v>
      </c>
      <c r="H74" t="n">
        <v>2119.3457</v>
      </c>
      <c r="I74" t="n">
        <v>725.9315</v>
      </c>
      <c r="J74" t="n">
        <v>5728.2689</v>
      </c>
      <c r="K74" t="inlineStr"/>
      <c r="L74" t="inlineStr"/>
      <c r="M74" t="inlineStr"/>
      <c r="N74" t="inlineStr"/>
      <c r="O74" t="n">
        <v>2018</v>
      </c>
      <c r="P74" t="n">
        <v>2040</v>
      </c>
      <c r="Q74" t="n">
        <v>0.3424</v>
      </c>
      <c r="R74" t="n">
        <v>635.1588</v>
      </c>
      <c r="S74" t="n">
        <v>0.00086105</v>
      </c>
      <c r="T74" t="n">
        <v>0.00013947</v>
      </c>
      <c r="U74" t="n">
        <v>8592.168799999999</v>
      </c>
      <c r="V74" t="inlineStr">
        <is>
          <t>Provided Total Emissions</t>
        </is>
      </c>
      <c r="W74" t="b">
        <v>1</v>
      </c>
      <c r="X74" t="n">
        <v>10183.763</v>
      </c>
      <c r="Y74" t="n">
        <v>6537.0778</v>
      </c>
      <c r="Z74" t="n">
        <v>1591.5942</v>
      </c>
      <c r="AA74" t="n">
        <v>-2055.091</v>
      </c>
      <c r="AB74" t="n">
        <v>0.185238</v>
      </c>
      <c r="AC74" t="n">
        <v>-0.239182</v>
      </c>
      <c r="AD74" t="inlineStr">
        <is>
          <t>High</t>
        </is>
      </c>
      <c r="AE74" t="inlineStr">
        <is>
          <t>None</t>
        </is>
      </c>
      <c r="AF74" t="n">
        <v>0.95</v>
      </c>
      <c r="AG74" t="inlineStr">
        <is>
          <t>Valid</t>
        </is>
      </c>
    </row>
    <row r="75">
      <c r="A75" t="inlineStr">
        <is>
          <t>SUP-0008</t>
        </is>
      </c>
      <c r="B75" t="inlineStr">
        <is>
          <t>Electronics Supplier 008</t>
        </is>
      </c>
      <c r="C75" t="inlineStr">
        <is>
          <t>Electronics</t>
        </is>
      </c>
      <c r="D75" t="n">
        <v>2018</v>
      </c>
      <c r="E75" t="n">
        <v>11986808.2</v>
      </c>
      <c r="F75" t="n">
        <v>43626550.43</v>
      </c>
      <c r="G75" t="n">
        <v>9649.1625</v>
      </c>
      <c r="H75" t="n">
        <v>1058.2974</v>
      </c>
      <c r="I75" t="n">
        <v>1022.0185</v>
      </c>
      <c r="J75" t="n">
        <v>7483.9018</v>
      </c>
      <c r="K75" t="inlineStr"/>
      <c r="L75" t="inlineStr"/>
      <c r="M75" t="inlineStr"/>
      <c r="N75" t="inlineStr"/>
      <c r="O75" t="n">
        <v>2018</v>
      </c>
      <c r="P75" t="n">
        <v>2040</v>
      </c>
      <c r="Q75" t="n">
        <v>0.3424</v>
      </c>
      <c r="R75" t="n">
        <v>635.1588</v>
      </c>
      <c r="S75" t="n">
        <v>0.00086105</v>
      </c>
      <c r="T75" t="n">
        <v>0.00013947</v>
      </c>
      <c r="U75" t="n">
        <v>9649.1625</v>
      </c>
      <c r="V75" t="inlineStr">
        <is>
          <t>Provided Total Emissions</t>
        </is>
      </c>
      <c r="W75" t="b">
        <v>1</v>
      </c>
      <c r="X75" t="n">
        <v>10321.2412</v>
      </c>
      <c r="Y75" t="n">
        <v>6084.595</v>
      </c>
      <c r="Z75" t="n">
        <v>672.0787</v>
      </c>
      <c r="AA75" t="n">
        <v>-3564.5675</v>
      </c>
      <c r="AB75" t="n">
        <v>0.06965200000000001</v>
      </c>
      <c r="AC75" t="n">
        <v>-0.369417</v>
      </c>
      <c r="AD75" t="inlineStr">
        <is>
          <t>High</t>
        </is>
      </c>
      <c r="AE75" t="inlineStr">
        <is>
          <t>None</t>
        </is>
      </c>
      <c r="AF75" t="n">
        <v>0.95</v>
      </c>
      <c r="AG75" t="inlineStr">
        <is>
          <t>Valid</t>
        </is>
      </c>
    </row>
    <row r="76">
      <c r="A76" t="inlineStr">
        <is>
          <t>SUP-0008</t>
        </is>
      </c>
      <c r="B76" t="inlineStr">
        <is>
          <t>Electronics Supplier 008</t>
        </is>
      </c>
      <c r="C76" t="inlineStr">
        <is>
          <t>Electronics</t>
        </is>
      </c>
      <c r="D76" t="n">
        <v>2019</v>
      </c>
      <c r="E76" t="n">
        <v>11751172.52</v>
      </c>
      <c r="F76" t="n">
        <v>49726885.47</v>
      </c>
      <c r="G76" t="n">
        <v>7042.4943</v>
      </c>
      <c r="H76" t="n">
        <v>712.5672</v>
      </c>
      <c r="I76" t="n">
        <v>1252.4349</v>
      </c>
      <c r="J76" t="n">
        <v>4744.897</v>
      </c>
      <c r="K76" t="inlineStr"/>
      <c r="L76" t="inlineStr"/>
      <c r="M76" t="inlineStr"/>
      <c r="N76" t="inlineStr"/>
      <c r="O76" t="n">
        <v>2018</v>
      </c>
      <c r="P76" t="n">
        <v>2040</v>
      </c>
      <c r="Q76" t="n">
        <v>0.3424</v>
      </c>
      <c r="R76" t="n">
        <v>635.1588</v>
      </c>
      <c r="S76" t="n">
        <v>0.00086105</v>
      </c>
      <c r="T76" t="n">
        <v>0.00013947</v>
      </c>
      <c r="U76" t="n">
        <v>7042.4943</v>
      </c>
      <c r="V76" t="inlineStr">
        <is>
          <t>Provided Total Emissions</t>
        </is>
      </c>
      <c r="W76" t="b">
        <v>1</v>
      </c>
      <c r="X76" t="n">
        <v>10118.3471</v>
      </c>
      <c r="Y76" t="n">
        <v>6935.4087</v>
      </c>
      <c r="Z76" t="n">
        <v>3075.8528</v>
      </c>
      <c r="AA76" t="n">
        <v>-107.0856</v>
      </c>
      <c r="AB76" t="n">
        <v>0.436756</v>
      </c>
      <c r="AC76" t="n">
        <v>-0.015206</v>
      </c>
      <c r="AD76" t="inlineStr">
        <is>
          <t>High</t>
        </is>
      </c>
      <c r="AE76" t="inlineStr">
        <is>
          <t>None</t>
        </is>
      </c>
      <c r="AF76" t="n">
        <v>0.95</v>
      </c>
      <c r="AG76" t="inlineStr">
        <is>
          <t>Valid</t>
        </is>
      </c>
    </row>
    <row r="77">
      <c r="A77" t="inlineStr">
        <is>
          <t>SUP-0008</t>
        </is>
      </c>
      <c r="B77" t="inlineStr">
        <is>
          <t>Electronics Supplier 008</t>
        </is>
      </c>
      <c r="C77" t="inlineStr">
        <is>
          <t>Electronics</t>
        </is>
      </c>
      <c r="D77" t="n">
        <v>2020</v>
      </c>
      <c r="E77" t="n">
        <v>8380077.54</v>
      </c>
      <c r="F77" t="n">
        <v>57275326.51</v>
      </c>
      <c r="G77" t="n">
        <v>5534.716</v>
      </c>
      <c r="H77" t="n">
        <v>907.8883</v>
      </c>
      <c r="I77" t="n">
        <v>681.6273</v>
      </c>
      <c r="J77" t="n">
        <v>4207.5174</v>
      </c>
      <c r="K77" t="inlineStr"/>
      <c r="L77" t="inlineStr"/>
      <c r="M77" t="inlineStr"/>
      <c r="N77" t="inlineStr"/>
      <c r="O77" t="n">
        <v>2018</v>
      </c>
      <c r="P77" t="n">
        <v>2040</v>
      </c>
      <c r="Q77" t="n">
        <v>0.3424</v>
      </c>
      <c r="R77" t="n">
        <v>635.1588</v>
      </c>
      <c r="S77" t="n">
        <v>0.00086105</v>
      </c>
      <c r="T77" t="n">
        <v>0.00013947</v>
      </c>
      <c r="U77" t="n">
        <v>5534.716</v>
      </c>
      <c r="V77" t="inlineStr">
        <is>
          <t>Provided Total Emissions</t>
        </is>
      </c>
      <c r="W77" t="b">
        <v>1</v>
      </c>
      <c r="X77" t="n">
        <v>7215.6658</v>
      </c>
      <c r="Y77" t="n">
        <v>7988.1898</v>
      </c>
      <c r="Z77" t="n">
        <v>1680.9498</v>
      </c>
      <c r="AA77" t="n">
        <v>2453.4738</v>
      </c>
      <c r="AB77" t="n">
        <v>0.30371</v>
      </c>
      <c r="AC77" t="n">
        <v>0.443288</v>
      </c>
      <c r="AD77" t="inlineStr">
        <is>
          <t>High</t>
        </is>
      </c>
      <c r="AE77" t="inlineStr">
        <is>
          <t>None</t>
        </is>
      </c>
      <c r="AF77" t="n">
        <v>0.95</v>
      </c>
      <c r="AG77" t="inlineStr">
        <is>
          <t>Valid</t>
        </is>
      </c>
    </row>
    <row r="78">
      <c r="A78" t="inlineStr">
        <is>
          <t>SUP-0008</t>
        </is>
      </c>
      <c r="B78" t="inlineStr">
        <is>
          <t>Electronics Supplier 008</t>
        </is>
      </c>
      <c r="C78" t="inlineStr">
        <is>
          <t>Electronics</t>
        </is>
      </c>
      <c r="D78" t="n">
        <v>2021</v>
      </c>
      <c r="E78" t="n">
        <v>11998429.8</v>
      </c>
      <c r="F78" t="n">
        <v>46173492.57</v>
      </c>
      <c r="G78" t="n">
        <v>8338.796</v>
      </c>
      <c r="H78" t="n">
        <v>1090.1023</v>
      </c>
      <c r="I78" t="n">
        <v>1899.408</v>
      </c>
      <c r="J78" t="n">
        <v>5957.6603</v>
      </c>
      <c r="K78" t="inlineStr"/>
      <c r="L78" t="inlineStr"/>
      <c r="M78" t="inlineStr"/>
      <c r="N78" t="inlineStr"/>
      <c r="O78" t="n">
        <v>2018</v>
      </c>
      <c r="P78" t="n">
        <v>2040</v>
      </c>
      <c r="Q78" t="n">
        <v>0.3424</v>
      </c>
      <c r="R78" t="n">
        <v>635.1588</v>
      </c>
      <c r="S78" t="n">
        <v>0.00086105</v>
      </c>
      <c r="T78" t="n">
        <v>0.00013947</v>
      </c>
      <c r="U78" t="n">
        <v>8338.796</v>
      </c>
      <c r="V78" t="inlineStr">
        <is>
          <t>Provided Total Emissions</t>
        </is>
      </c>
      <c r="W78" t="b">
        <v>1</v>
      </c>
      <c r="X78" t="n">
        <v>10331.248</v>
      </c>
      <c r="Y78" t="n">
        <v>6439.817</v>
      </c>
      <c r="Z78" t="n">
        <v>1992.452</v>
      </c>
      <c r="AA78" t="n">
        <v>-1898.979</v>
      </c>
      <c r="AB78" t="n">
        <v>0.238938</v>
      </c>
      <c r="AC78" t="n">
        <v>-0.227728</v>
      </c>
      <c r="AD78" t="inlineStr">
        <is>
          <t>High</t>
        </is>
      </c>
      <c r="AE78" t="inlineStr">
        <is>
          <t>None</t>
        </is>
      </c>
      <c r="AF78" t="n">
        <v>0.95</v>
      </c>
      <c r="AG78" t="inlineStr">
        <is>
          <t>Valid</t>
        </is>
      </c>
    </row>
    <row r="79">
      <c r="A79" t="inlineStr">
        <is>
          <t>SUP-0008</t>
        </is>
      </c>
      <c r="B79" t="inlineStr">
        <is>
          <t>Electronics Supplier 008</t>
        </is>
      </c>
      <c r="C79" t="inlineStr">
        <is>
          <t>Electronics</t>
        </is>
      </c>
      <c r="D79" t="n">
        <v>2022</v>
      </c>
      <c r="E79" t="n">
        <v>10313656.57</v>
      </c>
      <c r="F79" t="n">
        <v>59237767.14</v>
      </c>
      <c r="G79" t="n">
        <v>6895.9299</v>
      </c>
      <c r="H79" t="n">
        <v>810.4514</v>
      </c>
      <c r="I79" t="n">
        <v>1040.0913</v>
      </c>
      <c r="J79" t="n">
        <v>4931.4945</v>
      </c>
      <c r="K79" t="inlineStr"/>
      <c r="L79" t="inlineStr"/>
      <c r="M79" t="inlineStr"/>
      <c r="N79" t="inlineStr"/>
      <c r="O79" t="n">
        <v>2018</v>
      </c>
      <c r="P79" t="n">
        <v>2040</v>
      </c>
      <c r="Q79" t="n">
        <v>0.3424</v>
      </c>
      <c r="R79" t="n">
        <v>635.1588</v>
      </c>
      <c r="S79" t="n">
        <v>0.00086105</v>
      </c>
      <c r="T79" t="n">
        <v>0.00013947</v>
      </c>
      <c r="U79" t="n">
        <v>6895.9299</v>
      </c>
      <c r="V79" t="inlineStr">
        <is>
          <t>Provided Total Emissions</t>
        </is>
      </c>
      <c r="W79" t="b">
        <v>1</v>
      </c>
      <c r="X79" t="n">
        <v>8880.574000000001</v>
      </c>
      <c r="Y79" t="n">
        <v>8261.8914</v>
      </c>
      <c r="Z79" t="n">
        <v>1984.6441</v>
      </c>
      <c r="AA79" t="n">
        <v>1365.9615</v>
      </c>
      <c r="AB79" t="n">
        <v>0.287799</v>
      </c>
      <c r="AC79" t="n">
        <v>0.198082</v>
      </c>
      <c r="AD79" t="inlineStr">
        <is>
          <t>High</t>
        </is>
      </c>
      <c r="AE79" t="inlineStr">
        <is>
          <t>None</t>
        </is>
      </c>
      <c r="AF79" t="n">
        <v>0.95</v>
      </c>
      <c r="AG79" t="inlineStr">
        <is>
          <t>Valid</t>
        </is>
      </c>
    </row>
    <row r="80">
      <c r="A80" t="inlineStr">
        <is>
          <t>SUP-0008</t>
        </is>
      </c>
      <c r="B80" t="inlineStr">
        <is>
          <t>Electronics Supplier 008</t>
        </is>
      </c>
      <c r="C80" t="inlineStr">
        <is>
          <t>Electronics</t>
        </is>
      </c>
      <c r="D80" t="n">
        <v>2023</v>
      </c>
      <c r="E80" t="n">
        <v>12311517.55</v>
      </c>
      <c r="F80" t="n">
        <v>41003568.29</v>
      </c>
      <c r="G80" t="n">
        <v>9857.748</v>
      </c>
      <c r="H80" t="n">
        <v>1571.3756</v>
      </c>
      <c r="I80" t="n">
        <v>755.4136</v>
      </c>
      <c r="J80" t="n">
        <v>7862.9255</v>
      </c>
      <c r="K80" t="inlineStr"/>
      <c r="L80" t="inlineStr"/>
      <c r="M80" t="inlineStr"/>
      <c r="N80" t="inlineStr"/>
      <c r="O80" t="n">
        <v>2018</v>
      </c>
      <c r="P80" t="n">
        <v>2040</v>
      </c>
      <c r="Q80" t="n">
        <v>0.3424</v>
      </c>
      <c r="R80" t="n">
        <v>635.1588</v>
      </c>
      <c r="S80" t="n">
        <v>0.00086105</v>
      </c>
      <c r="T80" t="n">
        <v>0.00013947</v>
      </c>
      <c r="U80" t="n">
        <v>9857.748</v>
      </c>
      <c r="V80" t="inlineStr">
        <is>
          <t>Provided Total Emissions</t>
        </is>
      </c>
      <c r="W80" t="b">
        <v>1</v>
      </c>
      <c r="X80" t="n">
        <v>10600.8322</v>
      </c>
      <c r="Y80" t="n">
        <v>5718.7677</v>
      </c>
      <c r="Z80" t="n">
        <v>743.0842</v>
      </c>
      <c r="AA80" t="n">
        <v>-4138.9803</v>
      </c>
      <c r="AB80" t="n">
        <v>0.075381</v>
      </c>
      <c r="AC80" t="n">
        <v>-0.419871</v>
      </c>
      <c r="AD80" t="inlineStr">
        <is>
          <t>High</t>
        </is>
      </c>
      <c r="AE80" t="inlineStr">
        <is>
          <t>None</t>
        </is>
      </c>
      <c r="AF80" t="n">
        <v>0.95</v>
      </c>
      <c r="AG80" t="inlineStr">
        <is>
          <t>Valid</t>
        </is>
      </c>
    </row>
    <row r="81">
      <c r="A81" t="inlineStr">
        <is>
          <t>SUP-0008</t>
        </is>
      </c>
      <c r="B81" t="inlineStr">
        <is>
          <t>Electronics Supplier 008</t>
        </is>
      </c>
      <c r="C81" t="inlineStr">
        <is>
          <t>Electronics</t>
        </is>
      </c>
      <c r="D81" t="n">
        <v>2024</v>
      </c>
      <c r="E81" t="n">
        <v>10136751.16</v>
      </c>
      <c r="F81" t="n">
        <v>51404567.9</v>
      </c>
      <c r="G81" t="n">
        <v>8452.0805</v>
      </c>
      <c r="H81" t="n">
        <v>1771.538</v>
      </c>
      <c r="I81" t="n">
        <v>1414.0394</v>
      </c>
      <c r="J81" t="n">
        <v>5202.7566</v>
      </c>
      <c r="K81" t="inlineStr"/>
      <c r="L81" t="inlineStr"/>
      <c r="M81" t="inlineStr"/>
      <c r="N81" t="inlineStr"/>
      <c r="O81" t="n">
        <v>2018</v>
      </c>
      <c r="P81" t="n">
        <v>2040</v>
      </c>
      <c r="Q81" t="n">
        <v>0.3424</v>
      </c>
      <c r="R81" t="n">
        <v>635.1588</v>
      </c>
      <c r="S81" t="n">
        <v>0.00086105</v>
      </c>
      <c r="T81" t="n">
        <v>0.00013947</v>
      </c>
      <c r="U81" t="n">
        <v>8452.0805</v>
      </c>
      <c r="V81" t="inlineStr">
        <is>
          <t>Provided Total Emissions</t>
        </is>
      </c>
      <c r="W81" t="b">
        <v>1</v>
      </c>
      <c r="X81" t="n">
        <v>8728.249599999999</v>
      </c>
      <c r="Y81" t="n">
        <v>7169.3951</v>
      </c>
      <c r="Z81" t="n">
        <v>276.1691</v>
      </c>
      <c r="AA81" t="n">
        <v>-1282.6854</v>
      </c>
      <c r="AB81" t="n">
        <v>0.032675</v>
      </c>
      <c r="AC81" t="n">
        <v>-0.15176</v>
      </c>
      <c r="AD81" t="inlineStr">
        <is>
          <t>High</t>
        </is>
      </c>
      <c r="AE81" t="inlineStr">
        <is>
          <t>None</t>
        </is>
      </c>
      <c r="AF81" t="n">
        <v>0.95</v>
      </c>
      <c r="AG81" t="inlineStr">
        <is>
          <t>Valid</t>
        </is>
      </c>
    </row>
    <row r="82">
      <c r="A82" t="inlineStr">
        <is>
          <t>SUP-0009</t>
        </is>
      </c>
      <c r="B82" t="inlineStr">
        <is>
          <t>Professional Supplier 009</t>
        </is>
      </c>
      <c r="C82" t="inlineStr">
        <is>
          <t>Professional Services</t>
        </is>
      </c>
      <c r="D82" t="n">
        <v>2015</v>
      </c>
      <c r="E82" t="n">
        <v>22601661.17</v>
      </c>
      <c r="F82" t="n">
        <v>40888573.8</v>
      </c>
      <c r="G82" t="n">
        <v>1814.6604</v>
      </c>
      <c r="H82" t="n">
        <v>323.9482</v>
      </c>
      <c r="I82" t="n">
        <v>222.9706</v>
      </c>
      <c r="J82" t="n">
        <v>1326.9178</v>
      </c>
      <c r="K82" t="inlineStr"/>
      <c r="L82" t="inlineStr"/>
      <c r="M82" t="inlineStr"/>
      <c r="N82" t="inlineStr"/>
      <c r="O82" t="n">
        <v>2020</v>
      </c>
      <c r="P82" t="inlineStr"/>
      <c r="Q82" t="inlineStr"/>
      <c r="R82" t="n">
        <v>400.0326</v>
      </c>
      <c r="S82" t="n">
        <v>0.00012906</v>
      </c>
      <c r="T82" t="n">
        <v>0.00019658</v>
      </c>
      <c r="U82" t="n">
        <v>1814.6604</v>
      </c>
      <c r="V82" t="inlineStr">
        <is>
          <t>Provided Total Emissions</t>
        </is>
      </c>
      <c r="W82" t="b">
        <v>1</v>
      </c>
      <c r="X82" t="n">
        <v>2916.9704</v>
      </c>
      <c r="Y82" t="n">
        <v>8037.8758</v>
      </c>
      <c r="Z82" t="n">
        <v>1102.31</v>
      </c>
      <c r="AA82" t="n">
        <v>6223.2154</v>
      </c>
      <c r="AB82" t="n">
        <v>0.607447</v>
      </c>
      <c r="AC82" t="n">
        <v>3.429411</v>
      </c>
      <c r="AD82" t="inlineStr">
        <is>
          <t>High</t>
        </is>
      </c>
      <c r="AE82" t="inlineStr">
        <is>
          <t>None</t>
        </is>
      </c>
      <c r="AF82" t="n">
        <v>0.95</v>
      </c>
      <c r="AG82" t="inlineStr">
        <is>
          <t>Valid</t>
        </is>
      </c>
    </row>
    <row r="83">
      <c r="A83" t="inlineStr">
        <is>
          <t>SUP-0009</t>
        </is>
      </c>
      <c r="B83" t="inlineStr">
        <is>
          <t>Professional Supplier 009</t>
        </is>
      </c>
      <c r="C83" t="inlineStr">
        <is>
          <t>Professional Services</t>
        </is>
      </c>
      <c r="D83" t="n">
        <v>2016</v>
      </c>
      <c r="E83" t="n">
        <v>28610690.73</v>
      </c>
      <c r="F83" t="n">
        <v>69516036.77</v>
      </c>
      <c r="G83" t="n">
        <v>2704.8967</v>
      </c>
      <c r="H83" t="n">
        <v>454.2475</v>
      </c>
      <c r="I83" t="n">
        <v>177.3982</v>
      </c>
      <c r="J83" t="n">
        <v>1906.7101</v>
      </c>
      <c r="K83" t="inlineStr"/>
      <c r="L83" t="inlineStr"/>
      <c r="M83" t="inlineStr"/>
      <c r="N83" t="inlineStr"/>
      <c r="O83" t="n">
        <v>2020</v>
      </c>
      <c r="P83" t="inlineStr"/>
      <c r="Q83" t="inlineStr"/>
      <c r="R83" t="n">
        <v>400.0326</v>
      </c>
      <c r="S83" t="n">
        <v>0.00012906</v>
      </c>
      <c r="T83" t="n">
        <v>0.00019658</v>
      </c>
      <c r="U83" t="n">
        <v>2704.8967</v>
      </c>
      <c r="V83" t="inlineStr">
        <is>
          <t>Provided Total Emissions</t>
        </is>
      </c>
      <c r="W83" t="b">
        <v>1</v>
      </c>
      <c r="X83" t="n">
        <v>3692.4957</v>
      </c>
      <c r="Y83" t="n">
        <v>13665.4625</v>
      </c>
      <c r="Z83" t="n">
        <v>987.599</v>
      </c>
      <c r="AA83" t="n">
        <v>10960.5658</v>
      </c>
      <c r="AB83" t="n">
        <v>0.365115</v>
      </c>
      <c r="AC83" t="n">
        <v>4.05212</v>
      </c>
      <c r="AD83" t="inlineStr">
        <is>
          <t>High</t>
        </is>
      </c>
      <c r="AE83" t="inlineStr">
        <is>
          <t>None</t>
        </is>
      </c>
      <c r="AF83" t="n">
        <v>0.95</v>
      </c>
      <c r="AG83" t="inlineStr">
        <is>
          <t>Valid</t>
        </is>
      </c>
    </row>
    <row r="84">
      <c r="A84" t="inlineStr">
        <is>
          <t>SUP-0009</t>
        </is>
      </c>
      <c r="B84" t="inlineStr">
        <is>
          <t>Professional Supplier 009</t>
        </is>
      </c>
      <c r="C84" t="inlineStr">
        <is>
          <t>Professional Services</t>
        </is>
      </c>
      <c r="D84" t="n">
        <v>2017</v>
      </c>
      <c r="E84" t="n">
        <v>29408890.7</v>
      </c>
      <c r="F84" t="n">
        <v>62459512.22</v>
      </c>
      <c r="G84" t="n">
        <v>3359.7671</v>
      </c>
      <c r="H84" t="n">
        <v>671.8822</v>
      </c>
      <c r="I84" t="n">
        <v>527.4786</v>
      </c>
      <c r="J84" t="n">
        <v>2031.4469</v>
      </c>
      <c r="K84" t="inlineStr"/>
      <c r="L84" t="inlineStr"/>
      <c r="M84" t="inlineStr"/>
      <c r="N84" t="inlineStr"/>
      <c r="O84" t="n">
        <v>2020</v>
      </c>
      <c r="P84" t="inlineStr"/>
      <c r="Q84" t="inlineStr"/>
      <c r="R84" t="n">
        <v>400.0326</v>
      </c>
      <c r="S84" t="n">
        <v>0.00012906</v>
      </c>
      <c r="T84" t="n">
        <v>0.00019658</v>
      </c>
      <c r="U84" t="n">
        <v>3359.7671</v>
      </c>
      <c r="V84" t="inlineStr">
        <is>
          <t>Provided Total Emissions</t>
        </is>
      </c>
      <c r="W84" t="b">
        <v>1</v>
      </c>
      <c r="X84" t="n">
        <v>3795.5114</v>
      </c>
      <c r="Y84" t="n">
        <v>12278.2909</v>
      </c>
      <c r="Z84" t="n">
        <v>435.7443</v>
      </c>
      <c r="AA84" t="n">
        <v>8918.523800000001</v>
      </c>
      <c r="AB84" t="n">
        <v>0.129695</v>
      </c>
      <c r="AC84" t="n">
        <v>2.654507</v>
      </c>
      <c r="AD84" t="inlineStr">
        <is>
          <t>High</t>
        </is>
      </c>
      <c r="AE84" t="inlineStr">
        <is>
          <t>None</t>
        </is>
      </c>
      <c r="AF84" t="n">
        <v>0.95</v>
      </c>
      <c r="AG84" t="inlineStr">
        <is>
          <t>Valid</t>
        </is>
      </c>
    </row>
    <row r="85">
      <c r="A85" t="inlineStr">
        <is>
          <t>SUP-0009</t>
        </is>
      </c>
      <c r="B85" t="inlineStr">
        <is>
          <t>Professional Supplier 009</t>
        </is>
      </c>
      <c r="C85" t="inlineStr">
        <is>
          <t>Professional Services</t>
        </is>
      </c>
      <c r="D85" t="n">
        <v>2018</v>
      </c>
      <c r="E85" t="n">
        <v>22945234.08</v>
      </c>
      <c r="F85" t="n">
        <v>55672103.47</v>
      </c>
      <c r="G85" t="n">
        <v>1667.3336</v>
      </c>
      <c r="H85" t="n">
        <v>397.8121</v>
      </c>
      <c r="I85" t="n">
        <v>136.0122</v>
      </c>
      <c r="J85" t="n">
        <v>1080.6507</v>
      </c>
      <c r="K85" t="inlineStr"/>
      <c r="L85" t="inlineStr"/>
      <c r="M85" t="inlineStr"/>
      <c r="N85" t="inlineStr"/>
      <c r="O85" t="n">
        <v>2020</v>
      </c>
      <c r="P85" t="inlineStr"/>
      <c r="Q85" t="inlineStr"/>
      <c r="R85" t="n">
        <v>400.0326</v>
      </c>
      <c r="S85" t="n">
        <v>0.00012906</v>
      </c>
      <c r="T85" t="n">
        <v>0.00019658</v>
      </c>
      <c r="U85" t="n">
        <v>1667.3336</v>
      </c>
      <c r="V85" t="inlineStr">
        <is>
          <t>Provided Total Emissions</t>
        </is>
      </c>
      <c r="W85" t="b">
        <v>1</v>
      </c>
      <c r="X85" t="n">
        <v>2961.3119</v>
      </c>
      <c r="Y85" t="n">
        <v>10944.0221</v>
      </c>
      <c r="Z85" t="n">
        <v>1293.9783</v>
      </c>
      <c r="AA85" t="n">
        <v>9276.6885</v>
      </c>
      <c r="AB85" t="n">
        <v>0.776076</v>
      </c>
      <c r="AC85" t="n">
        <v>5.563787</v>
      </c>
      <c r="AD85" t="inlineStr">
        <is>
          <t>High</t>
        </is>
      </c>
      <c r="AE85" t="inlineStr">
        <is>
          <t>None</t>
        </is>
      </c>
      <c r="AF85" t="n">
        <v>0.95</v>
      </c>
      <c r="AG85" t="inlineStr">
        <is>
          <t>Valid</t>
        </is>
      </c>
    </row>
    <row r="86">
      <c r="A86" t="inlineStr">
        <is>
          <t>SUP-0009</t>
        </is>
      </c>
      <c r="B86" t="inlineStr">
        <is>
          <t>Professional Supplier 009</t>
        </is>
      </c>
      <c r="C86" t="inlineStr">
        <is>
          <t>Professional Services</t>
        </is>
      </c>
      <c r="D86" t="n">
        <v>2019</v>
      </c>
      <c r="E86" t="n">
        <v>30753827.91</v>
      </c>
      <c r="F86" t="n">
        <v>56198314.86</v>
      </c>
      <c r="G86" t="n">
        <v>2606.9758</v>
      </c>
      <c r="H86" t="n">
        <v>307.3276</v>
      </c>
      <c r="I86" t="n">
        <v>270.4791</v>
      </c>
      <c r="J86" t="n">
        <v>1975.9274</v>
      </c>
      <c r="K86" t="inlineStr"/>
      <c r="L86" t="inlineStr"/>
      <c r="M86" t="inlineStr"/>
      <c r="N86" t="inlineStr"/>
      <c r="O86" t="n">
        <v>2020</v>
      </c>
      <c r="P86" t="inlineStr"/>
      <c r="Q86" t="inlineStr"/>
      <c r="R86" t="n">
        <v>400.0326</v>
      </c>
      <c r="S86" t="n">
        <v>0.00012906</v>
      </c>
      <c r="T86" t="n">
        <v>0.00019658</v>
      </c>
      <c r="U86" t="n">
        <v>2606.9758</v>
      </c>
      <c r="V86" t="inlineStr">
        <is>
          <t>Provided Total Emissions</t>
        </is>
      </c>
      <c r="W86" t="b">
        <v>1</v>
      </c>
      <c r="X86" t="n">
        <v>3969.089</v>
      </c>
      <c r="Y86" t="n">
        <v>11047.4647</v>
      </c>
      <c r="Z86" t="n">
        <v>1362.1132</v>
      </c>
      <c r="AA86" t="n">
        <v>8440.4889</v>
      </c>
      <c r="AB86" t="n">
        <v>0.522488</v>
      </c>
      <c r="AC86" t="n">
        <v>3.237655</v>
      </c>
      <c r="AD86" t="inlineStr">
        <is>
          <t>High</t>
        </is>
      </c>
      <c r="AE86" t="inlineStr">
        <is>
          <t>None</t>
        </is>
      </c>
      <c r="AF86" t="n">
        <v>0.95</v>
      </c>
      <c r="AG86" t="inlineStr">
        <is>
          <t>Valid</t>
        </is>
      </c>
    </row>
    <row r="87">
      <c r="A87" t="inlineStr">
        <is>
          <t>SUP-0009</t>
        </is>
      </c>
      <c r="B87" t="inlineStr">
        <is>
          <t>Professional Supplier 009</t>
        </is>
      </c>
      <c r="C87" t="inlineStr">
        <is>
          <t>Professional Services</t>
        </is>
      </c>
      <c r="D87" t="n">
        <v>2020</v>
      </c>
      <c r="E87" t="n">
        <v>29025295.09</v>
      </c>
      <c r="F87" t="n">
        <v>55326408.88</v>
      </c>
      <c r="G87" t="n">
        <v>2504.4614</v>
      </c>
      <c r="H87" t="n">
        <v>341.9225</v>
      </c>
      <c r="I87" t="n">
        <v>272.5624</v>
      </c>
      <c r="J87" t="n">
        <v>1858.7434</v>
      </c>
      <c r="K87" t="inlineStr"/>
      <c r="L87" t="inlineStr"/>
      <c r="M87" t="inlineStr"/>
      <c r="N87" t="inlineStr"/>
      <c r="O87" t="n">
        <v>2020</v>
      </c>
      <c r="P87" t="inlineStr"/>
      <c r="Q87" t="inlineStr"/>
      <c r="R87" t="n">
        <v>400.0326</v>
      </c>
      <c r="S87" t="n">
        <v>0.00012906</v>
      </c>
      <c r="T87" t="n">
        <v>0.00019658</v>
      </c>
      <c r="U87" t="n">
        <v>2504.4614</v>
      </c>
      <c r="V87" t="inlineStr">
        <is>
          <t>Provided Total Emissions</t>
        </is>
      </c>
      <c r="W87" t="b">
        <v>1</v>
      </c>
      <c r="X87" t="n">
        <v>3746.0046</v>
      </c>
      <c r="Y87" t="n">
        <v>10876.0655</v>
      </c>
      <c r="Z87" t="n">
        <v>1241.5432</v>
      </c>
      <c r="AA87" t="n">
        <v>8371.6041</v>
      </c>
      <c r="AB87" t="n">
        <v>0.495733</v>
      </c>
      <c r="AC87" t="n">
        <v>3.342676</v>
      </c>
      <c r="AD87" t="inlineStr">
        <is>
          <t>High</t>
        </is>
      </c>
      <c r="AE87" t="inlineStr">
        <is>
          <t>None</t>
        </is>
      </c>
      <c r="AF87" t="n">
        <v>0.95</v>
      </c>
      <c r="AG87" t="inlineStr">
        <is>
          <t>Valid</t>
        </is>
      </c>
    </row>
    <row r="88">
      <c r="A88" t="inlineStr">
        <is>
          <t>SUP-0009</t>
        </is>
      </c>
      <c r="B88" t="inlineStr">
        <is>
          <t>Professional Supplier 009</t>
        </is>
      </c>
      <c r="C88" t="inlineStr">
        <is>
          <t>Professional Services</t>
        </is>
      </c>
      <c r="D88" t="n">
        <v>2021</v>
      </c>
      <c r="E88" t="n">
        <v>28647354.44</v>
      </c>
      <c r="F88" t="n">
        <v>56117572.08</v>
      </c>
      <c r="G88" t="n">
        <v>2534.4705</v>
      </c>
      <c r="H88" t="n">
        <v>425.5152</v>
      </c>
      <c r="I88" t="n">
        <v>508.396</v>
      </c>
      <c r="J88" t="n">
        <v>1649.7066</v>
      </c>
      <c r="K88" t="inlineStr"/>
      <c r="L88" t="inlineStr"/>
      <c r="M88" t="inlineStr"/>
      <c r="N88" t="inlineStr"/>
      <c r="O88" t="n">
        <v>2020</v>
      </c>
      <c r="P88" t="inlineStr"/>
      <c r="Q88" t="inlineStr"/>
      <c r="R88" t="n">
        <v>400.0326</v>
      </c>
      <c r="S88" t="n">
        <v>0.00012906</v>
      </c>
      <c r="T88" t="n">
        <v>0.00019658</v>
      </c>
      <c r="U88" t="n">
        <v>2534.4705</v>
      </c>
      <c r="V88" t="inlineStr">
        <is>
          <t>Provided Total Emissions</t>
        </is>
      </c>
      <c r="W88" t="b">
        <v>1</v>
      </c>
      <c r="X88" t="n">
        <v>3697.2276</v>
      </c>
      <c r="Y88" t="n">
        <v>11031.5923</v>
      </c>
      <c r="Z88" t="n">
        <v>1162.7571</v>
      </c>
      <c r="AA88" t="n">
        <v>8497.121800000001</v>
      </c>
      <c r="AB88" t="n">
        <v>0.458777</v>
      </c>
      <c r="AC88" t="n">
        <v>3.352622</v>
      </c>
      <c r="AD88" t="inlineStr">
        <is>
          <t>High</t>
        </is>
      </c>
      <c r="AE88" t="inlineStr">
        <is>
          <t>None</t>
        </is>
      </c>
      <c r="AF88" t="n">
        <v>0.95</v>
      </c>
      <c r="AG88" t="inlineStr">
        <is>
          <t>Valid</t>
        </is>
      </c>
    </row>
    <row r="89">
      <c r="A89" t="inlineStr">
        <is>
          <t>SUP-0009</t>
        </is>
      </c>
      <c r="B89" t="inlineStr">
        <is>
          <t>Professional Supplier 009</t>
        </is>
      </c>
      <c r="C89" t="inlineStr">
        <is>
          <t>Professional Services</t>
        </is>
      </c>
      <c r="D89" t="n">
        <v>2022</v>
      </c>
      <c r="E89" t="n">
        <v>23908526.8</v>
      </c>
      <c r="F89" t="n">
        <v>77964350.72</v>
      </c>
      <c r="G89" t="n">
        <v>2218.4973</v>
      </c>
      <c r="H89" t="n">
        <v>325.3238</v>
      </c>
      <c r="I89" t="n">
        <v>197.6991</v>
      </c>
      <c r="J89" t="n">
        <v>1754.1542</v>
      </c>
      <c r="K89" t="inlineStr"/>
      <c r="L89" t="inlineStr"/>
      <c r="M89" t="inlineStr"/>
      <c r="N89" t="inlineStr"/>
      <c r="O89" t="n">
        <v>2020</v>
      </c>
      <c r="P89" t="inlineStr"/>
      <c r="Q89" t="inlineStr"/>
      <c r="R89" t="n">
        <v>400.0326</v>
      </c>
      <c r="S89" t="n">
        <v>0.00012906</v>
      </c>
      <c r="T89" t="n">
        <v>0.00019658</v>
      </c>
      <c r="U89" t="n">
        <v>2218.4973</v>
      </c>
      <c r="V89" t="inlineStr">
        <is>
          <t>Provided Total Emissions</t>
        </is>
      </c>
      <c r="W89" t="b">
        <v>1</v>
      </c>
      <c r="X89" t="n">
        <v>3085.6345</v>
      </c>
      <c r="Y89" t="n">
        <v>15326.2321</v>
      </c>
      <c r="Z89" t="n">
        <v>867.1372</v>
      </c>
      <c r="AA89" t="n">
        <v>13107.7348</v>
      </c>
      <c r="AB89" t="n">
        <v>0.390867</v>
      </c>
      <c r="AC89" t="n">
        <v>5.908384</v>
      </c>
      <c r="AD89" t="inlineStr">
        <is>
          <t>High</t>
        </is>
      </c>
      <c r="AE89" t="inlineStr">
        <is>
          <t>None</t>
        </is>
      </c>
      <c r="AF89" t="n">
        <v>0.95</v>
      </c>
      <c r="AG89" t="inlineStr">
        <is>
          <t>Valid</t>
        </is>
      </c>
    </row>
    <row r="90">
      <c r="A90" t="inlineStr">
        <is>
          <t>SUP-0009</t>
        </is>
      </c>
      <c r="B90" t="inlineStr">
        <is>
          <t>Professional Supplier 009</t>
        </is>
      </c>
      <c r="C90" t="inlineStr">
        <is>
          <t>Professional Services</t>
        </is>
      </c>
      <c r="D90" t="n">
        <v>2023</v>
      </c>
      <c r="E90" t="n">
        <v>27917225.26</v>
      </c>
      <c r="F90" t="n">
        <v>88830358.73999999</v>
      </c>
      <c r="G90" t="n">
        <v>2068.6484</v>
      </c>
      <c r="H90" t="n">
        <v>489.3279</v>
      </c>
      <c r="I90" t="n">
        <v>459.32</v>
      </c>
      <c r="J90" t="n">
        <v>1102.2222</v>
      </c>
      <c r="K90" t="inlineStr"/>
      <c r="L90" t="inlineStr"/>
      <c r="M90" t="inlineStr"/>
      <c r="N90" t="inlineStr"/>
      <c r="O90" t="n">
        <v>2020</v>
      </c>
      <c r="P90" t="inlineStr"/>
      <c r="Q90" t="inlineStr"/>
      <c r="R90" t="n">
        <v>400.0326</v>
      </c>
      <c r="S90" t="n">
        <v>0.00012906</v>
      </c>
      <c r="T90" t="n">
        <v>0.00019658</v>
      </c>
      <c r="U90" t="n">
        <v>2068.6484</v>
      </c>
      <c r="V90" t="inlineStr">
        <is>
          <t>Provided Total Emissions</t>
        </is>
      </c>
      <c r="W90" t="b">
        <v>1</v>
      </c>
      <c r="X90" t="n">
        <v>3602.9971</v>
      </c>
      <c r="Y90" t="n">
        <v>17462.2719</v>
      </c>
      <c r="Z90" t="n">
        <v>1534.3487</v>
      </c>
      <c r="AA90" t="n">
        <v>15393.6235</v>
      </c>
      <c r="AB90" t="n">
        <v>0.741716</v>
      </c>
      <c r="AC90" t="n">
        <v>7.441392</v>
      </c>
      <c r="AD90" t="inlineStr">
        <is>
          <t>High</t>
        </is>
      </c>
      <c r="AE90" t="inlineStr">
        <is>
          <t>None</t>
        </is>
      </c>
      <c r="AF90" t="n">
        <v>0.95</v>
      </c>
      <c r="AG90" t="inlineStr">
        <is>
          <t>Valid</t>
        </is>
      </c>
    </row>
    <row r="91">
      <c r="A91" t="inlineStr">
        <is>
          <t>SUP-0009</t>
        </is>
      </c>
      <c r="B91" t="inlineStr">
        <is>
          <t>Professional Supplier 009</t>
        </is>
      </c>
      <c r="C91" t="inlineStr">
        <is>
          <t>Professional Services</t>
        </is>
      </c>
      <c r="D91" t="n">
        <v>2024</v>
      </c>
      <c r="E91" t="n">
        <v>33414113.72</v>
      </c>
      <c r="F91" t="n">
        <v>91700354.56999999</v>
      </c>
      <c r="G91" t="n">
        <v>2053.6172</v>
      </c>
      <c r="H91" t="n">
        <v>343.1529</v>
      </c>
      <c r="I91" t="n">
        <v>244.9547</v>
      </c>
      <c r="J91" t="n">
        <v>1276.7057</v>
      </c>
      <c r="K91" t="inlineStr"/>
      <c r="L91" t="inlineStr"/>
      <c r="M91" t="inlineStr"/>
      <c r="N91" t="inlineStr"/>
      <c r="O91" t="n">
        <v>2020</v>
      </c>
      <c r="P91" t="inlineStr"/>
      <c r="Q91" t="inlineStr"/>
      <c r="R91" t="n">
        <v>400.0326</v>
      </c>
      <c r="S91" t="n">
        <v>0.00012906</v>
      </c>
      <c r="T91" t="n">
        <v>0.00019658</v>
      </c>
      <c r="U91" t="n">
        <v>2053.6172</v>
      </c>
      <c r="V91" t="inlineStr">
        <is>
          <t>Provided Total Emissions</t>
        </is>
      </c>
      <c r="W91" t="b">
        <v>1</v>
      </c>
      <c r="X91" t="n">
        <v>4312.4255</v>
      </c>
      <c r="Y91" t="n">
        <v>18026.4557</v>
      </c>
      <c r="Z91" t="n">
        <v>2258.8083</v>
      </c>
      <c r="AA91" t="n">
        <v>15972.8385</v>
      </c>
      <c r="AB91" t="n">
        <v>1.099917</v>
      </c>
      <c r="AC91" t="n">
        <v>7.777905</v>
      </c>
      <c r="AD91" t="inlineStr">
        <is>
          <t>High</t>
        </is>
      </c>
      <c r="AE91" t="inlineStr">
        <is>
          <t>None</t>
        </is>
      </c>
      <c r="AF91" t="n">
        <v>0.95</v>
      </c>
      <c r="AG91" t="inlineStr">
        <is>
          <t>Valid</t>
        </is>
      </c>
    </row>
    <row r="92">
      <c r="A92" t="inlineStr">
        <is>
          <t>SUP-0010</t>
        </is>
      </c>
      <c r="B92" t="inlineStr">
        <is>
          <t>Packaging Supplier 010</t>
        </is>
      </c>
      <c r="C92" t="inlineStr">
        <is>
          <t>Packaging</t>
        </is>
      </c>
      <c r="D92" t="n">
        <v>2015</v>
      </c>
      <c r="E92" t="n">
        <v>6131738.12</v>
      </c>
      <c r="F92" t="n">
        <v>38775454.14</v>
      </c>
      <c r="G92" t="n">
        <v>8825.237800000001</v>
      </c>
      <c r="H92" t="n">
        <v>1655.0955</v>
      </c>
      <c r="I92" t="n">
        <v>1782.2437</v>
      </c>
      <c r="J92" t="n">
        <v>5197.5862</v>
      </c>
      <c r="K92" t="n">
        <v>2018</v>
      </c>
      <c r="L92" t="n">
        <v>2035</v>
      </c>
      <c r="M92" t="n">
        <v>0.3963</v>
      </c>
      <c r="N92" t="n">
        <v>0.1482</v>
      </c>
      <c r="O92" t="n">
        <v>2018</v>
      </c>
      <c r="P92" t="n">
        <v>2040</v>
      </c>
      <c r="Q92" t="n">
        <v>0.3112</v>
      </c>
      <c r="R92" t="n">
        <v>702.4188</v>
      </c>
      <c r="S92" t="n">
        <v>0.0010803</v>
      </c>
      <c r="T92" t="n">
        <v>0.00078946</v>
      </c>
      <c r="U92" t="n">
        <v>8825.237800000001</v>
      </c>
      <c r="V92" t="inlineStr">
        <is>
          <t>Provided Total Emissions</t>
        </is>
      </c>
      <c r="W92" t="b">
        <v>1</v>
      </c>
      <c r="X92" t="n">
        <v>6624.1167</v>
      </c>
      <c r="Y92" t="n">
        <v>30611.67</v>
      </c>
      <c r="Z92" t="n">
        <v>-2201.1211</v>
      </c>
      <c r="AA92" t="n">
        <v>21786.4322</v>
      </c>
      <c r="AB92" t="n">
        <v>-0.249412</v>
      </c>
      <c r="AC92" t="n">
        <v>2.468651</v>
      </c>
      <c r="AD92" t="inlineStr">
        <is>
          <t>High</t>
        </is>
      </c>
      <c r="AE92" t="inlineStr">
        <is>
          <t>None</t>
        </is>
      </c>
      <c r="AF92" t="n">
        <v>0.95</v>
      </c>
      <c r="AG92" t="inlineStr">
        <is>
          <t>Valid</t>
        </is>
      </c>
    </row>
    <row r="93">
      <c r="A93" t="inlineStr">
        <is>
          <t>SUP-0010</t>
        </is>
      </c>
      <c r="B93" t="inlineStr">
        <is>
          <t>Packaging Supplier 010</t>
        </is>
      </c>
      <c r="C93" t="inlineStr">
        <is>
          <t>Packaging</t>
        </is>
      </c>
      <c r="D93" t="n">
        <v>2016</v>
      </c>
      <c r="E93" t="n">
        <v>5896501.51</v>
      </c>
      <c r="F93" t="n">
        <v>38035123.64</v>
      </c>
      <c r="G93" t="n">
        <v>7666.8935</v>
      </c>
      <c r="H93" t="n">
        <v>1861.8698</v>
      </c>
      <c r="I93" t="n">
        <v>1333.5731</v>
      </c>
      <c r="J93" t="n">
        <v>4614.3438</v>
      </c>
      <c r="K93" t="n">
        <v>2018</v>
      </c>
      <c r="L93" t="n">
        <v>2035</v>
      </c>
      <c r="M93" t="n">
        <v>0.3963</v>
      </c>
      <c r="N93" t="n">
        <v>0.1482</v>
      </c>
      <c r="O93" t="n">
        <v>2018</v>
      </c>
      <c r="P93" t="n">
        <v>2040</v>
      </c>
      <c r="Q93" t="n">
        <v>0.3112</v>
      </c>
      <c r="R93" t="n">
        <v>702.4188</v>
      </c>
      <c r="S93" t="n">
        <v>0.0010803</v>
      </c>
      <c r="T93" t="n">
        <v>0.00078946</v>
      </c>
      <c r="U93" t="n">
        <v>7666.8935</v>
      </c>
      <c r="V93" t="inlineStr">
        <is>
          <t>Provided Total Emissions</t>
        </is>
      </c>
      <c r="W93" t="b">
        <v>1</v>
      </c>
      <c r="X93" t="n">
        <v>6369.9906</v>
      </c>
      <c r="Y93" t="n">
        <v>30027.2087</v>
      </c>
      <c r="Z93" t="n">
        <v>-1296.9029</v>
      </c>
      <c r="AA93" t="n">
        <v>22360.3152</v>
      </c>
      <c r="AB93" t="n">
        <v>-0.169156</v>
      </c>
      <c r="AC93" t="n">
        <v>2.916477</v>
      </c>
      <c r="AD93" t="inlineStr">
        <is>
          <t>High</t>
        </is>
      </c>
      <c r="AE93" t="inlineStr">
        <is>
          <t>None</t>
        </is>
      </c>
      <c r="AF93" t="n">
        <v>0.95</v>
      </c>
      <c r="AG93" t="inlineStr">
        <is>
          <t>Valid</t>
        </is>
      </c>
    </row>
    <row r="94">
      <c r="A94" t="inlineStr">
        <is>
          <t>SUP-0010</t>
        </is>
      </c>
      <c r="B94" t="inlineStr">
        <is>
          <t>Packaging Supplier 010</t>
        </is>
      </c>
      <c r="C94" t="inlineStr">
        <is>
          <t>Packaging</t>
        </is>
      </c>
      <c r="D94" t="n">
        <v>2017</v>
      </c>
      <c r="E94" t="n">
        <v>6894974.82</v>
      </c>
      <c r="F94" t="n">
        <v>41125127.98</v>
      </c>
      <c r="G94" t="n">
        <v>7261.0702</v>
      </c>
      <c r="H94" t="n">
        <v>950.6811</v>
      </c>
      <c r="I94" t="n">
        <v>811.7663</v>
      </c>
      <c r="J94" t="n">
        <v>6090.8575</v>
      </c>
      <c r="K94" t="n">
        <v>2018</v>
      </c>
      <c r="L94" t="n">
        <v>2035</v>
      </c>
      <c r="M94" t="n">
        <v>0.3963</v>
      </c>
      <c r="N94" t="n">
        <v>0.1482</v>
      </c>
      <c r="O94" t="n">
        <v>2018</v>
      </c>
      <c r="P94" t="n">
        <v>2040</v>
      </c>
      <c r="Q94" t="n">
        <v>0.3112</v>
      </c>
      <c r="R94" t="n">
        <v>702.4188</v>
      </c>
      <c r="S94" t="n">
        <v>0.0010803</v>
      </c>
      <c r="T94" t="n">
        <v>0.00078946</v>
      </c>
      <c r="U94" t="n">
        <v>7261.0702</v>
      </c>
      <c r="V94" t="inlineStr">
        <is>
          <t>Provided Total Emissions</t>
        </is>
      </c>
      <c r="W94" t="b">
        <v>1</v>
      </c>
      <c r="X94" t="n">
        <v>7448.6413</v>
      </c>
      <c r="Y94" t="n">
        <v>32466.6435</v>
      </c>
      <c r="Z94" t="n">
        <v>187.5711</v>
      </c>
      <c r="AA94" t="n">
        <v>25205.5733</v>
      </c>
      <c r="AB94" t="n">
        <v>0.025832</v>
      </c>
      <c r="AC94" t="n">
        <v>3.47133</v>
      </c>
      <c r="AD94" t="inlineStr">
        <is>
          <t>High</t>
        </is>
      </c>
      <c r="AE94" t="inlineStr">
        <is>
          <t>None</t>
        </is>
      </c>
      <c r="AF94" t="n">
        <v>0.95</v>
      </c>
      <c r="AG94" t="inlineStr">
        <is>
          <t>Valid</t>
        </is>
      </c>
    </row>
    <row r="95">
      <c r="A95" t="inlineStr">
        <is>
          <t>SUP-0010</t>
        </is>
      </c>
      <c r="B95" t="inlineStr">
        <is>
          <t>Packaging Supplier 010</t>
        </is>
      </c>
      <c r="C95" t="inlineStr">
        <is>
          <t>Packaging</t>
        </is>
      </c>
      <c r="D95" t="n">
        <v>2018</v>
      </c>
      <c r="E95" t="n">
        <v>7297394.25</v>
      </c>
      <c r="F95" t="n">
        <v>51405727.03</v>
      </c>
      <c r="G95" t="n">
        <v>9181.706</v>
      </c>
      <c r="H95" t="n">
        <v>2239.1491</v>
      </c>
      <c r="I95" t="n">
        <v>878.4407</v>
      </c>
      <c r="J95" t="n">
        <v>5570.777</v>
      </c>
      <c r="K95" t="n">
        <v>2018</v>
      </c>
      <c r="L95" t="n">
        <v>2035</v>
      </c>
      <c r="M95" t="n">
        <v>0.3963</v>
      </c>
      <c r="N95" t="n">
        <v>0.1482</v>
      </c>
      <c r="O95" t="n">
        <v>2018</v>
      </c>
      <c r="P95" t="n">
        <v>2040</v>
      </c>
      <c r="Q95" t="n">
        <v>0.3112</v>
      </c>
      <c r="R95" t="n">
        <v>702.4188</v>
      </c>
      <c r="S95" t="n">
        <v>0.0010803</v>
      </c>
      <c r="T95" t="n">
        <v>0.00078946</v>
      </c>
      <c r="U95" t="n">
        <v>9181.706</v>
      </c>
      <c r="V95" t="inlineStr">
        <is>
          <t>Provided Total Emissions</t>
        </is>
      </c>
      <c r="W95" t="b">
        <v>1</v>
      </c>
      <c r="X95" t="n">
        <v>7883.375</v>
      </c>
      <c r="Y95" t="n">
        <v>40582.7653</v>
      </c>
      <c r="Z95" t="n">
        <v>-1298.331</v>
      </c>
      <c r="AA95" t="n">
        <v>31401.0593</v>
      </c>
      <c r="AB95" t="n">
        <v>-0.141404</v>
      </c>
      <c r="AC95" t="n">
        <v>3.419959</v>
      </c>
      <c r="AD95" t="inlineStr">
        <is>
          <t>High</t>
        </is>
      </c>
      <c r="AE95" t="inlineStr">
        <is>
          <t>None</t>
        </is>
      </c>
      <c r="AF95" t="n">
        <v>0.95</v>
      </c>
      <c r="AG95" t="inlineStr">
        <is>
          <t>Valid</t>
        </is>
      </c>
    </row>
    <row r="96">
      <c r="A96" t="inlineStr">
        <is>
          <t>SUP-0010</t>
        </is>
      </c>
      <c r="B96" t="inlineStr">
        <is>
          <t>Packaging Supplier 010</t>
        </is>
      </c>
      <c r="C96" t="inlineStr">
        <is>
          <t>Packaging</t>
        </is>
      </c>
      <c r="D96" t="n">
        <v>2019</v>
      </c>
      <c r="E96" t="n">
        <v>7992942.19</v>
      </c>
      <c r="F96" t="n">
        <v>61941256.25</v>
      </c>
      <c r="G96" t="n">
        <v>8513.704</v>
      </c>
      <c r="H96" t="n">
        <v>1282.209</v>
      </c>
      <c r="I96" t="n">
        <v>1600.8833</v>
      </c>
      <c r="J96" t="n">
        <v>5566.1645</v>
      </c>
      <c r="K96" t="n">
        <v>2018</v>
      </c>
      <c r="L96" t="n">
        <v>2035</v>
      </c>
      <c r="M96" t="n">
        <v>0.3963</v>
      </c>
      <c r="N96" t="n">
        <v>0.1482</v>
      </c>
      <c r="O96" t="n">
        <v>2018</v>
      </c>
      <c r="P96" t="n">
        <v>2040</v>
      </c>
      <c r="Q96" t="n">
        <v>0.3112</v>
      </c>
      <c r="R96" t="n">
        <v>702.4188</v>
      </c>
      <c r="S96" t="n">
        <v>0.0010803</v>
      </c>
      <c r="T96" t="n">
        <v>0.00078946</v>
      </c>
      <c r="U96" t="n">
        <v>8513.704</v>
      </c>
      <c r="V96" t="inlineStr">
        <is>
          <t>Provided Total Emissions</t>
        </is>
      </c>
      <c r="W96" t="b">
        <v>1</v>
      </c>
      <c r="X96" t="n">
        <v>8634.7754</v>
      </c>
      <c r="Y96" t="n">
        <v>48900.1442</v>
      </c>
      <c r="Z96" t="n">
        <v>121.0714</v>
      </c>
      <c r="AA96" t="n">
        <v>40386.4402</v>
      </c>
      <c r="AB96" t="n">
        <v>0.014221</v>
      </c>
      <c r="AC96" t="n">
        <v>4.743698</v>
      </c>
      <c r="AD96" t="inlineStr">
        <is>
          <t>High</t>
        </is>
      </c>
      <c r="AE96" t="inlineStr">
        <is>
          <t>None</t>
        </is>
      </c>
      <c r="AF96" t="n">
        <v>0.95</v>
      </c>
      <c r="AG96" t="inlineStr">
        <is>
          <t>Valid</t>
        </is>
      </c>
    </row>
    <row r="97">
      <c r="A97" t="inlineStr">
        <is>
          <t>SUP-0010</t>
        </is>
      </c>
      <c r="B97" t="inlineStr">
        <is>
          <t>Packaging Supplier 010</t>
        </is>
      </c>
      <c r="C97" t="inlineStr">
        <is>
          <t>Packaging</t>
        </is>
      </c>
      <c r="D97" t="n">
        <v>2020</v>
      </c>
      <c r="E97" t="n">
        <v>7820919.72</v>
      </c>
      <c r="F97" t="n">
        <v>52061599.26</v>
      </c>
      <c r="G97" t="n">
        <v>7716.1857</v>
      </c>
      <c r="H97" t="n">
        <v>2250.9444</v>
      </c>
      <c r="I97" t="n">
        <v>1022.0267</v>
      </c>
      <c r="J97" t="n">
        <v>5044.1102</v>
      </c>
      <c r="K97" t="n">
        <v>2018</v>
      </c>
      <c r="L97" t="n">
        <v>2035</v>
      </c>
      <c r="M97" t="n">
        <v>0.3963</v>
      </c>
      <c r="N97" t="n">
        <v>0.1482</v>
      </c>
      <c r="O97" t="n">
        <v>2018</v>
      </c>
      <c r="P97" t="n">
        <v>2040</v>
      </c>
      <c r="Q97" t="n">
        <v>0.3112</v>
      </c>
      <c r="R97" t="n">
        <v>702.4188</v>
      </c>
      <c r="S97" t="n">
        <v>0.0010803</v>
      </c>
      <c r="T97" t="n">
        <v>0.00078946</v>
      </c>
      <c r="U97" t="n">
        <v>7716.1857</v>
      </c>
      <c r="V97" t="inlineStr">
        <is>
          <t>Provided Total Emissions</t>
        </is>
      </c>
      <c r="W97" t="b">
        <v>1</v>
      </c>
      <c r="X97" t="n">
        <v>8448.9396</v>
      </c>
      <c r="Y97" t="n">
        <v>41100.5502</v>
      </c>
      <c r="Z97" t="n">
        <v>732.7539</v>
      </c>
      <c r="AA97" t="n">
        <v>33384.3645</v>
      </c>
      <c r="AB97" t="n">
        <v>0.09496300000000001</v>
      </c>
      <c r="AC97" t="n">
        <v>4.326537</v>
      </c>
      <c r="AD97" t="inlineStr">
        <is>
          <t>High</t>
        </is>
      </c>
      <c r="AE97" t="inlineStr">
        <is>
          <t>None</t>
        </is>
      </c>
      <c r="AF97" t="n">
        <v>0.95</v>
      </c>
      <c r="AG97" t="inlineStr">
        <is>
          <t>Valid</t>
        </is>
      </c>
    </row>
    <row r="98">
      <c r="A98" t="inlineStr">
        <is>
          <t>SUP-0010</t>
        </is>
      </c>
      <c r="B98" t="inlineStr">
        <is>
          <t>Packaging Supplier 010</t>
        </is>
      </c>
      <c r="C98" t="inlineStr">
        <is>
          <t>Packaging</t>
        </is>
      </c>
      <c r="D98" t="n">
        <v>2021</v>
      </c>
      <c r="E98" t="n">
        <v>10473349.84</v>
      </c>
      <c r="F98" t="n">
        <v>72903823.84</v>
      </c>
      <c r="G98" t="n">
        <v>9209.2719</v>
      </c>
      <c r="H98" t="n">
        <v>1111.6765</v>
      </c>
      <c r="I98" t="n">
        <v>1262.6236</v>
      </c>
      <c r="J98" t="n">
        <v>6956.8699</v>
      </c>
      <c r="K98" t="n">
        <v>2018</v>
      </c>
      <c r="L98" t="n">
        <v>2035</v>
      </c>
      <c r="M98" t="n">
        <v>0.3963</v>
      </c>
      <c r="N98" t="n">
        <v>0.1482</v>
      </c>
      <c r="O98" t="n">
        <v>2018</v>
      </c>
      <c r="P98" t="n">
        <v>2040</v>
      </c>
      <c r="Q98" t="n">
        <v>0.3112</v>
      </c>
      <c r="R98" t="n">
        <v>702.4188</v>
      </c>
      <c r="S98" t="n">
        <v>0.0010803</v>
      </c>
      <c r="T98" t="n">
        <v>0.00078946</v>
      </c>
      <c r="U98" t="n">
        <v>9209.2719</v>
      </c>
      <c r="V98" t="inlineStr">
        <is>
          <t>Provided Total Emissions</t>
        </is>
      </c>
      <c r="W98" t="b">
        <v>1</v>
      </c>
      <c r="X98" t="n">
        <v>11314.3598</v>
      </c>
      <c r="Y98" t="n">
        <v>57554.6528</v>
      </c>
      <c r="Z98" t="n">
        <v>2105.0879</v>
      </c>
      <c r="AA98" t="n">
        <v>48345.3809</v>
      </c>
      <c r="AB98" t="n">
        <v>0.228584</v>
      </c>
      <c r="AC98" t="n">
        <v>5.249642</v>
      </c>
      <c r="AD98" t="inlineStr">
        <is>
          <t>High</t>
        </is>
      </c>
      <c r="AE98" t="inlineStr">
        <is>
          <t>None</t>
        </is>
      </c>
      <c r="AF98" t="n">
        <v>0.95</v>
      </c>
      <c r="AG98" t="inlineStr">
        <is>
          <t>Valid</t>
        </is>
      </c>
    </row>
    <row r="99">
      <c r="A99" t="inlineStr">
        <is>
          <t>SUP-0010</t>
        </is>
      </c>
      <c r="B99" t="inlineStr">
        <is>
          <t>Packaging Supplier 010</t>
        </is>
      </c>
      <c r="C99" t="inlineStr">
        <is>
          <t>Packaging</t>
        </is>
      </c>
      <c r="D99" t="n">
        <v>2022</v>
      </c>
      <c r="E99" t="n">
        <v>10250261.15</v>
      </c>
      <c r="F99" t="n">
        <v>73296701.68000001</v>
      </c>
      <c r="G99" t="n">
        <v>10297.0682</v>
      </c>
      <c r="H99" t="n">
        <v>3103.7643</v>
      </c>
      <c r="I99" t="n">
        <v>1249.9714</v>
      </c>
      <c r="J99" t="n">
        <v>6508.0625</v>
      </c>
      <c r="K99" t="n">
        <v>2018</v>
      </c>
      <c r="L99" t="n">
        <v>2035</v>
      </c>
      <c r="M99" t="n">
        <v>0.3963</v>
      </c>
      <c r="N99" t="n">
        <v>0.1482</v>
      </c>
      <c r="O99" t="n">
        <v>2018</v>
      </c>
      <c r="P99" t="n">
        <v>2040</v>
      </c>
      <c r="Q99" t="n">
        <v>0.3112</v>
      </c>
      <c r="R99" t="n">
        <v>702.4188</v>
      </c>
      <c r="S99" t="n">
        <v>0.0010803</v>
      </c>
      <c r="T99" t="n">
        <v>0.00078946</v>
      </c>
      <c r="U99" t="n">
        <v>10297.0682</v>
      </c>
      <c r="V99" t="inlineStr">
        <is>
          <t>Provided Total Emissions</t>
        </is>
      </c>
      <c r="W99" t="b">
        <v>1</v>
      </c>
      <c r="X99" t="n">
        <v>11073.3571</v>
      </c>
      <c r="Y99" t="n">
        <v>57864.8141</v>
      </c>
      <c r="Z99" t="n">
        <v>776.2889</v>
      </c>
      <c r="AA99" t="n">
        <v>47567.7459</v>
      </c>
      <c r="AB99" t="n">
        <v>0.075389</v>
      </c>
      <c r="AC99" t="n">
        <v>4.619543</v>
      </c>
      <c r="AD99" t="inlineStr">
        <is>
          <t>High</t>
        </is>
      </c>
      <c r="AE99" t="inlineStr">
        <is>
          <t>None</t>
        </is>
      </c>
      <c r="AF99" t="n">
        <v>0.95</v>
      </c>
      <c r="AG99" t="inlineStr">
        <is>
          <t>Valid</t>
        </is>
      </c>
    </row>
    <row r="100">
      <c r="A100" t="inlineStr">
        <is>
          <t>SUP-0010</t>
        </is>
      </c>
      <c r="B100" t="inlineStr">
        <is>
          <t>Packaging Supplier 010</t>
        </is>
      </c>
      <c r="C100" t="inlineStr">
        <is>
          <t>Packaging</t>
        </is>
      </c>
      <c r="D100" t="n">
        <v>2023</v>
      </c>
      <c r="E100" t="n">
        <v>11438960.5</v>
      </c>
      <c r="F100" t="n">
        <v>90459661.25</v>
      </c>
      <c r="G100" t="n">
        <v>13321.4396</v>
      </c>
      <c r="H100" t="n">
        <v>3128.2036</v>
      </c>
      <c r="I100" t="n">
        <v>2624.6506</v>
      </c>
      <c r="J100" t="n">
        <v>6978.5164</v>
      </c>
      <c r="K100" t="n">
        <v>2018</v>
      </c>
      <c r="L100" t="n">
        <v>2035</v>
      </c>
      <c r="M100" t="n">
        <v>0.3963</v>
      </c>
      <c r="N100" t="n">
        <v>0.1482</v>
      </c>
      <c r="O100" t="n">
        <v>2018</v>
      </c>
      <c r="P100" t="n">
        <v>2040</v>
      </c>
      <c r="Q100" t="n">
        <v>0.3112</v>
      </c>
      <c r="R100" t="n">
        <v>702.4188</v>
      </c>
      <c r="S100" t="n">
        <v>0.0010803</v>
      </c>
      <c r="T100" t="n">
        <v>0.00078946</v>
      </c>
      <c r="U100" t="n">
        <v>13321.4396</v>
      </c>
      <c r="V100" t="inlineStr">
        <is>
          <t>Provided Total Emissions</t>
        </is>
      </c>
      <c r="W100" t="b">
        <v>1</v>
      </c>
      <c r="X100" t="n">
        <v>12357.509</v>
      </c>
      <c r="Y100" t="n">
        <v>71414.28419999999</v>
      </c>
      <c r="Z100" t="n">
        <v>-963.9306</v>
      </c>
      <c r="AA100" t="n">
        <v>58092.8446</v>
      </c>
      <c r="AB100" t="n">
        <v>-0.07235900000000001</v>
      </c>
      <c r="AC100" t="n">
        <v>4.360853</v>
      </c>
      <c r="AD100" t="inlineStr">
        <is>
          <t>High</t>
        </is>
      </c>
      <c r="AE100" t="inlineStr">
        <is>
          <t>None</t>
        </is>
      </c>
      <c r="AF100" t="n">
        <v>0.95</v>
      </c>
      <c r="AG100" t="inlineStr">
        <is>
          <t>Valid</t>
        </is>
      </c>
    </row>
    <row r="101">
      <c r="A101" t="inlineStr">
        <is>
          <t>SUP-0010</t>
        </is>
      </c>
      <c r="B101" t="inlineStr">
        <is>
          <t>Packaging Supplier 010</t>
        </is>
      </c>
      <c r="C101" t="inlineStr">
        <is>
          <t>Packaging</t>
        </is>
      </c>
      <c r="D101" t="n">
        <v>2024</v>
      </c>
      <c r="E101" t="n">
        <v>11589992.26</v>
      </c>
      <c r="F101" t="n">
        <v>72105203.11</v>
      </c>
      <c r="G101" t="n">
        <v>10699.7983</v>
      </c>
      <c r="H101" t="n">
        <v>2412.7953</v>
      </c>
      <c r="I101" t="n">
        <v>2333.4039</v>
      </c>
      <c r="J101" t="n">
        <v>5974.333</v>
      </c>
      <c r="K101" t="n">
        <v>2018</v>
      </c>
      <c r="L101" t="n">
        <v>2035</v>
      </c>
      <c r="M101" t="n">
        <v>0.3963</v>
      </c>
      <c r="N101" t="n">
        <v>0.1482</v>
      </c>
      <c r="O101" t="n">
        <v>2018</v>
      </c>
      <c r="P101" t="n">
        <v>2040</v>
      </c>
      <c r="Q101" t="n">
        <v>0.3112</v>
      </c>
      <c r="R101" t="n">
        <v>702.4188</v>
      </c>
      <c r="S101" t="n">
        <v>0.0010803</v>
      </c>
      <c r="T101" t="n">
        <v>0.00078946</v>
      </c>
      <c r="U101" t="n">
        <v>10699.7983</v>
      </c>
      <c r="V101" t="inlineStr">
        <is>
          <t>Provided Total Emissions</t>
        </is>
      </c>
      <c r="W101" t="b">
        <v>1</v>
      </c>
      <c r="X101" t="n">
        <v>12520.6686</v>
      </c>
      <c r="Y101" t="n">
        <v>56924.1736</v>
      </c>
      <c r="Z101" t="n">
        <v>1820.8703</v>
      </c>
      <c r="AA101" t="n">
        <v>46224.3753</v>
      </c>
      <c r="AB101" t="n">
        <v>0.170178</v>
      </c>
      <c r="AC101" t="n">
        <v>4.320117</v>
      </c>
      <c r="AD101" t="inlineStr">
        <is>
          <t>High</t>
        </is>
      </c>
      <c r="AE101" t="inlineStr">
        <is>
          <t>None</t>
        </is>
      </c>
      <c r="AF101" t="n">
        <v>0.95</v>
      </c>
      <c r="AG101" t="inlineStr">
        <is>
          <t>Valid</t>
        </is>
      </c>
    </row>
    <row r="102">
      <c r="A102" t="inlineStr">
        <is>
          <t>SUP-0011</t>
        </is>
      </c>
      <c r="B102" t="inlineStr">
        <is>
          <t>Agriculture Supplier 011</t>
        </is>
      </c>
      <c r="C102" t="inlineStr">
        <is>
          <t>Agriculture</t>
        </is>
      </c>
      <c r="D102" t="n">
        <v>2015</v>
      </c>
      <c r="E102" t="n">
        <v>18737349.08</v>
      </c>
      <c r="F102" t="n">
        <v>124980459.4</v>
      </c>
      <c r="G102" t="n">
        <v>24028.7419</v>
      </c>
      <c r="H102" t="n">
        <v>3821.9408</v>
      </c>
      <c r="I102" t="n">
        <v>4710.2418</v>
      </c>
      <c r="J102" t="n">
        <v>16244.5014</v>
      </c>
      <c r="K102" t="n">
        <v>2020</v>
      </c>
      <c r="L102" t="n">
        <v>2040</v>
      </c>
      <c r="M102" t="n">
        <v>0.3477</v>
      </c>
      <c r="N102" t="n">
        <v>0.1695</v>
      </c>
      <c r="O102" t="n">
        <v>2018</v>
      </c>
      <c r="P102" t="inlineStr"/>
      <c r="Q102" t="inlineStr"/>
      <c r="R102" t="n">
        <v>529.8294</v>
      </c>
      <c r="S102" t="n">
        <v>0.00091413</v>
      </c>
      <c r="T102" t="n">
        <v>0.00096913</v>
      </c>
      <c r="U102" t="n">
        <v>24028.7419</v>
      </c>
      <c r="V102" t="inlineStr">
        <is>
          <t>Provided Total Emissions</t>
        </is>
      </c>
      <c r="W102" t="b">
        <v>1</v>
      </c>
      <c r="X102" t="n">
        <v>17128.3729</v>
      </c>
      <c r="Y102" t="n">
        <v>121122.3126</v>
      </c>
      <c r="Z102" t="n">
        <v>-6900.369</v>
      </c>
      <c r="AA102" t="n">
        <v>97093.5707</v>
      </c>
      <c r="AB102" t="n">
        <v>-0.287171</v>
      </c>
      <c r="AC102" t="n">
        <v>4.040726</v>
      </c>
      <c r="AD102" t="inlineStr">
        <is>
          <t>High</t>
        </is>
      </c>
      <c r="AE102" t="inlineStr">
        <is>
          <t>None</t>
        </is>
      </c>
      <c r="AF102" t="n">
        <v>0.95</v>
      </c>
      <c r="AG102" t="inlineStr">
        <is>
          <t>Valid</t>
        </is>
      </c>
    </row>
    <row r="103">
      <c r="A103" t="inlineStr">
        <is>
          <t>SUP-0011</t>
        </is>
      </c>
      <c r="B103" t="inlineStr">
        <is>
          <t>Agriculture Supplier 011</t>
        </is>
      </c>
      <c r="C103" t="inlineStr">
        <is>
          <t>Agriculture</t>
        </is>
      </c>
      <c r="D103" t="n">
        <v>2016</v>
      </c>
      <c r="E103" t="n">
        <v>16392509.45</v>
      </c>
      <c r="F103" t="n">
        <v>132096185.17</v>
      </c>
      <c r="G103" t="n">
        <v>15868.8242</v>
      </c>
      <c r="H103" t="n">
        <v>3559.372</v>
      </c>
      <c r="I103" t="n">
        <v>2961.2416</v>
      </c>
      <c r="J103" t="n">
        <v>8394.1878</v>
      </c>
      <c r="K103" t="n">
        <v>2020</v>
      </c>
      <c r="L103" t="n">
        <v>2040</v>
      </c>
      <c r="M103" t="n">
        <v>0.3477</v>
      </c>
      <c r="N103" t="n">
        <v>0.1695</v>
      </c>
      <c r="O103" t="n">
        <v>2018</v>
      </c>
      <c r="P103" t="inlineStr"/>
      <c r="Q103" t="inlineStr"/>
      <c r="R103" t="n">
        <v>529.8294</v>
      </c>
      <c r="S103" t="n">
        <v>0.00091413</v>
      </c>
      <c r="T103" t="n">
        <v>0.00096913</v>
      </c>
      <c r="U103" t="n">
        <v>15868.8242</v>
      </c>
      <c r="V103" t="inlineStr">
        <is>
          <t>Provided Total Emissions</t>
        </is>
      </c>
      <c r="W103" t="b">
        <v>1</v>
      </c>
      <c r="X103" t="n">
        <v>14984.8847</v>
      </c>
      <c r="Y103" t="n">
        <v>128018.3759</v>
      </c>
      <c r="Z103" t="n">
        <v>-883.9395</v>
      </c>
      <c r="AA103" t="n">
        <v>112149.5517</v>
      </c>
      <c r="AB103" t="n">
        <v>-0.055703</v>
      </c>
      <c r="AC103" t="n">
        <v>7.067288</v>
      </c>
      <c r="AD103" t="inlineStr">
        <is>
          <t>High</t>
        </is>
      </c>
      <c r="AE103" t="inlineStr">
        <is>
          <t>None</t>
        </is>
      </c>
      <c r="AF103" t="n">
        <v>0.95</v>
      </c>
      <c r="AG103" t="inlineStr">
        <is>
          <t>Valid</t>
        </is>
      </c>
    </row>
    <row r="104">
      <c r="A104" t="inlineStr">
        <is>
          <t>SUP-0011</t>
        </is>
      </c>
      <c r="B104" t="inlineStr">
        <is>
          <t>Agriculture Supplier 011</t>
        </is>
      </c>
      <c r="C104" t="inlineStr">
        <is>
          <t>Agriculture</t>
        </is>
      </c>
      <c r="D104" t="n">
        <v>2017</v>
      </c>
      <c r="E104" t="n">
        <v>17778817.86</v>
      </c>
      <c r="F104" t="n">
        <v>137459569.12</v>
      </c>
      <c r="G104" t="n">
        <v>20774.162</v>
      </c>
      <c r="H104" t="n">
        <v>2784.3816</v>
      </c>
      <c r="I104" t="n">
        <v>3614.609</v>
      </c>
      <c r="J104" t="n">
        <v>13874.3499</v>
      </c>
      <c r="K104" t="n">
        <v>2020</v>
      </c>
      <c r="L104" t="n">
        <v>2040</v>
      </c>
      <c r="M104" t="n">
        <v>0.3477</v>
      </c>
      <c r="N104" t="n">
        <v>0.1695</v>
      </c>
      <c r="O104" t="n">
        <v>2018</v>
      </c>
      <c r="P104" t="inlineStr"/>
      <c r="Q104" t="inlineStr"/>
      <c r="R104" t="n">
        <v>529.8294</v>
      </c>
      <c r="S104" t="n">
        <v>0.00091413</v>
      </c>
      <c r="T104" t="n">
        <v>0.00096913</v>
      </c>
      <c r="U104" t="n">
        <v>20774.162</v>
      </c>
      <c r="V104" t="inlineStr">
        <is>
          <t>Provided Total Emissions</t>
        </is>
      </c>
      <c r="W104" t="b">
        <v>1</v>
      </c>
      <c r="X104" t="n">
        <v>16252.1508</v>
      </c>
      <c r="Y104" t="n">
        <v>133216.1922</v>
      </c>
      <c r="Z104" t="n">
        <v>-4522.0112</v>
      </c>
      <c r="AA104" t="n">
        <v>112442.0302</v>
      </c>
      <c r="AB104" t="n">
        <v>-0.217675</v>
      </c>
      <c r="AC104" t="n">
        <v>5.41259</v>
      </c>
      <c r="AD104" t="inlineStr">
        <is>
          <t>High</t>
        </is>
      </c>
      <c r="AE104" t="inlineStr">
        <is>
          <t>None</t>
        </is>
      </c>
      <c r="AF104" t="n">
        <v>0.95</v>
      </c>
      <c r="AG104" t="inlineStr">
        <is>
          <t>Valid</t>
        </is>
      </c>
    </row>
    <row r="105">
      <c r="A105" t="inlineStr">
        <is>
          <t>SUP-0011</t>
        </is>
      </c>
      <c r="B105" t="inlineStr">
        <is>
          <t>Agriculture Supplier 011</t>
        </is>
      </c>
      <c r="C105" t="inlineStr">
        <is>
          <t>Agriculture</t>
        </is>
      </c>
      <c r="D105" t="n">
        <v>2018</v>
      </c>
      <c r="E105" t="n">
        <v>16469341.57</v>
      </c>
      <c r="F105" t="n">
        <v>141276034.42</v>
      </c>
      <c r="G105" t="n">
        <v>20743.6603</v>
      </c>
      <c r="H105" t="n">
        <v>4643.4388</v>
      </c>
      <c r="I105" t="n">
        <v>1224.8048</v>
      </c>
      <c r="J105" t="n">
        <v>13425.9298</v>
      </c>
      <c r="K105" t="n">
        <v>2020</v>
      </c>
      <c r="L105" t="n">
        <v>2040</v>
      </c>
      <c r="M105" t="n">
        <v>0.3477</v>
      </c>
      <c r="N105" t="n">
        <v>0.1695</v>
      </c>
      <c r="O105" t="n">
        <v>2018</v>
      </c>
      <c r="P105" t="inlineStr"/>
      <c r="Q105" t="inlineStr"/>
      <c r="R105" t="n">
        <v>529.8294</v>
      </c>
      <c r="S105" t="n">
        <v>0.00091413</v>
      </c>
      <c r="T105" t="n">
        <v>0.00096913</v>
      </c>
      <c r="U105" t="n">
        <v>20743.6603</v>
      </c>
      <c r="V105" t="inlineStr">
        <is>
          <t>Provided Total Emissions</t>
        </is>
      </c>
      <c r="W105" t="b">
        <v>1</v>
      </c>
      <c r="X105" t="n">
        <v>15055.1192</v>
      </c>
      <c r="Y105" t="n">
        <v>136914.8432</v>
      </c>
      <c r="Z105" t="n">
        <v>-5688.5411</v>
      </c>
      <c r="AA105" t="n">
        <v>116171.1829</v>
      </c>
      <c r="AB105" t="n">
        <v>-0.27423</v>
      </c>
      <c r="AC105" t="n">
        <v>5.600322</v>
      </c>
      <c r="AD105" t="inlineStr">
        <is>
          <t>High</t>
        </is>
      </c>
      <c r="AE105" t="inlineStr">
        <is>
          <t>None</t>
        </is>
      </c>
      <c r="AF105" t="n">
        <v>0.95</v>
      </c>
      <c r="AG105" t="inlineStr">
        <is>
          <t>Valid</t>
        </is>
      </c>
    </row>
    <row r="106">
      <c r="A106" t="inlineStr">
        <is>
          <t>SUP-0011</t>
        </is>
      </c>
      <c r="B106" t="inlineStr">
        <is>
          <t>Agriculture Supplier 011</t>
        </is>
      </c>
      <c r="C106" t="inlineStr">
        <is>
          <t>Agriculture</t>
        </is>
      </c>
      <c r="D106" t="n">
        <v>2019</v>
      </c>
      <c r="E106" t="n">
        <v>19971956.58</v>
      </c>
      <c r="F106" t="n">
        <v>118739196.4</v>
      </c>
      <c r="G106" t="n">
        <v>23206.689</v>
      </c>
      <c r="H106" t="n">
        <v>3716.2856</v>
      </c>
      <c r="I106" t="n">
        <v>4772.0831</v>
      </c>
      <c r="J106" t="n">
        <v>14307.101</v>
      </c>
      <c r="K106" t="n">
        <v>2020</v>
      </c>
      <c r="L106" t="n">
        <v>2040</v>
      </c>
      <c r="M106" t="n">
        <v>0.3477</v>
      </c>
      <c r="N106" t="n">
        <v>0.1695</v>
      </c>
      <c r="O106" t="n">
        <v>2018</v>
      </c>
      <c r="P106" t="inlineStr"/>
      <c r="Q106" t="inlineStr"/>
      <c r="R106" t="n">
        <v>529.8294</v>
      </c>
      <c r="S106" t="n">
        <v>0.00091413</v>
      </c>
      <c r="T106" t="n">
        <v>0.00096913</v>
      </c>
      <c r="U106" t="n">
        <v>23206.689</v>
      </c>
      <c r="V106" t="inlineStr">
        <is>
          <t>Provided Total Emissions</t>
        </is>
      </c>
      <c r="W106" t="b">
        <v>1</v>
      </c>
      <c r="X106" t="n">
        <v>18256.9647</v>
      </c>
      <c r="Y106" t="n">
        <v>115073.7174</v>
      </c>
      <c r="Z106" t="n">
        <v>-4949.7243</v>
      </c>
      <c r="AA106" t="n">
        <v>91867.0284</v>
      </c>
      <c r="AB106" t="n">
        <v>-0.213289</v>
      </c>
      <c r="AC106" t="n">
        <v>3.958644</v>
      </c>
      <c r="AD106" t="inlineStr">
        <is>
          <t>High</t>
        </is>
      </c>
      <c r="AE106" t="inlineStr">
        <is>
          <t>None</t>
        </is>
      </c>
      <c r="AF106" t="n">
        <v>0.95</v>
      </c>
      <c r="AG106" t="inlineStr">
        <is>
          <t>Valid</t>
        </is>
      </c>
    </row>
    <row r="107">
      <c r="A107" t="inlineStr">
        <is>
          <t>SUP-0011</t>
        </is>
      </c>
      <c r="B107" t="inlineStr">
        <is>
          <t>Agriculture Supplier 011</t>
        </is>
      </c>
      <c r="C107" t="inlineStr">
        <is>
          <t>Agriculture</t>
        </is>
      </c>
      <c r="D107" t="n">
        <v>2020</v>
      </c>
      <c r="E107" t="n">
        <v>19711510.84</v>
      </c>
      <c r="F107" t="n">
        <v>112992865.51</v>
      </c>
      <c r="G107" t="n">
        <v>26547.3363</v>
      </c>
      <c r="H107" t="n">
        <v>3567.4277</v>
      </c>
      <c r="I107" t="n">
        <v>1855.6114</v>
      </c>
      <c r="J107" t="n">
        <v>23794.5294</v>
      </c>
      <c r="K107" t="n">
        <v>2020</v>
      </c>
      <c r="L107" t="n">
        <v>2040</v>
      </c>
      <c r="M107" t="n">
        <v>0.3477</v>
      </c>
      <c r="N107" t="n">
        <v>0.1695</v>
      </c>
      <c r="O107" t="n">
        <v>2018</v>
      </c>
      <c r="P107" t="inlineStr"/>
      <c r="Q107" t="inlineStr"/>
      <c r="R107" t="n">
        <v>529.8294</v>
      </c>
      <c r="S107" t="n">
        <v>0.00091413</v>
      </c>
      <c r="T107" t="n">
        <v>0.00096913</v>
      </c>
      <c r="U107" t="n">
        <v>26547.3363</v>
      </c>
      <c r="V107" t="inlineStr">
        <is>
          <t>Provided Total Emissions</t>
        </is>
      </c>
      <c r="W107" t="b">
        <v>1</v>
      </c>
      <c r="X107" t="n">
        <v>18018.8834</v>
      </c>
      <c r="Y107" t="n">
        <v>109504.7758</v>
      </c>
      <c r="Z107" t="n">
        <v>-8528.4529</v>
      </c>
      <c r="AA107" t="n">
        <v>82957.43949999999</v>
      </c>
      <c r="AB107" t="n">
        <v>-0.321255</v>
      </c>
      <c r="AC107" t="n">
        <v>3.124888</v>
      </c>
      <c r="AD107" t="inlineStr">
        <is>
          <t>High</t>
        </is>
      </c>
      <c r="AE107" t="inlineStr">
        <is>
          <t>None</t>
        </is>
      </c>
      <c r="AF107" t="n">
        <v>0.95</v>
      </c>
      <c r="AG107" t="inlineStr">
        <is>
          <t>Valid</t>
        </is>
      </c>
    </row>
    <row r="108">
      <c r="A108" t="inlineStr">
        <is>
          <t>SUP-0011</t>
        </is>
      </c>
      <c r="B108" t="inlineStr">
        <is>
          <t>Agriculture Supplier 011</t>
        </is>
      </c>
      <c r="C108" t="inlineStr">
        <is>
          <t>Agriculture</t>
        </is>
      </c>
      <c r="D108" t="n">
        <v>2021</v>
      </c>
      <c r="E108" t="n">
        <v>22090475.36</v>
      </c>
      <c r="F108" t="n">
        <v>131106240.77</v>
      </c>
      <c r="G108" t="n">
        <v>26266.1654</v>
      </c>
      <c r="H108" t="n">
        <v>3119.0474</v>
      </c>
      <c r="I108" t="n">
        <v>4968.2071</v>
      </c>
      <c r="J108" t="n">
        <v>18222.7899</v>
      </c>
      <c r="K108" t="n">
        <v>2020</v>
      </c>
      <c r="L108" t="n">
        <v>2040</v>
      </c>
      <c r="M108" t="n">
        <v>0.3477</v>
      </c>
      <c r="N108" t="n">
        <v>0.1695</v>
      </c>
      <c r="O108" t="n">
        <v>2018</v>
      </c>
      <c r="P108" t="inlineStr"/>
      <c r="Q108" t="inlineStr"/>
      <c r="R108" t="n">
        <v>529.8294</v>
      </c>
      <c r="S108" t="n">
        <v>0.00091413</v>
      </c>
      <c r="T108" t="n">
        <v>0.00096913</v>
      </c>
      <c r="U108" t="n">
        <v>26266.1654</v>
      </c>
      <c r="V108" t="inlineStr">
        <is>
          <t>Provided Total Emissions</t>
        </is>
      </c>
      <c r="W108" t="b">
        <v>1</v>
      </c>
      <c r="X108" t="n">
        <v>20193.5662</v>
      </c>
      <c r="Y108" t="n">
        <v>127058.9911</v>
      </c>
      <c r="Z108" t="n">
        <v>-6072.5992</v>
      </c>
      <c r="AA108" t="n">
        <v>100792.8257</v>
      </c>
      <c r="AB108" t="n">
        <v>-0.231195</v>
      </c>
      <c r="AC108" t="n">
        <v>3.837364</v>
      </c>
      <c r="AD108" t="inlineStr">
        <is>
          <t>High</t>
        </is>
      </c>
      <c r="AE108" t="inlineStr">
        <is>
          <t>None</t>
        </is>
      </c>
      <c r="AF108" t="n">
        <v>0.95</v>
      </c>
      <c r="AG108" t="inlineStr">
        <is>
          <t>Valid</t>
        </is>
      </c>
    </row>
    <row r="109">
      <c r="A109" t="inlineStr">
        <is>
          <t>SUP-0011</t>
        </is>
      </c>
      <c r="B109" t="inlineStr">
        <is>
          <t>Agriculture Supplier 011</t>
        </is>
      </c>
      <c r="C109" t="inlineStr">
        <is>
          <t>Agriculture</t>
        </is>
      </c>
      <c r="D109" t="n">
        <v>2022</v>
      </c>
      <c r="E109" t="n">
        <v>19454028.72</v>
      </c>
      <c r="F109" t="n">
        <v>112049353.2</v>
      </c>
      <c r="G109" t="n">
        <v>22781.644</v>
      </c>
      <c r="H109" t="n">
        <v>2483.607</v>
      </c>
      <c r="I109" t="n">
        <v>1902.7816</v>
      </c>
      <c r="J109" t="n">
        <v>16427.262</v>
      </c>
      <c r="K109" t="n">
        <v>2020</v>
      </c>
      <c r="L109" t="n">
        <v>2040</v>
      </c>
      <c r="M109" t="n">
        <v>0.3477</v>
      </c>
      <c r="N109" t="n">
        <v>0.1695</v>
      </c>
      <c r="O109" t="n">
        <v>2018</v>
      </c>
      <c r="P109" t="inlineStr"/>
      <c r="Q109" t="inlineStr"/>
      <c r="R109" t="n">
        <v>529.8294</v>
      </c>
      <c r="S109" t="n">
        <v>0.00091413</v>
      </c>
      <c r="T109" t="n">
        <v>0.00096913</v>
      </c>
      <c r="U109" t="n">
        <v>22781.644</v>
      </c>
      <c r="V109" t="inlineStr">
        <is>
          <t>Provided Total Emissions</t>
        </is>
      </c>
      <c r="W109" t="b">
        <v>1</v>
      </c>
      <c r="X109" t="n">
        <v>17783.5113</v>
      </c>
      <c r="Y109" t="n">
        <v>108590.3897</v>
      </c>
      <c r="Z109" t="n">
        <v>-4998.1327</v>
      </c>
      <c r="AA109" t="n">
        <v>85808.7457</v>
      </c>
      <c r="AB109" t="n">
        <v>-0.219393</v>
      </c>
      <c r="AC109" t="n">
        <v>3.766574</v>
      </c>
      <c r="AD109" t="inlineStr">
        <is>
          <t>High</t>
        </is>
      </c>
      <c r="AE109" t="inlineStr">
        <is>
          <t>None</t>
        </is>
      </c>
      <c r="AF109" t="n">
        <v>0.95</v>
      </c>
      <c r="AG109" t="inlineStr">
        <is>
          <t>Valid</t>
        </is>
      </c>
    </row>
    <row r="110">
      <c r="A110" t="inlineStr">
        <is>
          <t>SUP-0011</t>
        </is>
      </c>
      <c r="B110" t="inlineStr">
        <is>
          <t>Agriculture Supplier 011</t>
        </is>
      </c>
      <c r="C110" t="inlineStr">
        <is>
          <t>Agriculture</t>
        </is>
      </c>
      <c r="D110" t="n">
        <v>2023</v>
      </c>
      <c r="E110" t="n">
        <v>19497527.78</v>
      </c>
      <c r="F110" t="n">
        <v>144974794.64</v>
      </c>
      <c r="G110" t="n">
        <v>20023.4691</v>
      </c>
      <c r="H110" t="n">
        <v>4977.4552</v>
      </c>
      <c r="I110" t="n">
        <v>3416.7924</v>
      </c>
      <c r="J110" t="n">
        <v>12755.5168</v>
      </c>
      <c r="K110" t="n">
        <v>2020</v>
      </c>
      <c r="L110" t="n">
        <v>2040</v>
      </c>
      <c r="M110" t="n">
        <v>0.3477</v>
      </c>
      <c r="N110" t="n">
        <v>0.1695</v>
      </c>
      <c r="O110" t="n">
        <v>2018</v>
      </c>
      <c r="P110" t="inlineStr"/>
      <c r="Q110" t="inlineStr"/>
      <c r="R110" t="n">
        <v>529.8294</v>
      </c>
      <c r="S110" t="n">
        <v>0.00091413</v>
      </c>
      <c r="T110" t="n">
        <v>0.00096913</v>
      </c>
      <c r="U110" t="n">
        <v>20023.4691</v>
      </c>
      <c r="V110" t="inlineStr">
        <is>
          <t>Provided Total Emissions</t>
        </is>
      </c>
      <c r="W110" t="b">
        <v>1</v>
      </c>
      <c r="X110" t="n">
        <v>17823.2751</v>
      </c>
      <c r="Y110" t="n">
        <v>140499.4227</v>
      </c>
      <c r="Z110" t="n">
        <v>-2200.194</v>
      </c>
      <c r="AA110" t="n">
        <v>120475.9536</v>
      </c>
      <c r="AB110" t="n">
        <v>-0.109881</v>
      </c>
      <c r="AC110" t="n">
        <v>6.016737</v>
      </c>
      <c r="AD110" t="inlineStr">
        <is>
          <t>High</t>
        </is>
      </c>
      <c r="AE110" t="inlineStr">
        <is>
          <t>None</t>
        </is>
      </c>
      <c r="AF110" t="n">
        <v>0.95</v>
      </c>
      <c r="AG110" t="inlineStr">
        <is>
          <t>Valid</t>
        </is>
      </c>
    </row>
    <row r="111">
      <c r="A111" t="inlineStr">
        <is>
          <t>SUP-0011</t>
        </is>
      </c>
      <c r="B111" t="inlineStr">
        <is>
          <t>Agriculture Supplier 011</t>
        </is>
      </c>
      <c r="C111" t="inlineStr">
        <is>
          <t>Agriculture</t>
        </is>
      </c>
      <c r="D111" t="n">
        <v>2024</v>
      </c>
      <c r="E111" t="n">
        <v>20856357.09</v>
      </c>
      <c r="F111" t="n">
        <v>109421404.1</v>
      </c>
      <c r="G111" t="n">
        <v>22527.4382</v>
      </c>
      <c r="H111" t="n">
        <v>5623.3532</v>
      </c>
      <c r="I111" t="n">
        <v>2525.3928</v>
      </c>
      <c r="J111" t="n">
        <v>15905.1585</v>
      </c>
      <c r="K111" t="n">
        <v>2020</v>
      </c>
      <c r="L111" t="n">
        <v>2040</v>
      </c>
      <c r="M111" t="n">
        <v>0.3477</v>
      </c>
      <c r="N111" t="n">
        <v>0.1695</v>
      </c>
      <c r="O111" t="n">
        <v>2018</v>
      </c>
      <c r="P111" t="inlineStr"/>
      <c r="Q111" t="inlineStr"/>
      <c r="R111" t="n">
        <v>529.8294</v>
      </c>
      <c r="S111" t="n">
        <v>0.00091413</v>
      </c>
      <c r="T111" t="n">
        <v>0.00096913</v>
      </c>
      <c r="U111" t="n">
        <v>22527.4382</v>
      </c>
      <c r="V111" t="inlineStr">
        <is>
          <t>Provided Total Emissions</t>
        </is>
      </c>
      <c r="W111" t="b">
        <v>1</v>
      </c>
      <c r="X111" t="n">
        <v>19065.4217</v>
      </c>
      <c r="Y111" t="n">
        <v>106043.5654</v>
      </c>
      <c r="Z111" t="n">
        <v>-3462.0165</v>
      </c>
      <c r="AA111" t="n">
        <v>83516.1272</v>
      </c>
      <c r="AB111" t="n">
        <v>-0.15368</v>
      </c>
      <c r="AC111" t="n">
        <v>3.707307</v>
      </c>
      <c r="AD111" t="inlineStr">
        <is>
          <t>High</t>
        </is>
      </c>
      <c r="AE111" t="inlineStr">
        <is>
          <t>None</t>
        </is>
      </c>
      <c r="AF111" t="n">
        <v>0.95</v>
      </c>
      <c r="AG111" t="inlineStr">
        <is>
          <t>Valid</t>
        </is>
      </c>
    </row>
    <row r="112">
      <c r="A112" t="inlineStr">
        <is>
          <t>SUP-0012</t>
        </is>
      </c>
      <c r="B112" t="inlineStr">
        <is>
          <t>Textiles Supplier 012</t>
        </is>
      </c>
      <c r="C112" t="inlineStr">
        <is>
          <t>Textiles</t>
        </is>
      </c>
      <c r="D112" t="n">
        <v>2015</v>
      </c>
      <c r="E112" t="n">
        <v>16132716.31</v>
      </c>
      <c r="F112" t="n">
        <v>113317502.67</v>
      </c>
      <c r="G112" t="n">
        <v>2965.4297</v>
      </c>
      <c r="H112" t="n">
        <v>610.6158</v>
      </c>
      <c r="I112" t="n">
        <v>345.8851</v>
      </c>
      <c r="J112" t="n">
        <v>2311.8881</v>
      </c>
      <c r="K112" t="inlineStr"/>
      <c r="L112" t="inlineStr"/>
      <c r="M112" t="inlineStr"/>
      <c r="N112" t="inlineStr"/>
      <c r="O112" t="n">
        <v>2019</v>
      </c>
      <c r="P112" t="n">
        <v>2030</v>
      </c>
      <c r="Q112" t="n">
        <v>0.3171</v>
      </c>
      <c r="R112" t="n">
        <v>401.7335</v>
      </c>
      <c r="S112" t="n">
        <v>0.00029221</v>
      </c>
      <c r="T112" t="n">
        <v>0.00017343</v>
      </c>
      <c r="U112" t="n">
        <v>2965.4297</v>
      </c>
      <c r="V112" t="inlineStr">
        <is>
          <t>Provided Total Emissions</t>
        </is>
      </c>
      <c r="W112" t="b">
        <v>1</v>
      </c>
      <c r="X112" t="n">
        <v>4714.141</v>
      </c>
      <c r="Y112" t="n">
        <v>19652.6545</v>
      </c>
      <c r="Z112" t="n">
        <v>1748.7113</v>
      </c>
      <c r="AA112" t="n">
        <v>16687.2248</v>
      </c>
      <c r="AB112" t="n">
        <v>0.589699</v>
      </c>
      <c r="AC112" t="n">
        <v>5.627254</v>
      </c>
      <c r="AD112" t="inlineStr">
        <is>
          <t>High</t>
        </is>
      </c>
      <c r="AE112" t="inlineStr">
        <is>
          <t>None</t>
        </is>
      </c>
      <c r="AF112" t="n">
        <v>0.95</v>
      </c>
      <c r="AG112" t="inlineStr">
        <is>
          <t>Valid</t>
        </is>
      </c>
    </row>
    <row r="113">
      <c r="A113" t="inlineStr">
        <is>
          <t>SUP-0012</t>
        </is>
      </c>
      <c r="B113" t="inlineStr">
        <is>
          <t>Textiles Supplier 012</t>
        </is>
      </c>
      <c r="C113" t="inlineStr">
        <is>
          <t>Textiles</t>
        </is>
      </c>
      <c r="D113" t="n">
        <v>2016</v>
      </c>
      <c r="E113" t="n">
        <v>16542936.23</v>
      </c>
      <c r="F113" t="n">
        <v>118984110.76</v>
      </c>
      <c r="G113" t="n">
        <v>3034.9761</v>
      </c>
      <c r="H113" t="n">
        <v>297.4317</v>
      </c>
      <c r="I113" t="n">
        <v>399.1682</v>
      </c>
      <c r="J113" t="n">
        <v>2499.2047</v>
      </c>
      <c r="K113" t="inlineStr"/>
      <c r="L113" t="inlineStr"/>
      <c r="M113" t="inlineStr"/>
      <c r="N113" t="inlineStr"/>
      <c r="O113" t="n">
        <v>2019</v>
      </c>
      <c r="P113" t="n">
        <v>2030</v>
      </c>
      <c r="Q113" t="n">
        <v>0.3171</v>
      </c>
      <c r="R113" t="n">
        <v>401.7335</v>
      </c>
      <c r="S113" t="n">
        <v>0.00029221</v>
      </c>
      <c r="T113" t="n">
        <v>0.00017343</v>
      </c>
      <c r="U113" t="n">
        <v>3034.9761</v>
      </c>
      <c r="V113" t="inlineStr">
        <is>
          <t>Provided Total Emissions</t>
        </is>
      </c>
      <c r="W113" t="b">
        <v>1</v>
      </c>
      <c r="X113" t="n">
        <v>4834.0114</v>
      </c>
      <c r="Y113" t="n">
        <v>20635.4143</v>
      </c>
      <c r="Z113" t="n">
        <v>1799.0353</v>
      </c>
      <c r="AA113" t="n">
        <v>17600.4382</v>
      </c>
      <c r="AB113" t="n">
        <v>0.592768</v>
      </c>
      <c r="AC113" t="n">
        <v>5.799202</v>
      </c>
      <c r="AD113" t="inlineStr">
        <is>
          <t>High</t>
        </is>
      </c>
      <c r="AE113" t="inlineStr">
        <is>
          <t>None</t>
        </is>
      </c>
      <c r="AF113" t="n">
        <v>0.95</v>
      </c>
      <c r="AG113" t="inlineStr">
        <is>
          <t>Valid</t>
        </is>
      </c>
    </row>
    <row r="114">
      <c r="A114" t="inlineStr">
        <is>
          <t>SUP-0012</t>
        </is>
      </c>
      <c r="B114" t="inlineStr">
        <is>
          <t>Textiles Supplier 012</t>
        </is>
      </c>
      <c r="C114" t="inlineStr">
        <is>
          <t>Textiles</t>
        </is>
      </c>
      <c r="D114" t="n">
        <v>2017</v>
      </c>
      <c r="E114" t="n">
        <v>18689663.55</v>
      </c>
      <c r="F114" t="n">
        <v>151900741.93</v>
      </c>
      <c r="G114" t="n">
        <v>3075.149</v>
      </c>
      <c r="H114" t="n">
        <v>584.1612</v>
      </c>
      <c r="I114" t="n">
        <v>491.7075</v>
      </c>
      <c r="J114" t="n">
        <v>2141.6052</v>
      </c>
      <c r="K114" t="inlineStr"/>
      <c r="L114" t="inlineStr"/>
      <c r="M114" t="inlineStr"/>
      <c r="N114" t="inlineStr"/>
      <c r="O114" t="n">
        <v>2019</v>
      </c>
      <c r="P114" t="n">
        <v>2030</v>
      </c>
      <c r="Q114" t="n">
        <v>0.3171</v>
      </c>
      <c r="R114" t="n">
        <v>401.7335</v>
      </c>
      <c r="S114" t="n">
        <v>0.00029221</v>
      </c>
      <c r="T114" t="n">
        <v>0.00017343</v>
      </c>
      <c r="U114" t="n">
        <v>3075.149</v>
      </c>
      <c r="V114" t="inlineStr">
        <is>
          <t>Provided Total Emissions</t>
        </is>
      </c>
      <c r="W114" t="b">
        <v>1</v>
      </c>
      <c r="X114" t="n">
        <v>5461.3066</v>
      </c>
      <c r="Y114" t="n">
        <v>26344.1457</v>
      </c>
      <c r="Z114" t="n">
        <v>2386.1576</v>
      </c>
      <c r="AA114" t="n">
        <v>23268.9967</v>
      </c>
      <c r="AB114" t="n">
        <v>0.775949</v>
      </c>
      <c r="AC114" t="n">
        <v>7.566787</v>
      </c>
      <c r="AD114" t="inlineStr">
        <is>
          <t>High</t>
        </is>
      </c>
      <c r="AE114" t="inlineStr">
        <is>
          <t>None</t>
        </is>
      </c>
      <c r="AF114" t="n">
        <v>0.95</v>
      </c>
      <c r="AG114" t="inlineStr">
        <is>
          <t>Valid</t>
        </is>
      </c>
    </row>
    <row r="115">
      <c r="A115" t="inlineStr">
        <is>
          <t>SUP-0012</t>
        </is>
      </c>
      <c r="B115" t="inlineStr">
        <is>
          <t>Textiles Supplier 012</t>
        </is>
      </c>
      <c r="C115" t="inlineStr">
        <is>
          <t>Textiles</t>
        </is>
      </c>
      <c r="D115" t="n">
        <v>2018</v>
      </c>
      <c r="E115" t="n">
        <v>21920983.47</v>
      </c>
      <c r="F115" t="n">
        <v>159287047.01</v>
      </c>
      <c r="G115" t="n">
        <v>3170.1424</v>
      </c>
      <c r="H115" t="n">
        <v>858.1265</v>
      </c>
      <c r="I115" t="n">
        <v>449.7598</v>
      </c>
      <c r="J115" t="n">
        <v>1779.8168</v>
      </c>
      <c r="K115" t="inlineStr"/>
      <c r="L115" t="inlineStr"/>
      <c r="M115" t="inlineStr"/>
      <c r="N115" t="inlineStr"/>
      <c r="O115" t="n">
        <v>2019</v>
      </c>
      <c r="P115" t="n">
        <v>2030</v>
      </c>
      <c r="Q115" t="n">
        <v>0.3171</v>
      </c>
      <c r="R115" t="n">
        <v>401.7335</v>
      </c>
      <c r="S115" t="n">
        <v>0.00029221</v>
      </c>
      <c r="T115" t="n">
        <v>0.00017343</v>
      </c>
      <c r="U115" t="n">
        <v>3170.1424</v>
      </c>
      <c r="V115" t="inlineStr">
        <is>
          <t>Provided Total Emissions</t>
        </is>
      </c>
      <c r="W115" t="b">
        <v>1</v>
      </c>
      <c r="X115" t="n">
        <v>6405.5306</v>
      </c>
      <c r="Y115" t="n">
        <v>27625.1526</v>
      </c>
      <c r="Z115" t="n">
        <v>3235.3882</v>
      </c>
      <c r="AA115" t="n">
        <v>24455.0102</v>
      </c>
      <c r="AB115" t="n">
        <v>1.020581</v>
      </c>
      <c r="AC115" t="n">
        <v>7.714168</v>
      </c>
      <c r="AD115" t="inlineStr">
        <is>
          <t>High</t>
        </is>
      </c>
      <c r="AE115" t="inlineStr">
        <is>
          <t>None</t>
        </is>
      </c>
      <c r="AF115" t="n">
        <v>0.95</v>
      </c>
      <c r="AG115" t="inlineStr">
        <is>
          <t>Valid</t>
        </is>
      </c>
    </row>
    <row r="116">
      <c r="A116" t="inlineStr">
        <is>
          <t>SUP-0012</t>
        </is>
      </c>
      <c r="B116" t="inlineStr">
        <is>
          <t>Textiles Supplier 012</t>
        </is>
      </c>
      <c r="C116" t="inlineStr">
        <is>
          <t>Textiles</t>
        </is>
      </c>
      <c r="D116" t="n">
        <v>2019</v>
      </c>
      <c r="E116" t="n">
        <v>18960427.94</v>
      </c>
      <c r="F116" t="n">
        <v>167321797.34</v>
      </c>
      <c r="G116" t="n">
        <v>3826.7301</v>
      </c>
      <c r="H116" t="n">
        <v>906.5643</v>
      </c>
      <c r="I116" t="n">
        <v>687.5201</v>
      </c>
      <c r="J116" t="n">
        <v>2294.8817</v>
      </c>
      <c r="K116" t="inlineStr"/>
      <c r="L116" t="inlineStr"/>
      <c r="M116" t="inlineStr"/>
      <c r="N116" t="inlineStr"/>
      <c r="O116" t="n">
        <v>2019</v>
      </c>
      <c r="P116" t="n">
        <v>2030</v>
      </c>
      <c r="Q116" t="n">
        <v>0.3171</v>
      </c>
      <c r="R116" t="n">
        <v>401.7335</v>
      </c>
      <c r="S116" t="n">
        <v>0.00029221</v>
      </c>
      <c r="T116" t="n">
        <v>0.00017343</v>
      </c>
      <c r="U116" t="n">
        <v>3826.7301</v>
      </c>
      <c r="V116" t="inlineStr">
        <is>
          <t>Provided Total Emissions</t>
        </is>
      </c>
      <c r="W116" t="b">
        <v>1</v>
      </c>
      <c r="X116" t="n">
        <v>5540.4266</v>
      </c>
      <c r="Y116" t="n">
        <v>29018.6193</v>
      </c>
      <c r="Z116" t="n">
        <v>1713.6965</v>
      </c>
      <c r="AA116" t="n">
        <v>25191.8892</v>
      </c>
      <c r="AB116" t="n">
        <v>0.447823</v>
      </c>
      <c r="AC116" t="n">
        <v>6.583137</v>
      </c>
      <c r="AD116" t="inlineStr">
        <is>
          <t>High</t>
        </is>
      </c>
      <c r="AE116" t="inlineStr">
        <is>
          <t>None</t>
        </is>
      </c>
      <c r="AF116" t="n">
        <v>0.95</v>
      </c>
      <c r="AG116" t="inlineStr">
        <is>
          <t>Valid</t>
        </is>
      </c>
    </row>
    <row r="117">
      <c r="A117" t="inlineStr">
        <is>
          <t>SUP-0012</t>
        </is>
      </c>
      <c r="B117" t="inlineStr">
        <is>
          <t>Textiles Supplier 012</t>
        </is>
      </c>
      <c r="C117" t="inlineStr">
        <is>
          <t>Textiles</t>
        </is>
      </c>
      <c r="D117" t="n">
        <v>2020</v>
      </c>
      <c r="E117" t="n">
        <v>23137923.07</v>
      </c>
      <c r="F117" t="n">
        <v>167871326.95</v>
      </c>
      <c r="G117" t="n">
        <v>4419.0129</v>
      </c>
      <c r="H117" t="n">
        <v>675.4344</v>
      </c>
      <c r="I117" t="n">
        <v>812.4313</v>
      </c>
      <c r="J117" t="n">
        <v>2894.252</v>
      </c>
      <c r="K117" t="inlineStr"/>
      <c r="L117" t="inlineStr"/>
      <c r="M117" t="inlineStr"/>
      <c r="N117" t="inlineStr"/>
      <c r="O117" t="n">
        <v>2019</v>
      </c>
      <c r="P117" t="n">
        <v>2030</v>
      </c>
      <c r="Q117" t="n">
        <v>0.3171</v>
      </c>
      <c r="R117" t="n">
        <v>401.7335</v>
      </c>
      <c r="S117" t="n">
        <v>0.00029221</v>
      </c>
      <c r="T117" t="n">
        <v>0.00017343</v>
      </c>
      <c r="U117" t="n">
        <v>4419.0129</v>
      </c>
      <c r="V117" t="inlineStr">
        <is>
          <t>Provided Total Emissions</t>
        </is>
      </c>
      <c r="W117" t="b">
        <v>1</v>
      </c>
      <c r="X117" t="n">
        <v>6761.1325</v>
      </c>
      <c r="Y117" t="n">
        <v>29113.9242</v>
      </c>
      <c r="Z117" t="n">
        <v>2342.1196</v>
      </c>
      <c r="AA117" t="n">
        <v>24694.9113</v>
      </c>
      <c r="AB117" t="n">
        <v>0.53001</v>
      </c>
      <c r="AC117" t="n">
        <v>5.588332</v>
      </c>
      <c r="AD117" t="inlineStr">
        <is>
          <t>High</t>
        </is>
      </c>
      <c r="AE117" t="inlineStr">
        <is>
          <t>None</t>
        </is>
      </c>
      <c r="AF117" t="n">
        <v>0.95</v>
      </c>
      <c r="AG117" t="inlineStr">
        <is>
          <t>Valid</t>
        </is>
      </c>
    </row>
    <row r="118">
      <c r="A118" t="inlineStr">
        <is>
          <t>SUP-0012</t>
        </is>
      </c>
      <c r="B118" t="inlineStr">
        <is>
          <t>Textiles Supplier 012</t>
        </is>
      </c>
      <c r="C118" t="inlineStr">
        <is>
          <t>Textiles</t>
        </is>
      </c>
      <c r="D118" t="n">
        <v>2021</v>
      </c>
      <c r="E118" t="n">
        <v>20795844.13</v>
      </c>
      <c r="F118" t="n">
        <v>157383910.73</v>
      </c>
      <c r="G118" t="n">
        <v>4289.9676</v>
      </c>
      <c r="H118" t="n">
        <v>539.8788</v>
      </c>
      <c r="I118" t="n">
        <v>438.077</v>
      </c>
      <c r="J118" t="n">
        <v>3321.9238</v>
      </c>
      <c r="K118" t="inlineStr"/>
      <c r="L118" t="inlineStr"/>
      <c r="M118" t="inlineStr"/>
      <c r="N118" t="inlineStr"/>
      <c r="O118" t="n">
        <v>2019</v>
      </c>
      <c r="P118" t="n">
        <v>2030</v>
      </c>
      <c r="Q118" t="n">
        <v>0.3171</v>
      </c>
      <c r="R118" t="n">
        <v>401.7335</v>
      </c>
      <c r="S118" t="n">
        <v>0.00029221</v>
      </c>
      <c r="T118" t="n">
        <v>0.00017343</v>
      </c>
      <c r="U118" t="n">
        <v>4289.9676</v>
      </c>
      <c r="V118" t="inlineStr">
        <is>
          <t>Provided Total Emissions</t>
        </is>
      </c>
      <c r="W118" t="b">
        <v>1</v>
      </c>
      <c r="X118" t="n">
        <v>6076.7536</v>
      </c>
      <c r="Y118" t="n">
        <v>27295.0916</v>
      </c>
      <c r="Z118" t="n">
        <v>1786.786</v>
      </c>
      <c r="AA118" t="n">
        <v>23005.124</v>
      </c>
      <c r="AB118" t="n">
        <v>0.416503</v>
      </c>
      <c r="AC118" t="n">
        <v>5.36254</v>
      </c>
      <c r="AD118" t="inlineStr">
        <is>
          <t>High</t>
        </is>
      </c>
      <c r="AE118" t="inlineStr">
        <is>
          <t>None</t>
        </is>
      </c>
      <c r="AF118" t="n">
        <v>0.95</v>
      </c>
      <c r="AG118" t="inlineStr">
        <is>
          <t>Valid</t>
        </is>
      </c>
    </row>
    <row r="119">
      <c r="A119" t="inlineStr">
        <is>
          <t>SUP-0012</t>
        </is>
      </c>
      <c r="B119" t="inlineStr">
        <is>
          <t>Textiles Supplier 012</t>
        </is>
      </c>
      <c r="C119" t="inlineStr">
        <is>
          <t>Textiles</t>
        </is>
      </c>
      <c r="D119" t="n">
        <v>2022</v>
      </c>
      <c r="E119" t="n">
        <v>21756851.6</v>
      </c>
      <c r="F119" t="n">
        <v>198340358.72</v>
      </c>
      <c r="G119" t="n">
        <v>4669.4346</v>
      </c>
      <c r="H119" t="n">
        <v>916.8105</v>
      </c>
      <c r="I119" t="n">
        <v>959.3006</v>
      </c>
      <c r="J119" t="n">
        <v>3145.748</v>
      </c>
      <c r="K119" t="inlineStr"/>
      <c r="L119" t="inlineStr"/>
      <c r="M119" t="inlineStr"/>
      <c r="N119" t="inlineStr"/>
      <c r="O119" t="n">
        <v>2019</v>
      </c>
      <c r="P119" t="n">
        <v>2030</v>
      </c>
      <c r="Q119" t="n">
        <v>0.3171</v>
      </c>
      <c r="R119" t="n">
        <v>401.7335</v>
      </c>
      <c r="S119" t="n">
        <v>0.00029221</v>
      </c>
      <c r="T119" t="n">
        <v>0.00017343</v>
      </c>
      <c r="U119" t="n">
        <v>4669.4346</v>
      </c>
      <c r="V119" t="inlineStr">
        <is>
          <t>Provided Total Emissions</t>
        </is>
      </c>
      <c r="W119" t="b">
        <v>1</v>
      </c>
      <c r="X119" t="n">
        <v>6357.5696</v>
      </c>
      <c r="Y119" t="n">
        <v>34398.1684</v>
      </c>
      <c r="Z119" t="n">
        <v>1688.135</v>
      </c>
      <c r="AA119" t="n">
        <v>29728.7338</v>
      </c>
      <c r="AB119" t="n">
        <v>0.361529</v>
      </c>
      <c r="AC119" t="n">
        <v>6.366667</v>
      </c>
      <c r="AD119" t="inlineStr">
        <is>
          <t>High</t>
        </is>
      </c>
      <c r="AE119" t="inlineStr">
        <is>
          <t>None</t>
        </is>
      </c>
      <c r="AF119" t="n">
        <v>0.95</v>
      </c>
      <c r="AG119" t="inlineStr">
        <is>
          <t>Valid</t>
        </is>
      </c>
    </row>
    <row r="120">
      <c r="A120" t="inlineStr">
        <is>
          <t>SUP-0012</t>
        </is>
      </c>
      <c r="B120" t="inlineStr">
        <is>
          <t>Textiles Supplier 012</t>
        </is>
      </c>
      <c r="C120" t="inlineStr">
        <is>
          <t>Textiles</t>
        </is>
      </c>
      <c r="D120" t="n">
        <v>2023</v>
      </c>
      <c r="E120" t="n">
        <v>29447898.31</v>
      </c>
      <c r="F120" t="n">
        <v>197653463.47</v>
      </c>
      <c r="G120" t="n">
        <v>5186.3794</v>
      </c>
      <c r="H120" t="n">
        <v>930.1838</v>
      </c>
      <c r="I120" t="n">
        <v>738.0038</v>
      </c>
      <c r="J120" t="n">
        <v>3210.8004</v>
      </c>
      <c r="K120" t="inlineStr"/>
      <c r="L120" t="inlineStr"/>
      <c r="M120" t="inlineStr"/>
      <c r="N120" t="inlineStr"/>
      <c r="O120" t="n">
        <v>2019</v>
      </c>
      <c r="P120" t="n">
        <v>2030</v>
      </c>
      <c r="Q120" t="n">
        <v>0.3171</v>
      </c>
      <c r="R120" t="n">
        <v>401.7335</v>
      </c>
      <c r="S120" t="n">
        <v>0.00029221</v>
      </c>
      <c r="T120" t="n">
        <v>0.00017343</v>
      </c>
      <c r="U120" t="n">
        <v>5186.3794</v>
      </c>
      <c r="V120" t="inlineStr">
        <is>
          <t>Provided Total Emissions</t>
        </is>
      </c>
      <c r="W120" t="b">
        <v>1</v>
      </c>
      <c r="X120" t="n">
        <v>8604.9704</v>
      </c>
      <c r="Y120" t="n">
        <v>34279.0402</v>
      </c>
      <c r="Z120" t="n">
        <v>3418.591</v>
      </c>
      <c r="AA120" t="n">
        <v>29092.6608</v>
      </c>
      <c r="AB120" t="n">
        <v>0.659148</v>
      </c>
      <c r="AC120" t="n">
        <v>5.609436</v>
      </c>
      <c r="AD120" t="inlineStr">
        <is>
          <t>High</t>
        </is>
      </c>
      <c r="AE120" t="inlineStr">
        <is>
          <t>None</t>
        </is>
      </c>
      <c r="AF120" t="n">
        <v>0.95</v>
      </c>
      <c r="AG120" t="inlineStr">
        <is>
          <t>Valid</t>
        </is>
      </c>
    </row>
    <row r="121">
      <c r="A121" t="inlineStr">
        <is>
          <t>SUP-0012</t>
        </is>
      </c>
      <c r="B121" t="inlineStr">
        <is>
          <t>Textiles Supplier 012</t>
        </is>
      </c>
      <c r="C121" t="inlineStr">
        <is>
          <t>Textiles</t>
        </is>
      </c>
      <c r="D121" t="n">
        <v>2024</v>
      </c>
      <c r="E121" t="n">
        <v>28117792.16</v>
      </c>
      <c r="F121" t="n">
        <v>188548606.72</v>
      </c>
      <c r="G121" t="n">
        <v>5818.5637</v>
      </c>
      <c r="H121" t="n">
        <v>1387.6296</v>
      </c>
      <c r="I121" t="n">
        <v>777.2957</v>
      </c>
      <c r="J121" t="n">
        <v>3532.3272</v>
      </c>
      <c r="K121" t="inlineStr"/>
      <c r="L121" t="inlineStr"/>
      <c r="M121" t="inlineStr"/>
      <c r="N121" t="inlineStr"/>
      <c r="O121" t="n">
        <v>2019</v>
      </c>
      <c r="P121" t="n">
        <v>2030</v>
      </c>
      <c r="Q121" t="n">
        <v>0.3171</v>
      </c>
      <c r="R121" t="n">
        <v>401.7335</v>
      </c>
      <c r="S121" t="n">
        <v>0.00029221</v>
      </c>
      <c r="T121" t="n">
        <v>0.00017343</v>
      </c>
      <c r="U121" t="n">
        <v>5818.5637</v>
      </c>
      <c r="V121" t="inlineStr">
        <is>
          <t>Provided Total Emissions</t>
        </is>
      </c>
      <c r="W121" t="b">
        <v>1</v>
      </c>
      <c r="X121" t="n">
        <v>8216.299999999999</v>
      </c>
      <c r="Y121" t="n">
        <v>32699.9849</v>
      </c>
      <c r="Z121" t="n">
        <v>2397.7363</v>
      </c>
      <c r="AA121" t="n">
        <v>26881.4212</v>
      </c>
      <c r="AB121" t="n">
        <v>0.412084</v>
      </c>
      <c r="AC121" t="n">
        <v>4.619941</v>
      </c>
      <c r="AD121" t="inlineStr">
        <is>
          <t>High</t>
        </is>
      </c>
      <c r="AE121" t="inlineStr">
        <is>
          <t>None</t>
        </is>
      </c>
      <c r="AF121" t="n">
        <v>0.95</v>
      </c>
      <c r="AG121" t="inlineStr">
        <is>
          <t>Valid</t>
        </is>
      </c>
    </row>
    <row r="122">
      <c r="A122" t="inlineStr">
        <is>
          <t>SUP-0013</t>
        </is>
      </c>
      <c r="B122" t="inlineStr">
        <is>
          <t>Electronics Supplier 013</t>
        </is>
      </c>
      <c r="C122" t="inlineStr">
        <is>
          <t>Electronics</t>
        </is>
      </c>
      <c r="D122" t="n">
        <v>2015</v>
      </c>
      <c r="E122" t="n">
        <v>7568103.52</v>
      </c>
      <c r="F122" t="n">
        <v>18931948</v>
      </c>
      <c r="G122" t="n">
        <v>8966.5666</v>
      </c>
      <c r="H122" t="n">
        <v>975.6255</v>
      </c>
      <c r="I122" t="n">
        <v>1308.7717</v>
      </c>
      <c r="J122" t="n">
        <v>6571.2586</v>
      </c>
      <c r="K122" t="inlineStr"/>
      <c r="L122" t="inlineStr"/>
      <c r="M122" t="inlineStr"/>
      <c r="N122" t="inlineStr"/>
      <c r="O122" t="n">
        <v>2018</v>
      </c>
      <c r="P122" t="n">
        <v>2040</v>
      </c>
      <c r="Q122" t="n">
        <v>0.3424</v>
      </c>
      <c r="R122" t="n">
        <v>635.1588</v>
      </c>
      <c r="S122" t="n">
        <v>0.00086105</v>
      </c>
      <c r="T122" t="n">
        <v>0.00013947</v>
      </c>
      <c r="U122" t="n">
        <v>8966.5666</v>
      </c>
      <c r="V122" t="inlineStr">
        <is>
          <t>Provided Total Emissions</t>
        </is>
      </c>
      <c r="W122" t="b">
        <v>1</v>
      </c>
      <c r="X122" t="n">
        <v>6516.5155</v>
      </c>
      <c r="Y122" t="n">
        <v>2640.4388</v>
      </c>
      <c r="Z122" t="n">
        <v>-2450.0511</v>
      </c>
      <c r="AA122" t="n">
        <v>-6326.1278</v>
      </c>
      <c r="AB122" t="n">
        <v>-0.273243</v>
      </c>
      <c r="AC122" t="n">
        <v>-0.705524</v>
      </c>
      <c r="AD122" t="inlineStr">
        <is>
          <t>High</t>
        </is>
      </c>
      <c r="AE122" t="inlineStr">
        <is>
          <t>None</t>
        </is>
      </c>
      <c r="AF122" t="n">
        <v>0.95</v>
      </c>
      <c r="AG122" t="inlineStr">
        <is>
          <t>Valid</t>
        </is>
      </c>
    </row>
    <row r="123">
      <c r="A123" t="inlineStr">
        <is>
          <t>SUP-0013</t>
        </is>
      </c>
      <c r="B123" t="inlineStr">
        <is>
          <t>Electronics Supplier 013</t>
        </is>
      </c>
      <c r="C123" t="inlineStr">
        <is>
          <t>Electronics</t>
        </is>
      </c>
      <c r="D123" t="n">
        <v>2016</v>
      </c>
      <c r="E123" t="n">
        <v>8136724.21</v>
      </c>
      <c r="F123" t="n">
        <v>19103472.14</v>
      </c>
      <c r="G123" t="n">
        <v>8523.970499999999</v>
      </c>
      <c r="H123" t="n">
        <v>1744.3695</v>
      </c>
      <c r="I123" t="n">
        <v>739.3194999999999</v>
      </c>
      <c r="J123" t="n">
        <v>6379.5815</v>
      </c>
      <c r="K123" t="inlineStr"/>
      <c r="L123" t="inlineStr"/>
      <c r="M123" t="inlineStr"/>
      <c r="N123" t="inlineStr"/>
      <c r="O123" t="n">
        <v>2018</v>
      </c>
      <c r="P123" t="n">
        <v>2040</v>
      </c>
      <c r="Q123" t="n">
        <v>0.3424</v>
      </c>
      <c r="R123" t="n">
        <v>635.1588</v>
      </c>
      <c r="S123" t="n">
        <v>0.00086105</v>
      </c>
      <c r="T123" t="n">
        <v>0.00013947</v>
      </c>
      <c r="U123" t="n">
        <v>8523.970499999999</v>
      </c>
      <c r="V123" t="inlineStr">
        <is>
          <t>Provided Total Emissions</t>
        </is>
      </c>
      <c r="W123" t="b">
        <v>1</v>
      </c>
      <c r="X123" t="n">
        <v>7006.1264</v>
      </c>
      <c r="Y123" t="n">
        <v>2664.3613</v>
      </c>
      <c r="Z123" t="n">
        <v>-1517.8441</v>
      </c>
      <c r="AA123" t="n">
        <v>-5859.6092</v>
      </c>
      <c r="AB123" t="n">
        <v>-0.178068</v>
      </c>
      <c r="AC123" t="n">
        <v>-0.687427</v>
      </c>
      <c r="AD123" t="inlineStr">
        <is>
          <t>High</t>
        </is>
      </c>
      <c r="AE123" t="inlineStr">
        <is>
          <t>None</t>
        </is>
      </c>
      <c r="AF123" t="n">
        <v>0.95</v>
      </c>
      <c r="AG123" t="inlineStr">
        <is>
          <t>Valid</t>
        </is>
      </c>
    </row>
    <row r="124">
      <c r="A124" t="inlineStr">
        <is>
          <t>SUP-0013</t>
        </is>
      </c>
      <c r="B124" t="inlineStr">
        <is>
          <t>Electronics Supplier 013</t>
        </is>
      </c>
      <c r="C124" t="inlineStr">
        <is>
          <t>Electronics</t>
        </is>
      </c>
      <c r="D124" t="n">
        <v>2017</v>
      </c>
      <c r="E124" t="n">
        <v>6880866.02</v>
      </c>
      <c r="F124" t="n">
        <v>20203652.56</v>
      </c>
      <c r="G124" t="n">
        <v>8603.5303</v>
      </c>
      <c r="H124" t="n">
        <v>1330.1897</v>
      </c>
      <c r="I124" t="n">
        <v>856.8607</v>
      </c>
      <c r="J124" t="n">
        <v>6356.7543</v>
      </c>
      <c r="K124" t="inlineStr"/>
      <c r="L124" t="inlineStr"/>
      <c r="M124" t="inlineStr"/>
      <c r="N124" t="inlineStr"/>
      <c r="O124" t="n">
        <v>2018</v>
      </c>
      <c r="P124" t="n">
        <v>2040</v>
      </c>
      <c r="Q124" t="n">
        <v>0.3424</v>
      </c>
      <c r="R124" t="n">
        <v>635.1588</v>
      </c>
      <c r="S124" t="n">
        <v>0.00086105</v>
      </c>
      <c r="T124" t="n">
        <v>0.00013947</v>
      </c>
      <c r="U124" t="n">
        <v>8603.5303</v>
      </c>
      <c r="V124" t="inlineStr">
        <is>
          <t>Provided Total Emissions</t>
        </is>
      </c>
      <c r="W124" t="b">
        <v>1</v>
      </c>
      <c r="X124" t="n">
        <v>5924.7697</v>
      </c>
      <c r="Y124" t="n">
        <v>2817.8034</v>
      </c>
      <c r="Z124" t="n">
        <v>-2678.7606</v>
      </c>
      <c r="AA124" t="n">
        <v>-5785.7269</v>
      </c>
      <c r="AB124" t="n">
        <v>-0.311356</v>
      </c>
      <c r="AC124" t="n">
        <v>-0.6724830000000001</v>
      </c>
      <c r="AD124" t="inlineStr">
        <is>
          <t>High</t>
        </is>
      </c>
      <c r="AE124" t="inlineStr">
        <is>
          <t>None</t>
        </is>
      </c>
      <c r="AF124" t="n">
        <v>0.95</v>
      </c>
      <c r="AG124" t="inlineStr">
        <is>
          <t>Valid</t>
        </is>
      </c>
    </row>
    <row r="125">
      <c r="A125" t="inlineStr">
        <is>
          <t>SUP-0013</t>
        </is>
      </c>
      <c r="B125" t="inlineStr">
        <is>
          <t>Electronics Supplier 013</t>
        </is>
      </c>
      <c r="C125" t="inlineStr">
        <is>
          <t>Electronics</t>
        </is>
      </c>
      <c r="D125" t="n">
        <v>2018</v>
      </c>
      <c r="E125" t="n">
        <v>8256496.51</v>
      </c>
      <c r="F125" t="n">
        <v>15796472.47</v>
      </c>
      <c r="G125" t="n">
        <v>7950.0633</v>
      </c>
      <c r="H125" t="n">
        <v>2171.1405</v>
      </c>
      <c r="I125" t="n">
        <v>1477.2199</v>
      </c>
      <c r="J125" t="n">
        <v>4907.9218</v>
      </c>
      <c r="K125" t="inlineStr"/>
      <c r="L125" t="inlineStr"/>
      <c r="M125" t="inlineStr"/>
      <c r="N125" t="inlineStr"/>
      <c r="O125" t="n">
        <v>2018</v>
      </c>
      <c r="P125" t="n">
        <v>2040</v>
      </c>
      <c r="Q125" t="n">
        <v>0.3424</v>
      </c>
      <c r="R125" t="n">
        <v>635.1588</v>
      </c>
      <c r="S125" t="n">
        <v>0.00086105</v>
      </c>
      <c r="T125" t="n">
        <v>0.00013947</v>
      </c>
      <c r="U125" t="n">
        <v>7950.0633</v>
      </c>
      <c r="V125" t="inlineStr">
        <is>
          <t>Provided Total Emissions</t>
        </is>
      </c>
      <c r="W125" t="b">
        <v>1</v>
      </c>
      <c r="X125" t="n">
        <v>7109.2563</v>
      </c>
      <c r="Y125" t="n">
        <v>2203.134</v>
      </c>
      <c r="Z125" t="n">
        <v>-840.807</v>
      </c>
      <c r="AA125" t="n">
        <v>-5746.9293</v>
      </c>
      <c r="AB125" t="n">
        <v>-0.105761</v>
      </c>
      <c r="AC125" t="n">
        <v>-0.722878</v>
      </c>
      <c r="AD125" t="inlineStr">
        <is>
          <t>High</t>
        </is>
      </c>
      <c r="AE125" t="inlineStr">
        <is>
          <t>None</t>
        </is>
      </c>
      <c r="AF125" t="n">
        <v>0.95</v>
      </c>
      <c r="AG125" t="inlineStr">
        <is>
          <t>Valid</t>
        </is>
      </c>
    </row>
    <row r="126">
      <c r="A126" t="inlineStr">
        <is>
          <t>SUP-0013</t>
        </is>
      </c>
      <c r="B126" t="inlineStr">
        <is>
          <t>Electronics Supplier 013</t>
        </is>
      </c>
      <c r="C126" t="inlineStr">
        <is>
          <t>Electronics</t>
        </is>
      </c>
      <c r="D126" t="n">
        <v>2019</v>
      </c>
      <c r="E126" t="n">
        <v>7731017.25</v>
      </c>
      <c r="F126" t="n">
        <v>16479763.28</v>
      </c>
      <c r="G126" t="n">
        <v>8393.166499999999</v>
      </c>
      <c r="H126" t="n">
        <v>956.8842</v>
      </c>
      <c r="I126" t="n">
        <v>1671.1615</v>
      </c>
      <c r="J126" t="n">
        <v>5950.5726</v>
      </c>
      <c r="K126" t="inlineStr"/>
      <c r="L126" t="inlineStr"/>
      <c r="M126" t="inlineStr"/>
      <c r="N126" t="inlineStr"/>
      <c r="O126" t="n">
        <v>2018</v>
      </c>
      <c r="P126" t="n">
        <v>2040</v>
      </c>
      <c r="Q126" t="n">
        <v>0.3424</v>
      </c>
      <c r="R126" t="n">
        <v>635.1588</v>
      </c>
      <c r="S126" t="n">
        <v>0.00086105</v>
      </c>
      <c r="T126" t="n">
        <v>0.00013947</v>
      </c>
      <c r="U126" t="n">
        <v>8393.166499999999</v>
      </c>
      <c r="V126" t="inlineStr">
        <is>
          <t>Provided Total Emissions</t>
        </is>
      </c>
      <c r="W126" t="b">
        <v>1</v>
      </c>
      <c r="X126" t="n">
        <v>6656.7924</v>
      </c>
      <c r="Y126" t="n">
        <v>2298.4326</v>
      </c>
      <c r="Z126" t="n">
        <v>-1736.3741</v>
      </c>
      <c r="AA126" t="n">
        <v>-6094.7339</v>
      </c>
      <c r="AB126" t="n">
        <v>-0.20688</v>
      </c>
      <c r="AC126" t="n">
        <v>-0.726154</v>
      </c>
      <c r="AD126" t="inlineStr">
        <is>
          <t>High</t>
        </is>
      </c>
      <c r="AE126" t="inlineStr">
        <is>
          <t>None</t>
        </is>
      </c>
      <c r="AF126" t="n">
        <v>0.95</v>
      </c>
      <c r="AG126" t="inlineStr">
        <is>
          <t>Valid</t>
        </is>
      </c>
    </row>
    <row r="127">
      <c r="A127" t="inlineStr">
        <is>
          <t>SUP-0013</t>
        </is>
      </c>
      <c r="B127" t="inlineStr">
        <is>
          <t>Electronics Supplier 013</t>
        </is>
      </c>
      <c r="C127" t="inlineStr">
        <is>
          <t>Electronics</t>
        </is>
      </c>
      <c r="D127" t="n">
        <v>2020</v>
      </c>
      <c r="E127" t="n">
        <v>7377328.76</v>
      </c>
      <c r="F127" t="n">
        <v>21240817.67</v>
      </c>
      <c r="G127" t="n">
        <v>6903.8459</v>
      </c>
      <c r="H127" t="n">
        <v>2091.7104</v>
      </c>
      <c r="I127" t="n">
        <v>1626.3133</v>
      </c>
      <c r="J127" t="n">
        <v>4139.5953</v>
      </c>
      <c r="K127" t="inlineStr"/>
      <c r="L127" t="inlineStr"/>
      <c r="M127" t="inlineStr"/>
      <c r="N127" t="inlineStr"/>
      <c r="O127" t="n">
        <v>2018</v>
      </c>
      <c r="P127" t="n">
        <v>2040</v>
      </c>
      <c r="Q127" t="n">
        <v>0.3424</v>
      </c>
      <c r="R127" t="n">
        <v>635.1588</v>
      </c>
      <c r="S127" t="n">
        <v>0.00086105</v>
      </c>
      <c r="T127" t="n">
        <v>0.00013947</v>
      </c>
      <c r="U127" t="n">
        <v>6903.8459</v>
      </c>
      <c r="V127" t="inlineStr">
        <is>
          <t>Provided Total Emissions</t>
        </is>
      </c>
      <c r="W127" t="b">
        <v>1</v>
      </c>
      <c r="X127" t="n">
        <v>6352.2489</v>
      </c>
      <c r="Y127" t="n">
        <v>2962.4568</v>
      </c>
      <c r="Z127" t="n">
        <v>-551.597</v>
      </c>
      <c r="AA127" t="n">
        <v>-3941.3891</v>
      </c>
      <c r="AB127" t="n">
        <v>-0.079897</v>
      </c>
      <c r="AC127" t="n">
        <v>-0.570898</v>
      </c>
      <c r="AD127" t="inlineStr">
        <is>
          <t>High</t>
        </is>
      </c>
      <c r="AE127" t="inlineStr">
        <is>
          <t>None</t>
        </is>
      </c>
      <c r="AF127" t="n">
        <v>0.95</v>
      </c>
      <c r="AG127" t="inlineStr">
        <is>
          <t>Valid</t>
        </is>
      </c>
    </row>
    <row r="128">
      <c r="A128" t="inlineStr">
        <is>
          <t>SUP-0013</t>
        </is>
      </c>
      <c r="B128" t="inlineStr">
        <is>
          <t>Electronics Supplier 013</t>
        </is>
      </c>
      <c r="C128" t="inlineStr">
        <is>
          <t>Electronics</t>
        </is>
      </c>
      <c r="D128" t="n">
        <v>2021</v>
      </c>
      <c r="E128" t="n">
        <v>6168281.02</v>
      </c>
      <c r="F128" t="n">
        <v>21505370.08</v>
      </c>
      <c r="G128" t="n">
        <v>7580.7361</v>
      </c>
      <c r="H128" t="n">
        <v>776.6937</v>
      </c>
      <c r="I128" t="n">
        <v>1333.5566</v>
      </c>
      <c r="J128" t="n">
        <v>4859.1966</v>
      </c>
      <c r="K128" t="inlineStr"/>
      <c r="L128" t="inlineStr"/>
      <c r="M128" t="inlineStr"/>
      <c r="N128" t="inlineStr"/>
      <c r="O128" t="n">
        <v>2018</v>
      </c>
      <c r="P128" t="n">
        <v>2040</v>
      </c>
      <c r="Q128" t="n">
        <v>0.3424</v>
      </c>
      <c r="R128" t="n">
        <v>635.1588</v>
      </c>
      <c r="S128" t="n">
        <v>0.00086105</v>
      </c>
      <c r="T128" t="n">
        <v>0.00013947</v>
      </c>
      <c r="U128" t="n">
        <v>7580.7361</v>
      </c>
      <c r="V128" t="inlineStr">
        <is>
          <t>Provided Total Emissions</t>
        </is>
      </c>
      <c r="W128" t="b">
        <v>1</v>
      </c>
      <c r="X128" t="n">
        <v>5311.1984</v>
      </c>
      <c r="Y128" t="n">
        <v>2999.354</v>
      </c>
      <c r="Z128" t="n">
        <v>-2269.5377</v>
      </c>
      <c r="AA128" t="n">
        <v>-4581.3821</v>
      </c>
      <c r="AB128" t="n">
        <v>-0.299382</v>
      </c>
      <c r="AC128" t="n">
        <v>-0.604345</v>
      </c>
      <c r="AD128" t="inlineStr">
        <is>
          <t>High</t>
        </is>
      </c>
      <c r="AE128" t="inlineStr">
        <is>
          <t>None</t>
        </is>
      </c>
      <c r="AF128" t="n">
        <v>0.95</v>
      </c>
      <c r="AG128" t="inlineStr">
        <is>
          <t>Valid</t>
        </is>
      </c>
    </row>
    <row r="129">
      <c r="A129" t="inlineStr">
        <is>
          <t>SUP-0013</t>
        </is>
      </c>
      <c r="B129" t="inlineStr">
        <is>
          <t>Electronics Supplier 013</t>
        </is>
      </c>
      <c r="C129" t="inlineStr">
        <is>
          <t>Electronics</t>
        </is>
      </c>
      <c r="D129" t="n">
        <v>2022</v>
      </c>
      <c r="E129" t="n">
        <v>7401107.6</v>
      </c>
      <c r="F129" t="n">
        <v>19042837.71</v>
      </c>
      <c r="G129" t="n">
        <v>7196.7714</v>
      </c>
      <c r="H129" t="n">
        <v>998.1185</v>
      </c>
      <c r="I129" t="n">
        <v>594.6608</v>
      </c>
      <c r="J129" t="n">
        <v>5054.0253</v>
      </c>
      <c r="K129" t="inlineStr"/>
      <c r="L129" t="inlineStr"/>
      <c r="M129" t="inlineStr"/>
      <c r="N129" t="inlineStr"/>
      <c r="O129" t="n">
        <v>2018</v>
      </c>
      <c r="P129" t="n">
        <v>2040</v>
      </c>
      <c r="Q129" t="n">
        <v>0.3424</v>
      </c>
      <c r="R129" t="n">
        <v>635.1588</v>
      </c>
      <c r="S129" t="n">
        <v>0.00086105</v>
      </c>
      <c r="T129" t="n">
        <v>0.00013947</v>
      </c>
      <c r="U129" t="n">
        <v>7196.7714</v>
      </c>
      <c r="V129" t="inlineStr">
        <is>
          <t>Provided Total Emissions</t>
        </is>
      </c>
      <c r="W129" t="b">
        <v>1</v>
      </c>
      <c r="X129" t="n">
        <v>6372.7237</v>
      </c>
      <c r="Y129" t="n">
        <v>2655.9046</v>
      </c>
      <c r="Z129" t="n">
        <v>-824.0477</v>
      </c>
      <c r="AA129" t="n">
        <v>-4540.8668</v>
      </c>
      <c r="AB129" t="n">
        <v>-0.114502</v>
      </c>
      <c r="AC129" t="n">
        <v>-0.630959</v>
      </c>
      <c r="AD129" t="inlineStr">
        <is>
          <t>High</t>
        </is>
      </c>
      <c r="AE129" t="inlineStr">
        <is>
          <t>None</t>
        </is>
      </c>
      <c r="AF129" t="n">
        <v>0.95</v>
      </c>
      <c r="AG129" t="inlineStr">
        <is>
          <t>Valid</t>
        </is>
      </c>
    </row>
    <row r="130">
      <c r="A130" t="inlineStr">
        <is>
          <t>SUP-0013</t>
        </is>
      </c>
      <c r="B130" t="inlineStr">
        <is>
          <t>Electronics Supplier 013</t>
        </is>
      </c>
      <c r="C130" t="inlineStr">
        <is>
          <t>Electronics</t>
        </is>
      </c>
      <c r="D130" t="n">
        <v>2023</v>
      </c>
      <c r="E130" t="n">
        <v>9259296.720000001</v>
      </c>
      <c r="F130" t="n">
        <v>16828370.46</v>
      </c>
      <c r="G130" t="n">
        <v>7703.8025</v>
      </c>
      <c r="H130" t="n">
        <v>1041.755</v>
      </c>
      <c r="I130" t="n">
        <v>1345.6381</v>
      </c>
      <c r="J130" t="n">
        <v>5793.3158</v>
      </c>
      <c r="K130" t="inlineStr"/>
      <c r="L130" t="inlineStr"/>
      <c r="M130" t="inlineStr"/>
      <c r="N130" t="inlineStr"/>
      <c r="O130" t="n">
        <v>2018</v>
      </c>
      <c r="P130" t="n">
        <v>2040</v>
      </c>
      <c r="Q130" t="n">
        <v>0.3424</v>
      </c>
      <c r="R130" t="n">
        <v>635.1588</v>
      </c>
      <c r="S130" t="n">
        <v>0.00086105</v>
      </c>
      <c r="T130" t="n">
        <v>0.00013947</v>
      </c>
      <c r="U130" t="n">
        <v>7703.8025</v>
      </c>
      <c r="V130" t="inlineStr">
        <is>
          <t>Provided Total Emissions</t>
        </is>
      </c>
      <c r="W130" t="b">
        <v>1</v>
      </c>
      <c r="X130" t="n">
        <v>7972.7174</v>
      </c>
      <c r="Y130" t="n">
        <v>2347.0528</v>
      </c>
      <c r="Z130" t="n">
        <v>268.9149</v>
      </c>
      <c r="AA130" t="n">
        <v>-5356.7497</v>
      </c>
      <c r="AB130" t="n">
        <v>0.034907</v>
      </c>
      <c r="AC130" t="n">
        <v>-0.695338</v>
      </c>
      <c r="AD130" t="inlineStr">
        <is>
          <t>High</t>
        </is>
      </c>
      <c r="AE130" t="inlineStr">
        <is>
          <t>None</t>
        </is>
      </c>
      <c r="AF130" t="n">
        <v>0.95</v>
      </c>
      <c r="AG130" t="inlineStr">
        <is>
          <t>Valid</t>
        </is>
      </c>
    </row>
    <row r="131">
      <c r="A131" t="inlineStr">
        <is>
          <t>SUP-0013</t>
        </is>
      </c>
      <c r="B131" t="inlineStr">
        <is>
          <t>Electronics Supplier 013</t>
        </is>
      </c>
      <c r="C131" t="inlineStr">
        <is>
          <t>Electronics</t>
        </is>
      </c>
      <c r="D131" t="n">
        <v>2024</v>
      </c>
      <c r="E131" t="n">
        <v>7043670.44</v>
      </c>
      <c r="F131" t="n">
        <v>17996629.42</v>
      </c>
      <c r="G131" t="n">
        <v>6510.22</v>
      </c>
      <c r="H131" t="n">
        <v>631.1288</v>
      </c>
      <c r="I131" t="n">
        <v>916.1944</v>
      </c>
      <c r="J131" t="n">
        <v>4871.3148</v>
      </c>
      <c r="K131" t="inlineStr"/>
      <c r="L131" t="inlineStr"/>
      <c r="M131" t="inlineStr"/>
      <c r="N131" t="inlineStr"/>
      <c r="O131" t="n">
        <v>2018</v>
      </c>
      <c r="P131" t="n">
        <v>2040</v>
      </c>
      <c r="Q131" t="n">
        <v>0.3424</v>
      </c>
      <c r="R131" t="n">
        <v>635.1588</v>
      </c>
      <c r="S131" t="n">
        <v>0.00086105</v>
      </c>
      <c r="T131" t="n">
        <v>0.00013947</v>
      </c>
      <c r="U131" t="n">
        <v>6510.22</v>
      </c>
      <c r="V131" t="inlineStr">
        <is>
          <t>Provided Total Emissions</t>
        </is>
      </c>
      <c r="W131" t="b">
        <v>1</v>
      </c>
      <c r="X131" t="n">
        <v>6064.9524</v>
      </c>
      <c r="Y131" t="n">
        <v>2509.9899</v>
      </c>
      <c r="Z131" t="n">
        <v>-445.2676</v>
      </c>
      <c r="AA131" t="n">
        <v>-4000.2301</v>
      </c>
      <c r="AB131" t="n">
        <v>-0.068395</v>
      </c>
      <c r="AC131" t="n">
        <v>-0.6144539999999999</v>
      </c>
      <c r="AD131" t="inlineStr">
        <is>
          <t>High</t>
        </is>
      </c>
      <c r="AE131" t="inlineStr">
        <is>
          <t>None</t>
        </is>
      </c>
      <c r="AF131" t="n">
        <v>0.95</v>
      </c>
      <c r="AG131" t="inlineStr">
        <is>
          <t>Valid</t>
        </is>
      </c>
    </row>
    <row r="132">
      <c r="A132" t="inlineStr">
        <is>
          <t>SUP-0014</t>
        </is>
      </c>
      <c r="B132" t="inlineStr">
        <is>
          <t>Textiles Supplier 014</t>
        </is>
      </c>
      <c r="C132" t="inlineStr">
        <is>
          <t>Textiles</t>
        </is>
      </c>
      <c r="D132" t="n">
        <v>2015</v>
      </c>
      <c r="E132" t="n">
        <v>13245650.48</v>
      </c>
      <c r="F132" t="n">
        <v>84805483.06999999</v>
      </c>
      <c r="G132" t="n">
        <v>3706.3867</v>
      </c>
      <c r="H132" t="n">
        <v>422.9413</v>
      </c>
      <c r="I132" t="n">
        <v>645.7306</v>
      </c>
      <c r="J132" t="n">
        <v>2706.0896</v>
      </c>
      <c r="K132" t="inlineStr"/>
      <c r="L132" t="inlineStr"/>
      <c r="M132" t="inlineStr"/>
      <c r="N132" t="inlineStr"/>
      <c r="O132" t="n">
        <v>2019</v>
      </c>
      <c r="P132" t="n">
        <v>2030</v>
      </c>
      <c r="Q132" t="n">
        <v>0.3171</v>
      </c>
      <c r="R132" t="n">
        <v>401.7335</v>
      </c>
      <c r="S132" t="n">
        <v>0.00029221</v>
      </c>
      <c r="T132" t="n">
        <v>0.00017343</v>
      </c>
      <c r="U132" t="n">
        <v>3706.3867</v>
      </c>
      <c r="V132" t="inlineStr">
        <is>
          <t>Provided Total Emissions</t>
        </is>
      </c>
      <c r="W132" t="b">
        <v>1</v>
      </c>
      <c r="X132" t="n">
        <v>3870.5115</v>
      </c>
      <c r="Y132" t="n">
        <v>14707.8149</v>
      </c>
      <c r="Z132" t="n">
        <v>164.1248</v>
      </c>
      <c r="AA132" t="n">
        <v>11001.4282</v>
      </c>
      <c r="AB132" t="n">
        <v>0.044282</v>
      </c>
      <c r="AC132" t="n">
        <v>2.968235</v>
      </c>
      <c r="AD132" t="inlineStr">
        <is>
          <t>High</t>
        </is>
      </c>
      <c r="AE132" t="inlineStr">
        <is>
          <t>None</t>
        </is>
      </c>
      <c r="AF132" t="n">
        <v>0.95</v>
      </c>
      <c r="AG132" t="inlineStr">
        <is>
          <t>Valid</t>
        </is>
      </c>
    </row>
    <row r="133">
      <c r="A133" t="inlineStr">
        <is>
          <t>SUP-0014</t>
        </is>
      </c>
      <c r="B133" t="inlineStr">
        <is>
          <t>Textiles Supplier 014</t>
        </is>
      </c>
      <c r="C133" t="inlineStr">
        <is>
          <t>Textiles</t>
        </is>
      </c>
      <c r="D133" t="n">
        <v>2016</v>
      </c>
      <c r="E133" t="n">
        <v>13909185.51</v>
      </c>
      <c r="F133" t="n">
        <v>96937451.90000001</v>
      </c>
      <c r="G133" t="n">
        <v>4263.5461</v>
      </c>
      <c r="H133" t="n">
        <v>832.5032</v>
      </c>
      <c r="I133" t="n">
        <v>453.1903</v>
      </c>
      <c r="J133" t="n">
        <v>2734.3678</v>
      </c>
      <c r="K133" t="inlineStr"/>
      <c r="L133" t="inlineStr"/>
      <c r="M133" t="inlineStr"/>
      <c r="N133" t="inlineStr"/>
      <c r="O133" t="n">
        <v>2019</v>
      </c>
      <c r="P133" t="n">
        <v>2030</v>
      </c>
      <c r="Q133" t="n">
        <v>0.3171</v>
      </c>
      <c r="R133" t="n">
        <v>401.7335</v>
      </c>
      <c r="S133" t="n">
        <v>0.00029221</v>
      </c>
      <c r="T133" t="n">
        <v>0.00017343</v>
      </c>
      <c r="U133" t="n">
        <v>4263.5461</v>
      </c>
      <c r="V133" t="inlineStr">
        <is>
          <t>Provided Total Emissions</t>
        </is>
      </c>
      <c r="W133" t="b">
        <v>1</v>
      </c>
      <c r="X133" t="n">
        <v>4064.4031</v>
      </c>
      <c r="Y133" t="n">
        <v>16811.8623</v>
      </c>
      <c r="Z133" t="n">
        <v>-199.143</v>
      </c>
      <c r="AA133" t="n">
        <v>12548.3162</v>
      </c>
      <c r="AB133" t="n">
        <v>-0.046708</v>
      </c>
      <c r="AC133" t="n">
        <v>2.943164</v>
      </c>
      <c r="AD133" t="inlineStr">
        <is>
          <t>High</t>
        </is>
      </c>
      <c r="AE133" t="inlineStr">
        <is>
          <t>None</t>
        </is>
      </c>
      <c r="AF133" t="n">
        <v>0.95</v>
      </c>
      <c r="AG133" t="inlineStr">
        <is>
          <t>Valid</t>
        </is>
      </c>
    </row>
    <row r="134">
      <c r="A134" t="inlineStr">
        <is>
          <t>SUP-0014</t>
        </is>
      </c>
      <c r="B134" t="inlineStr">
        <is>
          <t>Textiles Supplier 014</t>
        </is>
      </c>
      <c r="C134" t="inlineStr">
        <is>
          <t>Textiles</t>
        </is>
      </c>
      <c r="D134" t="n">
        <v>2017</v>
      </c>
      <c r="E134" t="n">
        <v>15582388.34</v>
      </c>
      <c r="F134" t="n">
        <v>103144929.93</v>
      </c>
      <c r="G134" t="n">
        <v>4171.2319</v>
      </c>
      <c r="H134" t="n">
        <v>795.1103000000001</v>
      </c>
      <c r="I134" t="n">
        <v>671.9011</v>
      </c>
      <c r="J134" t="n">
        <v>2774.8591</v>
      </c>
      <c r="K134" t="inlineStr"/>
      <c r="L134" t="inlineStr"/>
      <c r="M134" t="inlineStr"/>
      <c r="N134" t="inlineStr"/>
      <c r="O134" t="n">
        <v>2019</v>
      </c>
      <c r="P134" t="n">
        <v>2030</v>
      </c>
      <c r="Q134" t="n">
        <v>0.3171</v>
      </c>
      <c r="R134" t="n">
        <v>401.7335</v>
      </c>
      <c r="S134" t="n">
        <v>0.00029221</v>
      </c>
      <c r="T134" t="n">
        <v>0.00017343</v>
      </c>
      <c r="U134" t="n">
        <v>4171.2319</v>
      </c>
      <c r="V134" t="inlineStr">
        <is>
          <t>Provided Total Emissions</t>
        </is>
      </c>
      <c r="W134" t="b">
        <v>1</v>
      </c>
      <c r="X134" t="n">
        <v>4553.3297</v>
      </c>
      <c r="Y134" t="n">
        <v>17888.4252</v>
      </c>
      <c r="Z134" t="n">
        <v>382.0978</v>
      </c>
      <c r="AA134" t="n">
        <v>13717.1933</v>
      </c>
      <c r="AB134" t="n">
        <v>0.091603</v>
      </c>
      <c r="AC134" t="n">
        <v>3.288523</v>
      </c>
      <c r="AD134" t="inlineStr">
        <is>
          <t>High</t>
        </is>
      </c>
      <c r="AE134" t="inlineStr">
        <is>
          <t>None</t>
        </is>
      </c>
      <c r="AF134" t="n">
        <v>0.95</v>
      </c>
      <c r="AG134" t="inlineStr">
        <is>
          <t>Valid</t>
        </is>
      </c>
    </row>
    <row r="135">
      <c r="A135" t="inlineStr">
        <is>
          <t>SUP-0014</t>
        </is>
      </c>
      <c r="B135" t="inlineStr">
        <is>
          <t>Textiles Supplier 014</t>
        </is>
      </c>
      <c r="C135" t="inlineStr">
        <is>
          <t>Textiles</t>
        </is>
      </c>
      <c r="D135" t="n">
        <v>2018</v>
      </c>
      <c r="E135" t="n">
        <v>17190385.76</v>
      </c>
      <c r="F135" t="n">
        <v>115378190.53</v>
      </c>
      <c r="G135" t="n">
        <v>4611.7523</v>
      </c>
      <c r="H135" t="n">
        <v>954.7508</v>
      </c>
      <c r="I135" t="n">
        <v>866.3863</v>
      </c>
      <c r="J135" t="n">
        <v>2901.5935</v>
      </c>
      <c r="K135" t="inlineStr"/>
      <c r="L135" t="inlineStr"/>
      <c r="M135" t="inlineStr"/>
      <c r="N135" t="inlineStr"/>
      <c r="O135" t="n">
        <v>2019</v>
      </c>
      <c r="P135" t="n">
        <v>2030</v>
      </c>
      <c r="Q135" t="n">
        <v>0.3171</v>
      </c>
      <c r="R135" t="n">
        <v>401.7335</v>
      </c>
      <c r="S135" t="n">
        <v>0.00029221</v>
      </c>
      <c r="T135" t="n">
        <v>0.00017343</v>
      </c>
      <c r="U135" t="n">
        <v>4611.7523</v>
      </c>
      <c r="V135" t="inlineStr">
        <is>
          <t>Provided Total Emissions</t>
        </is>
      </c>
      <c r="W135" t="b">
        <v>1</v>
      </c>
      <c r="X135" t="n">
        <v>5023.2026</v>
      </c>
      <c r="Y135" t="n">
        <v>20010.0396</v>
      </c>
      <c r="Z135" t="n">
        <v>411.4503</v>
      </c>
      <c r="AA135" t="n">
        <v>15398.2873</v>
      </c>
      <c r="AB135" t="n">
        <v>0.08921800000000001</v>
      </c>
      <c r="AC135" t="n">
        <v>3.338923</v>
      </c>
      <c r="AD135" t="inlineStr">
        <is>
          <t>High</t>
        </is>
      </c>
      <c r="AE135" t="inlineStr">
        <is>
          <t>None</t>
        </is>
      </c>
      <c r="AF135" t="n">
        <v>0.95</v>
      </c>
      <c r="AG135" t="inlineStr">
        <is>
          <t>Valid</t>
        </is>
      </c>
    </row>
    <row r="136">
      <c r="A136" t="inlineStr">
        <is>
          <t>SUP-0014</t>
        </is>
      </c>
      <c r="B136" t="inlineStr">
        <is>
          <t>Textiles Supplier 014</t>
        </is>
      </c>
      <c r="C136" t="inlineStr">
        <is>
          <t>Textiles</t>
        </is>
      </c>
      <c r="D136" t="n">
        <v>2019</v>
      </c>
      <c r="E136" t="n">
        <v>17421971.51</v>
      </c>
      <c r="F136" t="n">
        <v>137513675.12</v>
      </c>
      <c r="G136" t="n">
        <v>4955.1243</v>
      </c>
      <c r="H136" t="n">
        <v>534.6615</v>
      </c>
      <c r="I136" t="n">
        <v>536.8022999999999</v>
      </c>
      <c r="J136" t="n">
        <v>3552.1649</v>
      </c>
      <c r="K136" t="inlineStr"/>
      <c r="L136" t="inlineStr"/>
      <c r="M136" t="inlineStr"/>
      <c r="N136" t="inlineStr"/>
      <c r="O136" t="n">
        <v>2019</v>
      </c>
      <c r="P136" t="n">
        <v>2030</v>
      </c>
      <c r="Q136" t="n">
        <v>0.3171</v>
      </c>
      <c r="R136" t="n">
        <v>401.7335</v>
      </c>
      <c r="S136" t="n">
        <v>0.00029221</v>
      </c>
      <c r="T136" t="n">
        <v>0.00017343</v>
      </c>
      <c r="U136" t="n">
        <v>4955.1243</v>
      </c>
      <c r="V136" t="inlineStr">
        <is>
          <t>Provided Total Emissions</t>
        </is>
      </c>
      <c r="W136" t="b">
        <v>1</v>
      </c>
      <c r="X136" t="n">
        <v>5090.8743</v>
      </c>
      <c r="Y136" t="n">
        <v>23848.9967</v>
      </c>
      <c r="Z136" t="n">
        <v>135.75</v>
      </c>
      <c r="AA136" t="n">
        <v>18893.8724</v>
      </c>
      <c r="AB136" t="n">
        <v>0.027396</v>
      </c>
      <c r="AC136" t="n">
        <v>3.812997</v>
      </c>
      <c r="AD136" t="inlineStr">
        <is>
          <t>High</t>
        </is>
      </c>
      <c r="AE136" t="inlineStr">
        <is>
          <t>None</t>
        </is>
      </c>
      <c r="AF136" t="n">
        <v>0.95</v>
      </c>
      <c r="AG136" t="inlineStr">
        <is>
          <t>Valid</t>
        </is>
      </c>
    </row>
    <row r="137">
      <c r="A137" t="inlineStr">
        <is>
          <t>SUP-0014</t>
        </is>
      </c>
      <c r="B137" t="inlineStr">
        <is>
          <t>Textiles Supplier 014</t>
        </is>
      </c>
      <c r="C137" t="inlineStr">
        <is>
          <t>Textiles</t>
        </is>
      </c>
      <c r="D137" t="n">
        <v>2020</v>
      </c>
      <c r="E137" t="n">
        <v>17617474.41</v>
      </c>
      <c r="F137" t="n">
        <v>172344577.58</v>
      </c>
      <c r="G137" t="n">
        <v>4622.058</v>
      </c>
      <c r="H137" t="n">
        <v>528.1532999999999</v>
      </c>
      <c r="I137" t="n">
        <v>325.6831</v>
      </c>
      <c r="J137" t="n">
        <v>3915.9074</v>
      </c>
      <c r="K137" t="inlineStr"/>
      <c r="L137" t="inlineStr"/>
      <c r="M137" t="inlineStr"/>
      <c r="N137" t="inlineStr"/>
      <c r="O137" t="n">
        <v>2019</v>
      </c>
      <c r="P137" t="n">
        <v>2030</v>
      </c>
      <c r="Q137" t="n">
        <v>0.3171</v>
      </c>
      <c r="R137" t="n">
        <v>401.7335</v>
      </c>
      <c r="S137" t="n">
        <v>0.00029221</v>
      </c>
      <c r="T137" t="n">
        <v>0.00017343</v>
      </c>
      <c r="U137" t="n">
        <v>4622.058</v>
      </c>
      <c r="V137" t="inlineStr">
        <is>
          <t>Provided Total Emissions</t>
        </is>
      </c>
      <c r="W137" t="b">
        <v>1</v>
      </c>
      <c r="X137" t="n">
        <v>5148.0022</v>
      </c>
      <c r="Y137" t="n">
        <v>29889.7201</v>
      </c>
      <c r="Z137" t="n">
        <v>525.9442</v>
      </c>
      <c r="AA137" t="n">
        <v>25267.6621</v>
      </c>
      <c r="AB137" t="n">
        <v>0.11379</v>
      </c>
      <c r="AC137" t="n">
        <v>5.466756</v>
      </c>
      <c r="AD137" t="inlineStr">
        <is>
          <t>High</t>
        </is>
      </c>
      <c r="AE137" t="inlineStr">
        <is>
          <t>None</t>
        </is>
      </c>
      <c r="AF137" t="n">
        <v>0.95</v>
      </c>
      <c r="AG137" t="inlineStr">
        <is>
          <t>Valid</t>
        </is>
      </c>
    </row>
    <row r="138">
      <c r="A138" t="inlineStr">
        <is>
          <t>SUP-0014</t>
        </is>
      </c>
      <c r="B138" t="inlineStr">
        <is>
          <t>Textiles Supplier 014</t>
        </is>
      </c>
      <c r="C138" t="inlineStr">
        <is>
          <t>Textiles</t>
        </is>
      </c>
      <c r="D138" t="n">
        <v>2021</v>
      </c>
      <c r="E138" t="n">
        <v>22064098.15</v>
      </c>
      <c r="F138" t="n">
        <v>160606105.73</v>
      </c>
      <c r="G138" t="n">
        <v>4324.2977</v>
      </c>
      <c r="H138" t="n">
        <v>610.5491</v>
      </c>
      <c r="I138" t="n">
        <v>649.2472</v>
      </c>
      <c r="J138" t="n">
        <v>3570.9364</v>
      </c>
      <c r="K138" t="inlineStr"/>
      <c r="L138" t="inlineStr"/>
      <c r="M138" t="inlineStr"/>
      <c r="N138" t="inlineStr"/>
      <c r="O138" t="n">
        <v>2019</v>
      </c>
      <c r="P138" t="n">
        <v>2030</v>
      </c>
      <c r="Q138" t="n">
        <v>0.3171</v>
      </c>
      <c r="R138" t="n">
        <v>401.7335</v>
      </c>
      <c r="S138" t="n">
        <v>0.00029221</v>
      </c>
      <c r="T138" t="n">
        <v>0.00017343</v>
      </c>
      <c r="U138" t="n">
        <v>4324.2977</v>
      </c>
      <c r="V138" t="inlineStr">
        <is>
          <t>Provided Total Emissions</t>
        </is>
      </c>
      <c r="W138" t="b">
        <v>1</v>
      </c>
      <c r="X138" t="n">
        <v>6447.3501</v>
      </c>
      <c r="Y138" t="n">
        <v>27853.9169</v>
      </c>
      <c r="Z138" t="n">
        <v>2123.0524</v>
      </c>
      <c r="AA138" t="n">
        <v>23529.6192</v>
      </c>
      <c r="AB138" t="n">
        <v>0.490959</v>
      </c>
      <c r="AC138" t="n">
        <v>5.441258</v>
      </c>
      <c r="AD138" t="inlineStr">
        <is>
          <t>High</t>
        </is>
      </c>
      <c r="AE138" t="inlineStr">
        <is>
          <t>None</t>
        </is>
      </c>
      <c r="AF138" t="n">
        <v>0.95</v>
      </c>
      <c r="AG138" t="inlineStr">
        <is>
          <t>Valid</t>
        </is>
      </c>
    </row>
    <row r="139">
      <c r="A139" t="inlineStr">
        <is>
          <t>SUP-0014</t>
        </is>
      </c>
      <c r="B139" t="inlineStr">
        <is>
          <t>Textiles Supplier 014</t>
        </is>
      </c>
      <c r="C139" t="inlineStr">
        <is>
          <t>Textiles</t>
        </is>
      </c>
      <c r="D139" t="n">
        <v>2022</v>
      </c>
      <c r="E139" t="n">
        <v>22165175.89</v>
      </c>
      <c r="F139" t="n">
        <v>191011078.27</v>
      </c>
      <c r="G139" t="n">
        <v>5070.9519</v>
      </c>
      <c r="H139" t="n">
        <v>686.4191</v>
      </c>
      <c r="I139" t="n">
        <v>323.8394</v>
      </c>
      <c r="J139" t="n">
        <v>3821.86</v>
      </c>
      <c r="K139" t="inlineStr"/>
      <c r="L139" t="inlineStr"/>
      <c r="M139" t="inlineStr"/>
      <c r="N139" t="inlineStr"/>
      <c r="O139" t="n">
        <v>2019</v>
      </c>
      <c r="P139" t="n">
        <v>2030</v>
      </c>
      <c r="Q139" t="n">
        <v>0.3171</v>
      </c>
      <c r="R139" t="n">
        <v>401.7335</v>
      </c>
      <c r="S139" t="n">
        <v>0.00029221</v>
      </c>
      <c r="T139" t="n">
        <v>0.00017343</v>
      </c>
      <c r="U139" t="n">
        <v>5070.9519</v>
      </c>
      <c r="V139" t="inlineStr">
        <is>
          <t>Provided Total Emissions</t>
        </is>
      </c>
      <c r="W139" t="b">
        <v>1</v>
      </c>
      <c r="X139" t="n">
        <v>6476.886</v>
      </c>
      <c r="Y139" t="n">
        <v>33127.0513</v>
      </c>
      <c r="Z139" t="n">
        <v>1405.9341</v>
      </c>
      <c r="AA139" t="n">
        <v>28056.0994</v>
      </c>
      <c r="AB139" t="n">
        <v>0.277253</v>
      </c>
      <c r="AC139" t="n">
        <v>5.532709</v>
      </c>
      <c r="AD139" t="inlineStr">
        <is>
          <t>High</t>
        </is>
      </c>
      <c r="AE139" t="inlineStr">
        <is>
          <t>None</t>
        </is>
      </c>
      <c r="AF139" t="n">
        <v>0.95</v>
      </c>
      <c r="AG139" t="inlineStr">
        <is>
          <t>Valid</t>
        </is>
      </c>
    </row>
    <row r="140">
      <c r="A140" t="inlineStr">
        <is>
          <t>SUP-0014</t>
        </is>
      </c>
      <c r="B140" t="inlineStr">
        <is>
          <t>Textiles Supplier 014</t>
        </is>
      </c>
      <c r="C140" t="inlineStr">
        <is>
          <t>Textiles</t>
        </is>
      </c>
      <c r="D140" t="n">
        <v>2023</v>
      </c>
      <c r="E140" t="n">
        <v>25579745.77</v>
      </c>
      <c r="F140" t="n">
        <v>171925399.42</v>
      </c>
      <c r="G140" t="n">
        <v>6371.7312</v>
      </c>
      <c r="H140" t="n">
        <v>1337.6062</v>
      </c>
      <c r="I140" t="n">
        <v>816.0549</v>
      </c>
      <c r="J140" t="n">
        <v>4090.2878</v>
      </c>
      <c r="K140" t="inlineStr"/>
      <c r="L140" t="inlineStr"/>
      <c r="M140" t="inlineStr"/>
      <c r="N140" t="inlineStr"/>
      <c r="O140" t="n">
        <v>2019</v>
      </c>
      <c r="P140" t="n">
        <v>2030</v>
      </c>
      <c r="Q140" t="n">
        <v>0.3171</v>
      </c>
      <c r="R140" t="n">
        <v>401.7335</v>
      </c>
      <c r="S140" t="n">
        <v>0.00029221</v>
      </c>
      <c r="T140" t="n">
        <v>0.00017343</v>
      </c>
      <c r="U140" t="n">
        <v>6371.7312</v>
      </c>
      <c r="V140" t="inlineStr">
        <is>
          <t>Provided Total Emissions</t>
        </is>
      </c>
      <c r="W140" t="b">
        <v>1</v>
      </c>
      <c r="X140" t="n">
        <v>7474.6575</v>
      </c>
      <c r="Y140" t="n">
        <v>29817.022</v>
      </c>
      <c r="Z140" t="n">
        <v>1102.9263</v>
      </c>
      <c r="AA140" t="n">
        <v>23445.2908</v>
      </c>
      <c r="AB140" t="n">
        <v>0.173097</v>
      </c>
      <c r="AC140" t="n">
        <v>3.679579</v>
      </c>
      <c r="AD140" t="inlineStr">
        <is>
          <t>High</t>
        </is>
      </c>
      <c r="AE140" t="inlineStr">
        <is>
          <t>None</t>
        </is>
      </c>
      <c r="AF140" t="n">
        <v>0.95</v>
      </c>
      <c r="AG140" t="inlineStr">
        <is>
          <t>Valid</t>
        </is>
      </c>
    </row>
    <row r="141">
      <c r="A141" t="inlineStr">
        <is>
          <t>SUP-0014</t>
        </is>
      </c>
      <c r="B141" t="inlineStr">
        <is>
          <t>Textiles Supplier 014</t>
        </is>
      </c>
      <c r="C141" t="inlineStr">
        <is>
          <t>Textiles</t>
        </is>
      </c>
      <c r="D141" t="n">
        <v>2024</v>
      </c>
      <c r="E141" t="n">
        <v>24664450.64</v>
      </c>
      <c r="F141" t="n">
        <v>213988750.54</v>
      </c>
      <c r="G141" t="n">
        <v>4273.9353</v>
      </c>
      <c r="H141" t="n">
        <v>488.1233</v>
      </c>
      <c r="I141" t="n">
        <v>460.1649</v>
      </c>
      <c r="J141" t="n">
        <v>3618.1924</v>
      </c>
      <c r="K141" t="inlineStr"/>
      <c r="L141" t="inlineStr"/>
      <c r="M141" t="inlineStr"/>
      <c r="N141" t="inlineStr"/>
      <c r="O141" t="n">
        <v>2019</v>
      </c>
      <c r="P141" t="n">
        <v>2030</v>
      </c>
      <c r="Q141" t="n">
        <v>0.3171</v>
      </c>
      <c r="R141" t="n">
        <v>401.7335</v>
      </c>
      <c r="S141" t="n">
        <v>0.00029221</v>
      </c>
      <c r="T141" t="n">
        <v>0.00017343</v>
      </c>
      <c r="U141" t="n">
        <v>4273.9353</v>
      </c>
      <c r="V141" t="inlineStr">
        <is>
          <t>Provided Total Emissions</t>
        </is>
      </c>
      <c r="W141" t="b">
        <v>1</v>
      </c>
      <c r="X141" t="n">
        <v>7207.1991</v>
      </c>
      <c r="Y141" t="n">
        <v>37112.069</v>
      </c>
      <c r="Z141" t="n">
        <v>2933.2638</v>
      </c>
      <c r="AA141" t="n">
        <v>32838.1337</v>
      </c>
      <c r="AB141" t="n">
        <v>0.686315</v>
      </c>
      <c r="AC141" t="n">
        <v>7.683348</v>
      </c>
      <c r="AD141" t="inlineStr">
        <is>
          <t>High</t>
        </is>
      </c>
      <c r="AE141" t="inlineStr">
        <is>
          <t>None</t>
        </is>
      </c>
      <c r="AF141" t="n">
        <v>0.95</v>
      </c>
      <c r="AG141" t="inlineStr">
        <is>
          <t>Valid</t>
        </is>
      </c>
    </row>
    <row r="142">
      <c r="A142" t="inlineStr">
        <is>
          <t>SUP-0015</t>
        </is>
      </c>
      <c r="B142" t="inlineStr">
        <is>
          <t>Packaging Supplier 015</t>
        </is>
      </c>
      <c r="C142" t="inlineStr">
        <is>
          <t>Packaging</t>
        </is>
      </c>
      <c r="D142" t="n">
        <v>2015</v>
      </c>
      <c r="E142" t="n">
        <v>17362318.1</v>
      </c>
      <c r="F142" t="n">
        <v>105884568.27</v>
      </c>
      <c r="G142" t="n">
        <v>27833.4162</v>
      </c>
      <c r="H142" t="n">
        <v>2488.6204</v>
      </c>
      <c r="I142" t="n">
        <v>6234.9318</v>
      </c>
      <c r="J142" t="n">
        <v>20517.3902</v>
      </c>
      <c r="K142" t="n">
        <v>2019</v>
      </c>
      <c r="L142" t="n">
        <v>2040</v>
      </c>
      <c r="M142" t="n">
        <v>0.2525</v>
      </c>
      <c r="N142" t="n">
        <v>0.1186</v>
      </c>
      <c r="O142" t="n">
        <v>2018</v>
      </c>
      <c r="P142" t="n">
        <v>2040</v>
      </c>
      <c r="Q142" t="n">
        <v>0.3112</v>
      </c>
      <c r="R142" t="n">
        <v>702.4188</v>
      </c>
      <c r="S142" t="n">
        <v>0.0010803</v>
      </c>
      <c r="T142" t="n">
        <v>0.00078946</v>
      </c>
      <c r="U142" t="n">
        <v>27833.4162</v>
      </c>
      <c r="V142" t="inlineStr">
        <is>
          <t>Provided Total Emissions</t>
        </is>
      </c>
      <c r="W142" t="b">
        <v>1</v>
      </c>
      <c r="X142" t="n">
        <v>18756.5122</v>
      </c>
      <c r="Y142" t="n">
        <v>83591.63129999999</v>
      </c>
      <c r="Z142" t="n">
        <v>-9076.904</v>
      </c>
      <c r="AA142" t="n">
        <v>55758.2151</v>
      </c>
      <c r="AB142" t="n">
        <v>-0.326115</v>
      </c>
      <c r="AC142" t="n">
        <v>2.003283</v>
      </c>
      <c r="AD142" t="inlineStr">
        <is>
          <t>High</t>
        </is>
      </c>
      <c r="AE142" t="inlineStr">
        <is>
          <t>None</t>
        </is>
      </c>
      <c r="AF142" t="n">
        <v>0.95</v>
      </c>
      <c r="AG142" t="inlineStr">
        <is>
          <t>Valid</t>
        </is>
      </c>
    </row>
    <row r="143">
      <c r="A143" t="inlineStr">
        <is>
          <t>SUP-0015</t>
        </is>
      </c>
      <c r="B143" t="inlineStr">
        <is>
          <t>Packaging Supplier 015</t>
        </is>
      </c>
      <c r="C143" t="inlineStr">
        <is>
          <t>Packaging</t>
        </is>
      </c>
      <c r="D143" t="n">
        <v>2016</v>
      </c>
      <c r="E143" t="n">
        <v>18079324.4</v>
      </c>
      <c r="F143" t="n">
        <v>94948257.06999999</v>
      </c>
      <c r="G143" t="n">
        <v>26779.0078</v>
      </c>
      <c r="H143" t="n">
        <v>4287.6146</v>
      </c>
      <c r="I143" t="n">
        <v>3246.4592</v>
      </c>
      <c r="J143" t="n">
        <v>20696.204</v>
      </c>
      <c r="K143" t="n">
        <v>2019</v>
      </c>
      <c r="L143" t="n">
        <v>2040</v>
      </c>
      <c r="M143" t="n">
        <v>0.2525</v>
      </c>
      <c r="N143" t="n">
        <v>0.1186</v>
      </c>
      <c r="O143" t="n">
        <v>2018</v>
      </c>
      <c r="P143" t="n">
        <v>2040</v>
      </c>
      <c r="Q143" t="n">
        <v>0.3112</v>
      </c>
      <c r="R143" t="n">
        <v>702.4188</v>
      </c>
      <c r="S143" t="n">
        <v>0.0010803</v>
      </c>
      <c r="T143" t="n">
        <v>0.00078946</v>
      </c>
      <c r="U143" t="n">
        <v>26779.0078</v>
      </c>
      <c r="V143" t="inlineStr">
        <is>
          <t>Provided Total Emissions</t>
        </is>
      </c>
      <c r="W143" t="b">
        <v>1</v>
      </c>
      <c r="X143" t="n">
        <v>19531.0941</v>
      </c>
      <c r="Y143" t="n">
        <v>74957.851</v>
      </c>
      <c r="Z143" t="n">
        <v>-7247.9137</v>
      </c>
      <c r="AA143" t="n">
        <v>48178.8432</v>
      </c>
      <c r="AB143" t="n">
        <v>-0.270657</v>
      </c>
      <c r="AC143" t="n">
        <v>1.799127</v>
      </c>
      <c r="AD143" t="inlineStr">
        <is>
          <t>High</t>
        </is>
      </c>
      <c r="AE143" t="inlineStr">
        <is>
          <t>None</t>
        </is>
      </c>
      <c r="AF143" t="n">
        <v>0.95</v>
      </c>
      <c r="AG143" t="inlineStr">
        <is>
          <t>Valid</t>
        </is>
      </c>
    </row>
    <row r="144">
      <c r="A144" t="inlineStr">
        <is>
          <t>SUP-0015</t>
        </is>
      </c>
      <c r="B144" t="inlineStr">
        <is>
          <t>Packaging Supplier 015</t>
        </is>
      </c>
      <c r="C144" t="inlineStr">
        <is>
          <t>Packaging</t>
        </is>
      </c>
      <c r="D144" t="n">
        <v>2017</v>
      </c>
      <c r="E144" t="n">
        <v>19683950.21</v>
      </c>
      <c r="F144" t="n">
        <v>120535774.72</v>
      </c>
      <c r="G144" t="n">
        <v>30484.5268</v>
      </c>
      <c r="H144" t="n">
        <v>5730.7464</v>
      </c>
      <c r="I144" t="n">
        <v>3365.3853</v>
      </c>
      <c r="J144" t="n">
        <v>21730.0387</v>
      </c>
      <c r="K144" t="n">
        <v>2019</v>
      </c>
      <c r="L144" t="n">
        <v>2040</v>
      </c>
      <c r="M144" t="n">
        <v>0.2525</v>
      </c>
      <c r="N144" t="n">
        <v>0.1186</v>
      </c>
      <c r="O144" t="n">
        <v>2018</v>
      </c>
      <c r="P144" t="n">
        <v>2040</v>
      </c>
      <c r="Q144" t="n">
        <v>0.3112</v>
      </c>
      <c r="R144" t="n">
        <v>702.4188</v>
      </c>
      <c r="S144" t="n">
        <v>0.0010803</v>
      </c>
      <c r="T144" t="n">
        <v>0.00078946</v>
      </c>
      <c r="U144" t="n">
        <v>30484.5268</v>
      </c>
      <c r="V144" t="inlineStr">
        <is>
          <t>Provided Total Emissions</t>
        </is>
      </c>
      <c r="W144" t="b">
        <v>1</v>
      </c>
      <c r="X144" t="n">
        <v>21264.5714</v>
      </c>
      <c r="Y144" t="n">
        <v>95158.1727</v>
      </c>
      <c r="Z144" t="n">
        <v>-9219.955400000001</v>
      </c>
      <c r="AA144" t="n">
        <v>64673.6459</v>
      </c>
      <c r="AB144" t="n">
        <v>-0.302447</v>
      </c>
      <c r="AC144" t="n">
        <v>2.121524</v>
      </c>
      <c r="AD144" t="inlineStr">
        <is>
          <t>High</t>
        </is>
      </c>
      <c r="AE144" t="inlineStr">
        <is>
          <t>None</t>
        </is>
      </c>
      <c r="AF144" t="n">
        <v>0.95</v>
      </c>
      <c r="AG144" t="inlineStr">
        <is>
          <t>Valid</t>
        </is>
      </c>
    </row>
    <row r="145">
      <c r="A145" t="inlineStr">
        <is>
          <t>SUP-0015</t>
        </is>
      </c>
      <c r="B145" t="inlineStr">
        <is>
          <t>Packaging Supplier 015</t>
        </is>
      </c>
      <c r="C145" t="inlineStr">
        <is>
          <t>Packaging</t>
        </is>
      </c>
      <c r="D145" t="n">
        <v>2018</v>
      </c>
      <c r="E145" t="n">
        <v>18534757.37</v>
      </c>
      <c r="F145" t="n">
        <v>127244406.88</v>
      </c>
      <c r="G145" t="n">
        <v>30973.7441</v>
      </c>
      <c r="H145" t="n">
        <v>8868.840399999999</v>
      </c>
      <c r="I145" t="n">
        <v>2412.7626</v>
      </c>
      <c r="J145" t="n">
        <v>19932.6345</v>
      </c>
      <c r="K145" t="n">
        <v>2019</v>
      </c>
      <c r="L145" t="n">
        <v>2040</v>
      </c>
      <c r="M145" t="n">
        <v>0.2525</v>
      </c>
      <c r="N145" t="n">
        <v>0.1186</v>
      </c>
      <c r="O145" t="n">
        <v>2018</v>
      </c>
      <c r="P145" t="n">
        <v>2040</v>
      </c>
      <c r="Q145" t="n">
        <v>0.3112</v>
      </c>
      <c r="R145" t="n">
        <v>702.4188</v>
      </c>
      <c r="S145" t="n">
        <v>0.0010803</v>
      </c>
      <c r="T145" t="n">
        <v>0.00078946</v>
      </c>
      <c r="U145" t="n">
        <v>30973.7441</v>
      </c>
      <c r="V145" t="inlineStr">
        <is>
          <t>Provided Total Emissions</t>
        </is>
      </c>
      <c r="W145" t="b">
        <v>1</v>
      </c>
      <c r="X145" t="n">
        <v>20023.0984</v>
      </c>
      <c r="Y145" t="n">
        <v>100454.3695</v>
      </c>
      <c r="Z145" t="n">
        <v>-10950.6457</v>
      </c>
      <c r="AA145" t="n">
        <v>69480.6254</v>
      </c>
      <c r="AB145" t="n">
        <v>-0.353546</v>
      </c>
      <c r="AC145" t="n">
        <v>2.24321</v>
      </c>
      <c r="AD145" t="inlineStr">
        <is>
          <t>High</t>
        </is>
      </c>
      <c r="AE145" t="inlineStr">
        <is>
          <t>None</t>
        </is>
      </c>
      <c r="AF145" t="n">
        <v>0.95</v>
      </c>
      <c r="AG145" t="inlineStr">
        <is>
          <t>Valid</t>
        </is>
      </c>
    </row>
    <row r="146">
      <c r="A146" t="inlineStr">
        <is>
          <t>SUP-0015</t>
        </is>
      </c>
      <c r="B146" t="inlineStr">
        <is>
          <t>Packaging Supplier 015</t>
        </is>
      </c>
      <c r="C146" t="inlineStr">
        <is>
          <t>Packaging</t>
        </is>
      </c>
      <c r="D146" t="n">
        <v>2019</v>
      </c>
      <c r="E146" t="n">
        <v>18181512.6</v>
      </c>
      <c r="F146" t="n">
        <v>115006281.01</v>
      </c>
      <c r="G146" t="n">
        <v>34263.2294</v>
      </c>
      <c r="H146" t="n">
        <v>8362.6245</v>
      </c>
      <c r="I146" t="n">
        <v>2530.5312</v>
      </c>
      <c r="J146" t="n">
        <v>22578.3783</v>
      </c>
      <c r="K146" t="n">
        <v>2019</v>
      </c>
      <c r="L146" t="n">
        <v>2040</v>
      </c>
      <c r="M146" t="n">
        <v>0.2525</v>
      </c>
      <c r="N146" t="n">
        <v>0.1186</v>
      </c>
      <c r="O146" t="n">
        <v>2018</v>
      </c>
      <c r="P146" t="n">
        <v>2040</v>
      </c>
      <c r="Q146" t="n">
        <v>0.3112</v>
      </c>
      <c r="R146" t="n">
        <v>702.4188</v>
      </c>
      <c r="S146" t="n">
        <v>0.0010803</v>
      </c>
      <c r="T146" t="n">
        <v>0.00078946</v>
      </c>
      <c r="U146" t="n">
        <v>34263.2294</v>
      </c>
      <c r="V146" t="inlineStr">
        <is>
          <t>Provided Total Emissions</t>
        </is>
      </c>
      <c r="W146" t="b">
        <v>1</v>
      </c>
      <c r="X146" t="n">
        <v>19641.4881</v>
      </c>
      <c r="Y146" t="n">
        <v>90792.85860000001</v>
      </c>
      <c r="Z146" t="n">
        <v>-14621.7413</v>
      </c>
      <c r="AA146" t="n">
        <v>56529.6292</v>
      </c>
      <c r="AB146" t="n">
        <v>-0.426747</v>
      </c>
      <c r="AC146" t="n">
        <v>1.649863</v>
      </c>
      <c r="AD146" t="inlineStr">
        <is>
          <t>High</t>
        </is>
      </c>
      <c r="AE146" t="inlineStr">
        <is>
          <t>None</t>
        </is>
      </c>
      <c r="AF146" t="n">
        <v>0.95</v>
      </c>
      <c r="AG146" t="inlineStr">
        <is>
          <t>Valid</t>
        </is>
      </c>
    </row>
    <row r="147">
      <c r="A147" t="inlineStr">
        <is>
          <t>SUP-0015</t>
        </is>
      </c>
      <c r="B147" t="inlineStr">
        <is>
          <t>Packaging Supplier 015</t>
        </is>
      </c>
      <c r="C147" t="inlineStr">
        <is>
          <t>Packaging</t>
        </is>
      </c>
      <c r="D147" t="n">
        <v>2020</v>
      </c>
      <c r="E147" t="n">
        <v>19538013.74</v>
      </c>
      <c r="F147" t="n">
        <v>115627745.49</v>
      </c>
      <c r="G147" t="n">
        <v>29631.9875</v>
      </c>
      <c r="H147" t="n">
        <v>4200.7363</v>
      </c>
      <c r="I147" t="n">
        <v>6319.9879</v>
      </c>
      <c r="J147" t="n">
        <v>20327.9939</v>
      </c>
      <c r="K147" t="n">
        <v>2019</v>
      </c>
      <c r="L147" t="n">
        <v>2040</v>
      </c>
      <c r="M147" t="n">
        <v>0.2525</v>
      </c>
      <c r="N147" t="n">
        <v>0.1186</v>
      </c>
      <c r="O147" t="n">
        <v>2018</v>
      </c>
      <c r="P147" t="n">
        <v>2040</v>
      </c>
      <c r="Q147" t="n">
        <v>0.3112</v>
      </c>
      <c r="R147" t="n">
        <v>702.4188</v>
      </c>
      <c r="S147" t="n">
        <v>0.0010803</v>
      </c>
      <c r="T147" t="n">
        <v>0.00078946</v>
      </c>
      <c r="U147" t="n">
        <v>29631.9875</v>
      </c>
      <c r="V147" t="inlineStr">
        <is>
          <t>Provided Total Emissions</t>
        </is>
      </c>
      <c r="W147" t="b">
        <v>1</v>
      </c>
      <c r="X147" t="n">
        <v>21106.9162</v>
      </c>
      <c r="Y147" t="n">
        <v>91283.48</v>
      </c>
      <c r="Z147" t="n">
        <v>-8525.0713</v>
      </c>
      <c r="AA147" t="n">
        <v>61651.4925</v>
      </c>
      <c r="AB147" t="n">
        <v>-0.287698</v>
      </c>
      <c r="AC147" t="n">
        <v>2.080572</v>
      </c>
      <c r="AD147" t="inlineStr">
        <is>
          <t>High</t>
        </is>
      </c>
      <c r="AE147" t="inlineStr">
        <is>
          <t>None</t>
        </is>
      </c>
      <c r="AF147" t="n">
        <v>0.95</v>
      </c>
      <c r="AG147" t="inlineStr">
        <is>
          <t>Valid</t>
        </is>
      </c>
    </row>
    <row r="148">
      <c r="A148" t="inlineStr">
        <is>
          <t>SUP-0015</t>
        </is>
      </c>
      <c r="B148" t="inlineStr">
        <is>
          <t>Packaging Supplier 015</t>
        </is>
      </c>
      <c r="C148" t="inlineStr">
        <is>
          <t>Packaging</t>
        </is>
      </c>
      <c r="D148" t="n">
        <v>2021</v>
      </c>
      <c r="E148" t="n">
        <v>18965830.99</v>
      </c>
      <c r="F148" t="n">
        <v>121663620.68</v>
      </c>
      <c r="G148" t="n">
        <v>36730.7344</v>
      </c>
      <c r="H148" t="n">
        <v>7434.6777</v>
      </c>
      <c r="I148" t="n">
        <v>4718.3821</v>
      </c>
      <c r="J148" t="n">
        <v>27166.8511</v>
      </c>
      <c r="K148" t="n">
        <v>2019</v>
      </c>
      <c r="L148" t="n">
        <v>2040</v>
      </c>
      <c r="M148" t="n">
        <v>0.2525</v>
      </c>
      <c r="N148" t="n">
        <v>0.1186</v>
      </c>
      <c r="O148" t="n">
        <v>2018</v>
      </c>
      <c r="P148" t="n">
        <v>2040</v>
      </c>
      <c r="Q148" t="n">
        <v>0.3112</v>
      </c>
      <c r="R148" t="n">
        <v>702.4188</v>
      </c>
      <c r="S148" t="n">
        <v>0.0010803</v>
      </c>
      <c r="T148" t="n">
        <v>0.00078946</v>
      </c>
      <c r="U148" t="n">
        <v>36730.7344</v>
      </c>
      <c r="V148" t="inlineStr">
        <is>
          <t>Provided Total Emissions</t>
        </is>
      </c>
      <c r="W148" t="b">
        <v>1</v>
      </c>
      <c r="X148" t="n">
        <v>20488.7872</v>
      </c>
      <c r="Y148" t="n">
        <v>96048.56200000001</v>
      </c>
      <c r="Z148" t="n">
        <v>-16241.9472</v>
      </c>
      <c r="AA148" t="n">
        <v>59317.8276</v>
      </c>
      <c r="AB148" t="n">
        <v>-0.44219</v>
      </c>
      <c r="AC148" t="n">
        <v>1.614937</v>
      </c>
      <c r="AD148" t="inlineStr">
        <is>
          <t>High</t>
        </is>
      </c>
      <c r="AE148" t="inlineStr">
        <is>
          <t>None</t>
        </is>
      </c>
      <c r="AF148" t="n">
        <v>0.95</v>
      </c>
      <c r="AG148" t="inlineStr">
        <is>
          <t>Valid</t>
        </is>
      </c>
    </row>
    <row r="149">
      <c r="A149" t="inlineStr">
        <is>
          <t>SUP-0015</t>
        </is>
      </c>
      <c r="B149" t="inlineStr">
        <is>
          <t>Packaging Supplier 015</t>
        </is>
      </c>
      <c r="C149" t="inlineStr">
        <is>
          <t>Packaging</t>
        </is>
      </c>
      <c r="D149" t="n">
        <v>2022</v>
      </c>
      <c r="E149" t="n">
        <v>17989169.72</v>
      </c>
      <c r="F149" t="n">
        <v>120914987.05</v>
      </c>
      <c r="G149" t="n">
        <v>31900.7786</v>
      </c>
      <c r="H149" t="n">
        <v>3405.5722</v>
      </c>
      <c r="I149" t="n">
        <v>5480.2854</v>
      </c>
      <c r="J149" t="n">
        <v>19810.2206</v>
      </c>
      <c r="K149" t="n">
        <v>2019</v>
      </c>
      <c r="L149" t="n">
        <v>2040</v>
      </c>
      <c r="M149" t="n">
        <v>0.2525</v>
      </c>
      <c r="N149" t="n">
        <v>0.1186</v>
      </c>
      <c r="O149" t="n">
        <v>2018</v>
      </c>
      <c r="P149" t="n">
        <v>2040</v>
      </c>
      <c r="Q149" t="n">
        <v>0.3112</v>
      </c>
      <c r="R149" t="n">
        <v>702.4188</v>
      </c>
      <c r="S149" t="n">
        <v>0.0010803</v>
      </c>
      <c r="T149" t="n">
        <v>0.00078946</v>
      </c>
      <c r="U149" t="n">
        <v>31900.7786</v>
      </c>
      <c r="V149" t="inlineStr">
        <is>
          <t>Provided Total Emissions</t>
        </is>
      </c>
      <c r="W149" t="b">
        <v>1</v>
      </c>
      <c r="X149" t="n">
        <v>19433.7</v>
      </c>
      <c r="Y149" t="n">
        <v>95457.5457</v>
      </c>
      <c r="Z149" t="n">
        <v>-12467.0786</v>
      </c>
      <c r="AA149" t="n">
        <v>63556.7671</v>
      </c>
      <c r="AB149" t="n">
        <v>-0.390808</v>
      </c>
      <c r="AC149" t="n">
        <v>1.992327</v>
      </c>
      <c r="AD149" t="inlineStr">
        <is>
          <t>High</t>
        </is>
      </c>
      <c r="AE149" t="inlineStr">
        <is>
          <t>None</t>
        </is>
      </c>
      <c r="AF149" t="n">
        <v>0.95</v>
      </c>
      <c r="AG149" t="inlineStr">
        <is>
          <t>Valid</t>
        </is>
      </c>
    </row>
    <row r="150">
      <c r="A150" t="inlineStr">
        <is>
          <t>SUP-0015</t>
        </is>
      </c>
      <c r="B150" t="inlineStr">
        <is>
          <t>Packaging Supplier 015</t>
        </is>
      </c>
      <c r="C150" t="inlineStr">
        <is>
          <t>Packaging</t>
        </is>
      </c>
      <c r="D150" t="n">
        <v>2023</v>
      </c>
      <c r="E150" t="n">
        <v>18310064.34</v>
      </c>
      <c r="F150" t="n">
        <v>120347331.67</v>
      </c>
      <c r="G150" t="n">
        <v>24363.5093</v>
      </c>
      <c r="H150" t="n">
        <v>6155.8592</v>
      </c>
      <c r="I150" t="n">
        <v>1782.1161</v>
      </c>
      <c r="J150" t="n">
        <v>17679.3158</v>
      </c>
      <c r="K150" t="n">
        <v>2019</v>
      </c>
      <c r="L150" t="n">
        <v>2040</v>
      </c>
      <c r="M150" t="n">
        <v>0.2525</v>
      </c>
      <c r="N150" t="n">
        <v>0.1186</v>
      </c>
      <c r="O150" t="n">
        <v>2018</v>
      </c>
      <c r="P150" t="n">
        <v>2040</v>
      </c>
      <c r="Q150" t="n">
        <v>0.3112</v>
      </c>
      <c r="R150" t="n">
        <v>702.4188</v>
      </c>
      <c r="S150" t="n">
        <v>0.0010803</v>
      </c>
      <c r="T150" t="n">
        <v>0.00078946</v>
      </c>
      <c r="U150" t="n">
        <v>24363.5093</v>
      </c>
      <c r="V150" t="inlineStr">
        <is>
          <t>Provided Total Emissions</t>
        </is>
      </c>
      <c r="W150" t="b">
        <v>1</v>
      </c>
      <c r="X150" t="n">
        <v>19780.3625</v>
      </c>
      <c r="Y150" t="n">
        <v>95009.4045</v>
      </c>
      <c r="Z150" t="n">
        <v>-4583.1468</v>
      </c>
      <c r="AA150" t="n">
        <v>70645.8952</v>
      </c>
      <c r="AB150" t="n">
        <v>-0.188115</v>
      </c>
      <c r="AC150" t="n">
        <v>2.89966</v>
      </c>
      <c r="AD150" t="inlineStr">
        <is>
          <t>High</t>
        </is>
      </c>
      <c r="AE150" t="inlineStr">
        <is>
          <t>None</t>
        </is>
      </c>
      <c r="AF150" t="n">
        <v>0.95</v>
      </c>
      <c r="AG150" t="inlineStr">
        <is>
          <t>Valid</t>
        </is>
      </c>
    </row>
    <row r="151">
      <c r="A151" t="inlineStr">
        <is>
          <t>SUP-0015</t>
        </is>
      </c>
      <c r="B151" t="inlineStr">
        <is>
          <t>Packaging Supplier 015</t>
        </is>
      </c>
      <c r="C151" t="inlineStr">
        <is>
          <t>Packaging</t>
        </is>
      </c>
      <c r="D151" t="n">
        <v>2024</v>
      </c>
      <c r="E151" t="n">
        <v>19994189.82</v>
      </c>
      <c r="F151" t="n">
        <v>110798630.88</v>
      </c>
      <c r="G151" t="n">
        <v>33949.0529</v>
      </c>
      <c r="H151" t="n">
        <v>6231.8621</v>
      </c>
      <c r="I151" t="n">
        <v>5555.3183</v>
      </c>
      <c r="J151" t="n">
        <v>19678.3135</v>
      </c>
      <c r="K151" t="n">
        <v>2019</v>
      </c>
      <c r="L151" t="n">
        <v>2040</v>
      </c>
      <c r="M151" t="n">
        <v>0.2525</v>
      </c>
      <c r="N151" t="n">
        <v>0.1186</v>
      </c>
      <c r="O151" t="n">
        <v>2018</v>
      </c>
      <c r="P151" t="n">
        <v>2040</v>
      </c>
      <c r="Q151" t="n">
        <v>0.3112</v>
      </c>
      <c r="R151" t="n">
        <v>702.4188</v>
      </c>
      <c r="S151" t="n">
        <v>0.0010803</v>
      </c>
      <c r="T151" t="n">
        <v>0.00078946</v>
      </c>
      <c r="U151" t="n">
        <v>33949.0529</v>
      </c>
      <c r="V151" t="inlineStr">
        <is>
          <t>Provided Total Emissions</t>
        </is>
      </c>
      <c r="W151" t="b">
        <v>1</v>
      </c>
      <c r="X151" t="n">
        <v>21599.7233</v>
      </c>
      <c r="Y151" t="n">
        <v>87471.0871</v>
      </c>
      <c r="Z151" t="n">
        <v>-12349.3296</v>
      </c>
      <c r="AA151" t="n">
        <v>53522.0342</v>
      </c>
      <c r="AB151" t="n">
        <v>-0.363761</v>
      </c>
      <c r="AC151" t="n">
        <v>1.57654</v>
      </c>
      <c r="AD151" t="inlineStr">
        <is>
          <t>High</t>
        </is>
      </c>
      <c r="AE151" t="inlineStr">
        <is>
          <t>None</t>
        </is>
      </c>
      <c r="AF151" t="n">
        <v>0.95</v>
      </c>
      <c r="AG151" t="inlineStr">
        <is>
          <t>Valid</t>
        </is>
      </c>
    </row>
    <row r="152">
      <c r="A152" t="inlineStr">
        <is>
          <t>SUP-0016</t>
        </is>
      </c>
      <c r="B152" t="inlineStr">
        <is>
          <t>Metals Supplier 016</t>
        </is>
      </c>
      <c r="C152" t="inlineStr">
        <is>
          <t>Metals</t>
        </is>
      </c>
      <c r="D152" t="n">
        <v>2015</v>
      </c>
      <c r="E152" t="n">
        <v>11538760.2</v>
      </c>
      <c r="F152" t="n">
        <v>82972433.14</v>
      </c>
      <c r="G152" t="n">
        <v>7433.9568</v>
      </c>
      <c r="H152" t="n">
        <v>1201.2624</v>
      </c>
      <c r="I152" t="n">
        <v>659.7274</v>
      </c>
      <c r="J152" t="n">
        <v>5516.4453</v>
      </c>
      <c r="K152" t="n">
        <v>2018</v>
      </c>
      <c r="L152" t="n">
        <v>2040</v>
      </c>
      <c r="M152" t="n">
        <v>0.2599</v>
      </c>
      <c r="N152" t="n">
        <v>0.1001</v>
      </c>
      <c r="O152" t="n">
        <v>2019</v>
      </c>
      <c r="P152" t="n">
        <v>2030</v>
      </c>
      <c r="Q152" t="n">
        <v>0.3852</v>
      </c>
      <c r="R152" t="n">
        <v>158.2904</v>
      </c>
      <c r="S152" t="n">
        <v>0.00100695</v>
      </c>
      <c r="T152" t="n">
        <v>0.00065008</v>
      </c>
      <c r="U152" t="n">
        <v>7433.9568</v>
      </c>
      <c r="V152" t="inlineStr">
        <is>
          <t>Provided Total Emissions</t>
        </is>
      </c>
      <c r="W152" t="b">
        <v>1</v>
      </c>
      <c r="X152" t="n">
        <v>11618.9546</v>
      </c>
      <c r="Y152" t="n">
        <v>53938.7193</v>
      </c>
      <c r="Z152" t="n">
        <v>4184.9978</v>
      </c>
      <c r="AA152" t="n">
        <v>46504.7625</v>
      </c>
      <c r="AB152" t="n">
        <v>0.562957</v>
      </c>
      <c r="AC152" t="n">
        <v>6.255721</v>
      </c>
      <c r="AD152" t="inlineStr">
        <is>
          <t>High</t>
        </is>
      </c>
      <c r="AE152" t="inlineStr">
        <is>
          <t>None</t>
        </is>
      </c>
      <c r="AF152" t="n">
        <v>0.95</v>
      </c>
      <c r="AG152" t="inlineStr">
        <is>
          <t>Valid</t>
        </is>
      </c>
    </row>
    <row r="153">
      <c r="A153" t="inlineStr">
        <is>
          <t>SUP-0016</t>
        </is>
      </c>
      <c r="B153" t="inlineStr">
        <is>
          <t>Metals Supplier 016</t>
        </is>
      </c>
      <c r="C153" t="inlineStr">
        <is>
          <t>Metals</t>
        </is>
      </c>
      <c r="D153" t="n">
        <v>2016</v>
      </c>
      <c r="E153" t="n">
        <v>11582344.91</v>
      </c>
      <c r="F153" t="n">
        <v>109873725.67</v>
      </c>
      <c r="G153" t="n">
        <v>8046.8331</v>
      </c>
      <c r="H153" t="n">
        <v>767.9358999999999</v>
      </c>
      <c r="I153" t="n">
        <v>1739.212</v>
      </c>
      <c r="J153" t="n">
        <v>5631.282</v>
      </c>
      <c r="K153" t="n">
        <v>2018</v>
      </c>
      <c r="L153" t="n">
        <v>2040</v>
      </c>
      <c r="M153" t="n">
        <v>0.2599</v>
      </c>
      <c r="N153" t="n">
        <v>0.1001</v>
      </c>
      <c r="O153" t="n">
        <v>2019</v>
      </c>
      <c r="P153" t="n">
        <v>2030</v>
      </c>
      <c r="Q153" t="n">
        <v>0.3852</v>
      </c>
      <c r="R153" t="n">
        <v>158.2904</v>
      </c>
      <c r="S153" t="n">
        <v>0.00100695</v>
      </c>
      <c r="T153" t="n">
        <v>0.00065008</v>
      </c>
      <c r="U153" t="n">
        <v>8046.8331</v>
      </c>
      <c r="V153" t="inlineStr">
        <is>
          <t>Provided Total Emissions</t>
        </is>
      </c>
      <c r="W153" t="b">
        <v>1</v>
      </c>
      <c r="X153" t="n">
        <v>11662.8422</v>
      </c>
      <c r="Y153" t="n">
        <v>71426.7116</v>
      </c>
      <c r="Z153" t="n">
        <v>3616.0091</v>
      </c>
      <c r="AA153" t="n">
        <v>63379.8785</v>
      </c>
      <c r="AB153" t="n">
        <v>0.44937</v>
      </c>
      <c r="AC153" t="n">
        <v>7.876375</v>
      </c>
      <c r="AD153" t="inlineStr">
        <is>
          <t>High</t>
        </is>
      </c>
      <c r="AE153" t="inlineStr">
        <is>
          <t>None</t>
        </is>
      </c>
      <c r="AF153" t="n">
        <v>0.95</v>
      </c>
      <c r="AG153" t="inlineStr">
        <is>
          <t>Valid</t>
        </is>
      </c>
    </row>
    <row r="154">
      <c r="A154" t="inlineStr">
        <is>
          <t>SUP-0016</t>
        </is>
      </c>
      <c r="B154" t="inlineStr">
        <is>
          <t>Metals Supplier 016</t>
        </is>
      </c>
      <c r="C154" t="inlineStr">
        <is>
          <t>Metals</t>
        </is>
      </c>
      <c r="D154" t="n">
        <v>2017</v>
      </c>
      <c r="E154" t="n">
        <v>12259966.42</v>
      </c>
      <c r="F154" t="n">
        <v>102173572.13</v>
      </c>
      <c r="G154" t="n">
        <v>7125.2866</v>
      </c>
      <c r="H154" t="n">
        <v>1100.7631</v>
      </c>
      <c r="I154" t="n">
        <v>677.3647</v>
      </c>
      <c r="J154" t="n">
        <v>5280.1706</v>
      </c>
      <c r="K154" t="n">
        <v>2018</v>
      </c>
      <c r="L154" t="n">
        <v>2040</v>
      </c>
      <c r="M154" t="n">
        <v>0.2599</v>
      </c>
      <c r="N154" t="n">
        <v>0.1001</v>
      </c>
      <c r="O154" t="n">
        <v>2019</v>
      </c>
      <c r="P154" t="n">
        <v>2030</v>
      </c>
      <c r="Q154" t="n">
        <v>0.3852</v>
      </c>
      <c r="R154" t="n">
        <v>158.2904</v>
      </c>
      <c r="S154" t="n">
        <v>0.00100695</v>
      </c>
      <c r="T154" t="n">
        <v>0.00065008</v>
      </c>
      <c r="U154" t="n">
        <v>7125.2866</v>
      </c>
      <c r="V154" t="inlineStr">
        <is>
          <t>Provided Total Emissions</t>
        </is>
      </c>
      <c r="W154" t="b">
        <v>1</v>
      </c>
      <c r="X154" t="n">
        <v>12345.1732</v>
      </c>
      <c r="Y154" t="n">
        <v>66420.9958</v>
      </c>
      <c r="Z154" t="n">
        <v>5219.8866</v>
      </c>
      <c r="AA154" t="n">
        <v>59295.7092</v>
      </c>
      <c r="AB154" t="n">
        <v>0.732586</v>
      </c>
      <c r="AC154" t="n">
        <v>8.321870000000001</v>
      </c>
      <c r="AD154" t="inlineStr">
        <is>
          <t>High</t>
        </is>
      </c>
      <c r="AE154" t="inlineStr">
        <is>
          <t>None</t>
        </is>
      </c>
      <c r="AF154" t="n">
        <v>0.95</v>
      </c>
      <c r="AG154" t="inlineStr">
        <is>
          <t>Valid</t>
        </is>
      </c>
    </row>
    <row r="155">
      <c r="A155" t="inlineStr">
        <is>
          <t>SUP-0016</t>
        </is>
      </c>
      <c r="B155" t="inlineStr">
        <is>
          <t>Metals Supplier 016</t>
        </is>
      </c>
      <c r="C155" t="inlineStr">
        <is>
          <t>Metals</t>
        </is>
      </c>
      <c r="D155" t="n">
        <v>2018</v>
      </c>
      <c r="E155" t="n">
        <v>10800802.23</v>
      </c>
      <c r="F155" t="n">
        <v>81944716.14</v>
      </c>
      <c r="G155" t="n">
        <v>6679.2649</v>
      </c>
      <c r="H155" t="n">
        <v>1055.709</v>
      </c>
      <c r="I155" t="n">
        <v>1002.0031</v>
      </c>
      <c r="J155" t="n">
        <v>4468.8623</v>
      </c>
      <c r="K155" t="n">
        <v>2018</v>
      </c>
      <c r="L155" t="n">
        <v>2040</v>
      </c>
      <c r="M155" t="n">
        <v>0.2599</v>
      </c>
      <c r="N155" t="n">
        <v>0.1001</v>
      </c>
      <c r="O155" t="n">
        <v>2019</v>
      </c>
      <c r="P155" t="n">
        <v>2030</v>
      </c>
      <c r="Q155" t="n">
        <v>0.3852</v>
      </c>
      <c r="R155" t="n">
        <v>158.2904</v>
      </c>
      <c r="S155" t="n">
        <v>0.00100695</v>
      </c>
      <c r="T155" t="n">
        <v>0.00065008</v>
      </c>
      <c r="U155" t="n">
        <v>6679.2649</v>
      </c>
      <c r="V155" t="inlineStr">
        <is>
          <t>Provided Total Emissions</t>
        </is>
      </c>
      <c r="W155" t="b">
        <v>1</v>
      </c>
      <c r="X155" t="n">
        <v>10875.8678</v>
      </c>
      <c r="Y155" t="n">
        <v>53270.6211</v>
      </c>
      <c r="Z155" t="n">
        <v>4196.6029</v>
      </c>
      <c r="AA155" t="n">
        <v>46591.3562</v>
      </c>
      <c r="AB155" t="n">
        <v>0.6283029999999999</v>
      </c>
      <c r="AC155" t="n">
        <v>6.975522</v>
      </c>
      <c r="AD155" t="inlineStr">
        <is>
          <t>High</t>
        </is>
      </c>
      <c r="AE155" t="inlineStr">
        <is>
          <t>None</t>
        </is>
      </c>
      <c r="AF155" t="n">
        <v>0.95</v>
      </c>
      <c r="AG155" t="inlineStr">
        <is>
          <t>Valid</t>
        </is>
      </c>
    </row>
    <row r="156">
      <c r="A156" t="inlineStr">
        <is>
          <t>SUP-0016</t>
        </is>
      </c>
      <c r="B156" t="inlineStr">
        <is>
          <t>Metals Supplier 016</t>
        </is>
      </c>
      <c r="C156" t="inlineStr">
        <is>
          <t>Metals</t>
        </is>
      </c>
      <c r="D156" t="n">
        <v>2019</v>
      </c>
      <c r="E156" t="n">
        <v>10969288.09</v>
      </c>
      <c r="F156" t="n">
        <v>97730159.45999999</v>
      </c>
      <c r="G156" t="n">
        <v>7199.7775</v>
      </c>
      <c r="H156" t="n">
        <v>1208.6378</v>
      </c>
      <c r="I156" t="n">
        <v>541.22</v>
      </c>
      <c r="J156" t="n">
        <v>5448.0896</v>
      </c>
      <c r="K156" t="n">
        <v>2018</v>
      </c>
      <c r="L156" t="n">
        <v>2040</v>
      </c>
      <c r="M156" t="n">
        <v>0.2599</v>
      </c>
      <c r="N156" t="n">
        <v>0.1001</v>
      </c>
      <c r="O156" t="n">
        <v>2019</v>
      </c>
      <c r="P156" t="n">
        <v>2030</v>
      </c>
      <c r="Q156" t="n">
        <v>0.3852</v>
      </c>
      <c r="R156" t="n">
        <v>158.2904</v>
      </c>
      <c r="S156" t="n">
        <v>0.00100695</v>
      </c>
      <c r="T156" t="n">
        <v>0.00065008</v>
      </c>
      <c r="U156" t="n">
        <v>7199.7775</v>
      </c>
      <c r="V156" t="inlineStr">
        <is>
          <t>Provided Total Emissions</t>
        </is>
      </c>
      <c r="W156" t="b">
        <v>1</v>
      </c>
      <c r="X156" t="n">
        <v>11045.5246</v>
      </c>
      <c r="Y156" t="n">
        <v>63532.4221</v>
      </c>
      <c r="Z156" t="n">
        <v>3845.7471</v>
      </c>
      <c r="AA156" t="n">
        <v>56332.6446</v>
      </c>
      <c r="AB156" t="n">
        <v>0.534148</v>
      </c>
      <c r="AC156" t="n">
        <v>7.82422</v>
      </c>
      <c r="AD156" t="inlineStr">
        <is>
          <t>High</t>
        </is>
      </c>
      <c r="AE156" t="inlineStr">
        <is>
          <t>None</t>
        </is>
      </c>
      <c r="AF156" t="n">
        <v>0.95</v>
      </c>
      <c r="AG156" t="inlineStr">
        <is>
          <t>Valid</t>
        </is>
      </c>
    </row>
    <row r="157">
      <c r="A157" t="inlineStr">
        <is>
          <t>SUP-0016</t>
        </is>
      </c>
      <c r="B157" t="inlineStr">
        <is>
          <t>Metals Supplier 016</t>
        </is>
      </c>
      <c r="C157" t="inlineStr">
        <is>
          <t>Metals</t>
        </is>
      </c>
      <c r="D157" t="n">
        <v>2020</v>
      </c>
      <c r="E157" t="n">
        <v>9850074.99</v>
      </c>
      <c r="F157" t="n">
        <v>81474384.67</v>
      </c>
      <c r="G157" t="n">
        <v>5122.5498</v>
      </c>
      <c r="H157" t="n">
        <v>1117.9421</v>
      </c>
      <c r="I157" t="n">
        <v>982.0932</v>
      </c>
      <c r="J157" t="n">
        <v>2888.2406</v>
      </c>
      <c r="K157" t="n">
        <v>2018</v>
      </c>
      <c r="L157" t="n">
        <v>2040</v>
      </c>
      <c r="M157" t="n">
        <v>0.2599</v>
      </c>
      <c r="N157" t="n">
        <v>0.1001</v>
      </c>
      <c r="O157" t="n">
        <v>2019</v>
      </c>
      <c r="P157" t="n">
        <v>2030</v>
      </c>
      <c r="Q157" t="n">
        <v>0.3852</v>
      </c>
      <c r="R157" t="n">
        <v>158.2904</v>
      </c>
      <c r="S157" t="n">
        <v>0.00100695</v>
      </c>
      <c r="T157" t="n">
        <v>0.00065008</v>
      </c>
      <c r="U157" t="n">
        <v>5122.5498</v>
      </c>
      <c r="V157" t="inlineStr">
        <is>
          <t>Provided Total Emissions</t>
        </is>
      </c>
      <c r="W157" t="b">
        <v>1</v>
      </c>
      <c r="X157" t="n">
        <v>9918.532999999999</v>
      </c>
      <c r="Y157" t="n">
        <v>52964.868</v>
      </c>
      <c r="Z157" t="n">
        <v>4795.9832</v>
      </c>
      <c r="AA157" t="n">
        <v>47842.3182</v>
      </c>
      <c r="AB157" t="n">
        <v>0.936249</v>
      </c>
      <c r="AC157" t="n">
        <v>9.339551999999999</v>
      </c>
      <c r="AD157" t="inlineStr">
        <is>
          <t>High</t>
        </is>
      </c>
      <c r="AE157" t="inlineStr">
        <is>
          <t>None</t>
        </is>
      </c>
      <c r="AF157" t="n">
        <v>0.95</v>
      </c>
      <c r="AG157" t="inlineStr">
        <is>
          <t>Valid</t>
        </is>
      </c>
    </row>
    <row r="158">
      <c r="A158" t="inlineStr">
        <is>
          <t>SUP-0016</t>
        </is>
      </c>
      <c r="B158" t="inlineStr">
        <is>
          <t>Metals Supplier 016</t>
        </is>
      </c>
      <c r="C158" t="inlineStr">
        <is>
          <t>Metals</t>
        </is>
      </c>
      <c r="D158" t="n">
        <v>2021</v>
      </c>
      <c r="E158" t="n">
        <v>11240115.88</v>
      </c>
      <c r="F158" t="n">
        <v>112241313.53</v>
      </c>
      <c r="G158" t="n">
        <v>5184.4682</v>
      </c>
      <c r="H158" t="n">
        <v>747.7569999999999</v>
      </c>
      <c r="I158" t="n">
        <v>869.9752</v>
      </c>
      <c r="J158" t="n">
        <v>3531.9265</v>
      </c>
      <c r="K158" t="n">
        <v>2018</v>
      </c>
      <c r="L158" t="n">
        <v>2040</v>
      </c>
      <c r="M158" t="n">
        <v>0.2599</v>
      </c>
      <c r="N158" t="n">
        <v>0.1001</v>
      </c>
      <c r="O158" t="n">
        <v>2019</v>
      </c>
      <c r="P158" t="n">
        <v>2030</v>
      </c>
      <c r="Q158" t="n">
        <v>0.3852</v>
      </c>
      <c r="R158" t="n">
        <v>158.2904</v>
      </c>
      <c r="S158" t="n">
        <v>0.00100695</v>
      </c>
      <c r="T158" t="n">
        <v>0.00065008</v>
      </c>
      <c r="U158" t="n">
        <v>5184.4682</v>
      </c>
      <c r="V158" t="inlineStr">
        <is>
          <t>Provided Total Emissions</t>
        </is>
      </c>
      <c r="W158" t="b">
        <v>1</v>
      </c>
      <c r="X158" t="n">
        <v>11318.2347</v>
      </c>
      <c r="Y158" t="n">
        <v>72965.8331</v>
      </c>
      <c r="Z158" t="n">
        <v>6133.7665</v>
      </c>
      <c r="AA158" t="n">
        <v>67781.3649</v>
      </c>
      <c r="AB158" t="n">
        <v>1.183104</v>
      </c>
      <c r="AC158" t="n">
        <v>13.073928</v>
      </c>
      <c r="AD158" t="inlineStr">
        <is>
          <t>High</t>
        </is>
      </c>
      <c r="AE158" t="inlineStr">
        <is>
          <t>None</t>
        </is>
      </c>
      <c r="AF158" t="n">
        <v>0.95</v>
      </c>
      <c r="AG158" t="inlineStr">
        <is>
          <t>Valid</t>
        </is>
      </c>
    </row>
    <row r="159">
      <c r="A159" t="inlineStr">
        <is>
          <t>SUP-0016</t>
        </is>
      </c>
      <c r="B159" t="inlineStr">
        <is>
          <t>Metals Supplier 016</t>
        </is>
      </c>
      <c r="C159" t="inlineStr">
        <is>
          <t>Metals</t>
        </is>
      </c>
      <c r="D159" t="n">
        <v>2022</v>
      </c>
      <c r="E159" t="n">
        <v>10552847.67</v>
      </c>
      <c r="F159" t="n">
        <v>83741002.12</v>
      </c>
      <c r="G159" t="n">
        <v>4669.038</v>
      </c>
      <c r="H159" t="n">
        <v>986.9663</v>
      </c>
      <c r="I159" t="n">
        <v>515.8257</v>
      </c>
      <c r="J159" t="n">
        <v>3156.8553</v>
      </c>
      <c r="K159" t="n">
        <v>2018</v>
      </c>
      <c r="L159" t="n">
        <v>2040</v>
      </c>
      <c r="M159" t="n">
        <v>0.2599</v>
      </c>
      <c r="N159" t="n">
        <v>0.1001</v>
      </c>
      <c r="O159" t="n">
        <v>2019</v>
      </c>
      <c r="P159" t="n">
        <v>2030</v>
      </c>
      <c r="Q159" t="n">
        <v>0.3852</v>
      </c>
      <c r="R159" t="n">
        <v>158.2904</v>
      </c>
      <c r="S159" t="n">
        <v>0.00100695</v>
      </c>
      <c r="T159" t="n">
        <v>0.00065008</v>
      </c>
      <c r="U159" t="n">
        <v>4669.038</v>
      </c>
      <c r="V159" t="inlineStr">
        <is>
          <t>Provided Total Emissions</t>
        </is>
      </c>
      <c r="W159" t="b">
        <v>1</v>
      </c>
      <c r="X159" t="n">
        <v>10626.19</v>
      </c>
      <c r="Y159" t="n">
        <v>54438.3507</v>
      </c>
      <c r="Z159" t="n">
        <v>5957.152</v>
      </c>
      <c r="AA159" t="n">
        <v>49769.3127</v>
      </c>
      <c r="AB159" t="n">
        <v>1.275884</v>
      </c>
      <c r="AC159" t="n">
        <v>10.659436</v>
      </c>
      <c r="AD159" t="inlineStr">
        <is>
          <t>High</t>
        </is>
      </c>
      <c r="AE159" t="inlineStr">
        <is>
          <t>None</t>
        </is>
      </c>
      <c r="AF159" t="n">
        <v>0.95</v>
      </c>
      <c r="AG159" t="inlineStr">
        <is>
          <t>Valid</t>
        </is>
      </c>
    </row>
    <row r="160">
      <c r="A160" t="inlineStr">
        <is>
          <t>SUP-0016</t>
        </is>
      </c>
      <c r="B160" t="inlineStr">
        <is>
          <t>Metals Supplier 016</t>
        </is>
      </c>
      <c r="C160" t="inlineStr">
        <is>
          <t>Metals</t>
        </is>
      </c>
      <c r="D160" t="n">
        <v>2023</v>
      </c>
      <c r="E160" t="n">
        <v>11632492.06</v>
      </c>
      <c r="F160" t="n">
        <v>73623651.97</v>
      </c>
      <c r="G160" t="n">
        <v>5574.4952</v>
      </c>
      <c r="H160" t="n">
        <v>992.1398</v>
      </c>
      <c r="I160" t="n">
        <v>733.5021</v>
      </c>
      <c r="J160" t="n">
        <v>3835.073</v>
      </c>
      <c r="K160" t="n">
        <v>2018</v>
      </c>
      <c r="L160" t="n">
        <v>2040</v>
      </c>
      <c r="M160" t="n">
        <v>0.2599</v>
      </c>
      <c r="N160" t="n">
        <v>0.1001</v>
      </c>
      <c r="O160" t="n">
        <v>2019</v>
      </c>
      <c r="P160" t="n">
        <v>2030</v>
      </c>
      <c r="Q160" t="n">
        <v>0.3852</v>
      </c>
      <c r="R160" t="n">
        <v>158.2904</v>
      </c>
      <c r="S160" t="n">
        <v>0.00100695</v>
      </c>
      <c r="T160" t="n">
        <v>0.00065008</v>
      </c>
      <c r="U160" t="n">
        <v>5574.4952</v>
      </c>
      <c r="V160" t="inlineStr">
        <is>
          <t>Provided Total Emissions</t>
        </is>
      </c>
      <c r="W160" t="b">
        <v>1</v>
      </c>
      <c r="X160" t="n">
        <v>11713.3379</v>
      </c>
      <c r="Y160" t="n">
        <v>47861.2637</v>
      </c>
      <c r="Z160" t="n">
        <v>6138.8427</v>
      </c>
      <c r="AA160" t="n">
        <v>42286.7685</v>
      </c>
      <c r="AB160" t="n">
        <v>1.101237</v>
      </c>
      <c r="AC160" t="n">
        <v>7.585757</v>
      </c>
      <c r="AD160" t="inlineStr">
        <is>
          <t>High</t>
        </is>
      </c>
      <c r="AE160" t="inlineStr">
        <is>
          <t>None</t>
        </is>
      </c>
      <c r="AF160" t="n">
        <v>0.95</v>
      </c>
      <c r="AG160" t="inlineStr">
        <is>
          <t>Valid</t>
        </is>
      </c>
    </row>
    <row r="161">
      <c r="A161" t="inlineStr">
        <is>
          <t>SUP-0016</t>
        </is>
      </c>
      <c r="B161" t="inlineStr">
        <is>
          <t>Metals Supplier 016</t>
        </is>
      </c>
      <c r="C161" t="inlineStr">
        <is>
          <t>Metals</t>
        </is>
      </c>
      <c r="D161" t="n">
        <v>2024</v>
      </c>
      <c r="E161" t="n">
        <v>10927929.9</v>
      </c>
      <c r="F161" t="n">
        <v>74404649.87</v>
      </c>
      <c r="G161" t="n">
        <v>4467.5461</v>
      </c>
      <c r="H161" t="n">
        <v>717.3159000000001</v>
      </c>
      <c r="I161" t="n">
        <v>410.1449</v>
      </c>
      <c r="J161" t="n">
        <v>3460.3599</v>
      </c>
      <c r="K161" t="n">
        <v>2018</v>
      </c>
      <c r="L161" t="n">
        <v>2040</v>
      </c>
      <c r="M161" t="n">
        <v>0.2599</v>
      </c>
      <c r="N161" t="n">
        <v>0.1001</v>
      </c>
      <c r="O161" t="n">
        <v>2019</v>
      </c>
      <c r="P161" t="n">
        <v>2030</v>
      </c>
      <c r="Q161" t="n">
        <v>0.3852</v>
      </c>
      <c r="R161" t="n">
        <v>158.2904</v>
      </c>
      <c r="S161" t="n">
        <v>0.00100695</v>
      </c>
      <c r="T161" t="n">
        <v>0.00065008</v>
      </c>
      <c r="U161" t="n">
        <v>4467.5461</v>
      </c>
      <c r="V161" t="inlineStr">
        <is>
          <t>Provided Total Emissions</t>
        </is>
      </c>
      <c r="W161" t="b">
        <v>1</v>
      </c>
      <c r="X161" t="n">
        <v>11003.879</v>
      </c>
      <c r="Y161" t="n">
        <v>48368.9748</v>
      </c>
      <c r="Z161" t="n">
        <v>6536.3329</v>
      </c>
      <c r="AA161" t="n">
        <v>43901.4287</v>
      </c>
      <c r="AB161" t="n">
        <v>1.46307</v>
      </c>
      <c r="AC161" t="n">
        <v>9.826743</v>
      </c>
      <c r="AD161" t="inlineStr">
        <is>
          <t>High</t>
        </is>
      </c>
      <c r="AE161" t="inlineStr">
        <is>
          <t>None</t>
        </is>
      </c>
      <c r="AF161" t="n">
        <v>0.95</v>
      </c>
      <c r="AG161" t="inlineStr">
        <is>
          <t>Valid</t>
        </is>
      </c>
    </row>
    <row r="162">
      <c r="A162" t="inlineStr">
        <is>
          <t>SUP-0017</t>
        </is>
      </c>
      <c r="B162" t="inlineStr">
        <is>
          <t>Electronics Supplier 017</t>
        </is>
      </c>
      <c r="C162" t="inlineStr">
        <is>
          <t>Electronics</t>
        </is>
      </c>
      <c r="D162" t="n">
        <v>2015</v>
      </c>
      <c r="E162" t="n">
        <v>12609467.42</v>
      </c>
      <c r="F162" t="n">
        <v>64512073.81</v>
      </c>
      <c r="G162" t="n">
        <v>6489.2628</v>
      </c>
      <c r="H162" t="n">
        <v>699.1606</v>
      </c>
      <c r="I162" t="n">
        <v>978.2215</v>
      </c>
      <c r="J162" t="n">
        <v>4529.7287</v>
      </c>
      <c r="K162" t="n">
        <v>2020</v>
      </c>
      <c r="L162" t="n">
        <v>2035</v>
      </c>
      <c r="M162" t="n">
        <v>0.5999</v>
      </c>
      <c r="N162" t="n">
        <v>0.2666</v>
      </c>
      <c r="O162" t="n">
        <v>2018</v>
      </c>
      <c r="P162" t="n">
        <v>2040</v>
      </c>
      <c r="Q162" t="n">
        <v>0.3424</v>
      </c>
      <c r="R162" t="n">
        <v>635.1588</v>
      </c>
      <c r="S162" t="n">
        <v>0.00086105</v>
      </c>
      <c r="T162" t="n">
        <v>0.00013947</v>
      </c>
      <c r="U162" t="n">
        <v>6489.2628</v>
      </c>
      <c r="V162" t="inlineStr">
        <is>
          <t>Provided Total Emissions</t>
        </is>
      </c>
      <c r="W162" t="b">
        <v>1</v>
      </c>
      <c r="X162" t="n">
        <v>10857.3819</v>
      </c>
      <c r="Y162" t="n">
        <v>8997.498900000001</v>
      </c>
      <c r="Z162" t="n">
        <v>4368.1191</v>
      </c>
      <c r="AA162" t="n">
        <v>2508.2361</v>
      </c>
      <c r="AB162" t="n">
        <v>0.67313</v>
      </c>
      <c r="AC162" t="n">
        <v>0.386521</v>
      </c>
      <c r="AD162" t="inlineStr">
        <is>
          <t>High</t>
        </is>
      </c>
      <c r="AE162" t="inlineStr">
        <is>
          <t>None</t>
        </is>
      </c>
      <c r="AF162" t="n">
        <v>0.95</v>
      </c>
      <c r="AG162" t="inlineStr">
        <is>
          <t>Valid</t>
        </is>
      </c>
    </row>
    <row r="163">
      <c r="A163" t="inlineStr">
        <is>
          <t>SUP-0017</t>
        </is>
      </c>
      <c r="B163" t="inlineStr">
        <is>
          <t>Electronics Supplier 017</t>
        </is>
      </c>
      <c r="C163" t="inlineStr">
        <is>
          <t>Electronics</t>
        </is>
      </c>
      <c r="D163" t="n">
        <v>2016</v>
      </c>
      <c r="E163" t="n">
        <v>12656490.54</v>
      </c>
      <c r="F163" t="n">
        <v>95229369.17</v>
      </c>
      <c r="G163" t="n">
        <v>8232.876700000001</v>
      </c>
      <c r="H163" t="n">
        <v>1151.6766</v>
      </c>
      <c r="I163" t="n">
        <v>1200.7176</v>
      </c>
      <c r="J163" t="n">
        <v>5648.1665</v>
      </c>
      <c r="K163" t="n">
        <v>2020</v>
      </c>
      <c r="L163" t="n">
        <v>2035</v>
      </c>
      <c r="M163" t="n">
        <v>0.5999</v>
      </c>
      <c r="N163" t="n">
        <v>0.2666</v>
      </c>
      <c r="O163" t="n">
        <v>2018</v>
      </c>
      <c r="P163" t="n">
        <v>2040</v>
      </c>
      <c r="Q163" t="n">
        <v>0.3424</v>
      </c>
      <c r="R163" t="n">
        <v>635.1588</v>
      </c>
      <c r="S163" t="n">
        <v>0.00086105</v>
      </c>
      <c r="T163" t="n">
        <v>0.00013947</v>
      </c>
      <c r="U163" t="n">
        <v>8232.876700000001</v>
      </c>
      <c r="V163" t="inlineStr">
        <is>
          <t>Provided Total Emissions</t>
        </is>
      </c>
      <c r="W163" t="b">
        <v>1</v>
      </c>
      <c r="X163" t="n">
        <v>10897.8712</v>
      </c>
      <c r="Y163" t="n">
        <v>13281.6401</v>
      </c>
      <c r="Z163" t="n">
        <v>2664.9945</v>
      </c>
      <c r="AA163" t="n">
        <v>5048.7634</v>
      </c>
      <c r="AB163" t="n">
        <v>0.323701</v>
      </c>
      <c r="AC163" t="n">
        <v>0.613244</v>
      </c>
      <c r="AD163" t="inlineStr">
        <is>
          <t>High</t>
        </is>
      </c>
      <c r="AE163" t="inlineStr">
        <is>
          <t>None</t>
        </is>
      </c>
      <c r="AF163" t="n">
        <v>0.95</v>
      </c>
      <c r="AG163" t="inlineStr">
        <is>
          <t>Valid</t>
        </is>
      </c>
    </row>
    <row r="164">
      <c r="A164" t="inlineStr">
        <is>
          <t>SUP-0017</t>
        </is>
      </c>
      <c r="B164" t="inlineStr">
        <is>
          <t>Electronics Supplier 017</t>
        </is>
      </c>
      <c r="C164" t="inlineStr">
        <is>
          <t>Electronics</t>
        </is>
      </c>
      <c r="D164" t="n">
        <v>2017</v>
      </c>
      <c r="E164" t="n">
        <v>13053287.39</v>
      </c>
      <c r="F164" t="n">
        <v>96689008.13</v>
      </c>
      <c r="G164" t="n">
        <v>8561.072</v>
      </c>
      <c r="H164" t="n">
        <v>2356.4715</v>
      </c>
      <c r="I164" t="n">
        <v>703.9186</v>
      </c>
      <c r="J164" t="n">
        <v>6357.5203</v>
      </c>
      <c r="K164" t="n">
        <v>2020</v>
      </c>
      <c r="L164" t="n">
        <v>2035</v>
      </c>
      <c r="M164" t="n">
        <v>0.5999</v>
      </c>
      <c r="N164" t="n">
        <v>0.2666</v>
      </c>
      <c r="O164" t="n">
        <v>2018</v>
      </c>
      <c r="P164" t="n">
        <v>2040</v>
      </c>
      <c r="Q164" t="n">
        <v>0.3424</v>
      </c>
      <c r="R164" t="n">
        <v>635.1588</v>
      </c>
      <c r="S164" t="n">
        <v>0.00086105</v>
      </c>
      <c r="T164" t="n">
        <v>0.00013947</v>
      </c>
      <c r="U164" t="n">
        <v>8561.072</v>
      </c>
      <c r="V164" t="inlineStr">
        <is>
          <t>Provided Total Emissions</t>
        </is>
      </c>
      <c r="W164" t="b">
        <v>1</v>
      </c>
      <c r="X164" t="n">
        <v>11239.5331</v>
      </c>
      <c r="Y164" t="n">
        <v>13485.216</v>
      </c>
      <c r="Z164" t="n">
        <v>2678.4611</v>
      </c>
      <c r="AA164" t="n">
        <v>4924.144</v>
      </c>
      <c r="AB164" t="n">
        <v>0.312865</v>
      </c>
      <c r="AC164" t="n">
        <v>0.575178</v>
      </c>
      <c r="AD164" t="inlineStr">
        <is>
          <t>High</t>
        </is>
      </c>
      <c r="AE164" t="inlineStr">
        <is>
          <t>None</t>
        </is>
      </c>
      <c r="AF164" t="n">
        <v>0.95</v>
      </c>
      <c r="AG164" t="inlineStr">
        <is>
          <t>Valid</t>
        </is>
      </c>
    </row>
    <row r="165">
      <c r="A165" t="inlineStr">
        <is>
          <t>SUP-0017</t>
        </is>
      </c>
      <c r="B165" t="inlineStr">
        <is>
          <t>Electronics Supplier 017</t>
        </is>
      </c>
      <c r="C165" t="inlineStr">
        <is>
          <t>Electronics</t>
        </is>
      </c>
      <c r="D165" t="n">
        <v>2018</v>
      </c>
      <c r="E165" t="n">
        <v>12023318.7</v>
      </c>
      <c r="F165" t="n">
        <v>82006756.42</v>
      </c>
      <c r="G165" t="n">
        <v>8661.5954</v>
      </c>
      <c r="H165" t="n">
        <v>1490.8426</v>
      </c>
      <c r="I165" t="n">
        <v>1836.7381</v>
      </c>
      <c r="J165" t="n">
        <v>4981.8211</v>
      </c>
      <c r="K165" t="n">
        <v>2020</v>
      </c>
      <c r="L165" t="n">
        <v>2035</v>
      </c>
      <c r="M165" t="n">
        <v>0.5999</v>
      </c>
      <c r="N165" t="n">
        <v>0.2666</v>
      </c>
      <c r="O165" t="n">
        <v>2018</v>
      </c>
      <c r="P165" t="n">
        <v>2040</v>
      </c>
      <c r="Q165" t="n">
        <v>0.3424</v>
      </c>
      <c r="R165" t="n">
        <v>635.1588</v>
      </c>
      <c r="S165" t="n">
        <v>0.00086105</v>
      </c>
      <c r="T165" t="n">
        <v>0.00013947</v>
      </c>
      <c r="U165" t="n">
        <v>8661.5954</v>
      </c>
      <c r="V165" t="inlineStr">
        <is>
          <t>Provided Total Emissions</t>
        </is>
      </c>
      <c r="W165" t="b">
        <v>1</v>
      </c>
      <c r="X165" t="n">
        <v>10352.6786</v>
      </c>
      <c r="Y165" t="n">
        <v>11437.4823</v>
      </c>
      <c r="Z165" t="n">
        <v>1691.0832</v>
      </c>
      <c r="AA165" t="n">
        <v>2775.8869</v>
      </c>
      <c r="AB165" t="n">
        <v>0.195239</v>
      </c>
      <c r="AC165" t="n">
        <v>0.320482</v>
      </c>
      <c r="AD165" t="inlineStr">
        <is>
          <t>High</t>
        </is>
      </c>
      <c r="AE165" t="inlineStr">
        <is>
          <t>None</t>
        </is>
      </c>
      <c r="AF165" t="n">
        <v>0.95</v>
      </c>
      <c r="AG165" t="inlineStr">
        <is>
          <t>Valid</t>
        </is>
      </c>
    </row>
    <row r="166">
      <c r="A166" t="inlineStr">
        <is>
          <t>SUP-0017</t>
        </is>
      </c>
      <c r="B166" t="inlineStr">
        <is>
          <t>Electronics Supplier 017</t>
        </is>
      </c>
      <c r="C166" t="inlineStr">
        <is>
          <t>Electronics</t>
        </is>
      </c>
      <c r="D166" t="n">
        <v>2019</v>
      </c>
      <c r="E166" t="n">
        <v>11875083.08</v>
      </c>
      <c r="F166" t="n">
        <v>90406953.58</v>
      </c>
      <c r="G166" t="n">
        <v>6536.4749</v>
      </c>
      <c r="H166" t="n">
        <v>1015.1375</v>
      </c>
      <c r="I166" t="n">
        <v>751.0753</v>
      </c>
      <c r="J166" t="n">
        <v>4655.4475</v>
      </c>
      <c r="K166" t="n">
        <v>2020</v>
      </c>
      <c r="L166" t="n">
        <v>2035</v>
      </c>
      <c r="M166" t="n">
        <v>0.5999</v>
      </c>
      <c r="N166" t="n">
        <v>0.2666</v>
      </c>
      <c r="O166" t="n">
        <v>2018</v>
      </c>
      <c r="P166" t="n">
        <v>2040</v>
      </c>
      <c r="Q166" t="n">
        <v>0.3424</v>
      </c>
      <c r="R166" t="n">
        <v>635.1588</v>
      </c>
      <c r="S166" t="n">
        <v>0.00086105</v>
      </c>
      <c r="T166" t="n">
        <v>0.00013947</v>
      </c>
      <c r="U166" t="n">
        <v>6536.4749</v>
      </c>
      <c r="V166" t="inlineStr">
        <is>
          <t>Provided Total Emissions</t>
        </is>
      </c>
      <c r="W166" t="b">
        <v>1</v>
      </c>
      <c r="X166" t="n">
        <v>10225.0403</v>
      </c>
      <c r="Y166" t="n">
        <v>12609.0578</v>
      </c>
      <c r="Z166" t="n">
        <v>3688.5654</v>
      </c>
      <c r="AA166" t="n">
        <v>6072.5829</v>
      </c>
      <c r="AB166" t="n">
        <v>0.5643049999999999</v>
      </c>
      <c r="AC166" t="n">
        <v>0.92903</v>
      </c>
      <c r="AD166" t="inlineStr">
        <is>
          <t>High</t>
        </is>
      </c>
      <c r="AE166" t="inlineStr">
        <is>
          <t>None</t>
        </is>
      </c>
      <c r="AF166" t="n">
        <v>0.95</v>
      </c>
      <c r="AG166" t="inlineStr">
        <is>
          <t>Valid</t>
        </is>
      </c>
    </row>
    <row r="167">
      <c r="A167" t="inlineStr">
        <is>
          <t>SUP-0017</t>
        </is>
      </c>
      <c r="B167" t="inlineStr">
        <is>
          <t>Electronics Supplier 017</t>
        </is>
      </c>
      <c r="C167" t="inlineStr">
        <is>
          <t>Electronics</t>
        </is>
      </c>
      <c r="D167" t="n">
        <v>2020</v>
      </c>
      <c r="E167" t="n">
        <v>9040936.710000001</v>
      </c>
      <c r="F167" t="n">
        <v>89890472.48999999</v>
      </c>
      <c r="G167" t="n">
        <v>3595.3805</v>
      </c>
      <c r="H167" t="n">
        <v>734.5496000000001</v>
      </c>
      <c r="I167" t="n">
        <v>281.8244</v>
      </c>
      <c r="J167" t="n">
        <v>2436.4215</v>
      </c>
      <c r="K167" t="n">
        <v>2020</v>
      </c>
      <c r="L167" t="n">
        <v>2035</v>
      </c>
      <c r="M167" t="n">
        <v>0.5999</v>
      </c>
      <c r="N167" t="n">
        <v>0.2666</v>
      </c>
      <c r="O167" t="n">
        <v>2018</v>
      </c>
      <c r="P167" t="n">
        <v>2040</v>
      </c>
      <c r="Q167" t="n">
        <v>0.3424</v>
      </c>
      <c r="R167" t="n">
        <v>635.1588</v>
      </c>
      <c r="S167" t="n">
        <v>0.00086105</v>
      </c>
      <c r="T167" t="n">
        <v>0.00013947</v>
      </c>
      <c r="U167" t="n">
        <v>3595.3805</v>
      </c>
      <c r="V167" t="inlineStr">
        <is>
          <t>Provided Total Emissions</t>
        </is>
      </c>
      <c r="W167" t="b">
        <v>1</v>
      </c>
      <c r="X167" t="n">
        <v>7784.6986</v>
      </c>
      <c r="Y167" t="n">
        <v>12537.0242</v>
      </c>
      <c r="Z167" t="n">
        <v>4189.3181</v>
      </c>
      <c r="AA167" t="n">
        <v>8941.643700000001</v>
      </c>
      <c r="AB167" t="n">
        <v>1.165195</v>
      </c>
      <c r="AC167" t="n">
        <v>2.486981</v>
      </c>
      <c r="AD167" t="inlineStr">
        <is>
          <t>High</t>
        </is>
      </c>
      <c r="AE167" t="inlineStr">
        <is>
          <t>None</t>
        </is>
      </c>
      <c r="AF167" t="n">
        <v>0.95</v>
      </c>
      <c r="AG167" t="inlineStr">
        <is>
          <t>Valid</t>
        </is>
      </c>
    </row>
    <row r="168">
      <c r="A168" t="inlineStr">
        <is>
          <t>SUP-0017</t>
        </is>
      </c>
      <c r="B168" t="inlineStr">
        <is>
          <t>Electronics Supplier 017</t>
        </is>
      </c>
      <c r="C168" t="inlineStr">
        <is>
          <t>Electronics</t>
        </is>
      </c>
      <c r="D168" t="n">
        <v>2021</v>
      </c>
      <c r="E168" t="n">
        <v>10495934.14</v>
      </c>
      <c r="F168" t="n">
        <v>84332655.56999999</v>
      </c>
      <c r="G168" t="n">
        <v>6772.3223</v>
      </c>
      <c r="H168" t="n">
        <v>673.1578</v>
      </c>
      <c r="I168" t="n">
        <v>1384.7532</v>
      </c>
      <c r="J168" t="n">
        <v>5365.5774</v>
      </c>
      <c r="K168" t="n">
        <v>2020</v>
      </c>
      <c r="L168" t="n">
        <v>2035</v>
      </c>
      <c r="M168" t="n">
        <v>0.5999</v>
      </c>
      <c r="N168" t="n">
        <v>0.2666</v>
      </c>
      <c r="O168" t="n">
        <v>2018</v>
      </c>
      <c r="P168" t="n">
        <v>2040</v>
      </c>
      <c r="Q168" t="n">
        <v>0.3424</v>
      </c>
      <c r="R168" t="n">
        <v>635.1588</v>
      </c>
      <c r="S168" t="n">
        <v>0.00086105</v>
      </c>
      <c r="T168" t="n">
        <v>0.00013947</v>
      </c>
      <c r="U168" t="n">
        <v>6772.3223</v>
      </c>
      <c r="V168" t="inlineStr">
        <is>
          <t>Provided Total Emissions</t>
        </is>
      </c>
      <c r="W168" t="b">
        <v>1</v>
      </c>
      <c r="X168" t="n">
        <v>9037.524100000001</v>
      </c>
      <c r="Y168" t="n">
        <v>11761.8755</v>
      </c>
      <c r="Z168" t="n">
        <v>2265.2018</v>
      </c>
      <c r="AA168" t="n">
        <v>4989.5532</v>
      </c>
      <c r="AB168" t="n">
        <v>0.334479</v>
      </c>
      <c r="AC168" t="n">
        <v>0.736757</v>
      </c>
      <c r="AD168" t="inlineStr">
        <is>
          <t>High</t>
        </is>
      </c>
      <c r="AE168" t="inlineStr">
        <is>
          <t>None</t>
        </is>
      </c>
      <c r="AF168" t="n">
        <v>0.95</v>
      </c>
      <c r="AG168" t="inlineStr">
        <is>
          <t>Valid</t>
        </is>
      </c>
    </row>
    <row r="169">
      <c r="A169" t="inlineStr">
        <is>
          <t>SUP-0017</t>
        </is>
      </c>
      <c r="B169" t="inlineStr">
        <is>
          <t>Electronics Supplier 017</t>
        </is>
      </c>
      <c r="C169" t="inlineStr">
        <is>
          <t>Electronics</t>
        </is>
      </c>
      <c r="D169" t="n">
        <v>2022</v>
      </c>
      <c r="E169" t="n">
        <v>11379519.98</v>
      </c>
      <c r="F169" t="n">
        <v>72726012.54000001</v>
      </c>
      <c r="G169" t="n">
        <v>5774.5367</v>
      </c>
      <c r="H169" t="n">
        <v>697.1536</v>
      </c>
      <c r="I169" t="n">
        <v>470.6821</v>
      </c>
      <c r="J169" t="n">
        <v>4726.1921</v>
      </c>
      <c r="K169" t="n">
        <v>2020</v>
      </c>
      <c r="L169" t="n">
        <v>2035</v>
      </c>
      <c r="M169" t="n">
        <v>0.5999</v>
      </c>
      <c r="N169" t="n">
        <v>0.2666</v>
      </c>
      <c r="O169" t="n">
        <v>2018</v>
      </c>
      <c r="P169" t="n">
        <v>2040</v>
      </c>
      <c r="Q169" t="n">
        <v>0.3424</v>
      </c>
      <c r="R169" t="n">
        <v>635.1588</v>
      </c>
      <c r="S169" t="n">
        <v>0.00086105</v>
      </c>
      <c r="T169" t="n">
        <v>0.00013947</v>
      </c>
      <c r="U169" t="n">
        <v>5774.5367</v>
      </c>
      <c r="V169" t="inlineStr">
        <is>
          <t>Provided Total Emissions</t>
        </is>
      </c>
      <c r="W169" t="b">
        <v>1</v>
      </c>
      <c r="X169" t="n">
        <v>9798.3357</v>
      </c>
      <c r="Y169" t="n">
        <v>10143.097</v>
      </c>
      <c r="Z169" t="n">
        <v>4023.799</v>
      </c>
      <c r="AA169" t="n">
        <v>4368.5603</v>
      </c>
      <c r="AB169" t="n">
        <v>0.696818</v>
      </c>
      <c r="AC169" t="n">
        <v>0.756521</v>
      </c>
      <c r="AD169" t="inlineStr">
        <is>
          <t>High</t>
        </is>
      </c>
      <c r="AE169" t="inlineStr">
        <is>
          <t>None</t>
        </is>
      </c>
      <c r="AF169" t="n">
        <v>0.95</v>
      </c>
      <c r="AG169" t="inlineStr">
        <is>
          <t>Valid</t>
        </is>
      </c>
    </row>
    <row r="170">
      <c r="A170" t="inlineStr">
        <is>
          <t>SUP-0017</t>
        </is>
      </c>
      <c r="B170" t="inlineStr">
        <is>
          <t>Electronics Supplier 017</t>
        </is>
      </c>
      <c r="C170" t="inlineStr">
        <is>
          <t>Electronics</t>
        </is>
      </c>
      <c r="D170" t="n">
        <v>2023</v>
      </c>
      <c r="E170" t="n">
        <v>9460022.630000001</v>
      </c>
      <c r="F170" t="n">
        <v>65233778.42</v>
      </c>
      <c r="G170" t="n">
        <v>4849.6801</v>
      </c>
      <c r="H170" t="n">
        <v>718.4561</v>
      </c>
      <c r="I170" t="n">
        <v>580.8194</v>
      </c>
      <c r="J170" t="n">
        <v>3568.0581</v>
      </c>
      <c r="K170" t="n">
        <v>2020</v>
      </c>
      <c r="L170" t="n">
        <v>2035</v>
      </c>
      <c r="M170" t="n">
        <v>0.5999</v>
      </c>
      <c r="N170" t="n">
        <v>0.2666</v>
      </c>
      <c r="O170" t="n">
        <v>2018</v>
      </c>
      <c r="P170" t="n">
        <v>2040</v>
      </c>
      <c r="Q170" t="n">
        <v>0.3424</v>
      </c>
      <c r="R170" t="n">
        <v>635.1588</v>
      </c>
      <c r="S170" t="n">
        <v>0.00086105</v>
      </c>
      <c r="T170" t="n">
        <v>0.00013947</v>
      </c>
      <c r="U170" t="n">
        <v>4849.6801</v>
      </c>
      <c r="V170" t="inlineStr">
        <is>
          <t>Provided Total Emissions</t>
        </is>
      </c>
      <c r="W170" t="b">
        <v>1</v>
      </c>
      <c r="X170" t="n">
        <v>8145.5525</v>
      </c>
      <c r="Y170" t="n">
        <v>9098.1551</v>
      </c>
      <c r="Z170" t="n">
        <v>3295.8724</v>
      </c>
      <c r="AA170" t="n">
        <v>4248.475</v>
      </c>
      <c r="AB170" t="n">
        <v>0.679606</v>
      </c>
      <c r="AC170" t="n">
        <v>0.876032</v>
      </c>
      <c r="AD170" t="inlineStr">
        <is>
          <t>High</t>
        </is>
      </c>
      <c r="AE170" t="inlineStr">
        <is>
          <t>None</t>
        </is>
      </c>
      <c r="AF170" t="n">
        <v>0.95</v>
      </c>
      <c r="AG170" t="inlineStr">
        <is>
          <t>Valid</t>
        </is>
      </c>
    </row>
    <row r="171">
      <c r="A171" t="inlineStr">
        <is>
          <t>SUP-0017</t>
        </is>
      </c>
      <c r="B171" t="inlineStr">
        <is>
          <t>Electronics Supplier 017</t>
        </is>
      </c>
      <c r="C171" t="inlineStr">
        <is>
          <t>Electronics</t>
        </is>
      </c>
      <c r="D171" t="n">
        <v>2024</v>
      </c>
      <c r="E171" t="n">
        <v>12291762.5</v>
      </c>
      <c r="F171" t="n">
        <v>99042383.87</v>
      </c>
      <c r="G171" t="n">
        <v>6974.0868</v>
      </c>
      <c r="H171" t="n">
        <v>1330.6149</v>
      </c>
      <c r="I171" t="n">
        <v>479.5272</v>
      </c>
      <c r="J171" t="n">
        <v>5173.2292</v>
      </c>
      <c r="K171" t="n">
        <v>2020</v>
      </c>
      <c r="L171" t="n">
        <v>2035</v>
      </c>
      <c r="M171" t="n">
        <v>0.5999</v>
      </c>
      <c r="N171" t="n">
        <v>0.2666</v>
      </c>
      <c r="O171" t="n">
        <v>2018</v>
      </c>
      <c r="P171" t="n">
        <v>2040</v>
      </c>
      <c r="Q171" t="n">
        <v>0.3424</v>
      </c>
      <c r="R171" t="n">
        <v>635.1588</v>
      </c>
      <c r="S171" t="n">
        <v>0.00086105</v>
      </c>
      <c r="T171" t="n">
        <v>0.00013947</v>
      </c>
      <c r="U171" t="n">
        <v>6974.0868</v>
      </c>
      <c r="V171" t="inlineStr">
        <is>
          <t>Provided Total Emissions</t>
        </is>
      </c>
      <c r="W171" t="b">
        <v>1</v>
      </c>
      <c r="X171" t="n">
        <v>10583.8221</v>
      </c>
      <c r="Y171" t="n">
        <v>13813.4413</v>
      </c>
      <c r="Z171" t="n">
        <v>3609.7353</v>
      </c>
      <c r="AA171" t="n">
        <v>6839.3545</v>
      </c>
      <c r="AB171" t="n">
        <v>0.517593</v>
      </c>
      <c r="AC171" t="n">
        <v>0.980681</v>
      </c>
      <c r="AD171" t="inlineStr">
        <is>
          <t>High</t>
        </is>
      </c>
      <c r="AE171" t="inlineStr">
        <is>
          <t>None</t>
        </is>
      </c>
      <c r="AF171" t="n">
        <v>0.95</v>
      </c>
      <c r="AG171" t="inlineStr">
        <is>
          <t>Valid</t>
        </is>
      </c>
    </row>
    <row r="172">
      <c r="A172" t="inlineStr">
        <is>
          <t>SUP-0018</t>
        </is>
      </c>
      <c r="B172" t="inlineStr">
        <is>
          <t>Professional Supplier 018</t>
        </is>
      </c>
      <c r="C172" t="inlineStr">
        <is>
          <t>Professional Services</t>
        </is>
      </c>
      <c r="D172" t="n">
        <v>2015</v>
      </c>
      <c r="E172" t="n">
        <v>2541074.4</v>
      </c>
      <c r="F172" t="n">
        <v>18222629.86</v>
      </c>
      <c r="G172" t="n">
        <v>453.6538</v>
      </c>
      <c r="H172" t="n">
        <v>88.9344</v>
      </c>
      <c r="I172" t="n">
        <v>48.3982</v>
      </c>
      <c r="J172" t="n">
        <v>290.6463</v>
      </c>
      <c r="K172" t="inlineStr"/>
      <c r="L172" t="inlineStr"/>
      <c r="M172" t="inlineStr"/>
      <c r="N172" t="inlineStr"/>
      <c r="O172" t="n">
        <v>2020</v>
      </c>
      <c r="P172" t="inlineStr"/>
      <c r="Q172" t="inlineStr"/>
      <c r="R172" t="n">
        <v>400.0326</v>
      </c>
      <c r="S172" t="n">
        <v>0.00012906</v>
      </c>
      <c r="T172" t="n">
        <v>0.00019658</v>
      </c>
      <c r="U172" t="n">
        <v>453.6538</v>
      </c>
      <c r="V172" t="inlineStr">
        <is>
          <t>Provided Total Emissions</t>
        </is>
      </c>
      <c r="W172" t="b">
        <v>1</v>
      </c>
      <c r="X172" t="n">
        <v>327.9511</v>
      </c>
      <c r="Y172" t="n">
        <v>3582.2046</v>
      </c>
      <c r="Z172" t="n">
        <v>-125.7027</v>
      </c>
      <c r="AA172" t="n">
        <v>3128.5508</v>
      </c>
      <c r="AB172" t="n">
        <v>-0.27709</v>
      </c>
      <c r="AC172" t="n">
        <v>6.89634</v>
      </c>
      <c r="AD172" t="inlineStr">
        <is>
          <t>High</t>
        </is>
      </c>
      <c r="AE172" t="inlineStr">
        <is>
          <t>None</t>
        </is>
      </c>
      <c r="AF172" t="n">
        <v>0.95</v>
      </c>
      <c r="AG172" t="inlineStr">
        <is>
          <t>Valid</t>
        </is>
      </c>
    </row>
    <row r="173">
      <c r="A173" t="inlineStr">
        <is>
          <t>SUP-0018</t>
        </is>
      </c>
      <c r="B173" t="inlineStr">
        <is>
          <t>Professional Supplier 018</t>
        </is>
      </c>
      <c r="C173" t="inlineStr">
        <is>
          <t>Professional Services</t>
        </is>
      </c>
      <c r="D173" t="n">
        <v>2016</v>
      </c>
      <c r="E173" t="n">
        <v>2494119</v>
      </c>
      <c r="F173" t="n">
        <v>15113664.17</v>
      </c>
      <c r="G173" t="n">
        <v>411.5977</v>
      </c>
      <c r="H173" t="n">
        <v>48.626</v>
      </c>
      <c r="I173" t="n">
        <v>58.5548</v>
      </c>
      <c r="J173" t="n">
        <v>299.9857</v>
      </c>
      <c r="K173" t="inlineStr"/>
      <c r="L173" t="inlineStr"/>
      <c r="M173" t="inlineStr"/>
      <c r="N173" t="inlineStr"/>
      <c r="O173" t="n">
        <v>2020</v>
      </c>
      <c r="P173" t="inlineStr"/>
      <c r="Q173" t="inlineStr"/>
      <c r="R173" t="n">
        <v>400.0326</v>
      </c>
      <c r="S173" t="n">
        <v>0.00012906</v>
      </c>
      <c r="T173" t="n">
        <v>0.00019658</v>
      </c>
      <c r="U173" t="n">
        <v>411.5977</v>
      </c>
      <c r="V173" t="inlineStr">
        <is>
          <t>Provided Total Emissions</t>
        </is>
      </c>
      <c r="W173" t="b">
        <v>1</v>
      </c>
      <c r="X173" t="n">
        <v>321.891</v>
      </c>
      <c r="Y173" t="n">
        <v>2971.0441</v>
      </c>
      <c r="Z173" t="n">
        <v>-89.7067</v>
      </c>
      <c r="AA173" t="n">
        <v>2559.4464</v>
      </c>
      <c r="AB173" t="n">
        <v>-0.217948</v>
      </c>
      <c r="AC173" t="n">
        <v>6.21832</v>
      </c>
      <c r="AD173" t="inlineStr">
        <is>
          <t>High</t>
        </is>
      </c>
      <c r="AE173" t="inlineStr">
        <is>
          <t>None</t>
        </is>
      </c>
      <c r="AF173" t="n">
        <v>0.95</v>
      </c>
      <c r="AG173" t="inlineStr">
        <is>
          <t>Valid</t>
        </is>
      </c>
    </row>
    <row r="174">
      <c r="A174" t="inlineStr">
        <is>
          <t>SUP-0018</t>
        </is>
      </c>
      <c r="B174" t="inlineStr">
        <is>
          <t>Professional Supplier 018</t>
        </is>
      </c>
      <c r="C174" t="inlineStr">
        <is>
          <t>Professional Services</t>
        </is>
      </c>
      <c r="D174" t="n">
        <v>2017</v>
      </c>
      <c r="E174" t="n">
        <v>2563969.59</v>
      </c>
      <c r="F174" t="n">
        <v>16898778.43</v>
      </c>
      <c r="G174" t="n">
        <v>417.8117</v>
      </c>
      <c r="H174" t="n">
        <v>85.9928</v>
      </c>
      <c r="I174" t="n">
        <v>75.1117</v>
      </c>
      <c r="J174" t="n">
        <v>258.7569</v>
      </c>
      <c r="K174" t="inlineStr"/>
      <c r="L174" t="inlineStr"/>
      <c r="M174" t="inlineStr"/>
      <c r="N174" t="inlineStr"/>
      <c r="O174" t="n">
        <v>2020</v>
      </c>
      <c r="P174" t="inlineStr"/>
      <c r="Q174" t="inlineStr"/>
      <c r="R174" t="n">
        <v>400.0326</v>
      </c>
      <c r="S174" t="n">
        <v>0.00012906</v>
      </c>
      <c r="T174" t="n">
        <v>0.00019658</v>
      </c>
      <c r="U174" t="n">
        <v>417.8117</v>
      </c>
      <c r="V174" t="inlineStr">
        <is>
          <t>Provided Total Emissions</t>
        </is>
      </c>
      <c r="W174" t="b">
        <v>1</v>
      </c>
      <c r="X174" t="n">
        <v>330.9059</v>
      </c>
      <c r="Y174" t="n">
        <v>3321.9619</v>
      </c>
      <c r="Z174" t="n">
        <v>-86.9058</v>
      </c>
      <c r="AA174" t="n">
        <v>2904.1502</v>
      </c>
      <c r="AB174" t="n">
        <v>-0.208002</v>
      </c>
      <c r="AC174" t="n">
        <v>6.950859</v>
      </c>
      <c r="AD174" t="inlineStr">
        <is>
          <t>High</t>
        </is>
      </c>
      <c r="AE174" t="inlineStr">
        <is>
          <t>None</t>
        </is>
      </c>
      <c r="AF174" t="n">
        <v>0.95</v>
      </c>
      <c r="AG174" t="inlineStr">
        <is>
          <t>Valid</t>
        </is>
      </c>
    </row>
    <row r="175">
      <c r="A175" t="inlineStr">
        <is>
          <t>SUP-0018</t>
        </is>
      </c>
      <c r="B175" t="inlineStr">
        <is>
          <t>Professional Supplier 018</t>
        </is>
      </c>
      <c r="C175" t="inlineStr">
        <is>
          <t>Professional Services</t>
        </is>
      </c>
      <c r="D175" t="n">
        <v>2018</v>
      </c>
      <c r="E175" t="n">
        <v>2292693.39</v>
      </c>
      <c r="F175" t="n">
        <v>14183404</v>
      </c>
      <c r="G175" t="n">
        <v>379.2739</v>
      </c>
      <c r="H175" t="n">
        <v>49.9963</v>
      </c>
      <c r="I175" t="n">
        <v>71.8554</v>
      </c>
      <c r="J175" t="n">
        <v>265.6098</v>
      </c>
      <c r="K175" t="inlineStr"/>
      <c r="L175" t="inlineStr"/>
      <c r="M175" t="inlineStr"/>
      <c r="N175" t="inlineStr"/>
      <c r="O175" t="n">
        <v>2020</v>
      </c>
      <c r="P175" t="inlineStr"/>
      <c r="Q175" t="inlineStr"/>
      <c r="R175" t="n">
        <v>400.0326</v>
      </c>
      <c r="S175" t="n">
        <v>0.00012906</v>
      </c>
      <c r="T175" t="n">
        <v>0.00019658</v>
      </c>
      <c r="U175" t="n">
        <v>379.2739</v>
      </c>
      <c r="V175" t="inlineStr">
        <is>
          <t>Provided Total Emissions</t>
        </is>
      </c>
      <c r="W175" t="b">
        <v>1</v>
      </c>
      <c r="X175" t="n">
        <v>295.895</v>
      </c>
      <c r="Y175" t="n">
        <v>2788.1736</v>
      </c>
      <c r="Z175" t="n">
        <v>-83.3789</v>
      </c>
      <c r="AA175" t="n">
        <v>2408.8997</v>
      </c>
      <c r="AB175" t="n">
        <v>-0.219838</v>
      </c>
      <c r="AC175" t="n">
        <v>6.351346</v>
      </c>
      <c r="AD175" t="inlineStr">
        <is>
          <t>High</t>
        </is>
      </c>
      <c r="AE175" t="inlineStr">
        <is>
          <t>None</t>
        </is>
      </c>
      <c r="AF175" t="n">
        <v>0.95</v>
      </c>
      <c r="AG175" t="inlineStr">
        <is>
          <t>Valid</t>
        </is>
      </c>
    </row>
    <row r="176">
      <c r="A176" t="inlineStr">
        <is>
          <t>SUP-0018</t>
        </is>
      </c>
      <c r="B176" t="inlineStr">
        <is>
          <t>Professional Supplier 018</t>
        </is>
      </c>
      <c r="C176" t="inlineStr">
        <is>
          <t>Professional Services</t>
        </is>
      </c>
      <c r="D176" t="n">
        <v>2019</v>
      </c>
      <c r="E176" t="n">
        <v>1906983.72</v>
      </c>
      <c r="F176" t="n">
        <v>14905301.33</v>
      </c>
      <c r="G176" t="n">
        <v>247.9613</v>
      </c>
      <c r="H176" t="n">
        <v>39.1163</v>
      </c>
      <c r="I176" t="n">
        <v>17.8626</v>
      </c>
      <c r="J176" t="n">
        <v>210.0307</v>
      </c>
      <c r="K176" t="inlineStr"/>
      <c r="L176" t="inlineStr"/>
      <c r="M176" t="inlineStr"/>
      <c r="N176" t="inlineStr"/>
      <c r="O176" t="n">
        <v>2020</v>
      </c>
      <c r="P176" t="inlineStr"/>
      <c r="Q176" t="inlineStr"/>
      <c r="R176" t="n">
        <v>400.0326</v>
      </c>
      <c r="S176" t="n">
        <v>0.00012906</v>
      </c>
      <c r="T176" t="n">
        <v>0.00019658</v>
      </c>
      <c r="U176" t="n">
        <v>247.9613</v>
      </c>
      <c r="V176" t="inlineStr">
        <is>
          <t>Provided Total Emissions</t>
        </is>
      </c>
      <c r="W176" t="b">
        <v>1</v>
      </c>
      <c r="X176" t="n">
        <v>246.1153</v>
      </c>
      <c r="Y176" t="n">
        <v>2930.0841</v>
      </c>
      <c r="Z176" t="n">
        <v>-1.846</v>
      </c>
      <c r="AA176" t="n">
        <v>2682.1228</v>
      </c>
      <c r="AB176" t="n">
        <v>-0.007445</v>
      </c>
      <c r="AC176" t="n">
        <v>10.816699</v>
      </c>
      <c r="AD176" t="inlineStr">
        <is>
          <t>High</t>
        </is>
      </c>
      <c r="AE176" t="inlineStr">
        <is>
          <t>None</t>
        </is>
      </c>
      <c r="AF176" t="n">
        <v>0.95</v>
      </c>
      <c r="AG176" t="inlineStr">
        <is>
          <t>Valid</t>
        </is>
      </c>
    </row>
    <row r="177">
      <c r="A177" t="inlineStr">
        <is>
          <t>SUP-0018</t>
        </is>
      </c>
      <c r="B177" t="inlineStr">
        <is>
          <t>Professional Supplier 018</t>
        </is>
      </c>
      <c r="C177" t="inlineStr">
        <is>
          <t>Professional Services</t>
        </is>
      </c>
      <c r="D177" t="n">
        <v>2020</v>
      </c>
      <c r="E177" t="n">
        <v>2626337.42</v>
      </c>
      <c r="F177" t="n">
        <v>14573468.03</v>
      </c>
      <c r="G177" t="n">
        <v>396.4826</v>
      </c>
      <c r="H177" t="n">
        <v>94.655</v>
      </c>
      <c r="I177" t="n">
        <v>46.2136</v>
      </c>
      <c r="J177" t="n">
        <v>241.8666</v>
      </c>
      <c r="K177" t="inlineStr"/>
      <c r="L177" t="inlineStr"/>
      <c r="M177" t="inlineStr"/>
      <c r="N177" t="inlineStr"/>
      <c r="O177" t="n">
        <v>2020</v>
      </c>
      <c r="P177" t="inlineStr"/>
      <c r="Q177" t="inlineStr"/>
      <c r="R177" t="n">
        <v>400.0326</v>
      </c>
      <c r="S177" t="n">
        <v>0.00012906</v>
      </c>
      <c r="T177" t="n">
        <v>0.00019658</v>
      </c>
      <c r="U177" t="n">
        <v>396.4826</v>
      </c>
      <c r="V177" t="inlineStr">
        <is>
          <t>Provided Total Emissions</t>
        </is>
      </c>
      <c r="W177" t="b">
        <v>1</v>
      </c>
      <c r="X177" t="n">
        <v>338.9551</v>
      </c>
      <c r="Y177" t="n">
        <v>2864.8523</v>
      </c>
      <c r="Z177" t="n">
        <v>-57.5275</v>
      </c>
      <c r="AA177" t="n">
        <v>2468.3697</v>
      </c>
      <c r="AB177" t="n">
        <v>-0.145095</v>
      </c>
      <c r="AC177" t="n">
        <v>6.22567</v>
      </c>
      <c r="AD177" t="inlineStr">
        <is>
          <t>High</t>
        </is>
      </c>
      <c r="AE177" t="inlineStr">
        <is>
          <t>None</t>
        </is>
      </c>
      <c r="AF177" t="n">
        <v>0.95</v>
      </c>
      <c r="AG177" t="inlineStr">
        <is>
          <t>Valid</t>
        </is>
      </c>
    </row>
    <row r="178">
      <c r="A178" t="inlineStr">
        <is>
          <t>SUP-0018</t>
        </is>
      </c>
      <c r="B178" t="inlineStr">
        <is>
          <t>Professional Supplier 018</t>
        </is>
      </c>
      <c r="C178" t="inlineStr">
        <is>
          <t>Professional Services</t>
        </is>
      </c>
      <c r="D178" t="n">
        <v>2021</v>
      </c>
      <c r="E178" t="n">
        <v>2219050.14</v>
      </c>
      <c r="F178" t="n">
        <v>18997821.02</v>
      </c>
      <c r="G178" t="n">
        <v>298.5838</v>
      </c>
      <c r="H178" t="n">
        <v>59.3507</v>
      </c>
      <c r="I178" t="n">
        <v>30.7841</v>
      </c>
      <c r="J178" t="n">
        <v>215.2202</v>
      </c>
      <c r="K178" t="inlineStr"/>
      <c r="L178" t="inlineStr"/>
      <c r="M178" t="inlineStr"/>
      <c r="N178" t="inlineStr"/>
      <c r="O178" t="n">
        <v>2020</v>
      </c>
      <c r="P178" t="inlineStr"/>
      <c r="Q178" t="inlineStr"/>
      <c r="R178" t="n">
        <v>400.0326</v>
      </c>
      <c r="S178" t="n">
        <v>0.00012906</v>
      </c>
      <c r="T178" t="n">
        <v>0.00019658</v>
      </c>
      <c r="U178" t="n">
        <v>298.5838</v>
      </c>
      <c r="V178" t="inlineStr">
        <is>
          <t>Provided Total Emissions</t>
        </is>
      </c>
      <c r="W178" t="b">
        <v>1</v>
      </c>
      <c r="X178" t="n">
        <v>286.3906</v>
      </c>
      <c r="Y178" t="n">
        <v>3734.5917</v>
      </c>
      <c r="Z178" t="n">
        <v>-12.1932</v>
      </c>
      <c r="AA178" t="n">
        <v>3436.0079</v>
      </c>
      <c r="AB178" t="n">
        <v>-0.040837</v>
      </c>
      <c r="AC178" t="n">
        <v>11.507683</v>
      </c>
      <c r="AD178" t="inlineStr">
        <is>
          <t>High</t>
        </is>
      </c>
      <c r="AE178" t="inlineStr">
        <is>
          <t>None</t>
        </is>
      </c>
      <c r="AF178" t="n">
        <v>0.95</v>
      </c>
      <c r="AG178" t="inlineStr">
        <is>
          <t>Valid</t>
        </is>
      </c>
    </row>
    <row r="179">
      <c r="A179" t="inlineStr">
        <is>
          <t>SUP-0018</t>
        </is>
      </c>
      <c r="B179" t="inlineStr">
        <is>
          <t>Professional Supplier 018</t>
        </is>
      </c>
      <c r="C179" t="inlineStr">
        <is>
          <t>Professional Services</t>
        </is>
      </c>
      <c r="D179" t="n">
        <v>2022</v>
      </c>
      <c r="E179" t="n">
        <v>2337255.26</v>
      </c>
      <c r="F179" t="n">
        <v>17373114.82</v>
      </c>
      <c r="G179" t="n">
        <v>268.6694</v>
      </c>
      <c r="H179" t="n">
        <v>72.8982</v>
      </c>
      <c r="I179" t="n">
        <v>57.9549</v>
      </c>
      <c r="J179" t="n">
        <v>148.0152</v>
      </c>
      <c r="K179" t="inlineStr"/>
      <c r="L179" t="inlineStr"/>
      <c r="M179" t="inlineStr"/>
      <c r="N179" t="inlineStr"/>
      <c r="O179" t="n">
        <v>2020</v>
      </c>
      <c r="P179" t="inlineStr"/>
      <c r="Q179" t="inlineStr"/>
      <c r="R179" t="n">
        <v>400.0326</v>
      </c>
      <c r="S179" t="n">
        <v>0.00012906</v>
      </c>
      <c r="T179" t="n">
        <v>0.00019658</v>
      </c>
      <c r="U179" t="n">
        <v>268.6694</v>
      </c>
      <c r="V179" t="inlineStr">
        <is>
          <t>Provided Total Emissions</t>
        </is>
      </c>
      <c r="W179" t="b">
        <v>1</v>
      </c>
      <c r="X179" t="n">
        <v>301.6462</v>
      </c>
      <c r="Y179" t="n">
        <v>3415.2069</v>
      </c>
      <c r="Z179" t="n">
        <v>32.9768</v>
      </c>
      <c r="AA179" t="n">
        <v>3146.5375</v>
      </c>
      <c r="AB179" t="n">
        <v>0.122741</v>
      </c>
      <c r="AC179" t="n">
        <v>11.711559</v>
      </c>
      <c r="AD179" t="inlineStr">
        <is>
          <t>High</t>
        </is>
      </c>
      <c r="AE179" t="inlineStr">
        <is>
          <t>None</t>
        </is>
      </c>
      <c r="AF179" t="n">
        <v>0.95</v>
      </c>
      <c r="AG179" t="inlineStr">
        <is>
          <t>Valid</t>
        </is>
      </c>
    </row>
    <row r="180">
      <c r="A180" t="inlineStr">
        <is>
          <t>SUP-0018</t>
        </is>
      </c>
      <c r="B180" t="inlineStr">
        <is>
          <t>Professional Supplier 018</t>
        </is>
      </c>
      <c r="C180" t="inlineStr">
        <is>
          <t>Professional Services</t>
        </is>
      </c>
      <c r="D180" t="n">
        <v>2023</v>
      </c>
      <c r="E180" t="n">
        <v>1816767.79</v>
      </c>
      <c r="F180" t="n">
        <v>10870631.98</v>
      </c>
      <c r="G180" t="n">
        <v>192.5024</v>
      </c>
      <c r="H180" t="n">
        <v>19.5382</v>
      </c>
      <c r="I180" t="n">
        <v>17.1927</v>
      </c>
      <c r="J180" t="n">
        <v>143.3505</v>
      </c>
      <c r="K180" t="inlineStr"/>
      <c r="L180" t="inlineStr"/>
      <c r="M180" t="inlineStr"/>
      <c r="N180" t="inlineStr"/>
      <c r="O180" t="n">
        <v>2020</v>
      </c>
      <c r="P180" t="inlineStr"/>
      <c r="Q180" t="inlineStr"/>
      <c r="R180" t="n">
        <v>400.0326</v>
      </c>
      <c r="S180" t="n">
        <v>0.00012906</v>
      </c>
      <c r="T180" t="n">
        <v>0.00019658</v>
      </c>
      <c r="U180" t="n">
        <v>192.5024</v>
      </c>
      <c r="V180" t="inlineStr">
        <is>
          <t>Provided Total Emissions</t>
        </is>
      </c>
      <c r="W180" t="b">
        <v>1</v>
      </c>
      <c r="X180" t="n">
        <v>234.4721</v>
      </c>
      <c r="Y180" t="n">
        <v>2136.9488</v>
      </c>
      <c r="Z180" t="n">
        <v>41.9697</v>
      </c>
      <c r="AA180" t="n">
        <v>1944.4464</v>
      </c>
      <c r="AB180" t="n">
        <v>0.218021</v>
      </c>
      <c r="AC180" t="n">
        <v>10.100895</v>
      </c>
      <c r="AD180" t="inlineStr">
        <is>
          <t>High</t>
        </is>
      </c>
      <c r="AE180" t="inlineStr">
        <is>
          <t>None</t>
        </is>
      </c>
      <c r="AF180" t="n">
        <v>0.95</v>
      </c>
      <c r="AG180" t="inlineStr">
        <is>
          <t>Valid</t>
        </is>
      </c>
    </row>
    <row r="181">
      <c r="A181" t="inlineStr">
        <is>
          <t>SUP-0018</t>
        </is>
      </c>
      <c r="B181" t="inlineStr">
        <is>
          <t>Professional Supplier 018</t>
        </is>
      </c>
      <c r="C181" t="inlineStr">
        <is>
          <t>Professional Services</t>
        </is>
      </c>
      <c r="D181" t="n">
        <v>2024</v>
      </c>
      <c r="E181" t="n">
        <v>2101779.39</v>
      </c>
      <c r="F181" t="n">
        <v>17106470.76</v>
      </c>
      <c r="G181" t="n">
        <v>231.6462</v>
      </c>
      <c r="H181" t="n">
        <v>58.6964</v>
      </c>
      <c r="I181" t="n">
        <v>47.0019</v>
      </c>
      <c r="J181" t="n">
        <v>114.9503</v>
      </c>
      <c r="K181" t="inlineStr"/>
      <c r="L181" t="inlineStr"/>
      <c r="M181" t="inlineStr"/>
      <c r="N181" t="inlineStr"/>
      <c r="O181" t="n">
        <v>2020</v>
      </c>
      <c r="P181" t="inlineStr"/>
      <c r="Q181" t="inlineStr"/>
      <c r="R181" t="n">
        <v>400.0326</v>
      </c>
      <c r="S181" t="n">
        <v>0.00012906</v>
      </c>
      <c r="T181" t="n">
        <v>0.00019658</v>
      </c>
      <c r="U181" t="n">
        <v>231.6462</v>
      </c>
      <c r="V181" t="inlineStr">
        <is>
          <t>Provided Total Emissions</t>
        </is>
      </c>
      <c r="W181" t="b">
        <v>1</v>
      </c>
      <c r="X181" t="n">
        <v>271.2556</v>
      </c>
      <c r="Y181" t="n">
        <v>3362.79</v>
      </c>
      <c r="Z181" t="n">
        <v>39.6094</v>
      </c>
      <c r="AA181" t="n">
        <v>3131.1438</v>
      </c>
      <c r="AB181" t="n">
        <v>0.170991</v>
      </c>
      <c r="AC181" t="n">
        <v>13.516923</v>
      </c>
      <c r="AD181" t="inlineStr">
        <is>
          <t>High</t>
        </is>
      </c>
      <c r="AE181" t="inlineStr">
        <is>
          <t>None</t>
        </is>
      </c>
      <c r="AF181" t="n">
        <v>0.95</v>
      </c>
      <c r="AG181" t="inlineStr">
        <is>
          <t>Valid</t>
        </is>
      </c>
    </row>
    <row r="182">
      <c r="A182" t="inlineStr">
        <is>
          <t>SUP-0019</t>
        </is>
      </c>
      <c r="B182" t="inlineStr">
        <is>
          <t>Metals Supplier 019</t>
        </is>
      </c>
      <c r="C182" t="inlineStr">
        <is>
          <t>Metals</t>
        </is>
      </c>
      <c r="D182" t="n">
        <v>2015</v>
      </c>
      <c r="E182" t="n">
        <v>17169931.75</v>
      </c>
      <c r="F182" t="n">
        <v>22450899.61</v>
      </c>
      <c r="G182" t="n">
        <v>25564.5171</v>
      </c>
      <c r="H182" t="n">
        <v>4151.9482</v>
      </c>
      <c r="I182" t="n">
        <v>2905.8973</v>
      </c>
      <c r="J182" t="n">
        <v>17440.7275</v>
      </c>
      <c r="K182" t="n">
        <v>2021</v>
      </c>
      <c r="L182" t="n">
        <v>2035</v>
      </c>
      <c r="M182" t="n">
        <v>0.5173</v>
      </c>
      <c r="N182" t="n">
        <v>0.245</v>
      </c>
      <c r="O182" t="n">
        <v>2019</v>
      </c>
      <c r="P182" t="n">
        <v>2030</v>
      </c>
      <c r="Q182" t="n">
        <v>0.3852</v>
      </c>
      <c r="R182" t="n">
        <v>158.2904</v>
      </c>
      <c r="S182" t="n">
        <v>0.00100695</v>
      </c>
      <c r="T182" t="n">
        <v>0.00065008</v>
      </c>
      <c r="U182" t="n">
        <v>25564.5171</v>
      </c>
      <c r="V182" t="inlineStr">
        <is>
          <t>Provided Total Emissions</t>
        </is>
      </c>
      <c r="W182" t="b">
        <v>1</v>
      </c>
      <c r="X182" t="n">
        <v>17289.2628</v>
      </c>
      <c r="Y182" t="n">
        <v>14594.8808</v>
      </c>
      <c r="Z182" t="n">
        <v>-8275.254300000001</v>
      </c>
      <c r="AA182" t="n">
        <v>-10969.6363</v>
      </c>
      <c r="AB182" t="n">
        <v>-0.323701</v>
      </c>
      <c r="AC182" t="n">
        <v>-0.429096</v>
      </c>
      <c r="AD182" t="inlineStr">
        <is>
          <t>High</t>
        </is>
      </c>
      <c r="AE182" t="inlineStr">
        <is>
          <t>None</t>
        </is>
      </c>
      <c r="AF182" t="n">
        <v>0.95</v>
      </c>
      <c r="AG182" t="inlineStr">
        <is>
          <t>Valid</t>
        </is>
      </c>
    </row>
    <row r="183">
      <c r="A183" t="inlineStr">
        <is>
          <t>SUP-0019</t>
        </is>
      </c>
      <c r="B183" t="inlineStr">
        <is>
          <t>Metals Supplier 019</t>
        </is>
      </c>
      <c r="C183" t="inlineStr">
        <is>
          <t>Metals</t>
        </is>
      </c>
      <c r="D183" t="n">
        <v>2016</v>
      </c>
      <c r="E183" t="n">
        <v>19576946.44</v>
      </c>
      <c r="F183" t="n">
        <v>28606110.85</v>
      </c>
      <c r="G183" t="n">
        <v>27456.2609</v>
      </c>
      <c r="H183" t="n">
        <v>7389.0406</v>
      </c>
      <c r="I183" t="n">
        <v>2834.1281</v>
      </c>
      <c r="J183" t="n">
        <v>16600.9268</v>
      </c>
      <c r="K183" t="n">
        <v>2021</v>
      </c>
      <c r="L183" t="n">
        <v>2035</v>
      </c>
      <c r="M183" t="n">
        <v>0.5173</v>
      </c>
      <c r="N183" t="n">
        <v>0.245</v>
      </c>
      <c r="O183" t="n">
        <v>2019</v>
      </c>
      <c r="P183" t="n">
        <v>2030</v>
      </c>
      <c r="Q183" t="n">
        <v>0.3852</v>
      </c>
      <c r="R183" t="n">
        <v>158.2904</v>
      </c>
      <c r="S183" t="n">
        <v>0.00100695</v>
      </c>
      <c r="T183" t="n">
        <v>0.00065008</v>
      </c>
      <c r="U183" t="n">
        <v>27456.2609</v>
      </c>
      <c r="V183" t="inlineStr">
        <is>
          <t>Provided Total Emissions</t>
        </is>
      </c>
      <c r="W183" t="b">
        <v>1</v>
      </c>
      <c r="X183" t="n">
        <v>19713.0062</v>
      </c>
      <c r="Y183" t="n">
        <v>18596.2605</v>
      </c>
      <c r="Z183" t="n">
        <v>-7743.2547</v>
      </c>
      <c r="AA183" t="n">
        <v>-8860.000400000001</v>
      </c>
      <c r="AB183" t="n">
        <v>-0.282021</v>
      </c>
      <c r="AC183" t="n">
        <v>-0.322695</v>
      </c>
      <c r="AD183" t="inlineStr">
        <is>
          <t>High</t>
        </is>
      </c>
      <c r="AE183" t="inlineStr">
        <is>
          <t>None</t>
        </is>
      </c>
      <c r="AF183" t="n">
        <v>0.95</v>
      </c>
      <c r="AG183" t="inlineStr">
        <is>
          <t>Valid</t>
        </is>
      </c>
    </row>
    <row r="184">
      <c r="A184" t="inlineStr">
        <is>
          <t>SUP-0019</t>
        </is>
      </c>
      <c r="B184" t="inlineStr">
        <is>
          <t>Metals Supplier 019</t>
        </is>
      </c>
      <c r="C184" t="inlineStr">
        <is>
          <t>Metals</t>
        </is>
      </c>
      <c r="D184" t="n">
        <v>2017</v>
      </c>
      <c r="E184" t="n">
        <v>20555763.04</v>
      </c>
      <c r="F184" t="n">
        <v>27548765.77</v>
      </c>
      <c r="G184" t="n">
        <v>32177.465</v>
      </c>
      <c r="H184" t="n">
        <v>5794.1512</v>
      </c>
      <c r="I184" t="n">
        <v>4906.6191</v>
      </c>
      <c r="J184" t="n">
        <v>22134.93</v>
      </c>
      <c r="K184" t="n">
        <v>2021</v>
      </c>
      <c r="L184" t="n">
        <v>2035</v>
      </c>
      <c r="M184" t="n">
        <v>0.5173</v>
      </c>
      <c r="N184" t="n">
        <v>0.245</v>
      </c>
      <c r="O184" t="n">
        <v>2019</v>
      </c>
      <c r="P184" t="n">
        <v>2030</v>
      </c>
      <c r="Q184" t="n">
        <v>0.3852</v>
      </c>
      <c r="R184" t="n">
        <v>158.2904</v>
      </c>
      <c r="S184" t="n">
        <v>0.00100695</v>
      </c>
      <c r="T184" t="n">
        <v>0.00065008</v>
      </c>
      <c r="U184" t="n">
        <v>32177.465</v>
      </c>
      <c r="V184" t="inlineStr">
        <is>
          <t>Provided Total Emissions</t>
        </is>
      </c>
      <c r="W184" t="b">
        <v>1</v>
      </c>
      <c r="X184" t="n">
        <v>20698.6256</v>
      </c>
      <c r="Y184" t="n">
        <v>17908.9017</v>
      </c>
      <c r="Z184" t="n">
        <v>-11478.8394</v>
      </c>
      <c r="AA184" t="n">
        <v>-14268.5633</v>
      </c>
      <c r="AB184" t="n">
        <v>-0.356735</v>
      </c>
      <c r="AC184" t="n">
        <v>-0.443433</v>
      </c>
      <c r="AD184" t="inlineStr">
        <is>
          <t>High</t>
        </is>
      </c>
      <c r="AE184" t="inlineStr">
        <is>
          <t>None</t>
        </is>
      </c>
      <c r="AF184" t="n">
        <v>0.95</v>
      </c>
      <c r="AG184" t="inlineStr">
        <is>
          <t>Valid</t>
        </is>
      </c>
    </row>
    <row r="185">
      <c r="A185" t="inlineStr">
        <is>
          <t>SUP-0019</t>
        </is>
      </c>
      <c r="B185" t="inlineStr">
        <is>
          <t>Metals Supplier 019</t>
        </is>
      </c>
      <c r="C185" t="inlineStr">
        <is>
          <t>Metals</t>
        </is>
      </c>
      <c r="D185" t="n">
        <v>2018</v>
      </c>
      <c r="E185" t="n">
        <v>19678257.7</v>
      </c>
      <c r="F185" t="n">
        <v>25444893.68</v>
      </c>
      <c r="G185" t="n">
        <v>24591.1645</v>
      </c>
      <c r="H185" t="n">
        <v>5773.147</v>
      </c>
      <c r="I185" t="n">
        <v>3628.2746</v>
      </c>
      <c r="J185" t="n">
        <v>15871.3668</v>
      </c>
      <c r="K185" t="n">
        <v>2021</v>
      </c>
      <c r="L185" t="n">
        <v>2035</v>
      </c>
      <c r="M185" t="n">
        <v>0.5173</v>
      </c>
      <c r="N185" t="n">
        <v>0.245</v>
      </c>
      <c r="O185" t="n">
        <v>2019</v>
      </c>
      <c r="P185" t="n">
        <v>2030</v>
      </c>
      <c r="Q185" t="n">
        <v>0.3852</v>
      </c>
      <c r="R185" t="n">
        <v>158.2904</v>
      </c>
      <c r="S185" t="n">
        <v>0.00100695</v>
      </c>
      <c r="T185" t="n">
        <v>0.00065008</v>
      </c>
      <c r="U185" t="n">
        <v>24591.1645</v>
      </c>
      <c r="V185" t="inlineStr">
        <is>
          <t>Provided Total Emissions</t>
        </is>
      </c>
      <c r="W185" t="b">
        <v>1</v>
      </c>
      <c r="X185" t="n">
        <v>19815.0216</v>
      </c>
      <c r="Y185" t="n">
        <v>16541.2165</v>
      </c>
      <c r="Z185" t="n">
        <v>-4776.1429</v>
      </c>
      <c r="AA185" t="n">
        <v>-8049.948</v>
      </c>
      <c r="AB185" t="n">
        <v>-0.194222</v>
      </c>
      <c r="AC185" t="n">
        <v>-0.327351</v>
      </c>
      <c r="AD185" t="inlineStr">
        <is>
          <t>High</t>
        </is>
      </c>
      <c r="AE185" t="inlineStr">
        <is>
          <t>None</t>
        </is>
      </c>
      <c r="AF185" t="n">
        <v>0.95</v>
      </c>
      <c r="AG185" t="inlineStr">
        <is>
          <t>Valid</t>
        </is>
      </c>
    </row>
    <row r="186">
      <c r="A186" t="inlineStr">
        <is>
          <t>SUP-0019</t>
        </is>
      </c>
      <c r="B186" t="inlineStr">
        <is>
          <t>Metals Supplier 019</t>
        </is>
      </c>
      <c r="C186" t="inlineStr">
        <is>
          <t>Metals</t>
        </is>
      </c>
      <c r="D186" t="n">
        <v>2019</v>
      </c>
      <c r="E186" t="n">
        <v>23339873.62</v>
      </c>
      <c r="F186" t="n">
        <v>25532896.5</v>
      </c>
      <c r="G186" t="n">
        <v>28217.9851</v>
      </c>
      <c r="H186" t="n">
        <v>4647.2419</v>
      </c>
      <c r="I186" t="n">
        <v>3280.8838</v>
      </c>
      <c r="J186" t="n">
        <v>20374.9146</v>
      </c>
      <c r="K186" t="n">
        <v>2021</v>
      </c>
      <c r="L186" t="n">
        <v>2035</v>
      </c>
      <c r="M186" t="n">
        <v>0.5173</v>
      </c>
      <c r="N186" t="n">
        <v>0.245</v>
      </c>
      <c r="O186" t="n">
        <v>2019</v>
      </c>
      <c r="P186" t="n">
        <v>2030</v>
      </c>
      <c r="Q186" t="n">
        <v>0.3852</v>
      </c>
      <c r="R186" t="n">
        <v>158.2904</v>
      </c>
      <c r="S186" t="n">
        <v>0.00100695</v>
      </c>
      <c r="T186" t="n">
        <v>0.00065008</v>
      </c>
      <c r="U186" t="n">
        <v>28217.9851</v>
      </c>
      <c r="V186" t="inlineStr">
        <is>
          <t>Provided Total Emissions</t>
        </is>
      </c>
      <c r="W186" t="b">
        <v>1</v>
      </c>
      <c r="X186" t="n">
        <v>23502.0857</v>
      </c>
      <c r="Y186" t="n">
        <v>16598.4254</v>
      </c>
      <c r="Z186" t="n">
        <v>-4715.8994</v>
      </c>
      <c r="AA186" t="n">
        <v>-11619.5597</v>
      </c>
      <c r="AB186" t="n">
        <v>-0.167124</v>
      </c>
      <c r="AC186" t="n">
        <v>-0.411779</v>
      </c>
      <c r="AD186" t="inlineStr">
        <is>
          <t>High</t>
        </is>
      </c>
      <c r="AE186" t="inlineStr">
        <is>
          <t>None</t>
        </is>
      </c>
      <c r="AF186" t="n">
        <v>0.95</v>
      </c>
      <c r="AG186" t="inlineStr">
        <is>
          <t>Valid</t>
        </is>
      </c>
    </row>
    <row r="187">
      <c r="A187" t="inlineStr">
        <is>
          <t>SUP-0019</t>
        </is>
      </c>
      <c r="B187" t="inlineStr">
        <is>
          <t>Metals Supplier 019</t>
        </is>
      </c>
      <c r="C187" t="inlineStr">
        <is>
          <t>Metals</t>
        </is>
      </c>
      <c r="D187" t="n">
        <v>2020</v>
      </c>
      <c r="E187" t="n">
        <v>20791262.01</v>
      </c>
      <c r="F187" t="n">
        <v>31695690.95</v>
      </c>
      <c r="G187" t="n">
        <v>21302.6956</v>
      </c>
      <c r="H187" t="n">
        <v>2149.2617</v>
      </c>
      <c r="I187" t="n">
        <v>2738.4066</v>
      </c>
      <c r="J187" t="n">
        <v>16975.6816</v>
      </c>
      <c r="K187" t="n">
        <v>2021</v>
      </c>
      <c r="L187" t="n">
        <v>2035</v>
      </c>
      <c r="M187" t="n">
        <v>0.5173</v>
      </c>
      <c r="N187" t="n">
        <v>0.245</v>
      </c>
      <c r="O187" t="n">
        <v>2019</v>
      </c>
      <c r="P187" t="n">
        <v>2030</v>
      </c>
      <c r="Q187" t="n">
        <v>0.3852</v>
      </c>
      <c r="R187" t="n">
        <v>158.2904</v>
      </c>
      <c r="S187" t="n">
        <v>0.00100695</v>
      </c>
      <c r="T187" t="n">
        <v>0.00065008</v>
      </c>
      <c r="U187" t="n">
        <v>21302.6956</v>
      </c>
      <c r="V187" t="inlineStr">
        <is>
          <t>Provided Total Emissions</t>
        </is>
      </c>
      <c r="W187" t="b">
        <v>1</v>
      </c>
      <c r="X187" t="n">
        <v>20935.7613</v>
      </c>
      <c r="Y187" t="n">
        <v>20604.7348</v>
      </c>
      <c r="Z187" t="n">
        <v>-366.9343</v>
      </c>
      <c r="AA187" t="n">
        <v>-697.9607999999999</v>
      </c>
      <c r="AB187" t="n">
        <v>-0.017225</v>
      </c>
      <c r="AC187" t="n">
        <v>-0.032764</v>
      </c>
      <c r="AD187" t="inlineStr">
        <is>
          <t>High</t>
        </is>
      </c>
      <c r="AE187" t="inlineStr">
        <is>
          <t>None</t>
        </is>
      </c>
      <c r="AF187" t="n">
        <v>0.95</v>
      </c>
      <c r="AG187" t="inlineStr">
        <is>
          <t>Valid</t>
        </is>
      </c>
    </row>
    <row r="188">
      <c r="A188" t="inlineStr">
        <is>
          <t>SUP-0019</t>
        </is>
      </c>
      <c r="B188" t="inlineStr">
        <is>
          <t>Metals Supplier 019</t>
        </is>
      </c>
      <c r="C188" t="inlineStr">
        <is>
          <t>Metals</t>
        </is>
      </c>
      <c r="D188" t="n">
        <v>2021</v>
      </c>
      <c r="E188" t="n">
        <v>21855672.03</v>
      </c>
      <c r="F188" t="n">
        <v>30550291.96</v>
      </c>
      <c r="G188" t="n">
        <v>22965.889</v>
      </c>
      <c r="H188" t="n">
        <v>4811.7012</v>
      </c>
      <c r="I188" t="n">
        <v>2157.4402</v>
      </c>
      <c r="J188" t="n">
        <v>16305.6445</v>
      </c>
      <c r="K188" t="n">
        <v>2021</v>
      </c>
      <c r="L188" t="n">
        <v>2035</v>
      </c>
      <c r="M188" t="n">
        <v>0.5173</v>
      </c>
      <c r="N188" t="n">
        <v>0.245</v>
      </c>
      <c r="O188" t="n">
        <v>2019</v>
      </c>
      <c r="P188" t="n">
        <v>2030</v>
      </c>
      <c r="Q188" t="n">
        <v>0.3852</v>
      </c>
      <c r="R188" t="n">
        <v>158.2904</v>
      </c>
      <c r="S188" t="n">
        <v>0.00100695</v>
      </c>
      <c r="T188" t="n">
        <v>0.00065008</v>
      </c>
      <c r="U188" t="n">
        <v>22965.889</v>
      </c>
      <c r="V188" t="inlineStr">
        <is>
          <t>Provided Total Emissions</t>
        </is>
      </c>
      <c r="W188" t="b">
        <v>1</v>
      </c>
      <c r="X188" t="n">
        <v>22007.569</v>
      </c>
      <c r="Y188" t="n">
        <v>19860.1338</v>
      </c>
      <c r="Z188" t="n">
        <v>-958.3200000000001</v>
      </c>
      <c r="AA188" t="n">
        <v>-3105.7552</v>
      </c>
      <c r="AB188" t="n">
        <v>-0.041728</v>
      </c>
      <c r="AC188" t="n">
        <v>-0.135233</v>
      </c>
      <c r="AD188" t="inlineStr">
        <is>
          <t>High</t>
        </is>
      </c>
      <c r="AE188" t="inlineStr">
        <is>
          <t>None</t>
        </is>
      </c>
      <c r="AF188" t="n">
        <v>0.95</v>
      </c>
      <c r="AG188" t="inlineStr">
        <is>
          <t>Valid</t>
        </is>
      </c>
    </row>
    <row r="189">
      <c r="A189" t="inlineStr">
        <is>
          <t>SUP-0019</t>
        </is>
      </c>
      <c r="B189" t="inlineStr">
        <is>
          <t>Metals Supplier 019</t>
        </is>
      </c>
      <c r="C189" t="inlineStr">
        <is>
          <t>Metals</t>
        </is>
      </c>
      <c r="D189" t="n">
        <v>2022</v>
      </c>
      <c r="E189" t="n">
        <v>23529217.42</v>
      </c>
      <c r="F189" t="n">
        <v>23059293.02</v>
      </c>
      <c r="G189" t="n">
        <v>19753.3383</v>
      </c>
      <c r="H189" t="n">
        <v>2341.5749</v>
      </c>
      <c r="I189" t="n">
        <v>3748.9556</v>
      </c>
      <c r="J189" t="n">
        <v>12824.1605</v>
      </c>
      <c r="K189" t="n">
        <v>2021</v>
      </c>
      <c r="L189" t="n">
        <v>2035</v>
      </c>
      <c r="M189" t="n">
        <v>0.5173</v>
      </c>
      <c r="N189" t="n">
        <v>0.245</v>
      </c>
      <c r="O189" t="n">
        <v>2019</v>
      </c>
      <c r="P189" t="n">
        <v>2030</v>
      </c>
      <c r="Q189" t="n">
        <v>0.3852</v>
      </c>
      <c r="R189" t="n">
        <v>158.2904</v>
      </c>
      <c r="S189" t="n">
        <v>0.00100695</v>
      </c>
      <c r="T189" t="n">
        <v>0.00065008</v>
      </c>
      <c r="U189" t="n">
        <v>19753.3383</v>
      </c>
      <c r="V189" t="inlineStr">
        <is>
          <t>Provided Total Emissions</t>
        </is>
      </c>
      <c r="W189" t="b">
        <v>1</v>
      </c>
      <c r="X189" t="n">
        <v>23692.7455</v>
      </c>
      <c r="Y189" t="n">
        <v>14990.3852</v>
      </c>
      <c r="Z189" t="n">
        <v>3939.4072</v>
      </c>
      <c r="AA189" t="n">
        <v>-4762.9531</v>
      </c>
      <c r="AB189" t="n">
        <v>0.19943</v>
      </c>
      <c r="AC189" t="n">
        <v>-0.241121</v>
      </c>
      <c r="AD189" t="inlineStr">
        <is>
          <t>High</t>
        </is>
      </c>
      <c r="AE189" t="inlineStr">
        <is>
          <t>None</t>
        </is>
      </c>
      <c r="AF189" t="n">
        <v>0.95</v>
      </c>
      <c r="AG189" t="inlineStr">
        <is>
          <t>Valid</t>
        </is>
      </c>
    </row>
    <row r="190">
      <c r="A190" t="inlineStr">
        <is>
          <t>SUP-0019</t>
        </is>
      </c>
      <c r="B190" t="inlineStr">
        <is>
          <t>Metals Supplier 019</t>
        </is>
      </c>
      <c r="C190" t="inlineStr">
        <is>
          <t>Metals</t>
        </is>
      </c>
      <c r="D190" t="n">
        <v>2023</v>
      </c>
      <c r="E190" t="n">
        <v>25890690.97</v>
      </c>
      <c r="F190" t="n">
        <v>36842061.14</v>
      </c>
      <c r="G190" t="n">
        <v>28700.4665</v>
      </c>
      <c r="H190" t="n">
        <v>5279.1249</v>
      </c>
      <c r="I190" t="n">
        <v>3324.0785</v>
      </c>
      <c r="J190" t="n">
        <v>19146.0447</v>
      </c>
      <c r="K190" t="n">
        <v>2021</v>
      </c>
      <c r="L190" t="n">
        <v>2035</v>
      </c>
      <c r="M190" t="n">
        <v>0.5173</v>
      </c>
      <c r="N190" t="n">
        <v>0.245</v>
      </c>
      <c r="O190" t="n">
        <v>2019</v>
      </c>
      <c r="P190" t="n">
        <v>2030</v>
      </c>
      <c r="Q190" t="n">
        <v>0.3852</v>
      </c>
      <c r="R190" t="n">
        <v>158.2904</v>
      </c>
      <c r="S190" t="n">
        <v>0.00100695</v>
      </c>
      <c r="T190" t="n">
        <v>0.00065008</v>
      </c>
      <c r="U190" t="n">
        <v>28700.4665</v>
      </c>
      <c r="V190" t="inlineStr">
        <is>
          <t>Provided Total Emissions</t>
        </is>
      </c>
      <c r="W190" t="b">
        <v>1</v>
      </c>
      <c r="X190" t="n">
        <v>26070.6313</v>
      </c>
      <c r="Y190" t="n">
        <v>23950.2871</v>
      </c>
      <c r="Z190" t="n">
        <v>-2629.8352</v>
      </c>
      <c r="AA190" t="n">
        <v>-4750.1794</v>
      </c>
      <c r="AB190" t="n">
        <v>-0.09163</v>
      </c>
      <c r="AC190" t="n">
        <v>-0.165509</v>
      </c>
      <c r="AD190" t="inlineStr">
        <is>
          <t>High</t>
        </is>
      </c>
      <c r="AE190" t="inlineStr">
        <is>
          <t>None</t>
        </is>
      </c>
      <c r="AF190" t="n">
        <v>0.95</v>
      </c>
      <c r="AG190" t="inlineStr">
        <is>
          <t>Valid</t>
        </is>
      </c>
    </row>
    <row r="191">
      <c r="A191" t="inlineStr">
        <is>
          <t>SUP-0019</t>
        </is>
      </c>
      <c r="B191" t="inlineStr">
        <is>
          <t>Metals Supplier 019</t>
        </is>
      </c>
      <c r="C191" t="inlineStr">
        <is>
          <t>Metals</t>
        </is>
      </c>
      <c r="D191" t="n">
        <v>2024</v>
      </c>
      <c r="E191" t="n">
        <v>24549341.99</v>
      </c>
      <c r="F191" t="n">
        <v>36127319.87</v>
      </c>
      <c r="G191" t="n">
        <v>21637.1443</v>
      </c>
      <c r="H191" t="n">
        <v>3908.234</v>
      </c>
      <c r="I191" t="n">
        <v>1969.4431</v>
      </c>
      <c r="J191" t="n">
        <v>16391.7637</v>
      </c>
      <c r="K191" t="n">
        <v>2021</v>
      </c>
      <c r="L191" t="n">
        <v>2035</v>
      </c>
      <c r="M191" t="n">
        <v>0.5173</v>
      </c>
      <c r="N191" t="n">
        <v>0.245</v>
      </c>
      <c r="O191" t="n">
        <v>2019</v>
      </c>
      <c r="P191" t="n">
        <v>2030</v>
      </c>
      <c r="Q191" t="n">
        <v>0.3852</v>
      </c>
      <c r="R191" t="n">
        <v>158.2904</v>
      </c>
      <c r="S191" t="n">
        <v>0.00100695</v>
      </c>
      <c r="T191" t="n">
        <v>0.00065008</v>
      </c>
      <c r="U191" t="n">
        <v>21637.1443</v>
      </c>
      <c r="V191" t="inlineStr">
        <is>
          <t>Provided Total Emissions</t>
        </is>
      </c>
      <c r="W191" t="b">
        <v>1</v>
      </c>
      <c r="X191" t="n">
        <v>24719.9599</v>
      </c>
      <c r="Y191" t="n">
        <v>23485.6481</v>
      </c>
      <c r="Z191" t="n">
        <v>3082.8156</v>
      </c>
      <c r="AA191" t="n">
        <v>1848.5038</v>
      </c>
      <c r="AB191" t="n">
        <v>0.142478</v>
      </c>
      <c r="AC191" t="n">
        <v>0.08543199999999999</v>
      </c>
      <c r="AD191" t="inlineStr">
        <is>
          <t>High</t>
        </is>
      </c>
      <c r="AE191" t="inlineStr">
        <is>
          <t>None</t>
        </is>
      </c>
      <c r="AF191" t="n">
        <v>0.95</v>
      </c>
      <c r="AG191" t="inlineStr">
        <is>
          <t>Valid</t>
        </is>
      </c>
    </row>
    <row r="192">
      <c r="A192" t="inlineStr">
        <is>
          <t>SUP-0020</t>
        </is>
      </c>
      <c r="B192" t="inlineStr">
        <is>
          <t>Logistics Supplier 020</t>
        </is>
      </c>
      <c r="C192" t="inlineStr">
        <is>
          <t>Logistics</t>
        </is>
      </c>
      <c r="D192" t="n">
        <v>2015</v>
      </c>
      <c r="E192" t="n">
        <v>15156328.44</v>
      </c>
      <c r="F192" t="n">
        <v>93526966.51000001</v>
      </c>
      <c r="G192" t="n">
        <v>3808.2801</v>
      </c>
      <c r="H192" t="n">
        <v>587.7985</v>
      </c>
      <c r="I192" t="n">
        <v>698.5398</v>
      </c>
      <c r="J192" t="n">
        <v>2521.5506</v>
      </c>
      <c r="K192" t="n">
        <v>2020</v>
      </c>
      <c r="L192" t="n">
        <v>2035</v>
      </c>
      <c r="M192" t="n">
        <v>0.668</v>
      </c>
      <c r="N192" t="n">
        <v>0.2613</v>
      </c>
      <c r="O192" t="n">
        <v>2019</v>
      </c>
      <c r="P192" t="n">
        <v>2040</v>
      </c>
      <c r="Q192" t="n">
        <v>0.4616</v>
      </c>
      <c r="R192" t="n">
        <v>591.6386</v>
      </c>
      <c r="S192" t="n">
        <v>0.00022349</v>
      </c>
      <c r="T192" t="n">
        <v>0.00047787</v>
      </c>
      <c r="U192" t="n">
        <v>3808.2801</v>
      </c>
      <c r="V192" t="inlineStr">
        <is>
          <t>Provided Total Emissions</t>
        </is>
      </c>
      <c r="W192" t="b">
        <v>1</v>
      </c>
      <c r="X192" t="n">
        <v>3387.2878</v>
      </c>
      <c r="Y192" t="n">
        <v>44693.7315</v>
      </c>
      <c r="Z192" t="n">
        <v>-420.9923</v>
      </c>
      <c r="AA192" t="n">
        <v>40885.4514</v>
      </c>
      <c r="AB192" t="n">
        <v>-0.110547</v>
      </c>
      <c r="AC192" t="n">
        <v>10.735936</v>
      </c>
      <c r="AD192" t="inlineStr">
        <is>
          <t>High</t>
        </is>
      </c>
      <c r="AE192" t="inlineStr">
        <is>
          <t>None</t>
        </is>
      </c>
      <c r="AF192" t="n">
        <v>0.95</v>
      </c>
      <c r="AG192" t="inlineStr">
        <is>
          <t>Valid</t>
        </is>
      </c>
    </row>
    <row r="193">
      <c r="A193" t="inlineStr">
        <is>
          <t>SUP-0020</t>
        </is>
      </c>
      <c r="B193" t="inlineStr">
        <is>
          <t>Logistics Supplier 020</t>
        </is>
      </c>
      <c r="C193" t="inlineStr">
        <is>
          <t>Logistics</t>
        </is>
      </c>
      <c r="D193" t="n">
        <v>2016</v>
      </c>
      <c r="E193" t="n">
        <v>16819560.51</v>
      </c>
      <c r="F193" t="n">
        <v>100951976.91</v>
      </c>
      <c r="G193" t="n">
        <v>3706.09</v>
      </c>
      <c r="H193" t="n">
        <v>616.1444</v>
      </c>
      <c r="I193" t="n">
        <v>447.2838</v>
      </c>
      <c r="J193" t="n">
        <v>2600.8481</v>
      </c>
      <c r="K193" t="n">
        <v>2020</v>
      </c>
      <c r="L193" t="n">
        <v>2035</v>
      </c>
      <c r="M193" t="n">
        <v>0.668</v>
      </c>
      <c r="N193" t="n">
        <v>0.2613</v>
      </c>
      <c r="O193" t="n">
        <v>2019</v>
      </c>
      <c r="P193" t="n">
        <v>2040</v>
      </c>
      <c r="Q193" t="n">
        <v>0.4616</v>
      </c>
      <c r="R193" t="n">
        <v>591.6386</v>
      </c>
      <c r="S193" t="n">
        <v>0.00022349</v>
      </c>
      <c r="T193" t="n">
        <v>0.00047787</v>
      </c>
      <c r="U193" t="n">
        <v>3706.09</v>
      </c>
      <c r="V193" t="inlineStr">
        <is>
          <t>Provided Total Emissions</t>
        </is>
      </c>
      <c r="W193" t="b">
        <v>1</v>
      </c>
      <c r="X193" t="n">
        <v>3759.0036</v>
      </c>
      <c r="Y193" t="n">
        <v>48241.9212</v>
      </c>
      <c r="Z193" t="n">
        <v>52.9136</v>
      </c>
      <c r="AA193" t="n">
        <v>44535.8312</v>
      </c>
      <c r="AB193" t="n">
        <v>0.014277</v>
      </c>
      <c r="AC193" t="n">
        <v>12.016932</v>
      </c>
      <c r="AD193" t="inlineStr">
        <is>
          <t>High</t>
        </is>
      </c>
      <c r="AE193" t="inlineStr">
        <is>
          <t>None</t>
        </is>
      </c>
      <c r="AF193" t="n">
        <v>0.95</v>
      </c>
      <c r="AG193" t="inlineStr">
        <is>
          <t>Valid</t>
        </is>
      </c>
    </row>
    <row r="194">
      <c r="A194" t="inlineStr">
        <is>
          <t>SUP-0020</t>
        </is>
      </c>
      <c r="B194" t="inlineStr">
        <is>
          <t>Logistics Supplier 020</t>
        </is>
      </c>
      <c r="C194" t="inlineStr">
        <is>
          <t>Logistics</t>
        </is>
      </c>
      <c r="D194" t="n">
        <v>2017</v>
      </c>
      <c r="E194" t="n">
        <v>14927911.15</v>
      </c>
      <c r="F194" t="n">
        <v>102056225.65</v>
      </c>
      <c r="G194" t="n">
        <v>3110.4722</v>
      </c>
      <c r="H194" t="n">
        <v>479.8663</v>
      </c>
      <c r="I194" t="n">
        <v>363.6482</v>
      </c>
      <c r="J194" t="n">
        <v>2119.0045</v>
      </c>
      <c r="K194" t="n">
        <v>2020</v>
      </c>
      <c r="L194" t="n">
        <v>2035</v>
      </c>
      <c r="M194" t="n">
        <v>0.668</v>
      </c>
      <c r="N194" t="n">
        <v>0.2613</v>
      </c>
      <c r="O194" t="n">
        <v>2019</v>
      </c>
      <c r="P194" t="n">
        <v>2040</v>
      </c>
      <c r="Q194" t="n">
        <v>0.4616</v>
      </c>
      <c r="R194" t="n">
        <v>591.6386</v>
      </c>
      <c r="S194" t="n">
        <v>0.00022349</v>
      </c>
      <c r="T194" t="n">
        <v>0.00047787</v>
      </c>
      <c r="U194" t="n">
        <v>3110.4722</v>
      </c>
      <c r="V194" t="inlineStr">
        <is>
          <t>Provided Total Emissions</t>
        </is>
      </c>
      <c r="W194" t="b">
        <v>1</v>
      </c>
      <c r="X194" t="n">
        <v>3336.2389</v>
      </c>
      <c r="Y194" t="n">
        <v>48769.6086</v>
      </c>
      <c r="Z194" t="n">
        <v>225.7667</v>
      </c>
      <c r="AA194" t="n">
        <v>45659.1364</v>
      </c>
      <c r="AB194" t="n">
        <v>0.07258299999999999</v>
      </c>
      <c r="AC194" t="n">
        <v>14.679166</v>
      </c>
      <c r="AD194" t="inlineStr">
        <is>
          <t>High</t>
        </is>
      </c>
      <c r="AE194" t="inlineStr">
        <is>
          <t>None</t>
        </is>
      </c>
      <c r="AF194" t="n">
        <v>0.95</v>
      </c>
      <c r="AG194" t="inlineStr">
        <is>
          <t>Valid</t>
        </is>
      </c>
    </row>
    <row r="195">
      <c r="A195" t="inlineStr">
        <is>
          <t>SUP-0020</t>
        </is>
      </c>
      <c r="B195" t="inlineStr">
        <is>
          <t>Logistics Supplier 020</t>
        </is>
      </c>
      <c r="C195" t="inlineStr">
        <is>
          <t>Logistics</t>
        </is>
      </c>
      <c r="D195" t="n">
        <v>2018</v>
      </c>
      <c r="E195" t="n">
        <v>20355974.24</v>
      </c>
      <c r="F195" t="n">
        <v>115428040.27</v>
      </c>
      <c r="G195" t="n">
        <v>3481.464</v>
      </c>
      <c r="H195" t="n">
        <v>810.8945</v>
      </c>
      <c r="I195" t="n">
        <v>276.7852</v>
      </c>
      <c r="J195" t="n">
        <v>2274.6983</v>
      </c>
      <c r="K195" t="n">
        <v>2020</v>
      </c>
      <c r="L195" t="n">
        <v>2035</v>
      </c>
      <c r="M195" t="n">
        <v>0.668</v>
      </c>
      <c r="N195" t="n">
        <v>0.2613</v>
      </c>
      <c r="O195" t="n">
        <v>2019</v>
      </c>
      <c r="P195" t="n">
        <v>2040</v>
      </c>
      <c r="Q195" t="n">
        <v>0.4616</v>
      </c>
      <c r="R195" t="n">
        <v>591.6386</v>
      </c>
      <c r="S195" t="n">
        <v>0.00022349</v>
      </c>
      <c r="T195" t="n">
        <v>0.00047787</v>
      </c>
      <c r="U195" t="n">
        <v>3481.464</v>
      </c>
      <c r="V195" t="inlineStr">
        <is>
          <t>Provided Total Emissions</t>
        </is>
      </c>
      <c r="W195" t="b">
        <v>1</v>
      </c>
      <c r="X195" t="n">
        <v>4549.3567</v>
      </c>
      <c r="Y195" t="n">
        <v>55159.5976</v>
      </c>
      <c r="Z195" t="n">
        <v>1067.8927</v>
      </c>
      <c r="AA195" t="n">
        <v>51678.1336</v>
      </c>
      <c r="AB195" t="n">
        <v>0.306737</v>
      </c>
      <c r="AC195" t="n">
        <v>14.843794</v>
      </c>
      <c r="AD195" t="inlineStr">
        <is>
          <t>High</t>
        </is>
      </c>
      <c r="AE195" t="inlineStr">
        <is>
          <t>None</t>
        </is>
      </c>
      <c r="AF195" t="n">
        <v>0.95</v>
      </c>
      <c r="AG195" t="inlineStr">
        <is>
          <t>Valid</t>
        </is>
      </c>
    </row>
    <row r="196">
      <c r="A196" t="inlineStr">
        <is>
          <t>SUP-0020</t>
        </is>
      </c>
      <c r="B196" t="inlineStr">
        <is>
          <t>Logistics Supplier 020</t>
        </is>
      </c>
      <c r="C196" t="inlineStr">
        <is>
          <t>Logistics</t>
        </is>
      </c>
      <c r="D196" t="n">
        <v>2019</v>
      </c>
      <c r="E196" t="n">
        <v>19269545.46</v>
      </c>
      <c r="F196" t="n">
        <v>132983686.64</v>
      </c>
      <c r="G196" t="n">
        <v>2853.2387</v>
      </c>
      <c r="H196" t="n">
        <v>465.0825</v>
      </c>
      <c r="I196" t="n">
        <v>596.7748</v>
      </c>
      <c r="J196" t="n">
        <v>1833.9609</v>
      </c>
      <c r="K196" t="n">
        <v>2020</v>
      </c>
      <c r="L196" t="n">
        <v>2035</v>
      </c>
      <c r="M196" t="n">
        <v>0.668</v>
      </c>
      <c r="N196" t="n">
        <v>0.2613</v>
      </c>
      <c r="O196" t="n">
        <v>2019</v>
      </c>
      <c r="P196" t="n">
        <v>2040</v>
      </c>
      <c r="Q196" t="n">
        <v>0.4616</v>
      </c>
      <c r="R196" t="n">
        <v>591.6386</v>
      </c>
      <c r="S196" t="n">
        <v>0.00022349</v>
      </c>
      <c r="T196" t="n">
        <v>0.00047787</v>
      </c>
      <c r="U196" t="n">
        <v>2853.2387</v>
      </c>
      <c r="V196" t="inlineStr">
        <is>
          <t>Provided Total Emissions</t>
        </is>
      </c>
      <c r="W196" t="b">
        <v>1</v>
      </c>
      <c r="X196" t="n">
        <v>4306.5507</v>
      </c>
      <c r="Y196" t="n">
        <v>63548.9143</v>
      </c>
      <c r="Z196" t="n">
        <v>1453.312</v>
      </c>
      <c r="AA196" t="n">
        <v>60695.6756</v>
      </c>
      <c r="AB196" t="n">
        <v>0.509355</v>
      </c>
      <c r="AC196" t="n">
        <v>21.272554</v>
      </c>
      <c r="AD196" t="inlineStr">
        <is>
          <t>High</t>
        </is>
      </c>
      <c r="AE196" t="inlineStr">
        <is>
          <t>None</t>
        </is>
      </c>
      <c r="AF196" t="n">
        <v>0.95</v>
      </c>
      <c r="AG196" t="inlineStr">
        <is>
          <t>Valid</t>
        </is>
      </c>
    </row>
    <row r="197">
      <c r="A197" t="inlineStr">
        <is>
          <t>SUP-0020</t>
        </is>
      </c>
      <c r="B197" t="inlineStr">
        <is>
          <t>Logistics Supplier 020</t>
        </is>
      </c>
      <c r="C197" t="inlineStr">
        <is>
          <t>Logistics</t>
        </is>
      </c>
      <c r="D197" t="n">
        <v>2020</v>
      </c>
      <c r="E197" t="n">
        <v>19826889.65</v>
      </c>
      <c r="F197" t="n">
        <v>168332883.14</v>
      </c>
      <c r="G197" t="n">
        <v>3133.1158</v>
      </c>
      <c r="H197" t="n">
        <v>809.2578</v>
      </c>
      <c r="I197" t="n">
        <v>552.4873</v>
      </c>
      <c r="J197" t="n">
        <v>1960.0902</v>
      </c>
      <c r="K197" t="n">
        <v>2020</v>
      </c>
      <c r="L197" t="n">
        <v>2035</v>
      </c>
      <c r="M197" t="n">
        <v>0.668</v>
      </c>
      <c r="N197" t="n">
        <v>0.2613</v>
      </c>
      <c r="O197" t="n">
        <v>2019</v>
      </c>
      <c r="P197" t="n">
        <v>2040</v>
      </c>
      <c r="Q197" t="n">
        <v>0.4616</v>
      </c>
      <c r="R197" t="n">
        <v>591.6386</v>
      </c>
      <c r="S197" t="n">
        <v>0.00022349</v>
      </c>
      <c r="T197" t="n">
        <v>0.00047787</v>
      </c>
      <c r="U197" t="n">
        <v>3133.1158</v>
      </c>
      <c r="V197" t="inlineStr">
        <is>
          <t>Provided Total Emissions</t>
        </is>
      </c>
      <c r="W197" t="b">
        <v>1</v>
      </c>
      <c r="X197" t="n">
        <v>4431.1116</v>
      </c>
      <c r="Y197" t="n">
        <v>80441.2349</v>
      </c>
      <c r="Z197" t="n">
        <v>1297.9958</v>
      </c>
      <c r="AA197" t="n">
        <v>77308.1191</v>
      </c>
      <c r="AB197" t="n">
        <v>0.414283</v>
      </c>
      <c r="AC197" t="n">
        <v>24.674517</v>
      </c>
      <c r="AD197" t="inlineStr">
        <is>
          <t>High</t>
        </is>
      </c>
      <c r="AE197" t="inlineStr">
        <is>
          <t>None</t>
        </is>
      </c>
      <c r="AF197" t="n">
        <v>0.95</v>
      </c>
      <c r="AG197" t="inlineStr">
        <is>
          <t>Valid</t>
        </is>
      </c>
    </row>
    <row r="198">
      <c r="A198" t="inlineStr">
        <is>
          <t>SUP-0020</t>
        </is>
      </c>
      <c r="B198" t="inlineStr">
        <is>
          <t>Logistics Supplier 020</t>
        </is>
      </c>
      <c r="C198" t="inlineStr">
        <is>
          <t>Logistics</t>
        </is>
      </c>
      <c r="D198" t="n">
        <v>2021</v>
      </c>
      <c r="E198" t="n">
        <v>26660563.14</v>
      </c>
      <c r="F198" t="n">
        <v>149710155.19</v>
      </c>
      <c r="G198" t="n">
        <v>3108.732</v>
      </c>
      <c r="H198" t="n">
        <v>814.2219</v>
      </c>
      <c r="I198" t="n">
        <v>305.4906</v>
      </c>
      <c r="J198" t="n">
        <v>2122.8596</v>
      </c>
      <c r="K198" t="n">
        <v>2020</v>
      </c>
      <c r="L198" t="n">
        <v>2035</v>
      </c>
      <c r="M198" t="n">
        <v>0.668</v>
      </c>
      <c r="N198" t="n">
        <v>0.2613</v>
      </c>
      <c r="O198" t="n">
        <v>2019</v>
      </c>
      <c r="P198" t="n">
        <v>2040</v>
      </c>
      <c r="Q198" t="n">
        <v>0.4616</v>
      </c>
      <c r="R198" t="n">
        <v>591.6386</v>
      </c>
      <c r="S198" t="n">
        <v>0.00022349</v>
      </c>
      <c r="T198" t="n">
        <v>0.00047787</v>
      </c>
      <c r="U198" t="n">
        <v>3108.732</v>
      </c>
      <c r="V198" t="inlineStr">
        <is>
          <t>Provided Total Emissions</t>
        </is>
      </c>
      <c r="W198" t="b">
        <v>1</v>
      </c>
      <c r="X198" t="n">
        <v>5958.3693</v>
      </c>
      <c r="Y198" t="n">
        <v>71541.99189999999</v>
      </c>
      <c r="Z198" t="n">
        <v>2849.6373</v>
      </c>
      <c r="AA198" t="n">
        <v>68433.2599</v>
      </c>
      <c r="AB198" t="n">
        <v>0.916656</v>
      </c>
      <c r="AC198" t="n">
        <v>22.013239</v>
      </c>
      <c r="AD198" t="inlineStr">
        <is>
          <t>High</t>
        </is>
      </c>
      <c r="AE198" t="inlineStr">
        <is>
          <t>None</t>
        </is>
      </c>
      <c r="AF198" t="n">
        <v>0.95</v>
      </c>
      <c r="AG198" t="inlineStr">
        <is>
          <t>Valid</t>
        </is>
      </c>
    </row>
    <row r="199">
      <c r="A199" t="inlineStr">
        <is>
          <t>SUP-0020</t>
        </is>
      </c>
      <c r="B199" t="inlineStr">
        <is>
          <t>Logistics Supplier 020</t>
        </is>
      </c>
      <c r="C199" t="inlineStr">
        <is>
          <t>Logistics</t>
        </is>
      </c>
      <c r="D199" t="n">
        <v>2022</v>
      </c>
      <c r="E199" t="n">
        <v>24939588.08</v>
      </c>
      <c r="F199" t="n">
        <v>154753318.7</v>
      </c>
      <c r="G199" t="n">
        <v>3414.0058</v>
      </c>
      <c r="H199" t="n">
        <v>387.0745</v>
      </c>
      <c r="I199" t="n">
        <v>618.3887999999999</v>
      </c>
      <c r="J199" t="n">
        <v>2413.9488</v>
      </c>
      <c r="K199" t="n">
        <v>2020</v>
      </c>
      <c r="L199" t="n">
        <v>2035</v>
      </c>
      <c r="M199" t="n">
        <v>0.668</v>
      </c>
      <c r="N199" t="n">
        <v>0.2613</v>
      </c>
      <c r="O199" t="n">
        <v>2019</v>
      </c>
      <c r="P199" t="n">
        <v>2040</v>
      </c>
      <c r="Q199" t="n">
        <v>0.4616</v>
      </c>
      <c r="R199" t="n">
        <v>591.6386</v>
      </c>
      <c r="S199" t="n">
        <v>0.00022349</v>
      </c>
      <c r="T199" t="n">
        <v>0.00047787</v>
      </c>
      <c r="U199" t="n">
        <v>3414.0058</v>
      </c>
      <c r="V199" t="inlineStr">
        <is>
          <t>Provided Total Emissions</t>
        </is>
      </c>
      <c r="W199" t="b">
        <v>1</v>
      </c>
      <c r="X199" t="n">
        <v>5573.7485</v>
      </c>
      <c r="Y199" t="n">
        <v>73951.9684</v>
      </c>
      <c r="Z199" t="n">
        <v>2159.7427</v>
      </c>
      <c r="AA199" t="n">
        <v>70537.9626</v>
      </c>
      <c r="AB199" t="n">
        <v>0.632612</v>
      </c>
      <c r="AC199" t="n">
        <v>20.661348</v>
      </c>
      <c r="AD199" t="inlineStr">
        <is>
          <t>High</t>
        </is>
      </c>
      <c r="AE199" t="inlineStr">
        <is>
          <t>None</t>
        </is>
      </c>
      <c r="AF199" t="n">
        <v>0.95</v>
      </c>
      <c r="AG199" t="inlineStr">
        <is>
          <t>Valid</t>
        </is>
      </c>
    </row>
    <row r="200">
      <c r="A200" t="inlineStr">
        <is>
          <t>SUP-0020</t>
        </is>
      </c>
      <c r="B200" t="inlineStr">
        <is>
          <t>Logistics Supplier 020</t>
        </is>
      </c>
      <c r="C200" t="inlineStr">
        <is>
          <t>Logistics</t>
        </is>
      </c>
      <c r="D200" t="n">
        <v>2023</v>
      </c>
      <c r="E200" t="n">
        <v>24539327.17</v>
      </c>
      <c r="F200" t="n">
        <v>202551178.46</v>
      </c>
      <c r="G200" t="n">
        <v>4268.9436</v>
      </c>
      <c r="H200" t="n">
        <v>558.3005000000001</v>
      </c>
      <c r="I200" t="n">
        <v>565.1122</v>
      </c>
      <c r="J200" t="n">
        <v>3206.3475</v>
      </c>
      <c r="K200" t="n">
        <v>2020</v>
      </c>
      <c r="L200" t="n">
        <v>2035</v>
      </c>
      <c r="M200" t="n">
        <v>0.668</v>
      </c>
      <c r="N200" t="n">
        <v>0.2613</v>
      </c>
      <c r="O200" t="n">
        <v>2019</v>
      </c>
      <c r="P200" t="n">
        <v>2040</v>
      </c>
      <c r="Q200" t="n">
        <v>0.4616</v>
      </c>
      <c r="R200" t="n">
        <v>591.6386</v>
      </c>
      <c r="S200" t="n">
        <v>0.00022349</v>
      </c>
      <c r="T200" t="n">
        <v>0.00047787</v>
      </c>
      <c r="U200" t="n">
        <v>4268.9436</v>
      </c>
      <c r="V200" t="inlineStr">
        <is>
          <t>Provided Total Emissions</t>
        </is>
      </c>
      <c r="W200" t="b">
        <v>1</v>
      </c>
      <c r="X200" t="n">
        <v>5484.2942</v>
      </c>
      <c r="Y200" t="n">
        <v>96793.1317</v>
      </c>
      <c r="Z200" t="n">
        <v>1215.3506</v>
      </c>
      <c r="AA200" t="n">
        <v>92524.1881</v>
      </c>
      <c r="AB200" t="n">
        <v>0.284696</v>
      </c>
      <c r="AC200" t="n">
        <v>21.67379</v>
      </c>
      <c r="AD200" t="inlineStr">
        <is>
          <t>High</t>
        </is>
      </c>
      <c r="AE200" t="inlineStr">
        <is>
          <t>None</t>
        </is>
      </c>
      <c r="AF200" t="n">
        <v>0.95</v>
      </c>
      <c r="AG200" t="inlineStr">
        <is>
          <t>Valid</t>
        </is>
      </c>
    </row>
    <row r="201">
      <c r="A201" t="inlineStr">
        <is>
          <t>SUP-0020</t>
        </is>
      </c>
      <c r="B201" t="inlineStr">
        <is>
          <t>Logistics Supplier 020</t>
        </is>
      </c>
      <c r="C201" t="inlineStr">
        <is>
          <t>Logistics</t>
        </is>
      </c>
      <c r="D201" t="n">
        <v>2024</v>
      </c>
      <c r="E201" t="n">
        <v>28872722.48</v>
      </c>
      <c r="F201" t="n">
        <v>176082919.37</v>
      </c>
      <c r="G201" t="n">
        <v>3896.7543</v>
      </c>
      <c r="H201" t="n">
        <v>571.8148</v>
      </c>
      <c r="I201" t="n">
        <v>731.9186</v>
      </c>
      <c r="J201" t="n">
        <v>2469.7873</v>
      </c>
      <c r="K201" t="n">
        <v>2020</v>
      </c>
      <c r="L201" t="n">
        <v>2035</v>
      </c>
      <c r="M201" t="n">
        <v>0.668</v>
      </c>
      <c r="N201" t="n">
        <v>0.2613</v>
      </c>
      <c r="O201" t="n">
        <v>2019</v>
      </c>
      <c r="P201" t="n">
        <v>2040</v>
      </c>
      <c r="Q201" t="n">
        <v>0.4616</v>
      </c>
      <c r="R201" t="n">
        <v>591.6386</v>
      </c>
      <c r="S201" t="n">
        <v>0.00022349</v>
      </c>
      <c r="T201" t="n">
        <v>0.00047787</v>
      </c>
      <c r="U201" t="n">
        <v>3896.7543</v>
      </c>
      <c r="V201" t="inlineStr">
        <is>
          <t>Provided Total Emissions</t>
        </is>
      </c>
      <c r="W201" t="b">
        <v>1</v>
      </c>
      <c r="X201" t="n">
        <v>6452.7647</v>
      </c>
      <c r="Y201" t="n">
        <v>84144.7447</v>
      </c>
      <c r="Z201" t="n">
        <v>2556.0104</v>
      </c>
      <c r="AA201" t="n">
        <v>80247.9904</v>
      </c>
      <c r="AB201" t="n">
        <v>0.655933</v>
      </c>
      <c r="AC201" t="n">
        <v>20.593546</v>
      </c>
      <c r="AD201" t="inlineStr">
        <is>
          <t>High</t>
        </is>
      </c>
      <c r="AE201" t="inlineStr">
        <is>
          <t>None</t>
        </is>
      </c>
      <c r="AF201" t="n">
        <v>0.95</v>
      </c>
      <c r="AG201" t="inlineStr">
        <is>
          <t>Valid</t>
        </is>
      </c>
    </row>
    <row r="202">
      <c r="A202" t="inlineStr">
        <is>
          <t>SUP-0021</t>
        </is>
      </c>
      <c r="B202" t="inlineStr">
        <is>
          <t>Textiles Supplier 021</t>
        </is>
      </c>
      <c r="C202" t="inlineStr">
        <is>
          <t>Textiles</t>
        </is>
      </c>
      <c r="D202" t="n">
        <v>2015</v>
      </c>
      <c r="E202" t="n">
        <v>6392089.25</v>
      </c>
      <c r="F202" t="n">
        <v>38559902.55</v>
      </c>
      <c r="G202" t="n">
        <v>2699.1645</v>
      </c>
      <c r="H202" t="n">
        <v>470.7515</v>
      </c>
      <c r="I202" t="n">
        <v>440.56</v>
      </c>
      <c r="J202" t="n">
        <v>1642.4406</v>
      </c>
      <c r="K202" t="n">
        <v>2018</v>
      </c>
      <c r="L202" t="n">
        <v>2030</v>
      </c>
      <c r="M202" t="n">
        <v>0.4825</v>
      </c>
      <c r="N202" t="n">
        <v>0.2517</v>
      </c>
      <c r="O202" t="n">
        <v>2019</v>
      </c>
      <c r="P202" t="n">
        <v>2030</v>
      </c>
      <c r="Q202" t="n">
        <v>0.3171</v>
      </c>
      <c r="R202" t="n">
        <v>401.7335</v>
      </c>
      <c r="S202" t="n">
        <v>0.00029221</v>
      </c>
      <c r="T202" t="n">
        <v>0.00017343</v>
      </c>
      <c r="U202" t="n">
        <v>2699.1645</v>
      </c>
      <c r="V202" t="inlineStr">
        <is>
          <t>Provided Total Emissions</t>
        </is>
      </c>
      <c r="W202" t="b">
        <v>1</v>
      </c>
      <c r="X202" t="n">
        <v>1867.8324</v>
      </c>
      <c r="Y202" t="n">
        <v>6687.4439</v>
      </c>
      <c r="Z202" t="n">
        <v>-831.3321</v>
      </c>
      <c r="AA202" t="n">
        <v>3988.2794</v>
      </c>
      <c r="AB202" t="n">
        <v>-0.307996</v>
      </c>
      <c r="AC202" t="n">
        <v>1.477598</v>
      </c>
      <c r="AD202" t="inlineStr">
        <is>
          <t>High</t>
        </is>
      </c>
      <c r="AE202" t="inlineStr">
        <is>
          <t>None</t>
        </is>
      </c>
      <c r="AF202" t="n">
        <v>0.95</v>
      </c>
      <c r="AG202" t="inlineStr">
        <is>
          <t>Valid</t>
        </is>
      </c>
    </row>
    <row r="203">
      <c r="A203" t="inlineStr">
        <is>
          <t>SUP-0021</t>
        </is>
      </c>
      <c r="B203" t="inlineStr">
        <is>
          <t>Textiles Supplier 021</t>
        </is>
      </c>
      <c r="C203" t="inlineStr">
        <is>
          <t>Textiles</t>
        </is>
      </c>
      <c r="D203" t="n">
        <v>2016</v>
      </c>
      <c r="E203" t="n">
        <v>5726914.02</v>
      </c>
      <c r="F203" t="n">
        <v>34789295.99</v>
      </c>
      <c r="G203" t="n">
        <v>2198.746</v>
      </c>
      <c r="H203" t="n">
        <v>611.4398</v>
      </c>
      <c r="I203" t="n">
        <v>189.1185</v>
      </c>
      <c r="J203" t="n">
        <v>1432.1347</v>
      </c>
      <c r="K203" t="n">
        <v>2018</v>
      </c>
      <c r="L203" t="n">
        <v>2030</v>
      </c>
      <c r="M203" t="n">
        <v>0.4825</v>
      </c>
      <c r="N203" t="n">
        <v>0.2517</v>
      </c>
      <c r="O203" t="n">
        <v>2019</v>
      </c>
      <c r="P203" t="n">
        <v>2030</v>
      </c>
      <c r="Q203" t="n">
        <v>0.3171</v>
      </c>
      <c r="R203" t="n">
        <v>401.7335</v>
      </c>
      <c r="S203" t="n">
        <v>0.00029221</v>
      </c>
      <c r="T203" t="n">
        <v>0.00017343</v>
      </c>
      <c r="U203" t="n">
        <v>2198.746</v>
      </c>
      <c r="V203" t="inlineStr">
        <is>
          <t>Provided Total Emissions</t>
        </is>
      </c>
      <c r="W203" t="b">
        <v>1</v>
      </c>
      <c r="X203" t="n">
        <v>1673.4615</v>
      </c>
      <c r="Y203" t="n">
        <v>6033.5076</v>
      </c>
      <c r="Z203" t="n">
        <v>-525.2845</v>
      </c>
      <c r="AA203" t="n">
        <v>3834.7616</v>
      </c>
      <c r="AB203" t="n">
        <v>-0.238902</v>
      </c>
      <c r="AC203" t="n">
        <v>1.744068</v>
      </c>
      <c r="AD203" t="inlineStr">
        <is>
          <t>High</t>
        </is>
      </c>
      <c r="AE203" t="inlineStr">
        <is>
          <t>None</t>
        </is>
      </c>
      <c r="AF203" t="n">
        <v>0.95</v>
      </c>
      <c r="AG203" t="inlineStr">
        <is>
          <t>Valid</t>
        </is>
      </c>
    </row>
    <row r="204">
      <c r="A204" t="inlineStr">
        <is>
          <t>SUP-0021</t>
        </is>
      </c>
      <c r="B204" t="inlineStr">
        <is>
          <t>Textiles Supplier 021</t>
        </is>
      </c>
      <c r="C204" t="inlineStr">
        <is>
          <t>Textiles</t>
        </is>
      </c>
      <c r="D204" t="n">
        <v>2017</v>
      </c>
      <c r="E204" t="n">
        <v>5455132.56</v>
      </c>
      <c r="F204" t="n">
        <v>32944362.66</v>
      </c>
      <c r="G204" t="n">
        <v>1801.5371</v>
      </c>
      <c r="H204" t="n">
        <v>200.4707</v>
      </c>
      <c r="I204" t="n">
        <v>153.1774</v>
      </c>
      <c r="J204" t="n">
        <v>1637.2568</v>
      </c>
      <c r="K204" t="n">
        <v>2018</v>
      </c>
      <c r="L204" t="n">
        <v>2030</v>
      </c>
      <c r="M204" t="n">
        <v>0.4825</v>
      </c>
      <c r="N204" t="n">
        <v>0.2517</v>
      </c>
      <c r="O204" t="n">
        <v>2019</v>
      </c>
      <c r="P204" t="n">
        <v>2030</v>
      </c>
      <c r="Q204" t="n">
        <v>0.3171</v>
      </c>
      <c r="R204" t="n">
        <v>401.7335</v>
      </c>
      <c r="S204" t="n">
        <v>0.00029221</v>
      </c>
      <c r="T204" t="n">
        <v>0.00017343</v>
      </c>
      <c r="U204" t="n">
        <v>1801.5371</v>
      </c>
      <c r="V204" t="inlineStr">
        <is>
          <t>Provided Total Emissions</t>
        </is>
      </c>
      <c r="W204" t="b">
        <v>1</v>
      </c>
      <c r="X204" t="n">
        <v>1594.0443</v>
      </c>
      <c r="Y204" t="n">
        <v>5713.5408</v>
      </c>
      <c r="Z204" t="n">
        <v>-207.4928</v>
      </c>
      <c r="AA204" t="n">
        <v>3912.0037</v>
      </c>
      <c r="AB204" t="n">
        <v>-0.115175</v>
      </c>
      <c r="AC204" t="n">
        <v>2.171481</v>
      </c>
      <c r="AD204" t="inlineStr">
        <is>
          <t>High</t>
        </is>
      </c>
      <c r="AE204" t="inlineStr">
        <is>
          <t>None</t>
        </is>
      </c>
      <c r="AF204" t="n">
        <v>0.95</v>
      </c>
      <c r="AG204" t="inlineStr">
        <is>
          <t>Valid</t>
        </is>
      </c>
    </row>
    <row r="205">
      <c r="A205" t="inlineStr">
        <is>
          <t>SUP-0021</t>
        </is>
      </c>
      <c r="B205" t="inlineStr">
        <is>
          <t>Textiles Supplier 021</t>
        </is>
      </c>
      <c r="C205" t="inlineStr">
        <is>
          <t>Textiles</t>
        </is>
      </c>
      <c r="D205" t="n">
        <v>2018</v>
      </c>
      <c r="E205" t="n">
        <v>5152368.7</v>
      </c>
      <c r="F205" t="n">
        <v>32682807.82</v>
      </c>
      <c r="G205" t="n">
        <v>1637.445</v>
      </c>
      <c r="H205" t="n">
        <v>231.4642</v>
      </c>
      <c r="I205" t="n">
        <v>286.3204</v>
      </c>
      <c r="J205" t="n">
        <v>955.4575</v>
      </c>
      <c r="K205" t="n">
        <v>2018</v>
      </c>
      <c r="L205" t="n">
        <v>2030</v>
      </c>
      <c r="M205" t="n">
        <v>0.4825</v>
      </c>
      <c r="N205" t="n">
        <v>0.2517</v>
      </c>
      <c r="O205" t="n">
        <v>2019</v>
      </c>
      <c r="P205" t="n">
        <v>2030</v>
      </c>
      <c r="Q205" t="n">
        <v>0.3171</v>
      </c>
      <c r="R205" t="n">
        <v>401.7335</v>
      </c>
      <c r="S205" t="n">
        <v>0.00029221</v>
      </c>
      <c r="T205" t="n">
        <v>0.00017343</v>
      </c>
      <c r="U205" t="n">
        <v>1637.445</v>
      </c>
      <c r="V205" t="inlineStr">
        <is>
          <t>Provided Total Emissions</t>
        </is>
      </c>
      <c r="W205" t="b">
        <v>1</v>
      </c>
      <c r="X205" t="n">
        <v>1505.5737</v>
      </c>
      <c r="Y205" t="n">
        <v>5668.1794</v>
      </c>
      <c r="Z205" t="n">
        <v>-131.8713</v>
      </c>
      <c r="AA205" t="n">
        <v>4030.7344</v>
      </c>
      <c r="AB205" t="n">
        <v>-0.080535</v>
      </c>
      <c r="AC205" t="n">
        <v>2.4616</v>
      </c>
      <c r="AD205" t="inlineStr">
        <is>
          <t>High</t>
        </is>
      </c>
      <c r="AE205" t="inlineStr">
        <is>
          <t>None</t>
        </is>
      </c>
      <c r="AF205" t="n">
        <v>0.95</v>
      </c>
      <c r="AG205" t="inlineStr">
        <is>
          <t>Valid</t>
        </is>
      </c>
    </row>
    <row r="206">
      <c r="A206" t="inlineStr">
        <is>
          <t>SUP-0021</t>
        </is>
      </c>
      <c r="B206" t="inlineStr">
        <is>
          <t>Textiles Supplier 021</t>
        </is>
      </c>
      <c r="C206" t="inlineStr">
        <is>
          <t>Textiles</t>
        </is>
      </c>
      <c r="D206" t="n">
        <v>2019</v>
      </c>
      <c r="E206" t="n">
        <v>5284885.05</v>
      </c>
      <c r="F206" t="n">
        <v>30701259.56</v>
      </c>
      <c r="G206" t="n">
        <v>1439.1483</v>
      </c>
      <c r="H206" t="n">
        <v>363.0174</v>
      </c>
      <c r="I206" t="n">
        <v>318.7144</v>
      </c>
      <c r="J206" t="n">
        <v>828.9106</v>
      </c>
      <c r="K206" t="n">
        <v>2018</v>
      </c>
      <c r="L206" t="n">
        <v>2030</v>
      </c>
      <c r="M206" t="n">
        <v>0.4825</v>
      </c>
      <c r="N206" t="n">
        <v>0.2517</v>
      </c>
      <c r="O206" t="n">
        <v>2019</v>
      </c>
      <c r="P206" t="n">
        <v>2030</v>
      </c>
      <c r="Q206" t="n">
        <v>0.3171</v>
      </c>
      <c r="R206" t="n">
        <v>401.7335</v>
      </c>
      <c r="S206" t="n">
        <v>0.00029221</v>
      </c>
      <c r="T206" t="n">
        <v>0.00017343</v>
      </c>
      <c r="U206" t="n">
        <v>1439.1483</v>
      </c>
      <c r="V206" t="inlineStr">
        <is>
          <t>Provided Total Emissions</t>
        </is>
      </c>
      <c r="W206" t="b">
        <v>1</v>
      </c>
      <c r="X206" t="n">
        <v>1544.2963</v>
      </c>
      <c r="Y206" t="n">
        <v>5324.5194</v>
      </c>
      <c r="Z206" t="n">
        <v>105.148</v>
      </c>
      <c r="AA206" t="n">
        <v>3885.3711</v>
      </c>
      <c r="AB206" t="n">
        <v>0.073063</v>
      </c>
      <c r="AC206" t="n">
        <v>2.699771</v>
      </c>
      <c r="AD206" t="inlineStr">
        <is>
          <t>High</t>
        </is>
      </c>
      <c r="AE206" t="inlineStr">
        <is>
          <t>None</t>
        </is>
      </c>
      <c r="AF206" t="n">
        <v>0.95</v>
      </c>
      <c r="AG206" t="inlineStr">
        <is>
          <t>Valid</t>
        </is>
      </c>
    </row>
    <row r="207">
      <c r="A207" t="inlineStr">
        <is>
          <t>SUP-0021</t>
        </is>
      </c>
      <c r="B207" t="inlineStr">
        <is>
          <t>Textiles Supplier 021</t>
        </is>
      </c>
      <c r="C207" t="inlineStr">
        <is>
          <t>Textiles</t>
        </is>
      </c>
      <c r="D207" t="n">
        <v>2020</v>
      </c>
      <c r="E207" t="n">
        <v>5611368.32</v>
      </c>
      <c r="F207" t="n">
        <v>30834914.46</v>
      </c>
      <c r="G207" t="n">
        <v>1787.662</v>
      </c>
      <c r="H207" t="n">
        <v>221.1469</v>
      </c>
      <c r="I207" t="n">
        <v>129.9472</v>
      </c>
      <c r="J207" t="n">
        <v>1548.2307</v>
      </c>
      <c r="K207" t="n">
        <v>2018</v>
      </c>
      <c r="L207" t="n">
        <v>2030</v>
      </c>
      <c r="M207" t="n">
        <v>0.4825</v>
      </c>
      <c r="N207" t="n">
        <v>0.2517</v>
      </c>
      <c r="O207" t="n">
        <v>2019</v>
      </c>
      <c r="P207" t="n">
        <v>2030</v>
      </c>
      <c r="Q207" t="n">
        <v>0.3171</v>
      </c>
      <c r="R207" t="n">
        <v>401.7335</v>
      </c>
      <c r="S207" t="n">
        <v>0.00029221</v>
      </c>
      <c r="T207" t="n">
        <v>0.00017343</v>
      </c>
      <c r="U207" t="n">
        <v>1787.662</v>
      </c>
      <c r="V207" t="inlineStr">
        <is>
          <t>Provided Total Emissions</t>
        </is>
      </c>
      <c r="W207" t="b">
        <v>1</v>
      </c>
      <c r="X207" t="n">
        <v>1639.6979</v>
      </c>
      <c r="Y207" t="n">
        <v>5347.6992</v>
      </c>
      <c r="Z207" t="n">
        <v>-147.9641</v>
      </c>
      <c r="AA207" t="n">
        <v>3560.0372</v>
      </c>
      <c r="AB207" t="n">
        <v>-0.08277</v>
      </c>
      <c r="AC207" t="n">
        <v>1.991449</v>
      </c>
      <c r="AD207" t="inlineStr">
        <is>
          <t>High</t>
        </is>
      </c>
      <c r="AE207" t="inlineStr">
        <is>
          <t>None</t>
        </is>
      </c>
      <c r="AF207" t="n">
        <v>0.95</v>
      </c>
      <c r="AG207" t="inlineStr">
        <is>
          <t>Valid</t>
        </is>
      </c>
    </row>
    <row r="208">
      <c r="A208" t="inlineStr">
        <is>
          <t>SUP-0021</t>
        </is>
      </c>
      <c r="B208" t="inlineStr">
        <is>
          <t>Textiles Supplier 021</t>
        </is>
      </c>
      <c r="C208" t="inlineStr">
        <is>
          <t>Textiles</t>
        </is>
      </c>
      <c r="D208" t="n">
        <v>2021</v>
      </c>
      <c r="E208" t="n">
        <v>5521619.15</v>
      </c>
      <c r="F208" t="n">
        <v>28600789.2</v>
      </c>
      <c r="G208" t="n">
        <v>1677.4609</v>
      </c>
      <c r="H208" t="n">
        <v>241.9544</v>
      </c>
      <c r="I208" t="n">
        <v>283.0725</v>
      </c>
      <c r="J208" t="n">
        <v>1131.4733</v>
      </c>
      <c r="K208" t="n">
        <v>2018</v>
      </c>
      <c r="L208" t="n">
        <v>2030</v>
      </c>
      <c r="M208" t="n">
        <v>0.4825</v>
      </c>
      <c r="N208" t="n">
        <v>0.2517</v>
      </c>
      <c r="O208" t="n">
        <v>2019</v>
      </c>
      <c r="P208" t="n">
        <v>2030</v>
      </c>
      <c r="Q208" t="n">
        <v>0.3171</v>
      </c>
      <c r="R208" t="n">
        <v>401.7335</v>
      </c>
      <c r="S208" t="n">
        <v>0.00029221</v>
      </c>
      <c r="T208" t="n">
        <v>0.00017343</v>
      </c>
      <c r="U208" t="n">
        <v>1677.4609</v>
      </c>
      <c r="V208" t="inlineStr">
        <is>
          <t>Provided Total Emissions</t>
        </is>
      </c>
      <c r="W208" t="b">
        <v>1</v>
      </c>
      <c r="X208" t="n">
        <v>1613.4723</v>
      </c>
      <c r="Y208" t="n">
        <v>4960.2349</v>
      </c>
      <c r="Z208" t="n">
        <v>-63.9886</v>
      </c>
      <c r="AA208" t="n">
        <v>3282.774</v>
      </c>
      <c r="AB208" t="n">
        <v>-0.038146</v>
      </c>
      <c r="AC208" t="n">
        <v>1.95699</v>
      </c>
      <c r="AD208" t="inlineStr">
        <is>
          <t>High</t>
        </is>
      </c>
      <c r="AE208" t="inlineStr">
        <is>
          <t>None</t>
        </is>
      </c>
      <c r="AF208" t="n">
        <v>0.95</v>
      </c>
      <c r="AG208" t="inlineStr">
        <is>
          <t>Valid</t>
        </is>
      </c>
    </row>
    <row r="209">
      <c r="A209" t="inlineStr">
        <is>
          <t>SUP-0021</t>
        </is>
      </c>
      <c r="B209" t="inlineStr">
        <is>
          <t>Textiles Supplier 021</t>
        </is>
      </c>
      <c r="C209" t="inlineStr">
        <is>
          <t>Textiles</t>
        </is>
      </c>
      <c r="D209" t="n">
        <v>2022</v>
      </c>
      <c r="E209" t="n">
        <v>4763731.94</v>
      </c>
      <c r="F209" t="n">
        <v>32917986.02</v>
      </c>
      <c r="G209" t="n">
        <v>1012.5026</v>
      </c>
      <c r="H209" t="n">
        <v>130.1267</v>
      </c>
      <c r="I209" t="n">
        <v>139.0924</v>
      </c>
      <c r="J209" t="n">
        <v>773.2897</v>
      </c>
      <c r="K209" t="n">
        <v>2018</v>
      </c>
      <c r="L209" t="n">
        <v>2030</v>
      </c>
      <c r="M209" t="n">
        <v>0.4825</v>
      </c>
      <c r="N209" t="n">
        <v>0.2517</v>
      </c>
      <c r="O209" t="n">
        <v>2019</v>
      </c>
      <c r="P209" t="n">
        <v>2030</v>
      </c>
      <c r="Q209" t="n">
        <v>0.3171</v>
      </c>
      <c r="R209" t="n">
        <v>401.7335</v>
      </c>
      <c r="S209" t="n">
        <v>0.00029221</v>
      </c>
      <c r="T209" t="n">
        <v>0.00017343</v>
      </c>
      <c r="U209" t="n">
        <v>1012.5026</v>
      </c>
      <c r="V209" t="inlineStr">
        <is>
          <t>Provided Total Emissions</t>
        </is>
      </c>
      <c r="W209" t="b">
        <v>1</v>
      </c>
      <c r="X209" t="n">
        <v>1392.0101</v>
      </c>
      <c r="Y209" t="n">
        <v>5708.9663</v>
      </c>
      <c r="Z209" t="n">
        <v>379.5075</v>
      </c>
      <c r="AA209" t="n">
        <v>4696.4637</v>
      </c>
      <c r="AB209" t="n">
        <v>0.374821</v>
      </c>
      <c r="AC209" t="n">
        <v>4.638471</v>
      </c>
      <c r="AD209" t="inlineStr">
        <is>
          <t>High</t>
        </is>
      </c>
      <c r="AE209" t="inlineStr">
        <is>
          <t>None</t>
        </is>
      </c>
      <c r="AF209" t="n">
        <v>0.95</v>
      </c>
      <c r="AG209" t="inlineStr">
        <is>
          <t>Valid</t>
        </is>
      </c>
    </row>
    <row r="210">
      <c r="A210" t="inlineStr">
        <is>
          <t>SUP-0021</t>
        </is>
      </c>
      <c r="B210" t="inlineStr">
        <is>
          <t>Textiles Supplier 021</t>
        </is>
      </c>
      <c r="C210" t="inlineStr">
        <is>
          <t>Textiles</t>
        </is>
      </c>
      <c r="D210" t="n">
        <v>2023</v>
      </c>
      <c r="E210" t="n">
        <v>4711664.55</v>
      </c>
      <c r="F210" t="n">
        <v>38380495.16</v>
      </c>
      <c r="G210" t="n">
        <v>1341.5257</v>
      </c>
      <c r="H210" t="n">
        <v>302.7368</v>
      </c>
      <c r="I210" t="n">
        <v>177.6983</v>
      </c>
      <c r="J210" t="n">
        <v>816.4175</v>
      </c>
      <c r="K210" t="n">
        <v>2018</v>
      </c>
      <c r="L210" t="n">
        <v>2030</v>
      </c>
      <c r="M210" t="n">
        <v>0.4825</v>
      </c>
      <c r="N210" t="n">
        <v>0.2517</v>
      </c>
      <c r="O210" t="n">
        <v>2019</v>
      </c>
      <c r="P210" t="n">
        <v>2030</v>
      </c>
      <c r="Q210" t="n">
        <v>0.3171</v>
      </c>
      <c r="R210" t="n">
        <v>401.7335</v>
      </c>
      <c r="S210" t="n">
        <v>0.00029221</v>
      </c>
      <c r="T210" t="n">
        <v>0.00017343</v>
      </c>
      <c r="U210" t="n">
        <v>1341.5257</v>
      </c>
      <c r="V210" t="inlineStr">
        <is>
          <t>Provided Total Emissions</t>
        </is>
      </c>
      <c r="W210" t="b">
        <v>1</v>
      </c>
      <c r="X210" t="n">
        <v>1376.7955</v>
      </c>
      <c r="Y210" t="n">
        <v>6656.3293</v>
      </c>
      <c r="Z210" t="n">
        <v>35.2698</v>
      </c>
      <c r="AA210" t="n">
        <v>5314.8036</v>
      </c>
      <c r="AB210" t="n">
        <v>0.026291</v>
      </c>
      <c r="AC210" t="n">
        <v>3.961761</v>
      </c>
      <c r="AD210" t="inlineStr">
        <is>
          <t>High</t>
        </is>
      </c>
      <c r="AE210" t="inlineStr">
        <is>
          <t>None</t>
        </is>
      </c>
      <c r="AF210" t="n">
        <v>0.95</v>
      </c>
      <c r="AG210" t="inlineStr">
        <is>
          <t>Valid</t>
        </is>
      </c>
    </row>
    <row r="211">
      <c r="A211" t="inlineStr">
        <is>
          <t>SUP-0021</t>
        </is>
      </c>
      <c r="B211" t="inlineStr">
        <is>
          <t>Textiles Supplier 021</t>
        </is>
      </c>
      <c r="C211" t="inlineStr">
        <is>
          <t>Textiles</t>
        </is>
      </c>
      <c r="D211" t="n">
        <v>2024</v>
      </c>
      <c r="E211" t="n">
        <v>4926592.51</v>
      </c>
      <c r="F211" t="n">
        <v>36793939.37</v>
      </c>
      <c r="G211" t="n">
        <v>1191.0759</v>
      </c>
      <c r="H211" t="n">
        <v>189.308</v>
      </c>
      <c r="I211" t="n">
        <v>165.6905</v>
      </c>
      <c r="J211" t="n">
        <v>876.3218000000001</v>
      </c>
      <c r="K211" t="n">
        <v>2018</v>
      </c>
      <c r="L211" t="n">
        <v>2030</v>
      </c>
      <c r="M211" t="n">
        <v>0.4825</v>
      </c>
      <c r="N211" t="n">
        <v>0.2517</v>
      </c>
      <c r="O211" t="n">
        <v>2019</v>
      </c>
      <c r="P211" t="n">
        <v>2030</v>
      </c>
      <c r="Q211" t="n">
        <v>0.3171</v>
      </c>
      <c r="R211" t="n">
        <v>401.7335</v>
      </c>
      <c r="S211" t="n">
        <v>0.00029221</v>
      </c>
      <c r="T211" t="n">
        <v>0.00017343</v>
      </c>
      <c r="U211" t="n">
        <v>1191.0759</v>
      </c>
      <c r="V211" t="inlineStr">
        <is>
          <t>Provided Total Emissions</t>
        </is>
      </c>
      <c r="W211" t="b">
        <v>1</v>
      </c>
      <c r="X211" t="n">
        <v>1439.5996</v>
      </c>
      <c r="Y211" t="n">
        <v>6381.1729</v>
      </c>
      <c r="Z211" t="n">
        <v>248.5237</v>
      </c>
      <c r="AA211" t="n">
        <v>5190.097</v>
      </c>
      <c r="AB211" t="n">
        <v>0.208655</v>
      </c>
      <c r="AC211" t="n">
        <v>4.357486</v>
      </c>
      <c r="AD211" t="inlineStr">
        <is>
          <t>High</t>
        </is>
      </c>
      <c r="AE211" t="inlineStr">
        <is>
          <t>None</t>
        </is>
      </c>
      <c r="AF211" t="n">
        <v>0.95</v>
      </c>
      <c r="AG211" t="inlineStr">
        <is>
          <t>Valid</t>
        </is>
      </c>
    </row>
    <row r="212">
      <c r="A212" t="inlineStr">
        <is>
          <t>SUP-0022</t>
        </is>
      </c>
      <c r="B212" t="inlineStr">
        <is>
          <t>Chemicals Supplier 022</t>
        </is>
      </c>
      <c r="C212" t="inlineStr">
        <is>
          <t>Chemicals</t>
        </is>
      </c>
      <c r="D212" t="n">
        <v>2015</v>
      </c>
      <c r="E212" t="n">
        <v>17332742.06</v>
      </c>
      <c r="F212" t="n">
        <v>64124115.12</v>
      </c>
      <c r="G212" t="n">
        <v>22441.9259</v>
      </c>
      <c r="H212" t="n">
        <v>2134.6236</v>
      </c>
      <c r="I212" t="n">
        <v>2570.43</v>
      </c>
      <c r="J212" t="n">
        <v>16207.623</v>
      </c>
      <c r="K212" t="inlineStr"/>
      <c r="L212" t="inlineStr"/>
      <c r="M212" t="inlineStr"/>
      <c r="N212" t="inlineStr"/>
      <c r="O212" t="n">
        <v>2019</v>
      </c>
      <c r="P212" t="n">
        <v>2035</v>
      </c>
      <c r="Q212" t="n">
        <v>0.5229</v>
      </c>
      <c r="R212" t="n">
        <v>506.3191</v>
      </c>
      <c r="S212" t="n">
        <v>0.00100149</v>
      </c>
      <c r="T212" t="n">
        <v>0.00047124</v>
      </c>
      <c r="U212" t="n">
        <v>22441.9259</v>
      </c>
      <c r="V212" t="inlineStr">
        <is>
          <t>Provided Total Emissions</t>
        </is>
      </c>
      <c r="W212" t="b">
        <v>1</v>
      </c>
      <c r="X212" t="n">
        <v>17358.5678</v>
      </c>
      <c r="Y212" t="n">
        <v>30217.848</v>
      </c>
      <c r="Z212" t="n">
        <v>-5083.3581</v>
      </c>
      <c r="AA212" t="n">
        <v>7775.9221</v>
      </c>
      <c r="AB212" t="n">
        <v>-0.226512</v>
      </c>
      <c r="AC212" t="n">
        <v>0.346491</v>
      </c>
      <c r="AD212" t="inlineStr">
        <is>
          <t>High</t>
        </is>
      </c>
      <c r="AE212" t="inlineStr">
        <is>
          <t>None</t>
        </is>
      </c>
      <c r="AF212" t="n">
        <v>0.95</v>
      </c>
      <c r="AG212" t="inlineStr">
        <is>
          <t>Valid</t>
        </is>
      </c>
    </row>
    <row r="213">
      <c r="A213" t="inlineStr">
        <is>
          <t>SUP-0022</t>
        </is>
      </c>
      <c r="B213" t="inlineStr">
        <is>
          <t>Chemicals Supplier 022</t>
        </is>
      </c>
      <c r="C213" t="inlineStr">
        <is>
          <t>Chemicals</t>
        </is>
      </c>
      <c r="D213" t="n">
        <v>2016</v>
      </c>
      <c r="E213" t="n">
        <v>17364243.59</v>
      </c>
      <c r="F213" t="n">
        <v>58836178.49</v>
      </c>
      <c r="G213" t="n">
        <v>18561.6056</v>
      </c>
      <c r="H213" t="n">
        <v>2617.2221</v>
      </c>
      <c r="I213" t="n">
        <v>2449.2969</v>
      </c>
      <c r="J213" t="n">
        <v>14371.7664</v>
      </c>
      <c r="K213" t="inlineStr"/>
      <c r="L213" t="inlineStr"/>
      <c r="M213" t="inlineStr"/>
      <c r="N213" t="inlineStr"/>
      <c r="O213" t="n">
        <v>2019</v>
      </c>
      <c r="P213" t="n">
        <v>2035</v>
      </c>
      <c r="Q213" t="n">
        <v>0.5229</v>
      </c>
      <c r="R213" t="n">
        <v>506.3191</v>
      </c>
      <c r="S213" t="n">
        <v>0.00100149</v>
      </c>
      <c r="T213" t="n">
        <v>0.00047124</v>
      </c>
      <c r="U213" t="n">
        <v>18561.6056</v>
      </c>
      <c r="V213" t="inlineStr">
        <is>
          <t>Provided Total Emissions</t>
        </is>
      </c>
      <c r="W213" t="b">
        <v>1</v>
      </c>
      <c r="X213" t="n">
        <v>17390.1163</v>
      </c>
      <c r="Y213" t="n">
        <v>27725.9608</v>
      </c>
      <c r="Z213" t="n">
        <v>-1171.4893</v>
      </c>
      <c r="AA213" t="n">
        <v>9164.3552</v>
      </c>
      <c r="AB213" t="n">
        <v>-0.063114</v>
      </c>
      <c r="AC213" t="n">
        <v>0.493726</v>
      </c>
      <c r="AD213" t="inlineStr">
        <is>
          <t>High</t>
        </is>
      </c>
      <c r="AE213" t="inlineStr">
        <is>
          <t>None</t>
        </is>
      </c>
      <c r="AF213" t="n">
        <v>0.95</v>
      </c>
      <c r="AG213" t="inlineStr">
        <is>
          <t>Valid</t>
        </is>
      </c>
    </row>
    <row r="214">
      <c r="A214" t="inlineStr">
        <is>
          <t>SUP-0022</t>
        </is>
      </c>
      <c r="B214" t="inlineStr">
        <is>
          <t>Chemicals Supplier 022</t>
        </is>
      </c>
      <c r="C214" t="inlineStr">
        <is>
          <t>Chemicals</t>
        </is>
      </c>
      <c r="D214" t="n">
        <v>2017</v>
      </c>
      <c r="E214" t="n">
        <v>18458371.29</v>
      </c>
      <c r="F214" t="n">
        <v>80994594.97</v>
      </c>
      <c r="G214" t="n">
        <v>19516.0428</v>
      </c>
      <c r="H214" t="n">
        <v>1494.5058</v>
      </c>
      <c r="I214" t="n">
        <v>3829.4015</v>
      </c>
      <c r="J214" t="n">
        <v>12761.4443</v>
      </c>
      <c r="K214" t="inlineStr"/>
      <c r="L214" t="inlineStr"/>
      <c r="M214" t="inlineStr"/>
      <c r="N214" t="inlineStr"/>
      <c r="O214" t="n">
        <v>2019</v>
      </c>
      <c r="P214" t="n">
        <v>2035</v>
      </c>
      <c r="Q214" t="n">
        <v>0.5229</v>
      </c>
      <c r="R214" t="n">
        <v>506.3191</v>
      </c>
      <c r="S214" t="n">
        <v>0.00100149</v>
      </c>
      <c r="T214" t="n">
        <v>0.00047124</v>
      </c>
      <c r="U214" t="n">
        <v>19516.0428</v>
      </c>
      <c r="V214" t="inlineStr">
        <is>
          <t>Provided Total Emissions</t>
        </is>
      </c>
      <c r="W214" t="b">
        <v>1</v>
      </c>
      <c r="X214" t="n">
        <v>18485.8743</v>
      </c>
      <c r="Y214" t="n">
        <v>38167.8929</v>
      </c>
      <c r="Z214" t="n">
        <v>-1030.1685</v>
      </c>
      <c r="AA214" t="n">
        <v>18651.8501</v>
      </c>
      <c r="AB214" t="n">
        <v>-0.052786</v>
      </c>
      <c r="AC214" t="n">
        <v>0.955719</v>
      </c>
      <c r="AD214" t="inlineStr">
        <is>
          <t>High</t>
        </is>
      </c>
      <c r="AE214" t="inlineStr">
        <is>
          <t>None</t>
        </is>
      </c>
      <c r="AF214" t="n">
        <v>0.95</v>
      </c>
      <c r="AG214" t="inlineStr">
        <is>
          <t>Valid</t>
        </is>
      </c>
    </row>
    <row r="215">
      <c r="A215" t="inlineStr">
        <is>
          <t>SUP-0022</t>
        </is>
      </c>
      <c r="B215" t="inlineStr">
        <is>
          <t>Chemicals Supplier 022</t>
        </is>
      </c>
      <c r="C215" t="inlineStr">
        <is>
          <t>Chemicals</t>
        </is>
      </c>
      <c r="D215" t="n">
        <v>2018</v>
      </c>
      <c r="E215" t="n">
        <v>15468200.03</v>
      </c>
      <c r="F215" t="n">
        <v>103313057.5</v>
      </c>
      <c r="G215" t="n">
        <v>16715.6599</v>
      </c>
      <c r="H215" t="n">
        <v>4361.1766</v>
      </c>
      <c r="I215" t="n">
        <v>1537.4006</v>
      </c>
      <c r="J215" t="n">
        <v>10309.2537</v>
      </c>
      <c r="K215" t="inlineStr"/>
      <c r="L215" t="inlineStr"/>
      <c r="M215" t="inlineStr"/>
      <c r="N215" t="inlineStr"/>
      <c r="O215" t="n">
        <v>2019</v>
      </c>
      <c r="P215" t="n">
        <v>2035</v>
      </c>
      <c r="Q215" t="n">
        <v>0.5229</v>
      </c>
      <c r="R215" t="n">
        <v>506.3191</v>
      </c>
      <c r="S215" t="n">
        <v>0.00100149</v>
      </c>
      <c r="T215" t="n">
        <v>0.00047124</v>
      </c>
      <c r="U215" t="n">
        <v>16715.6599</v>
      </c>
      <c r="V215" t="inlineStr">
        <is>
          <t>Provided Total Emissions</t>
        </is>
      </c>
      <c r="W215" t="b">
        <v>1</v>
      </c>
      <c r="X215" t="n">
        <v>15491.2476</v>
      </c>
      <c r="Y215" t="n">
        <v>48685.2452</v>
      </c>
      <c r="Z215" t="n">
        <v>-1224.4123</v>
      </c>
      <c r="AA215" t="n">
        <v>31969.5853</v>
      </c>
      <c r="AB215" t="n">
        <v>-0.07324899999999999</v>
      </c>
      <c r="AC215" t="n">
        <v>1.912553</v>
      </c>
      <c r="AD215" t="inlineStr">
        <is>
          <t>High</t>
        </is>
      </c>
      <c r="AE215" t="inlineStr">
        <is>
          <t>None</t>
        </is>
      </c>
      <c r="AF215" t="n">
        <v>0.95</v>
      </c>
      <c r="AG215" t="inlineStr">
        <is>
          <t>Valid</t>
        </is>
      </c>
    </row>
    <row r="216">
      <c r="A216" t="inlineStr">
        <is>
          <t>SUP-0022</t>
        </is>
      </c>
      <c r="B216" t="inlineStr">
        <is>
          <t>Chemicals Supplier 022</t>
        </is>
      </c>
      <c r="C216" t="inlineStr">
        <is>
          <t>Chemicals</t>
        </is>
      </c>
      <c r="D216" t="n">
        <v>2019</v>
      </c>
      <c r="E216" t="n">
        <v>20039702.87</v>
      </c>
      <c r="F216" t="n">
        <v>78962860.08</v>
      </c>
      <c r="G216" t="n">
        <v>22404.8985</v>
      </c>
      <c r="H216" t="n">
        <v>6409.6901</v>
      </c>
      <c r="I216" t="n">
        <v>1555.1787</v>
      </c>
      <c r="J216" t="n">
        <v>14594.2431</v>
      </c>
      <c r="K216" t="inlineStr"/>
      <c r="L216" t="inlineStr"/>
      <c r="M216" t="inlineStr"/>
      <c r="N216" t="inlineStr"/>
      <c r="O216" t="n">
        <v>2019</v>
      </c>
      <c r="P216" t="n">
        <v>2035</v>
      </c>
      <c r="Q216" t="n">
        <v>0.5229</v>
      </c>
      <c r="R216" t="n">
        <v>506.3191</v>
      </c>
      <c r="S216" t="n">
        <v>0.00100149</v>
      </c>
      <c r="T216" t="n">
        <v>0.00047124</v>
      </c>
      <c r="U216" t="n">
        <v>22404.8985</v>
      </c>
      <c r="V216" t="inlineStr">
        <is>
          <t>Provided Total Emissions</t>
        </is>
      </c>
      <c r="W216" t="b">
        <v>1</v>
      </c>
      <c r="X216" t="n">
        <v>20069.562</v>
      </c>
      <c r="Y216" t="n">
        <v>37210.4582</v>
      </c>
      <c r="Z216" t="n">
        <v>-2335.3365</v>
      </c>
      <c r="AA216" t="n">
        <v>14805.5597</v>
      </c>
      <c r="AB216" t="n">
        <v>-0.104233</v>
      </c>
      <c r="AC216" t="n">
        <v>0.660818</v>
      </c>
      <c r="AD216" t="inlineStr">
        <is>
          <t>High</t>
        </is>
      </c>
      <c r="AE216" t="inlineStr">
        <is>
          <t>None</t>
        </is>
      </c>
      <c r="AF216" t="n">
        <v>0.95</v>
      </c>
      <c r="AG216" t="inlineStr">
        <is>
          <t>Valid</t>
        </is>
      </c>
    </row>
    <row r="217">
      <c r="A217" t="inlineStr">
        <is>
          <t>SUP-0022</t>
        </is>
      </c>
      <c r="B217" t="inlineStr">
        <is>
          <t>Chemicals Supplier 022</t>
        </is>
      </c>
      <c r="C217" t="inlineStr">
        <is>
          <t>Chemicals</t>
        </is>
      </c>
      <c r="D217" t="n">
        <v>2020</v>
      </c>
      <c r="E217" t="n">
        <v>19924582.33</v>
      </c>
      <c r="F217" t="n">
        <v>82554582.64</v>
      </c>
      <c r="G217" t="n">
        <v>22387.9323</v>
      </c>
      <c r="H217" t="n">
        <v>2912.2664</v>
      </c>
      <c r="I217" t="n">
        <v>4305.6962</v>
      </c>
      <c r="J217" t="n">
        <v>15852.4029</v>
      </c>
      <c r="K217" t="inlineStr"/>
      <c r="L217" t="inlineStr"/>
      <c r="M217" t="inlineStr"/>
      <c r="N217" t="inlineStr"/>
      <c r="O217" t="n">
        <v>2019</v>
      </c>
      <c r="P217" t="n">
        <v>2035</v>
      </c>
      <c r="Q217" t="n">
        <v>0.5229</v>
      </c>
      <c r="R217" t="n">
        <v>506.3191</v>
      </c>
      <c r="S217" t="n">
        <v>0.00100149</v>
      </c>
      <c r="T217" t="n">
        <v>0.00047124</v>
      </c>
      <c r="U217" t="n">
        <v>22387.9323</v>
      </c>
      <c r="V217" t="inlineStr">
        <is>
          <t>Provided Total Emissions</t>
        </is>
      </c>
      <c r="W217" t="b">
        <v>1</v>
      </c>
      <c r="X217" t="n">
        <v>19954.27</v>
      </c>
      <c r="Y217" t="n">
        <v>38903.0215</v>
      </c>
      <c r="Z217" t="n">
        <v>-2433.6623</v>
      </c>
      <c r="AA217" t="n">
        <v>16515.0892</v>
      </c>
      <c r="AB217" t="n">
        <v>-0.108704</v>
      </c>
      <c r="AC217" t="n">
        <v>0.7376779999999999</v>
      </c>
      <c r="AD217" t="inlineStr">
        <is>
          <t>High</t>
        </is>
      </c>
      <c r="AE217" t="inlineStr">
        <is>
          <t>None</t>
        </is>
      </c>
      <c r="AF217" t="n">
        <v>0.95</v>
      </c>
      <c r="AG217" t="inlineStr">
        <is>
          <t>Valid</t>
        </is>
      </c>
    </row>
    <row r="218">
      <c r="A218" t="inlineStr">
        <is>
          <t>SUP-0022</t>
        </is>
      </c>
      <c r="B218" t="inlineStr">
        <is>
          <t>Chemicals Supplier 022</t>
        </is>
      </c>
      <c r="C218" t="inlineStr">
        <is>
          <t>Chemicals</t>
        </is>
      </c>
      <c r="D218" t="n">
        <v>2021</v>
      </c>
      <c r="E218" t="n">
        <v>18691228.39</v>
      </c>
      <c r="F218" t="n">
        <v>75521290.45999999</v>
      </c>
      <c r="G218" t="n">
        <v>17727.2344</v>
      </c>
      <c r="H218" t="n">
        <v>4112.1125</v>
      </c>
      <c r="I218" t="n">
        <v>2589.9687</v>
      </c>
      <c r="J218" t="n">
        <v>10516.8646</v>
      </c>
      <c r="K218" t="inlineStr"/>
      <c r="L218" t="inlineStr"/>
      <c r="M218" t="inlineStr"/>
      <c r="N218" t="inlineStr"/>
      <c r="O218" t="n">
        <v>2019</v>
      </c>
      <c r="P218" t="n">
        <v>2035</v>
      </c>
      <c r="Q218" t="n">
        <v>0.5229</v>
      </c>
      <c r="R218" t="n">
        <v>506.3191</v>
      </c>
      <c r="S218" t="n">
        <v>0.00100149</v>
      </c>
      <c r="T218" t="n">
        <v>0.00047124</v>
      </c>
      <c r="U218" t="n">
        <v>17727.2344</v>
      </c>
      <c r="V218" t="inlineStr">
        <is>
          <t>Provided Total Emissions</t>
        </is>
      </c>
      <c r="W218" t="b">
        <v>1</v>
      </c>
      <c r="X218" t="n">
        <v>18719.0783</v>
      </c>
      <c r="Y218" t="n">
        <v>35588.6529</v>
      </c>
      <c r="Z218" t="n">
        <v>991.8439</v>
      </c>
      <c r="AA218" t="n">
        <v>17861.4185</v>
      </c>
      <c r="AB218" t="n">
        <v>0.05595</v>
      </c>
      <c r="AC218" t="n">
        <v>1.007569</v>
      </c>
      <c r="AD218" t="inlineStr">
        <is>
          <t>High</t>
        </is>
      </c>
      <c r="AE218" t="inlineStr">
        <is>
          <t>None</t>
        </is>
      </c>
      <c r="AF218" t="n">
        <v>0.95</v>
      </c>
      <c r="AG218" t="inlineStr">
        <is>
          <t>Valid</t>
        </is>
      </c>
    </row>
    <row r="219">
      <c r="A219" t="inlineStr">
        <is>
          <t>SUP-0022</t>
        </is>
      </c>
      <c r="B219" t="inlineStr">
        <is>
          <t>Chemicals Supplier 022</t>
        </is>
      </c>
      <c r="C219" t="inlineStr">
        <is>
          <t>Chemicals</t>
        </is>
      </c>
      <c r="D219" t="n">
        <v>2022</v>
      </c>
      <c r="E219" t="n">
        <v>19794301.06</v>
      </c>
      <c r="F219" t="n">
        <v>107144434.19</v>
      </c>
      <c r="G219" t="n">
        <v>16194.2977</v>
      </c>
      <c r="H219" t="n">
        <v>2327.3291</v>
      </c>
      <c r="I219" t="n">
        <v>1265.3068</v>
      </c>
      <c r="J219" t="n">
        <v>12470.5023</v>
      </c>
      <c r="K219" t="inlineStr"/>
      <c r="L219" t="inlineStr"/>
      <c r="M219" t="inlineStr"/>
      <c r="N219" t="inlineStr"/>
      <c r="O219" t="n">
        <v>2019</v>
      </c>
      <c r="P219" t="n">
        <v>2035</v>
      </c>
      <c r="Q219" t="n">
        <v>0.5229</v>
      </c>
      <c r="R219" t="n">
        <v>506.3191</v>
      </c>
      <c r="S219" t="n">
        <v>0.00100149</v>
      </c>
      <c r="T219" t="n">
        <v>0.00047124</v>
      </c>
      <c r="U219" t="n">
        <v>16194.2977</v>
      </c>
      <c r="V219" t="inlineStr">
        <is>
          <t>Provided Total Emissions</t>
        </is>
      </c>
      <c r="W219" t="b">
        <v>1</v>
      </c>
      <c r="X219" t="n">
        <v>19823.7946</v>
      </c>
      <c r="Y219" t="n">
        <v>50490.7432</v>
      </c>
      <c r="Z219" t="n">
        <v>3629.4969</v>
      </c>
      <c r="AA219" t="n">
        <v>34296.4455</v>
      </c>
      <c r="AB219" t="n">
        <v>0.224122</v>
      </c>
      <c r="AC219" t="n">
        <v>2.11781</v>
      </c>
      <c r="AD219" t="inlineStr">
        <is>
          <t>High</t>
        </is>
      </c>
      <c r="AE219" t="inlineStr">
        <is>
          <t>None</t>
        </is>
      </c>
      <c r="AF219" t="n">
        <v>0.95</v>
      </c>
      <c r="AG219" t="inlineStr">
        <is>
          <t>Valid</t>
        </is>
      </c>
    </row>
    <row r="220">
      <c r="A220" t="inlineStr">
        <is>
          <t>SUP-0022</t>
        </is>
      </c>
      <c r="B220" t="inlineStr">
        <is>
          <t>Chemicals Supplier 022</t>
        </is>
      </c>
      <c r="C220" t="inlineStr">
        <is>
          <t>Chemicals</t>
        </is>
      </c>
      <c r="D220" t="n">
        <v>2023</v>
      </c>
      <c r="E220" t="n">
        <v>18841547.16</v>
      </c>
      <c r="F220" t="n">
        <v>83664839.29000001</v>
      </c>
      <c r="G220" t="n">
        <v>21734.171</v>
      </c>
      <c r="H220" t="n">
        <v>3191.3429</v>
      </c>
      <c r="I220" t="n">
        <v>3998.248</v>
      </c>
      <c r="J220" t="n">
        <v>14343.5866</v>
      </c>
      <c r="K220" t="inlineStr"/>
      <c r="L220" t="inlineStr"/>
      <c r="M220" t="inlineStr"/>
      <c r="N220" t="inlineStr"/>
      <c r="O220" t="n">
        <v>2019</v>
      </c>
      <c r="P220" t="n">
        <v>2035</v>
      </c>
      <c r="Q220" t="n">
        <v>0.5229</v>
      </c>
      <c r="R220" t="n">
        <v>506.3191</v>
      </c>
      <c r="S220" t="n">
        <v>0.00100149</v>
      </c>
      <c r="T220" t="n">
        <v>0.00047124</v>
      </c>
      <c r="U220" t="n">
        <v>21734.171</v>
      </c>
      <c r="V220" t="inlineStr">
        <is>
          <t>Provided Total Emissions</t>
        </is>
      </c>
      <c r="W220" t="b">
        <v>1</v>
      </c>
      <c r="X220" t="n">
        <v>18869.6211</v>
      </c>
      <c r="Y220" t="n">
        <v>39426.2189</v>
      </c>
      <c r="Z220" t="n">
        <v>-2864.5499</v>
      </c>
      <c r="AA220" t="n">
        <v>17692.0479</v>
      </c>
      <c r="AB220" t="n">
        <v>-0.131799</v>
      </c>
      <c r="AC220" t="n">
        <v>0.81402</v>
      </c>
      <c r="AD220" t="inlineStr">
        <is>
          <t>High</t>
        </is>
      </c>
      <c r="AE220" t="inlineStr">
        <is>
          <t>None</t>
        </is>
      </c>
      <c r="AF220" t="n">
        <v>0.95</v>
      </c>
      <c r="AG220" t="inlineStr">
        <is>
          <t>Valid</t>
        </is>
      </c>
    </row>
    <row r="221">
      <c r="A221" t="inlineStr">
        <is>
          <t>SUP-0022</t>
        </is>
      </c>
      <c r="B221" t="inlineStr">
        <is>
          <t>Chemicals Supplier 022</t>
        </is>
      </c>
      <c r="C221" t="inlineStr">
        <is>
          <t>Chemicals</t>
        </is>
      </c>
      <c r="D221" t="n">
        <v>2024</v>
      </c>
      <c r="E221" t="n">
        <v>20030017.08</v>
      </c>
      <c r="F221" t="n">
        <v>88354497.29000001</v>
      </c>
      <c r="G221" t="n">
        <v>20122.7364</v>
      </c>
      <c r="H221" t="n">
        <v>2114.3888</v>
      </c>
      <c r="I221" t="n">
        <v>1174.6508</v>
      </c>
      <c r="J221" t="n">
        <v>15427.4638</v>
      </c>
      <c r="K221" t="inlineStr"/>
      <c r="L221" t="inlineStr"/>
      <c r="M221" t="inlineStr"/>
      <c r="N221" t="inlineStr"/>
      <c r="O221" t="n">
        <v>2019</v>
      </c>
      <c r="P221" t="n">
        <v>2035</v>
      </c>
      <c r="Q221" t="n">
        <v>0.5229</v>
      </c>
      <c r="R221" t="n">
        <v>506.3191</v>
      </c>
      <c r="S221" t="n">
        <v>0.00100149</v>
      </c>
      <c r="T221" t="n">
        <v>0.00047124</v>
      </c>
      <c r="U221" t="n">
        <v>20122.7364</v>
      </c>
      <c r="V221" t="inlineStr">
        <is>
          <t>Provided Total Emissions</t>
        </is>
      </c>
      <c r="W221" t="b">
        <v>1</v>
      </c>
      <c r="X221" t="n">
        <v>20059.8618</v>
      </c>
      <c r="Y221" t="n">
        <v>41636.1733</v>
      </c>
      <c r="Z221" t="n">
        <v>-62.8746</v>
      </c>
      <c r="AA221" t="n">
        <v>21513.4369</v>
      </c>
      <c r="AB221" t="n">
        <v>-0.003125</v>
      </c>
      <c r="AC221" t="n">
        <v>1.069111</v>
      </c>
      <c r="AD221" t="inlineStr">
        <is>
          <t>High</t>
        </is>
      </c>
      <c r="AE221" t="inlineStr">
        <is>
          <t>None</t>
        </is>
      </c>
      <c r="AF221" t="n">
        <v>0.95</v>
      </c>
      <c r="AG221" t="inlineStr">
        <is>
          <t>Valid</t>
        </is>
      </c>
    </row>
    <row r="222">
      <c r="A222" t="inlineStr">
        <is>
          <t>SUP-0023</t>
        </is>
      </c>
      <c r="B222" t="inlineStr">
        <is>
          <t>Agriculture Supplier 023</t>
        </is>
      </c>
      <c r="C222" t="inlineStr">
        <is>
          <t>Agriculture</t>
        </is>
      </c>
      <c r="D222" t="n">
        <v>2015</v>
      </c>
      <c r="E222" t="n">
        <v>6259172</v>
      </c>
      <c r="F222" t="n">
        <v>30686372.01</v>
      </c>
      <c r="G222" t="n">
        <v>5605.1281</v>
      </c>
      <c r="H222" t="n">
        <v>1337.0046</v>
      </c>
      <c r="I222" t="n">
        <v>746.3754</v>
      </c>
      <c r="J222" t="n">
        <v>3045.3149</v>
      </c>
      <c r="K222" t="n">
        <v>2018</v>
      </c>
      <c r="L222" t="n">
        <v>2040</v>
      </c>
      <c r="M222" t="n">
        <v>0.339</v>
      </c>
      <c r="N222" t="n">
        <v>0.1496</v>
      </c>
      <c r="O222" t="n">
        <v>2018</v>
      </c>
      <c r="P222" t="inlineStr"/>
      <c r="Q222" t="inlineStr"/>
      <c r="R222" t="n">
        <v>529.8294</v>
      </c>
      <c r="S222" t="n">
        <v>0.00091413</v>
      </c>
      <c r="T222" t="n">
        <v>0.00096913</v>
      </c>
      <c r="U222" t="n">
        <v>5605.1281</v>
      </c>
      <c r="V222" t="inlineStr">
        <is>
          <t>Provided Total Emissions</t>
        </is>
      </c>
      <c r="W222" t="b">
        <v>1</v>
      </c>
      <c r="X222" t="n">
        <v>5721.6969</v>
      </c>
      <c r="Y222" t="n">
        <v>29739.0837</v>
      </c>
      <c r="Z222" t="n">
        <v>116.5688</v>
      </c>
      <c r="AA222" t="n">
        <v>24133.9556</v>
      </c>
      <c r="AB222" t="n">
        <v>0.020797</v>
      </c>
      <c r="AC222" t="n">
        <v>4.305692</v>
      </c>
      <c r="AD222" t="inlineStr">
        <is>
          <t>High</t>
        </is>
      </c>
      <c r="AE222" t="inlineStr">
        <is>
          <t>None</t>
        </is>
      </c>
      <c r="AF222" t="n">
        <v>0.95</v>
      </c>
      <c r="AG222" t="inlineStr">
        <is>
          <t>Valid</t>
        </is>
      </c>
    </row>
    <row r="223">
      <c r="A223" t="inlineStr">
        <is>
          <t>SUP-0023</t>
        </is>
      </c>
      <c r="B223" t="inlineStr">
        <is>
          <t>Agriculture Supplier 023</t>
        </is>
      </c>
      <c r="C223" t="inlineStr">
        <is>
          <t>Agriculture</t>
        </is>
      </c>
      <c r="D223" t="n">
        <v>2016</v>
      </c>
      <c r="E223" t="n">
        <v>5392353.22</v>
      </c>
      <c r="F223" t="n">
        <v>33436105.41</v>
      </c>
      <c r="G223" t="n">
        <v>5407.9631</v>
      </c>
      <c r="H223" t="n">
        <v>1045.6761</v>
      </c>
      <c r="I223" t="n">
        <v>388.8528</v>
      </c>
      <c r="J223" t="n">
        <v>3818.1733</v>
      </c>
      <c r="K223" t="n">
        <v>2018</v>
      </c>
      <c r="L223" t="n">
        <v>2040</v>
      </c>
      <c r="M223" t="n">
        <v>0.339</v>
      </c>
      <c r="N223" t="n">
        <v>0.1496</v>
      </c>
      <c r="O223" t="n">
        <v>2018</v>
      </c>
      <c r="P223" t="inlineStr"/>
      <c r="Q223" t="inlineStr"/>
      <c r="R223" t="n">
        <v>529.8294</v>
      </c>
      <c r="S223" t="n">
        <v>0.00091413</v>
      </c>
      <c r="T223" t="n">
        <v>0.00096913</v>
      </c>
      <c r="U223" t="n">
        <v>5407.9631</v>
      </c>
      <c r="V223" t="inlineStr">
        <is>
          <t>Provided Total Emissions</t>
        </is>
      </c>
      <c r="W223" t="b">
        <v>1</v>
      </c>
      <c r="X223" t="n">
        <v>4929.3118</v>
      </c>
      <c r="Y223" t="n">
        <v>32403.9328</v>
      </c>
      <c r="Z223" t="n">
        <v>-478.6513</v>
      </c>
      <c r="AA223" t="n">
        <v>26995.9697</v>
      </c>
      <c r="AB223" t="n">
        <v>-0.088509</v>
      </c>
      <c r="AC223" t="n">
        <v>4.991892</v>
      </c>
      <c r="AD223" t="inlineStr">
        <is>
          <t>High</t>
        </is>
      </c>
      <c r="AE223" t="inlineStr">
        <is>
          <t>None</t>
        </is>
      </c>
      <c r="AF223" t="n">
        <v>0.95</v>
      </c>
      <c r="AG223" t="inlineStr">
        <is>
          <t>Valid</t>
        </is>
      </c>
    </row>
    <row r="224">
      <c r="A224" t="inlineStr">
        <is>
          <t>SUP-0023</t>
        </is>
      </c>
      <c r="B224" t="inlineStr">
        <is>
          <t>Agriculture Supplier 023</t>
        </is>
      </c>
      <c r="C224" t="inlineStr">
        <is>
          <t>Agriculture</t>
        </is>
      </c>
      <c r="D224" t="n">
        <v>2017</v>
      </c>
      <c r="E224" t="n">
        <v>6252921.14</v>
      </c>
      <c r="F224" t="n">
        <v>29007625.16</v>
      </c>
      <c r="G224" t="n">
        <v>5619.1959</v>
      </c>
      <c r="H224" t="n">
        <v>988.8669</v>
      </c>
      <c r="I224" t="n">
        <v>807.3681</v>
      </c>
      <c r="J224" t="n">
        <v>3504.4468</v>
      </c>
      <c r="K224" t="n">
        <v>2018</v>
      </c>
      <c r="L224" t="n">
        <v>2040</v>
      </c>
      <c r="M224" t="n">
        <v>0.339</v>
      </c>
      <c r="N224" t="n">
        <v>0.1496</v>
      </c>
      <c r="O224" t="n">
        <v>2018</v>
      </c>
      <c r="P224" t="inlineStr"/>
      <c r="Q224" t="inlineStr"/>
      <c r="R224" t="n">
        <v>529.8294</v>
      </c>
      <c r="S224" t="n">
        <v>0.00091413</v>
      </c>
      <c r="T224" t="n">
        <v>0.00096913</v>
      </c>
      <c r="U224" t="n">
        <v>5619.1959</v>
      </c>
      <c r="V224" t="inlineStr">
        <is>
          <t>Provided Total Emissions</t>
        </is>
      </c>
      <c r="W224" t="b">
        <v>1</v>
      </c>
      <c r="X224" t="n">
        <v>5715.9828</v>
      </c>
      <c r="Y224" t="n">
        <v>28112.1598</v>
      </c>
      <c r="Z224" t="n">
        <v>96.7869</v>
      </c>
      <c r="AA224" t="n">
        <v>22492.9639</v>
      </c>
      <c r="AB224" t="n">
        <v>0.017224</v>
      </c>
      <c r="AC224" t="n">
        <v>4.002879</v>
      </c>
      <c r="AD224" t="inlineStr">
        <is>
          <t>High</t>
        </is>
      </c>
      <c r="AE224" t="inlineStr">
        <is>
          <t>None</t>
        </is>
      </c>
      <c r="AF224" t="n">
        <v>0.95</v>
      </c>
      <c r="AG224" t="inlineStr">
        <is>
          <t>Valid</t>
        </is>
      </c>
    </row>
    <row r="225">
      <c r="A225" t="inlineStr">
        <is>
          <t>SUP-0023</t>
        </is>
      </c>
      <c r="B225" t="inlineStr">
        <is>
          <t>Agriculture Supplier 023</t>
        </is>
      </c>
      <c r="C225" t="inlineStr">
        <is>
          <t>Agriculture</t>
        </is>
      </c>
      <c r="D225" t="n">
        <v>2018</v>
      </c>
      <c r="E225" t="n">
        <v>7178702.32</v>
      </c>
      <c r="F225" t="n">
        <v>32342058.77</v>
      </c>
      <c r="G225" t="n">
        <v>3860.3046</v>
      </c>
      <c r="H225" t="n">
        <v>831.7894</v>
      </c>
      <c r="I225" t="n">
        <v>264.0439</v>
      </c>
      <c r="J225" t="n">
        <v>2688.5768</v>
      </c>
      <c r="K225" t="n">
        <v>2018</v>
      </c>
      <c r="L225" t="n">
        <v>2040</v>
      </c>
      <c r="M225" t="n">
        <v>0.339</v>
      </c>
      <c r="N225" t="n">
        <v>0.1496</v>
      </c>
      <c r="O225" t="n">
        <v>2018</v>
      </c>
      <c r="P225" t="inlineStr"/>
      <c r="Q225" t="inlineStr"/>
      <c r="R225" t="n">
        <v>529.8294</v>
      </c>
      <c r="S225" t="n">
        <v>0.00091413</v>
      </c>
      <c r="T225" t="n">
        <v>0.00096913</v>
      </c>
      <c r="U225" t="n">
        <v>3860.3046</v>
      </c>
      <c r="V225" t="inlineStr">
        <is>
          <t>Provided Total Emissions</t>
        </is>
      </c>
      <c r="W225" t="b">
        <v>1</v>
      </c>
      <c r="X225" t="n">
        <v>6562.2672</v>
      </c>
      <c r="Y225" t="n">
        <v>31343.6594</v>
      </c>
      <c r="Z225" t="n">
        <v>2701.9626</v>
      </c>
      <c r="AA225" t="n">
        <v>27483.3548</v>
      </c>
      <c r="AB225" t="n">
        <v>0.699935</v>
      </c>
      <c r="AC225" t="n">
        <v>7.119478</v>
      </c>
      <c r="AD225" t="inlineStr">
        <is>
          <t>High</t>
        </is>
      </c>
      <c r="AE225" t="inlineStr">
        <is>
          <t>None</t>
        </is>
      </c>
      <c r="AF225" t="n">
        <v>0.95</v>
      </c>
      <c r="AG225" t="inlineStr">
        <is>
          <t>Valid</t>
        </is>
      </c>
    </row>
    <row r="226">
      <c r="A226" t="inlineStr">
        <is>
          <t>SUP-0023</t>
        </is>
      </c>
      <c r="B226" t="inlineStr">
        <is>
          <t>Agriculture Supplier 023</t>
        </is>
      </c>
      <c r="C226" t="inlineStr">
        <is>
          <t>Agriculture</t>
        </is>
      </c>
      <c r="D226" t="n">
        <v>2019</v>
      </c>
      <c r="E226" t="n">
        <v>6489888.14</v>
      </c>
      <c r="F226" t="n">
        <v>32783192.86</v>
      </c>
      <c r="G226" t="n">
        <v>5094.0469</v>
      </c>
      <c r="H226" t="n">
        <v>1109.7089</v>
      </c>
      <c r="I226" t="n">
        <v>535.2453</v>
      </c>
      <c r="J226" t="n">
        <v>3224.3259</v>
      </c>
      <c r="K226" t="n">
        <v>2018</v>
      </c>
      <c r="L226" t="n">
        <v>2040</v>
      </c>
      <c r="M226" t="n">
        <v>0.339</v>
      </c>
      <c r="N226" t="n">
        <v>0.1496</v>
      </c>
      <c r="O226" t="n">
        <v>2018</v>
      </c>
      <c r="P226" t="inlineStr"/>
      <c r="Q226" t="inlineStr"/>
      <c r="R226" t="n">
        <v>529.8294</v>
      </c>
      <c r="S226" t="n">
        <v>0.00091413</v>
      </c>
      <c r="T226" t="n">
        <v>0.00096913</v>
      </c>
      <c r="U226" t="n">
        <v>5094.0469</v>
      </c>
      <c r="V226" t="inlineStr">
        <is>
          <t>Provided Total Emissions</t>
        </is>
      </c>
      <c r="W226" t="b">
        <v>1</v>
      </c>
      <c r="X226" t="n">
        <v>5932.6014</v>
      </c>
      <c r="Y226" t="n">
        <v>31771.1757</v>
      </c>
      <c r="Z226" t="n">
        <v>838.5545</v>
      </c>
      <c r="AA226" t="n">
        <v>26677.1288</v>
      </c>
      <c r="AB226" t="n">
        <v>0.164615</v>
      </c>
      <c r="AC226" t="n">
        <v>5.236922</v>
      </c>
      <c r="AD226" t="inlineStr">
        <is>
          <t>High</t>
        </is>
      </c>
      <c r="AE226" t="inlineStr">
        <is>
          <t>None</t>
        </is>
      </c>
      <c r="AF226" t="n">
        <v>0.95</v>
      </c>
      <c r="AG226" t="inlineStr">
        <is>
          <t>Valid</t>
        </is>
      </c>
    </row>
    <row r="227">
      <c r="A227" t="inlineStr">
        <is>
          <t>SUP-0023</t>
        </is>
      </c>
      <c r="B227" t="inlineStr">
        <is>
          <t>Agriculture Supplier 023</t>
        </is>
      </c>
      <c r="C227" t="inlineStr">
        <is>
          <t>Agriculture</t>
        </is>
      </c>
      <c r="D227" t="n">
        <v>2020</v>
      </c>
      <c r="E227" t="n">
        <v>5329465.01</v>
      </c>
      <c r="F227" t="n">
        <v>25656766.54</v>
      </c>
      <c r="G227" t="n">
        <v>3371.4788</v>
      </c>
      <c r="H227" t="n">
        <v>484.747</v>
      </c>
      <c r="I227" t="n">
        <v>295.1296</v>
      </c>
      <c r="J227" t="n">
        <v>2514.7576</v>
      </c>
      <c r="K227" t="n">
        <v>2018</v>
      </c>
      <c r="L227" t="n">
        <v>2040</v>
      </c>
      <c r="M227" t="n">
        <v>0.339</v>
      </c>
      <c r="N227" t="n">
        <v>0.1496</v>
      </c>
      <c r="O227" t="n">
        <v>2018</v>
      </c>
      <c r="P227" t="inlineStr"/>
      <c r="Q227" t="inlineStr"/>
      <c r="R227" t="n">
        <v>529.8294</v>
      </c>
      <c r="S227" t="n">
        <v>0.00091413</v>
      </c>
      <c r="T227" t="n">
        <v>0.00096913</v>
      </c>
      <c r="U227" t="n">
        <v>3371.4788</v>
      </c>
      <c r="V227" t="inlineStr">
        <is>
          <t>Provided Total Emissions</t>
        </is>
      </c>
      <c r="W227" t="b">
        <v>1</v>
      </c>
      <c r="X227" t="n">
        <v>4871.8238</v>
      </c>
      <c r="Y227" t="n">
        <v>24864.7422</v>
      </c>
      <c r="Z227" t="n">
        <v>1500.345</v>
      </c>
      <c r="AA227" t="n">
        <v>21493.2634</v>
      </c>
      <c r="AB227" t="n">
        <v>0.445011</v>
      </c>
      <c r="AC227" t="n">
        <v>6.375026</v>
      </c>
      <c r="AD227" t="inlineStr">
        <is>
          <t>High</t>
        </is>
      </c>
      <c r="AE227" t="inlineStr">
        <is>
          <t>None</t>
        </is>
      </c>
      <c r="AF227" t="n">
        <v>0.95</v>
      </c>
      <c r="AG227" t="inlineStr">
        <is>
          <t>Valid</t>
        </is>
      </c>
    </row>
    <row r="228">
      <c r="A228" t="inlineStr">
        <is>
          <t>SUP-0023</t>
        </is>
      </c>
      <c r="B228" t="inlineStr">
        <is>
          <t>Agriculture Supplier 023</t>
        </is>
      </c>
      <c r="C228" t="inlineStr">
        <is>
          <t>Agriculture</t>
        </is>
      </c>
      <c r="D228" t="n">
        <v>2021</v>
      </c>
      <c r="E228" t="n">
        <v>6304761.93</v>
      </c>
      <c r="F228" t="n">
        <v>34978955.63</v>
      </c>
      <c r="G228" t="n">
        <v>3567.3077</v>
      </c>
      <c r="H228" t="n">
        <v>1050.8803</v>
      </c>
      <c r="I228" t="n">
        <v>617.7738000000001</v>
      </c>
      <c r="J228" t="n">
        <v>2026.6731</v>
      </c>
      <c r="K228" t="n">
        <v>2018</v>
      </c>
      <c r="L228" t="n">
        <v>2040</v>
      </c>
      <c r="M228" t="n">
        <v>0.339</v>
      </c>
      <c r="N228" t="n">
        <v>0.1496</v>
      </c>
      <c r="O228" t="n">
        <v>2018</v>
      </c>
      <c r="P228" t="inlineStr"/>
      <c r="Q228" t="inlineStr"/>
      <c r="R228" t="n">
        <v>529.8294</v>
      </c>
      <c r="S228" t="n">
        <v>0.00091413</v>
      </c>
      <c r="T228" t="n">
        <v>0.00096913</v>
      </c>
      <c r="U228" t="n">
        <v>3567.3077</v>
      </c>
      <c r="V228" t="inlineStr">
        <is>
          <t>Provided Total Emissions</t>
        </is>
      </c>
      <c r="W228" t="b">
        <v>1</v>
      </c>
      <c r="X228" t="n">
        <v>5763.372</v>
      </c>
      <c r="Y228" t="n">
        <v>33899.1553</v>
      </c>
      <c r="Z228" t="n">
        <v>2196.0643</v>
      </c>
      <c r="AA228" t="n">
        <v>30331.8476</v>
      </c>
      <c r="AB228" t="n">
        <v>0.615608</v>
      </c>
      <c r="AC228" t="n">
        <v>8.502727999999999</v>
      </c>
      <c r="AD228" t="inlineStr">
        <is>
          <t>High</t>
        </is>
      </c>
      <c r="AE228" t="inlineStr">
        <is>
          <t>None</t>
        </is>
      </c>
      <c r="AF228" t="n">
        <v>0.95</v>
      </c>
      <c r="AG228" t="inlineStr">
        <is>
          <t>Valid</t>
        </is>
      </c>
    </row>
    <row r="229">
      <c r="A229" t="inlineStr">
        <is>
          <t>SUP-0023</t>
        </is>
      </c>
      <c r="B229" t="inlineStr">
        <is>
          <t>Agriculture Supplier 023</t>
        </is>
      </c>
      <c r="C229" t="inlineStr">
        <is>
          <t>Agriculture</t>
        </is>
      </c>
      <c r="D229" t="n">
        <v>2022</v>
      </c>
      <c r="E229" t="n">
        <v>6412003.65</v>
      </c>
      <c r="F229" t="n">
        <v>34342998.05</v>
      </c>
      <c r="G229" t="n">
        <v>4961.7906</v>
      </c>
      <c r="H229" t="n">
        <v>1020.0599</v>
      </c>
      <c r="I229" t="n">
        <v>978.0762</v>
      </c>
      <c r="J229" t="n">
        <v>2471.3469</v>
      </c>
      <c r="K229" t="n">
        <v>2018</v>
      </c>
      <c r="L229" t="n">
        <v>2040</v>
      </c>
      <c r="M229" t="n">
        <v>0.339</v>
      </c>
      <c r="N229" t="n">
        <v>0.1496</v>
      </c>
      <c r="O229" t="n">
        <v>2018</v>
      </c>
      <c r="P229" t="inlineStr"/>
      <c r="Q229" t="inlineStr"/>
      <c r="R229" t="n">
        <v>529.8294</v>
      </c>
      <c r="S229" t="n">
        <v>0.00091413</v>
      </c>
      <c r="T229" t="n">
        <v>0.00096913</v>
      </c>
      <c r="U229" t="n">
        <v>4961.7906</v>
      </c>
      <c r="V229" t="inlineStr">
        <is>
          <t>Provided Total Emissions</t>
        </is>
      </c>
      <c r="W229" t="b">
        <v>1</v>
      </c>
      <c r="X229" t="n">
        <v>5861.4049</v>
      </c>
      <c r="Y229" t="n">
        <v>33282.8297</v>
      </c>
      <c r="Z229" t="n">
        <v>899.6143</v>
      </c>
      <c r="AA229" t="n">
        <v>28321.0391</v>
      </c>
      <c r="AB229" t="n">
        <v>0.181308</v>
      </c>
      <c r="AC229" t="n">
        <v>5.707826</v>
      </c>
      <c r="AD229" t="inlineStr">
        <is>
          <t>High</t>
        </is>
      </c>
      <c r="AE229" t="inlineStr">
        <is>
          <t>None</t>
        </is>
      </c>
      <c r="AF229" t="n">
        <v>0.95</v>
      </c>
      <c r="AG229" t="inlineStr">
        <is>
          <t>Valid</t>
        </is>
      </c>
    </row>
    <row r="230">
      <c r="A230" t="inlineStr">
        <is>
          <t>SUP-0023</t>
        </is>
      </c>
      <c r="B230" t="inlineStr">
        <is>
          <t>Agriculture Supplier 023</t>
        </is>
      </c>
      <c r="C230" t="inlineStr">
        <is>
          <t>Agriculture</t>
        </is>
      </c>
      <c r="D230" t="n">
        <v>2023</v>
      </c>
      <c r="E230" t="n">
        <v>7588113.76</v>
      </c>
      <c r="F230" t="n">
        <v>33274776.4</v>
      </c>
      <c r="G230" t="n">
        <v>5241.0951</v>
      </c>
      <c r="H230" t="n">
        <v>1099.1493</v>
      </c>
      <c r="I230" t="n">
        <v>728.1541999999999</v>
      </c>
      <c r="J230" t="n">
        <v>3579.8056</v>
      </c>
      <c r="K230" t="n">
        <v>2018</v>
      </c>
      <c r="L230" t="n">
        <v>2040</v>
      </c>
      <c r="M230" t="n">
        <v>0.339</v>
      </c>
      <c r="N230" t="n">
        <v>0.1496</v>
      </c>
      <c r="O230" t="n">
        <v>2018</v>
      </c>
      <c r="P230" t="inlineStr"/>
      <c r="Q230" t="inlineStr"/>
      <c r="R230" t="n">
        <v>529.8294</v>
      </c>
      <c r="S230" t="n">
        <v>0.00091413</v>
      </c>
      <c r="T230" t="n">
        <v>0.00096913</v>
      </c>
      <c r="U230" t="n">
        <v>5241.0951</v>
      </c>
      <c r="V230" t="inlineStr">
        <is>
          <t>Provided Total Emissions</t>
        </is>
      </c>
      <c r="W230" t="b">
        <v>1</v>
      </c>
      <c r="X230" t="n">
        <v>6936.5224</v>
      </c>
      <c r="Y230" t="n">
        <v>32247.5841</v>
      </c>
      <c r="Z230" t="n">
        <v>1695.4273</v>
      </c>
      <c r="AA230" t="n">
        <v>27006.489</v>
      </c>
      <c r="AB230" t="n">
        <v>0.323487</v>
      </c>
      <c r="AC230" t="n">
        <v>5.152833</v>
      </c>
      <c r="AD230" t="inlineStr">
        <is>
          <t>High</t>
        </is>
      </c>
      <c r="AE230" t="inlineStr">
        <is>
          <t>None</t>
        </is>
      </c>
      <c r="AF230" t="n">
        <v>0.95</v>
      </c>
      <c r="AG230" t="inlineStr">
        <is>
          <t>Valid</t>
        </is>
      </c>
    </row>
    <row r="231">
      <c r="A231" t="inlineStr">
        <is>
          <t>SUP-0023</t>
        </is>
      </c>
      <c r="B231" t="inlineStr">
        <is>
          <t>Agriculture Supplier 023</t>
        </is>
      </c>
      <c r="C231" t="inlineStr">
        <is>
          <t>Agriculture</t>
        </is>
      </c>
      <c r="D231" t="n">
        <v>2024</v>
      </c>
      <c r="E231" t="n">
        <v>7127955</v>
      </c>
      <c r="F231" t="n">
        <v>50228809.36</v>
      </c>
      <c r="G231" t="n">
        <v>4720.6843</v>
      </c>
      <c r="H231" t="n">
        <v>691.2297</v>
      </c>
      <c r="I231" t="n">
        <v>578.6541999999999</v>
      </c>
      <c r="J231" t="n">
        <v>3491.0896</v>
      </c>
      <c r="K231" t="n">
        <v>2018</v>
      </c>
      <c r="L231" t="n">
        <v>2040</v>
      </c>
      <c r="M231" t="n">
        <v>0.339</v>
      </c>
      <c r="N231" t="n">
        <v>0.1496</v>
      </c>
      <c r="O231" t="n">
        <v>2018</v>
      </c>
      <c r="P231" t="inlineStr"/>
      <c r="Q231" t="inlineStr"/>
      <c r="R231" t="n">
        <v>529.8294</v>
      </c>
      <c r="S231" t="n">
        <v>0.00091413</v>
      </c>
      <c r="T231" t="n">
        <v>0.00096913</v>
      </c>
      <c r="U231" t="n">
        <v>4720.6843</v>
      </c>
      <c r="V231" t="inlineStr">
        <is>
          <t>Provided Total Emissions</t>
        </is>
      </c>
      <c r="W231" t="b">
        <v>1</v>
      </c>
      <c r="X231" t="n">
        <v>6515.8775</v>
      </c>
      <c r="Y231" t="n">
        <v>48678.246</v>
      </c>
      <c r="Z231" t="n">
        <v>1795.1932</v>
      </c>
      <c r="AA231" t="n">
        <v>43957.5617</v>
      </c>
      <c r="AB231" t="n">
        <v>0.380282</v>
      </c>
      <c r="AC231" t="n">
        <v>9.311693</v>
      </c>
      <c r="AD231" t="inlineStr">
        <is>
          <t>High</t>
        </is>
      </c>
      <c r="AE231" t="inlineStr">
        <is>
          <t>None</t>
        </is>
      </c>
      <c r="AF231" t="n">
        <v>0.95</v>
      </c>
      <c r="AG231" t="inlineStr">
        <is>
          <t>Valid</t>
        </is>
      </c>
    </row>
    <row r="232">
      <c r="A232" t="inlineStr">
        <is>
          <t>SUP-0024</t>
        </is>
      </c>
      <c r="B232" t="inlineStr">
        <is>
          <t>Agriculture Supplier 024</t>
        </is>
      </c>
      <c r="C232" t="inlineStr">
        <is>
          <t>Agriculture</t>
        </is>
      </c>
      <c r="D232" t="n">
        <v>2015</v>
      </c>
      <c r="E232" t="n">
        <v>533490.63</v>
      </c>
      <c r="F232" t="n">
        <v>3448385.65</v>
      </c>
      <c r="G232" t="n">
        <v>719.4856</v>
      </c>
      <c r="H232" t="n">
        <v>102.3345</v>
      </c>
      <c r="I232" t="n">
        <v>67.6703</v>
      </c>
      <c r="J232" t="n">
        <v>545.1468</v>
      </c>
      <c r="K232" t="inlineStr"/>
      <c r="L232" t="inlineStr"/>
      <c r="M232" t="inlineStr"/>
      <c r="N232" t="inlineStr"/>
      <c r="O232" t="n">
        <v>2018</v>
      </c>
      <c r="P232" t="inlineStr"/>
      <c r="Q232" t="inlineStr"/>
      <c r="R232" t="n">
        <v>529.8294</v>
      </c>
      <c r="S232" t="n">
        <v>0.00091413</v>
      </c>
      <c r="T232" t="n">
        <v>0.00096913</v>
      </c>
      <c r="U232" t="n">
        <v>719.4856</v>
      </c>
      <c r="V232" t="inlineStr">
        <is>
          <t>Provided Total Emissions</t>
        </is>
      </c>
      <c r="W232" t="b">
        <v>1</v>
      </c>
      <c r="X232" t="n">
        <v>487.6798</v>
      </c>
      <c r="Y232" t="n">
        <v>3341.934</v>
      </c>
      <c r="Z232" t="n">
        <v>-231.8058</v>
      </c>
      <c r="AA232" t="n">
        <v>2622.4484</v>
      </c>
      <c r="AB232" t="n">
        <v>-0.322183</v>
      </c>
      <c r="AC232" t="n">
        <v>3.644893</v>
      </c>
      <c r="AD232" t="inlineStr">
        <is>
          <t>High</t>
        </is>
      </c>
      <c r="AE232" t="inlineStr">
        <is>
          <t>None</t>
        </is>
      </c>
      <c r="AF232" t="n">
        <v>0.95</v>
      </c>
      <c r="AG232" t="inlineStr">
        <is>
          <t>Valid</t>
        </is>
      </c>
    </row>
    <row r="233">
      <c r="A233" t="inlineStr">
        <is>
          <t>SUP-0024</t>
        </is>
      </c>
      <c r="B233" t="inlineStr">
        <is>
          <t>Agriculture Supplier 024</t>
        </is>
      </c>
      <c r="C233" t="inlineStr">
        <is>
          <t>Agriculture</t>
        </is>
      </c>
      <c r="D233" t="n">
        <v>2016</v>
      </c>
      <c r="E233" t="n">
        <v>558927.28</v>
      </c>
      <c r="F233" t="n">
        <v>4345666.79</v>
      </c>
      <c r="G233" t="n">
        <v>758.0536</v>
      </c>
      <c r="H233" t="n">
        <v>185.6516</v>
      </c>
      <c r="I233" t="n">
        <v>134.2301</v>
      </c>
      <c r="J233" t="n">
        <v>369.3543</v>
      </c>
      <c r="K233" t="inlineStr"/>
      <c r="L233" t="inlineStr"/>
      <c r="M233" t="inlineStr"/>
      <c r="N233" t="inlineStr"/>
      <c r="O233" t="n">
        <v>2018</v>
      </c>
      <c r="P233" t="inlineStr"/>
      <c r="Q233" t="inlineStr"/>
      <c r="R233" t="n">
        <v>529.8294</v>
      </c>
      <c r="S233" t="n">
        <v>0.00091413</v>
      </c>
      <c r="T233" t="n">
        <v>0.00096913</v>
      </c>
      <c r="U233" t="n">
        <v>758.0536</v>
      </c>
      <c r="V233" t="inlineStr">
        <is>
          <t>Provided Total Emissions</t>
        </is>
      </c>
      <c r="W233" t="b">
        <v>1</v>
      </c>
      <c r="X233" t="n">
        <v>510.9322</v>
      </c>
      <c r="Y233" t="n">
        <v>4211.5161</v>
      </c>
      <c r="Z233" t="n">
        <v>-247.1214</v>
      </c>
      <c r="AA233" t="n">
        <v>3453.4625</v>
      </c>
      <c r="AB233" t="n">
        <v>-0.325995</v>
      </c>
      <c r="AC233" t="n">
        <v>4.555697</v>
      </c>
      <c r="AD233" t="inlineStr">
        <is>
          <t>High</t>
        </is>
      </c>
      <c r="AE233" t="inlineStr">
        <is>
          <t>None</t>
        </is>
      </c>
      <c r="AF233" t="n">
        <v>0.95</v>
      </c>
      <c r="AG233" t="inlineStr">
        <is>
          <t>Valid</t>
        </is>
      </c>
    </row>
    <row r="234">
      <c r="A234" t="inlineStr">
        <is>
          <t>SUP-0024</t>
        </is>
      </c>
      <c r="B234" t="inlineStr">
        <is>
          <t>Agriculture Supplier 024</t>
        </is>
      </c>
      <c r="C234" t="inlineStr">
        <is>
          <t>Agriculture</t>
        </is>
      </c>
      <c r="D234" t="n">
        <v>2017</v>
      </c>
      <c r="E234" t="n">
        <v>581013.24</v>
      </c>
      <c r="F234" t="n">
        <v>4826591.8</v>
      </c>
      <c r="G234" t="n">
        <v>644.4213</v>
      </c>
      <c r="H234" t="n">
        <v>166.2048</v>
      </c>
      <c r="I234" t="n">
        <v>57.9701</v>
      </c>
      <c r="J234" t="n">
        <v>400.8005</v>
      </c>
      <c r="K234" t="inlineStr"/>
      <c r="L234" t="inlineStr"/>
      <c r="M234" t="inlineStr"/>
      <c r="N234" t="inlineStr"/>
      <c r="O234" t="n">
        <v>2018</v>
      </c>
      <c r="P234" t="inlineStr"/>
      <c r="Q234" t="inlineStr"/>
      <c r="R234" t="n">
        <v>529.8294</v>
      </c>
      <c r="S234" t="n">
        <v>0.00091413</v>
      </c>
      <c r="T234" t="n">
        <v>0.00096913</v>
      </c>
      <c r="U234" t="n">
        <v>644.4213</v>
      </c>
      <c r="V234" t="inlineStr">
        <is>
          <t>Provided Total Emissions</t>
        </is>
      </c>
      <c r="W234" t="b">
        <v>1</v>
      </c>
      <c r="X234" t="n">
        <v>531.1215999999999</v>
      </c>
      <c r="Y234" t="n">
        <v>4677.5949</v>
      </c>
      <c r="Z234" t="n">
        <v>-113.2997</v>
      </c>
      <c r="AA234" t="n">
        <v>4033.1736</v>
      </c>
      <c r="AB234" t="n">
        <v>-0.175816</v>
      </c>
      <c r="AC234" t="n">
        <v>6.258598</v>
      </c>
      <c r="AD234" t="inlineStr">
        <is>
          <t>High</t>
        </is>
      </c>
      <c r="AE234" t="inlineStr">
        <is>
          <t>None</t>
        </is>
      </c>
      <c r="AF234" t="n">
        <v>0.95</v>
      </c>
      <c r="AG234" t="inlineStr">
        <is>
          <t>Valid</t>
        </is>
      </c>
    </row>
    <row r="235">
      <c r="A235" t="inlineStr">
        <is>
          <t>SUP-0024</t>
        </is>
      </c>
      <c r="B235" t="inlineStr">
        <is>
          <t>Agriculture Supplier 024</t>
        </is>
      </c>
      <c r="C235" t="inlineStr">
        <is>
          <t>Agriculture</t>
        </is>
      </c>
      <c r="D235" t="n">
        <v>2018</v>
      </c>
      <c r="E235" t="n">
        <v>672584.9</v>
      </c>
      <c r="F235" t="n">
        <v>5355649.75</v>
      </c>
      <c r="G235" t="n">
        <v>731.356</v>
      </c>
      <c r="H235" t="n">
        <v>100.56</v>
      </c>
      <c r="I235" t="n">
        <v>73.93519999999999</v>
      </c>
      <c r="J235" t="n">
        <v>578.6892</v>
      </c>
      <c r="K235" t="inlineStr"/>
      <c r="L235" t="inlineStr"/>
      <c r="M235" t="inlineStr"/>
      <c r="N235" t="inlineStr"/>
      <c r="O235" t="n">
        <v>2018</v>
      </c>
      <c r="P235" t="inlineStr"/>
      <c r="Q235" t="inlineStr"/>
      <c r="R235" t="n">
        <v>529.8294</v>
      </c>
      <c r="S235" t="n">
        <v>0.00091413</v>
      </c>
      <c r="T235" t="n">
        <v>0.00096913</v>
      </c>
      <c r="U235" t="n">
        <v>731.356</v>
      </c>
      <c r="V235" t="inlineStr">
        <is>
          <t>Provided Total Emissions</t>
        </is>
      </c>
      <c r="W235" t="b">
        <v>1</v>
      </c>
      <c r="X235" t="n">
        <v>614.83</v>
      </c>
      <c r="Y235" t="n">
        <v>5190.3208</v>
      </c>
      <c r="Z235" t="n">
        <v>-116.526</v>
      </c>
      <c r="AA235" t="n">
        <v>4458.9648</v>
      </c>
      <c r="AB235" t="n">
        <v>-0.159329</v>
      </c>
      <c r="AC235" t="n">
        <v>6.096846</v>
      </c>
      <c r="AD235" t="inlineStr">
        <is>
          <t>High</t>
        </is>
      </c>
      <c r="AE235" t="inlineStr">
        <is>
          <t>None</t>
        </is>
      </c>
      <c r="AF235" t="n">
        <v>0.95</v>
      </c>
      <c r="AG235" t="inlineStr">
        <is>
          <t>Valid</t>
        </is>
      </c>
    </row>
    <row r="236">
      <c r="A236" t="inlineStr">
        <is>
          <t>SUP-0024</t>
        </is>
      </c>
      <c r="B236" t="inlineStr">
        <is>
          <t>Agriculture Supplier 024</t>
        </is>
      </c>
      <c r="C236" t="inlineStr">
        <is>
          <t>Agriculture</t>
        </is>
      </c>
      <c r="D236" t="n">
        <v>2019</v>
      </c>
      <c r="E236" t="n">
        <v>663848.25</v>
      </c>
      <c r="F236" t="n">
        <v>5242616.85</v>
      </c>
      <c r="G236" t="n">
        <v>600.8067</v>
      </c>
      <c r="H236" t="n">
        <v>72.0462</v>
      </c>
      <c r="I236" t="n">
        <v>73.65600000000001</v>
      </c>
      <c r="J236" t="n">
        <v>497.7557</v>
      </c>
      <c r="K236" t="inlineStr"/>
      <c r="L236" t="inlineStr"/>
      <c r="M236" t="inlineStr"/>
      <c r="N236" t="inlineStr"/>
      <c r="O236" t="n">
        <v>2018</v>
      </c>
      <c r="P236" t="inlineStr"/>
      <c r="Q236" t="inlineStr"/>
      <c r="R236" t="n">
        <v>529.8294</v>
      </c>
      <c r="S236" t="n">
        <v>0.00091413</v>
      </c>
      <c r="T236" t="n">
        <v>0.00096913</v>
      </c>
      <c r="U236" t="n">
        <v>600.8067</v>
      </c>
      <c r="V236" t="inlineStr">
        <is>
          <t>Provided Total Emissions</t>
        </is>
      </c>
      <c r="W236" t="b">
        <v>1</v>
      </c>
      <c r="X236" t="n">
        <v>606.8436</v>
      </c>
      <c r="Y236" t="n">
        <v>5080.7773</v>
      </c>
      <c r="Z236" t="n">
        <v>6.0369</v>
      </c>
      <c r="AA236" t="n">
        <v>4479.9706</v>
      </c>
      <c r="AB236" t="n">
        <v>0.010048</v>
      </c>
      <c r="AC236" t="n">
        <v>7.456592</v>
      </c>
      <c r="AD236" t="inlineStr">
        <is>
          <t>High</t>
        </is>
      </c>
      <c r="AE236" t="inlineStr">
        <is>
          <t>None</t>
        </is>
      </c>
      <c r="AF236" t="n">
        <v>0.95</v>
      </c>
      <c r="AG236" t="inlineStr">
        <is>
          <t>Valid</t>
        </is>
      </c>
    </row>
    <row r="237">
      <c r="A237" t="inlineStr">
        <is>
          <t>SUP-0024</t>
        </is>
      </c>
      <c r="B237" t="inlineStr">
        <is>
          <t>Agriculture Supplier 024</t>
        </is>
      </c>
      <c r="C237" t="inlineStr">
        <is>
          <t>Agriculture</t>
        </is>
      </c>
      <c r="D237" t="n">
        <v>2020</v>
      </c>
      <c r="E237" t="n">
        <v>725906.11</v>
      </c>
      <c r="F237" t="n">
        <v>5126270.23</v>
      </c>
      <c r="G237" t="n">
        <v>592.9076</v>
      </c>
      <c r="H237" t="n">
        <v>95.307</v>
      </c>
      <c r="I237" t="n">
        <v>118.9631</v>
      </c>
      <c r="J237" t="n">
        <v>383.9623</v>
      </c>
      <c r="K237" t="inlineStr"/>
      <c r="L237" t="inlineStr"/>
      <c r="M237" t="inlineStr"/>
      <c r="N237" t="inlineStr"/>
      <c r="O237" t="n">
        <v>2018</v>
      </c>
      <c r="P237" t="inlineStr"/>
      <c r="Q237" t="inlineStr"/>
      <c r="R237" t="n">
        <v>529.8294</v>
      </c>
      <c r="S237" t="n">
        <v>0.00091413</v>
      </c>
      <c r="T237" t="n">
        <v>0.00096913</v>
      </c>
      <c r="U237" t="n">
        <v>592.9076</v>
      </c>
      <c r="V237" t="inlineStr">
        <is>
          <t>Provided Total Emissions</t>
        </is>
      </c>
      <c r="W237" t="b">
        <v>1</v>
      </c>
      <c r="X237" t="n">
        <v>663.5726</v>
      </c>
      <c r="Y237" t="n">
        <v>4968.0223</v>
      </c>
      <c r="Z237" t="n">
        <v>70.66500000000001</v>
      </c>
      <c r="AA237" t="n">
        <v>4375.1147</v>
      </c>
      <c r="AB237" t="n">
        <v>0.119184</v>
      </c>
      <c r="AC237" t="n">
        <v>7.379083</v>
      </c>
      <c r="AD237" t="inlineStr">
        <is>
          <t>High</t>
        </is>
      </c>
      <c r="AE237" t="inlineStr">
        <is>
          <t>None</t>
        </is>
      </c>
      <c r="AF237" t="n">
        <v>0.95</v>
      </c>
      <c r="AG237" t="inlineStr">
        <is>
          <t>Valid</t>
        </is>
      </c>
    </row>
    <row r="238">
      <c r="A238" t="inlineStr">
        <is>
          <t>SUP-0024</t>
        </is>
      </c>
      <c r="B238" t="inlineStr">
        <is>
          <t>Agriculture Supplier 024</t>
        </is>
      </c>
      <c r="C238" t="inlineStr">
        <is>
          <t>Agriculture</t>
        </is>
      </c>
      <c r="D238" t="n">
        <v>2021</v>
      </c>
      <c r="E238" t="n">
        <v>782364.27</v>
      </c>
      <c r="F238" t="n">
        <v>7648911.45</v>
      </c>
      <c r="G238" t="n">
        <v>706.3012</v>
      </c>
      <c r="H238" t="n">
        <v>104.6737</v>
      </c>
      <c r="I238" t="n">
        <v>59.8632</v>
      </c>
      <c r="J238" t="n">
        <v>554.4547</v>
      </c>
      <c r="K238" t="inlineStr"/>
      <c r="L238" t="inlineStr"/>
      <c r="M238" t="inlineStr"/>
      <c r="N238" t="inlineStr"/>
      <c r="O238" t="n">
        <v>2018</v>
      </c>
      <c r="P238" t="inlineStr"/>
      <c r="Q238" t="inlineStr"/>
      <c r="R238" t="n">
        <v>529.8294</v>
      </c>
      <c r="S238" t="n">
        <v>0.00091413</v>
      </c>
      <c r="T238" t="n">
        <v>0.00096913</v>
      </c>
      <c r="U238" t="n">
        <v>706.3012</v>
      </c>
      <c r="V238" t="inlineStr">
        <is>
          <t>Provided Total Emissions</t>
        </is>
      </c>
      <c r="W238" t="b">
        <v>1</v>
      </c>
      <c r="X238" t="n">
        <v>715.1827</v>
      </c>
      <c r="Y238" t="n">
        <v>7412.7896</v>
      </c>
      <c r="Z238" t="n">
        <v>8.881500000000001</v>
      </c>
      <c r="AA238" t="n">
        <v>6706.4884</v>
      </c>
      <c r="AB238" t="n">
        <v>0.012575</v>
      </c>
      <c r="AC238" t="n">
        <v>9.495224</v>
      </c>
      <c r="AD238" t="inlineStr">
        <is>
          <t>High</t>
        </is>
      </c>
      <c r="AE238" t="inlineStr">
        <is>
          <t>None</t>
        </is>
      </c>
      <c r="AF238" t="n">
        <v>0.95</v>
      </c>
      <c r="AG238" t="inlineStr">
        <is>
          <t>Valid</t>
        </is>
      </c>
    </row>
    <row r="239">
      <c r="A239" t="inlineStr">
        <is>
          <t>SUP-0024</t>
        </is>
      </c>
      <c r="B239" t="inlineStr">
        <is>
          <t>Agriculture Supplier 024</t>
        </is>
      </c>
      <c r="C239" t="inlineStr">
        <is>
          <t>Agriculture</t>
        </is>
      </c>
      <c r="D239" t="n">
        <v>2022</v>
      </c>
      <c r="E239" t="n">
        <v>865989.6800000001</v>
      </c>
      <c r="F239" t="n">
        <v>6098801.74</v>
      </c>
      <c r="G239" t="n">
        <v>633.5291999999999</v>
      </c>
      <c r="H239" t="n">
        <v>51.1369</v>
      </c>
      <c r="I239" t="n">
        <v>106.5079</v>
      </c>
      <c r="J239" t="n">
        <v>499.4389</v>
      </c>
      <c r="K239" t="inlineStr"/>
      <c r="L239" t="inlineStr"/>
      <c r="M239" t="inlineStr"/>
      <c r="N239" t="inlineStr"/>
      <c r="O239" t="n">
        <v>2018</v>
      </c>
      <c r="P239" t="inlineStr"/>
      <c r="Q239" t="inlineStr"/>
      <c r="R239" t="n">
        <v>529.8294</v>
      </c>
      <c r="S239" t="n">
        <v>0.00091413</v>
      </c>
      <c r="T239" t="n">
        <v>0.00096913</v>
      </c>
      <c r="U239" t="n">
        <v>633.5291999999999</v>
      </c>
      <c r="V239" t="inlineStr">
        <is>
          <t>Provided Total Emissions</t>
        </is>
      </c>
      <c r="W239" t="b">
        <v>1</v>
      </c>
      <c r="X239" t="n">
        <v>791.6271</v>
      </c>
      <c r="Y239" t="n">
        <v>5910.5317</v>
      </c>
      <c r="Z239" t="n">
        <v>158.0979</v>
      </c>
      <c r="AA239" t="n">
        <v>5277.0025</v>
      </c>
      <c r="AB239" t="n">
        <v>0.249551</v>
      </c>
      <c r="AC239" t="n">
        <v>8.329533</v>
      </c>
      <c r="AD239" t="inlineStr">
        <is>
          <t>High</t>
        </is>
      </c>
      <c r="AE239" t="inlineStr">
        <is>
          <t>None</t>
        </is>
      </c>
      <c r="AF239" t="n">
        <v>0.95</v>
      </c>
      <c r="AG239" t="inlineStr">
        <is>
          <t>Valid</t>
        </is>
      </c>
    </row>
    <row r="240">
      <c r="A240" t="inlineStr">
        <is>
          <t>SUP-0024</t>
        </is>
      </c>
      <c r="B240" t="inlineStr">
        <is>
          <t>Agriculture Supplier 024</t>
        </is>
      </c>
      <c r="C240" t="inlineStr">
        <is>
          <t>Agriculture</t>
        </is>
      </c>
      <c r="D240" t="n">
        <v>2023</v>
      </c>
      <c r="E240" t="n">
        <v>826023.17</v>
      </c>
      <c r="F240" t="n">
        <v>6824546.21</v>
      </c>
      <c r="G240" t="n">
        <v>712.2287</v>
      </c>
      <c r="H240" t="n">
        <v>203.2088</v>
      </c>
      <c r="I240" t="n">
        <v>161.3611</v>
      </c>
      <c r="J240" t="n">
        <v>386.4595</v>
      </c>
      <c r="K240" t="inlineStr"/>
      <c r="L240" t="inlineStr"/>
      <c r="M240" t="inlineStr"/>
      <c r="N240" t="inlineStr"/>
      <c r="O240" t="n">
        <v>2018</v>
      </c>
      <c r="P240" t="inlineStr"/>
      <c r="Q240" t="inlineStr"/>
      <c r="R240" t="n">
        <v>529.8294</v>
      </c>
      <c r="S240" t="n">
        <v>0.00091413</v>
      </c>
      <c r="T240" t="n">
        <v>0.00096913</v>
      </c>
      <c r="U240" t="n">
        <v>712.2287</v>
      </c>
      <c r="V240" t="inlineStr">
        <is>
          <t>Provided Total Emissions</t>
        </is>
      </c>
      <c r="W240" t="b">
        <v>1</v>
      </c>
      <c r="X240" t="n">
        <v>755.0925999999999</v>
      </c>
      <c r="Y240" t="n">
        <v>6613.8725</v>
      </c>
      <c r="Z240" t="n">
        <v>42.8639</v>
      </c>
      <c r="AA240" t="n">
        <v>5901.6438</v>
      </c>
      <c r="AB240" t="n">
        <v>0.060183</v>
      </c>
      <c r="AC240" t="n">
        <v>8.286163999999999</v>
      </c>
      <c r="AD240" t="inlineStr">
        <is>
          <t>High</t>
        </is>
      </c>
      <c r="AE240" t="inlineStr">
        <is>
          <t>None</t>
        </is>
      </c>
      <c r="AF240" t="n">
        <v>0.95</v>
      </c>
      <c r="AG240" t="inlineStr">
        <is>
          <t>Valid</t>
        </is>
      </c>
    </row>
    <row r="241">
      <c r="A241" t="inlineStr">
        <is>
          <t>SUP-0024</t>
        </is>
      </c>
      <c r="B241" t="inlineStr">
        <is>
          <t>Agriculture Supplier 024</t>
        </is>
      </c>
      <c r="C241" t="inlineStr">
        <is>
          <t>Agriculture</t>
        </is>
      </c>
      <c r="D241" t="n">
        <v>2024</v>
      </c>
      <c r="E241" t="n">
        <v>853888.01</v>
      </c>
      <c r="F241" t="n">
        <v>10047334.03</v>
      </c>
      <c r="G241" t="n">
        <v>560.3584</v>
      </c>
      <c r="H241" t="n">
        <v>168.2989</v>
      </c>
      <c r="I241" t="n">
        <v>97.5733</v>
      </c>
      <c r="J241" t="n">
        <v>308.0436</v>
      </c>
      <c r="K241" t="inlineStr"/>
      <c r="L241" t="inlineStr"/>
      <c r="M241" t="inlineStr"/>
      <c r="N241" t="inlineStr"/>
      <c r="O241" t="n">
        <v>2018</v>
      </c>
      <c r="P241" t="inlineStr"/>
      <c r="Q241" t="inlineStr"/>
      <c r="R241" t="n">
        <v>529.8294</v>
      </c>
      <c r="S241" t="n">
        <v>0.00091413</v>
      </c>
      <c r="T241" t="n">
        <v>0.00096913</v>
      </c>
      <c r="U241" t="n">
        <v>560.3584</v>
      </c>
      <c r="V241" t="inlineStr">
        <is>
          <t>Provided Total Emissions</t>
        </is>
      </c>
      <c r="W241" t="b">
        <v>1</v>
      </c>
      <c r="X241" t="n">
        <v>780.5646</v>
      </c>
      <c r="Y241" t="n">
        <v>9737.1728</v>
      </c>
      <c r="Z241" t="n">
        <v>220.2062</v>
      </c>
      <c r="AA241" t="n">
        <v>9176.814399999999</v>
      </c>
      <c r="AB241" t="n">
        <v>0.392974</v>
      </c>
      <c r="AC241" t="n">
        <v>16.376688</v>
      </c>
      <c r="AD241" t="inlineStr">
        <is>
          <t>High</t>
        </is>
      </c>
      <c r="AE241" t="inlineStr">
        <is>
          <t>None</t>
        </is>
      </c>
      <c r="AF241" t="n">
        <v>0.95</v>
      </c>
      <c r="AG241" t="inlineStr">
        <is>
          <t>Valid</t>
        </is>
      </c>
    </row>
    <row r="242">
      <c r="A242" t="inlineStr">
        <is>
          <t>SUP-0025</t>
        </is>
      </c>
      <c r="B242" t="inlineStr">
        <is>
          <t>Metals Supplier 025</t>
        </is>
      </c>
      <c r="C242" t="inlineStr">
        <is>
          <t>Metals</t>
        </is>
      </c>
      <c r="D242" t="n">
        <v>2015</v>
      </c>
      <c r="E242" t="n">
        <v>19450072.92</v>
      </c>
      <c r="F242" t="n">
        <v>73343572.38</v>
      </c>
      <c r="G242" t="n">
        <v>12808.9183</v>
      </c>
      <c r="H242" t="n">
        <v>1294.3621</v>
      </c>
      <c r="I242" t="n">
        <v>2340.374</v>
      </c>
      <c r="J242" t="n">
        <v>9789.8246</v>
      </c>
      <c r="K242" t="n">
        <v>2020</v>
      </c>
      <c r="L242" t="n">
        <v>2030</v>
      </c>
      <c r="M242" t="n">
        <v>0.3833</v>
      </c>
      <c r="N242" t="n">
        <v>0.1962</v>
      </c>
      <c r="O242" t="n">
        <v>2019</v>
      </c>
      <c r="P242" t="n">
        <v>2030</v>
      </c>
      <c r="Q242" t="n">
        <v>0.3852</v>
      </c>
      <c r="R242" t="n">
        <v>158.2904</v>
      </c>
      <c r="S242" t="n">
        <v>0.00100695</v>
      </c>
      <c r="T242" t="n">
        <v>0.00065008</v>
      </c>
      <c r="U242" t="n">
        <v>12808.9183</v>
      </c>
      <c r="V242" t="inlineStr">
        <is>
          <t>Provided Total Emissions</t>
        </is>
      </c>
      <c r="W242" t="b">
        <v>1</v>
      </c>
      <c r="X242" t="n">
        <v>19585.2509</v>
      </c>
      <c r="Y242" t="n">
        <v>47679.1895</v>
      </c>
      <c r="Z242" t="n">
        <v>6776.3326</v>
      </c>
      <c r="AA242" t="n">
        <v>34870.2712</v>
      </c>
      <c r="AB242" t="n">
        <v>0.5290319999999999</v>
      </c>
      <c r="AC242" t="n">
        <v>2.722343</v>
      </c>
      <c r="AD242" t="inlineStr">
        <is>
          <t>High</t>
        </is>
      </c>
      <c r="AE242" t="inlineStr">
        <is>
          <t>None</t>
        </is>
      </c>
      <c r="AF242" t="n">
        <v>0.95</v>
      </c>
      <c r="AG242" t="inlineStr">
        <is>
          <t>Valid</t>
        </is>
      </c>
    </row>
    <row r="243">
      <c r="A243" t="inlineStr">
        <is>
          <t>SUP-0025</t>
        </is>
      </c>
      <c r="B243" t="inlineStr">
        <is>
          <t>Metals Supplier 025</t>
        </is>
      </c>
      <c r="C243" t="inlineStr">
        <is>
          <t>Metals</t>
        </is>
      </c>
      <c r="D243" t="n">
        <v>2016</v>
      </c>
      <c r="E243" t="n">
        <v>20890255.51</v>
      </c>
      <c r="F243" t="n">
        <v>72177878.76000001</v>
      </c>
      <c r="G243" t="n">
        <v>13545.7318</v>
      </c>
      <c r="H243" t="n">
        <v>2173.6412</v>
      </c>
      <c r="I243" t="n">
        <v>2033.7718</v>
      </c>
      <c r="J243" t="n">
        <v>9568.373600000001</v>
      </c>
      <c r="K243" t="n">
        <v>2020</v>
      </c>
      <c r="L243" t="n">
        <v>2030</v>
      </c>
      <c r="M243" t="n">
        <v>0.3833</v>
      </c>
      <c r="N243" t="n">
        <v>0.1962</v>
      </c>
      <c r="O243" t="n">
        <v>2019</v>
      </c>
      <c r="P243" t="n">
        <v>2030</v>
      </c>
      <c r="Q243" t="n">
        <v>0.3852</v>
      </c>
      <c r="R243" t="n">
        <v>158.2904</v>
      </c>
      <c r="S243" t="n">
        <v>0.00100695</v>
      </c>
      <c r="T243" t="n">
        <v>0.00065008</v>
      </c>
      <c r="U243" t="n">
        <v>13545.7318</v>
      </c>
      <c r="V243" t="inlineStr">
        <is>
          <t>Provided Total Emissions</t>
        </is>
      </c>
      <c r="W243" t="b">
        <v>1</v>
      </c>
      <c r="X243" t="n">
        <v>21035.4428</v>
      </c>
      <c r="Y243" t="n">
        <v>46921.3954</v>
      </c>
      <c r="Z243" t="n">
        <v>7489.711</v>
      </c>
      <c r="AA243" t="n">
        <v>33375.6636</v>
      </c>
      <c r="AB243" t="n">
        <v>0.55292</v>
      </c>
      <c r="AC243" t="n">
        <v>2.463925</v>
      </c>
      <c r="AD243" t="inlineStr">
        <is>
          <t>High</t>
        </is>
      </c>
      <c r="AE243" t="inlineStr">
        <is>
          <t>None</t>
        </is>
      </c>
      <c r="AF243" t="n">
        <v>0.95</v>
      </c>
      <c r="AG243" t="inlineStr">
        <is>
          <t>Valid</t>
        </is>
      </c>
    </row>
    <row r="244">
      <c r="A244" t="inlineStr">
        <is>
          <t>SUP-0025</t>
        </is>
      </c>
      <c r="B244" t="inlineStr">
        <is>
          <t>Metals Supplier 025</t>
        </is>
      </c>
      <c r="C244" t="inlineStr">
        <is>
          <t>Metals</t>
        </is>
      </c>
      <c r="D244" t="n">
        <v>2017</v>
      </c>
      <c r="E244" t="n">
        <v>21715825.05</v>
      </c>
      <c r="F244" t="n">
        <v>90109813.81</v>
      </c>
      <c r="G244" t="n">
        <v>14608.3348</v>
      </c>
      <c r="H244" t="n">
        <v>2228.6582</v>
      </c>
      <c r="I244" t="n">
        <v>829.0013</v>
      </c>
      <c r="J244" t="n">
        <v>10426.7216</v>
      </c>
      <c r="K244" t="n">
        <v>2020</v>
      </c>
      <c r="L244" t="n">
        <v>2030</v>
      </c>
      <c r="M244" t="n">
        <v>0.3833</v>
      </c>
      <c r="N244" t="n">
        <v>0.1962</v>
      </c>
      <c r="O244" t="n">
        <v>2019</v>
      </c>
      <c r="P244" t="n">
        <v>2030</v>
      </c>
      <c r="Q244" t="n">
        <v>0.3852</v>
      </c>
      <c r="R244" t="n">
        <v>158.2904</v>
      </c>
      <c r="S244" t="n">
        <v>0.00100695</v>
      </c>
      <c r="T244" t="n">
        <v>0.00065008</v>
      </c>
      <c r="U244" t="n">
        <v>14608.3348</v>
      </c>
      <c r="V244" t="inlineStr">
        <is>
          <t>Provided Total Emissions</t>
        </is>
      </c>
      <c r="W244" t="b">
        <v>1</v>
      </c>
      <c r="X244" t="n">
        <v>21866.75</v>
      </c>
      <c r="Y244" t="n">
        <v>58578.5878</v>
      </c>
      <c r="Z244" t="n">
        <v>7258.4152</v>
      </c>
      <c r="AA244" t="n">
        <v>43970.253</v>
      </c>
      <c r="AB244" t="n">
        <v>0.496868</v>
      </c>
      <c r="AC244" t="n">
        <v>3.009943</v>
      </c>
      <c r="AD244" t="inlineStr">
        <is>
          <t>High</t>
        </is>
      </c>
      <c r="AE244" t="inlineStr">
        <is>
          <t>None</t>
        </is>
      </c>
      <c r="AF244" t="n">
        <v>0.95</v>
      </c>
      <c r="AG244" t="inlineStr">
        <is>
          <t>Valid</t>
        </is>
      </c>
    </row>
    <row r="245">
      <c r="A245" t="inlineStr">
        <is>
          <t>SUP-0025</t>
        </is>
      </c>
      <c r="B245" t="inlineStr">
        <is>
          <t>Metals Supplier 025</t>
        </is>
      </c>
      <c r="C245" t="inlineStr">
        <is>
          <t>Metals</t>
        </is>
      </c>
      <c r="D245" t="n">
        <v>2018</v>
      </c>
      <c r="E245" t="n">
        <v>24788648.45</v>
      </c>
      <c r="F245" t="n">
        <v>112248512.28</v>
      </c>
      <c r="G245" t="n">
        <v>13831.5855</v>
      </c>
      <c r="H245" t="n">
        <v>3107.5044</v>
      </c>
      <c r="I245" t="n">
        <v>1603.5736</v>
      </c>
      <c r="J245" t="n">
        <v>8802.055899999999</v>
      </c>
      <c r="K245" t="n">
        <v>2020</v>
      </c>
      <c r="L245" t="n">
        <v>2030</v>
      </c>
      <c r="M245" t="n">
        <v>0.3833</v>
      </c>
      <c r="N245" t="n">
        <v>0.1962</v>
      </c>
      <c r="O245" t="n">
        <v>2019</v>
      </c>
      <c r="P245" t="n">
        <v>2030</v>
      </c>
      <c r="Q245" t="n">
        <v>0.3852</v>
      </c>
      <c r="R245" t="n">
        <v>158.2904</v>
      </c>
      <c r="S245" t="n">
        <v>0.00100695</v>
      </c>
      <c r="T245" t="n">
        <v>0.00065008</v>
      </c>
      <c r="U245" t="n">
        <v>13831.5855</v>
      </c>
      <c r="V245" t="inlineStr">
        <is>
          <t>Provided Total Emissions</t>
        </is>
      </c>
      <c r="W245" t="b">
        <v>1</v>
      </c>
      <c r="X245" t="n">
        <v>24960.9296</v>
      </c>
      <c r="Y245" t="n">
        <v>72970.5129</v>
      </c>
      <c r="Z245" t="n">
        <v>11129.3441</v>
      </c>
      <c r="AA245" t="n">
        <v>59138.9274</v>
      </c>
      <c r="AB245" t="n">
        <v>0.804633</v>
      </c>
      <c r="AC245" t="n">
        <v>4.275643</v>
      </c>
      <c r="AD245" t="inlineStr">
        <is>
          <t>High</t>
        </is>
      </c>
      <c r="AE245" t="inlineStr">
        <is>
          <t>None</t>
        </is>
      </c>
      <c r="AF245" t="n">
        <v>0.95</v>
      </c>
      <c r="AG245" t="inlineStr">
        <is>
          <t>Valid</t>
        </is>
      </c>
    </row>
    <row r="246">
      <c r="A246" t="inlineStr">
        <is>
          <t>SUP-0025</t>
        </is>
      </c>
      <c r="B246" t="inlineStr">
        <is>
          <t>Metals Supplier 025</t>
        </is>
      </c>
      <c r="C246" t="inlineStr">
        <is>
          <t>Metals</t>
        </is>
      </c>
      <c r="D246" t="n">
        <v>2019</v>
      </c>
      <c r="E246" t="n">
        <v>24277157.67</v>
      </c>
      <c r="F246" t="n">
        <v>114675907.48</v>
      </c>
      <c r="G246" t="n">
        <v>12920.1468</v>
      </c>
      <c r="H246" t="n">
        <v>3261.5642</v>
      </c>
      <c r="I246" t="n">
        <v>2235.7782</v>
      </c>
      <c r="J246" t="n">
        <v>7724.7935</v>
      </c>
      <c r="K246" t="n">
        <v>2020</v>
      </c>
      <c r="L246" t="n">
        <v>2030</v>
      </c>
      <c r="M246" t="n">
        <v>0.3833</v>
      </c>
      <c r="N246" t="n">
        <v>0.1962</v>
      </c>
      <c r="O246" t="n">
        <v>2019</v>
      </c>
      <c r="P246" t="n">
        <v>2030</v>
      </c>
      <c r="Q246" t="n">
        <v>0.3852</v>
      </c>
      <c r="R246" t="n">
        <v>158.2904</v>
      </c>
      <c r="S246" t="n">
        <v>0.00100695</v>
      </c>
      <c r="T246" t="n">
        <v>0.00065008</v>
      </c>
      <c r="U246" t="n">
        <v>12920.1468</v>
      </c>
      <c r="V246" t="inlineStr">
        <is>
          <t>Provided Total Emissions</t>
        </is>
      </c>
      <c r="W246" t="b">
        <v>1</v>
      </c>
      <c r="X246" t="n">
        <v>24445.8839</v>
      </c>
      <c r="Y246" t="n">
        <v>74548.51390000001</v>
      </c>
      <c r="Z246" t="n">
        <v>11525.7371</v>
      </c>
      <c r="AA246" t="n">
        <v>61628.3671</v>
      </c>
      <c r="AB246" t="n">
        <v>0.892075</v>
      </c>
      <c r="AC246" t="n">
        <v>4.769943</v>
      </c>
      <c r="AD246" t="inlineStr">
        <is>
          <t>High</t>
        </is>
      </c>
      <c r="AE246" t="inlineStr">
        <is>
          <t>None</t>
        </is>
      </c>
      <c r="AF246" t="n">
        <v>0.95</v>
      </c>
      <c r="AG246" t="inlineStr">
        <is>
          <t>Valid</t>
        </is>
      </c>
    </row>
    <row r="247">
      <c r="A247" t="inlineStr">
        <is>
          <t>SUP-0025</t>
        </is>
      </c>
      <c r="B247" t="inlineStr">
        <is>
          <t>Metals Supplier 025</t>
        </is>
      </c>
      <c r="C247" t="inlineStr">
        <is>
          <t>Metals</t>
        </is>
      </c>
      <c r="D247" t="n">
        <v>2020</v>
      </c>
      <c r="E247" t="n">
        <v>24724354.1</v>
      </c>
      <c r="F247" t="n">
        <v>102062036.06</v>
      </c>
      <c r="G247" t="n">
        <v>11635.6166</v>
      </c>
      <c r="H247" t="n">
        <v>1243.001</v>
      </c>
      <c r="I247" t="n">
        <v>2490.708</v>
      </c>
      <c r="J247" t="n">
        <v>7664.2913</v>
      </c>
      <c r="K247" t="n">
        <v>2020</v>
      </c>
      <c r="L247" t="n">
        <v>2030</v>
      </c>
      <c r="M247" t="n">
        <v>0.3833</v>
      </c>
      <c r="N247" t="n">
        <v>0.1962</v>
      </c>
      <c r="O247" t="n">
        <v>2019</v>
      </c>
      <c r="P247" t="n">
        <v>2030</v>
      </c>
      <c r="Q247" t="n">
        <v>0.3852</v>
      </c>
      <c r="R247" t="n">
        <v>158.2904</v>
      </c>
      <c r="S247" t="n">
        <v>0.00100695</v>
      </c>
      <c r="T247" t="n">
        <v>0.00065008</v>
      </c>
      <c r="U247" t="n">
        <v>11635.6166</v>
      </c>
      <c r="V247" t="inlineStr">
        <is>
          <t>Provided Total Emissions</t>
        </is>
      </c>
      <c r="W247" t="b">
        <v>1</v>
      </c>
      <c r="X247" t="n">
        <v>24896.1884</v>
      </c>
      <c r="Y247" t="n">
        <v>66348.4884</v>
      </c>
      <c r="Z247" t="n">
        <v>13260.5718</v>
      </c>
      <c r="AA247" t="n">
        <v>54712.8718</v>
      </c>
      <c r="AB247" t="n">
        <v>1.139654</v>
      </c>
      <c r="AC247" t="n">
        <v>4.702189</v>
      </c>
      <c r="AD247" t="inlineStr">
        <is>
          <t>High</t>
        </is>
      </c>
      <c r="AE247" t="inlineStr">
        <is>
          <t>None</t>
        </is>
      </c>
      <c r="AF247" t="n">
        <v>0.95</v>
      </c>
      <c r="AG247" t="inlineStr">
        <is>
          <t>Valid</t>
        </is>
      </c>
    </row>
    <row r="248">
      <c r="A248" t="inlineStr">
        <is>
          <t>SUP-0025</t>
        </is>
      </c>
      <c r="B248" t="inlineStr">
        <is>
          <t>Metals Supplier 025</t>
        </is>
      </c>
      <c r="C248" t="inlineStr">
        <is>
          <t>Metals</t>
        </is>
      </c>
      <c r="D248" t="n">
        <v>2021</v>
      </c>
      <c r="E248" t="n">
        <v>24745687.6</v>
      </c>
      <c r="F248" t="n">
        <v>81702724.55</v>
      </c>
      <c r="G248" t="n">
        <v>9485.375599999999</v>
      </c>
      <c r="H248" t="n">
        <v>2008.6838</v>
      </c>
      <c r="I248" t="n">
        <v>1177.7976</v>
      </c>
      <c r="J248" t="n">
        <v>7241.2778</v>
      </c>
      <c r="K248" t="n">
        <v>2020</v>
      </c>
      <c r="L248" t="n">
        <v>2030</v>
      </c>
      <c r="M248" t="n">
        <v>0.3833</v>
      </c>
      <c r="N248" t="n">
        <v>0.1962</v>
      </c>
      <c r="O248" t="n">
        <v>2019</v>
      </c>
      <c r="P248" t="n">
        <v>2030</v>
      </c>
      <c r="Q248" t="n">
        <v>0.3852</v>
      </c>
      <c r="R248" t="n">
        <v>158.2904</v>
      </c>
      <c r="S248" t="n">
        <v>0.00100695</v>
      </c>
      <c r="T248" t="n">
        <v>0.00065008</v>
      </c>
      <c r="U248" t="n">
        <v>9485.375599999999</v>
      </c>
      <c r="V248" t="inlineStr">
        <is>
          <t>Provided Total Emissions</t>
        </is>
      </c>
      <c r="W248" t="b">
        <v>1</v>
      </c>
      <c r="X248" t="n">
        <v>24917.6701</v>
      </c>
      <c r="Y248" t="n">
        <v>53113.3072</v>
      </c>
      <c r="Z248" t="n">
        <v>15432.2945</v>
      </c>
      <c r="AA248" t="n">
        <v>43627.9316</v>
      </c>
      <c r="AB248" t="n">
        <v>1.626957</v>
      </c>
      <c r="AC248" t="n">
        <v>4.599494</v>
      </c>
      <c r="AD248" t="inlineStr">
        <is>
          <t>High</t>
        </is>
      </c>
      <c r="AE248" t="inlineStr">
        <is>
          <t>None</t>
        </is>
      </c>
      <c r="AF248" t="n">
        <v>0.95</v>
      </c>
      <c r="AG248" t="inlineStr">
        <is>
          <t>Valid</t>
        </is>
      </c>
    </row>
    <row r="249">
      <c r="A249" t="inlineStr">
        <is>
          <t>SUP-0025</t>
        </is>
      </c>
      <c r="B249" t="inlineStr">
        <is>
          <t>Metals Supplier 025</t>
        </is>
      </c>
      <c r="C249" t="inlineStr">
        <is>
          <t>Metals</t>
        </is>
      </c>
      <c r="D249" t="n">
        <v>2022</v>
      </c>
      <c r="E249" t="n">
        <v>27220351.61</v>
      </c>
      <c r="F249" t="n">
        <v>120500462.65</v>
      </c>
      <c r="G249" t="n">
        <v>12281.011</v>
      </c>
      <c r="H249" t="n">
        <v>3061.6232</v>
      </c>
      <c r="I249" t="n">
        <v>1007.1515</v>
      </c>
      <c r="J249" t="n">
        <v>9056.7755</v>
      </c>
      <c r="K249" t="n">
        <v>2020</v>
      </c>
      <c r="L249" t="n">
        <v>2030</v>
      </c>
      <c r="M249" t="n">
        <v>0.3833</v>
      </c>
      <c r="N249" t="n">
        <v>0.1962</v>
      </c>
      <c r="O249" t="n">
        <v>2019</v>
      </c>
      <c r="P249" t="n">
        <v>2030</v>
      </c>
      <c r="Q249" t="n">
        <v>0.3852</v>
      </c>
      <c r="R249" t="n">
        <v>158.2904</v>
      </c>
      <c r="S249" t="n">
        <v>0.00100695</v>
      </c>
      <c r="T249" t="n">
        <v>0.00065008</v>
      </c>
      <c r="U249" t="n">
        <v>12281.011</v>
      </c>
      <c r="V249" t="inlineStr">
        <is>
          <t>Provided Total Emissions</t>
        </is>
      </c>
      <c r="W249" t="b">
        <v>1</v>
      </c>
      <c r="X249" t="n">
        <v>27409.5331</v>
      </c>
      <c r="Y249" t="n">
        <v>78334.9408</v>
      </c>
      <c r="Z249" t="n">
        <v>15128.5221</v>
      </c>
      <c r="AA249" t="n">
        <v>66053.9298</v>
      </c>
      <c r="AB249" t="n">
        <v>1.231863</v>
      </c>
      <c r="AC249" t="n">
        <v>5.378542</v>
      </c>
      <c r="AD249" t="inlineStr">
        <is>
          <t>High</t>
        </is>
      </c>
      <c r="AE249" t="inlineStr">
        <is>
          <t>None</t>
        </is>
      </c>
      <c r="AF249" t="n">
        <v>0.95</v>
      </c>
      <c r="AG249" t="inlineStr">
        <is>
          <t>Valid</t>
        </is>
      </c>
    </row>
    <row r="250">
      <c r="A250" t="inlineStr">
        <is>
          <t>SUP-0025</t>
        </is>
      </c>
      <c r="B250" t="inlineStr">
        <is>
          <t>Metals Supplier 025</t>
        </is>
      </c>
      <c r="C250" t="inlineStr">
        <is>
          <t>Metals</t>
        </is>
      </c>
      <c r="D250" t="n">
        <v>2023</v>
      </c>
      <c r="E250" t="n">
        <v>26067670.35</v>
      </c>
      <c r="F250" t="n">
        <v>88936216.36</v>
      </c>
      <c r="G250" t="n">
        <v>9847.540999999999</v>
      </c>
      <c r="H250" t="n">
        <v>1189.8286</v>
      </c>
      <c r="I250" t="n">
        <v>822.026</v>
      </c>
      <c r="J250" t="n">
        <v>7382.8081</v>
      </c>
      <c r="K250" t="n">
        <v>2020</v>
      </c>
      <c r="L250" t="n">
        <v>2030</v>
      </c>
      <c r="M250" t="n">
        <v>0.3833</v>
      </c>
      <c r="N250" t="n">
        <v>0.1962</v>
      </c>
      <c r="O250" t="n">
        <v>2019</v>
      </c>
      <c r="P250" t="n">
        <v>2030</v>
      </c>
      <c r="Q250" t="n">
        <v>0.3852</v>
      </c>
      <c r="R250" t="n">
        <v>158.2904</v>
      </c>
      <c r="S250" t="n">
        <v>0.00100695</v>
      </c>
      <c r="T250" t="n">
        <v>0.00065008</v>
      </c>
      <c r="U250" t="n">
        <v>9847.540999999999</v>
      </c>
      <c r="V250" t="inlineStr">
        <is>
          <t>Provided Total Emissions</t>
        </is>
      </c>
      <c r="W250" t="b">
        <v>1</v>
      </c>
      <c r="X250" t="n">
        <v>26248.8407</v>
      </c>
      <c r="Y250" t="n">
        <v>57815.6555</v>
      </c>
      <c r="Z250" t="n">
        <v>16401.2997</v>
      </c>
      <c r="AA250" t="n">
        <v>47968.1145</v>
      </c>
      <c r="AB250" t="n">
        <v>1.665522</v>
      </c>
      <c r="AC250" t="n">
        <v>4.871075</v>
      </c>
      <c r="AD250" t="inlineStr">
        <is>
          <t>High</t>
        </is>
      </c>
      <c r="AE250" t="inlineStr">
        <is>
          <t>None</t>
        </is>
      </c>
      <c r="AF250" t="n">
        <v>0.95</v>
      </c>
      <c r="AG250" t="inlineStr">
        <is>
          <t>Valid</t>
        </is>
      </c>
    </row>
    <row r="251">
      <c r="A251" t="inlineStr">
        <is>
          <t>SUP-0025</t>
        </is>
      </c>
      <c r="B251" t="inlineStr">
        <is>
          <t>Metals Supplier 025</t>
        </is>
      </c>
      <c r="C251" t="inlineStr">
        <is>
          <t>Metals</t>
        </is>
      </c>
      <c r="D251" t="n">
        <v>2024</v>
      </c>
      <c r="E251" t="n">
        <v>28051545.88</v>
      </c>
      <c r="F251" t="n">
        <v>98370436.7</v>
      </c>
      <c r="G251" t="n">
        <v>10805.0329</v>
      </c>
      <c r="H251" t="n">
        <v>2648.121</v>
      </c>
      <c r="I251" t="n">
        <v>1554.6211</v>
      </c>
      <c r="J251" t="n">
        <v>6865.0615</v>
      </c>
      <c r="K251" t="n">
        <v>2020</v>
      </c>
      <c r="L251" t="n">
        <v>2030</v>
      </c>
      <c r="M251" t="n">
        <v>0.3833</v>
      </c>
      <c r="N251" t="n">
        <v>0.1962</v>
      </c>
      <c r="O251" t="n">
        <v>2019</v>
      </c>
      <c r="P251" t="n">
        <v>2030</v>
      </c>
      <c r="Q251" t="n">
        <v>0.3852</v>
      </c>
      <c r="R251" t="n">
        <v>158.2904</v>
      </c>
      <c r="S251" t="n">
        <v>0.00100695</v>
      </c>
      <c r="T251" t="n">
        <v>0.00065008</v>
      </c>
      <c r="U251" t="n">
        <v>10805.0329</v>
      </c>
      <c r="V251" t="inlineStr">
        <is>
          <t>Provided Total Emissions</t>
        </is>
      </c>
      <c r="W251" t="b">
        <v>1</v>
      </c>
      <c r="X251" t="n">
        <v>28246.5041</v>
      </c>
      <c r="Y251" t="n">
        <v>63948.6535</v>
      </c>
      <c r="Z251" t="n">
        <v>17441.4712</v>
      </c>
      <c r="AA251" t="n">
        <v>53143.6206</v>
      </c>
      <c r="AB251" t="n">
        <v>1.614199</v>
      </c>
      <c r="AC251" t="n">
        <v>4.918414</v>
      </c>
      <c r="AD251" t="inlineStr">
        <is>
          <t>High</t>
        </is>
      </c>
      <c r="AE251" t="inlineStr">
        <is>
          <t>None</t>
        </is>
      </c>
      <c r="AF251" t="n">
        <v>0.95</v>
      </c>
      <c r="AG251" t="inlineStr">
        <is>
          <t>Valid</t>
        </is>
      </c>
    </row>
    <row r="252">
      <c r="A252" t="inlineStr">
        <is>
          <t>SUP-0026</t>
        </is>
      </c>
      <c r="B252" t="inlineStr">
        <is>
          <t>Professional Supplier 026</t>
        </is>
      </c>
      <c r="C252" t="inlineStr">
        <is>
          <t>Professional Services</t>
        </is>
      </c>
      <c r="D252" t="n">
        <v>2015</v>
      </c>
      <c r="E252" t="n">
        <v>1040706.31</v>
      </c>
      <c r="F252" t="n">
        <v>2718331.61</v>
      </c>
      <c r="G252" t="n">
        <v>115.5587</v>
      </c>
      <c r="H252" t="n">
        <v>17.0544</v>
      </c>
      <c r="I252" t="n">
        <v>20.4449</v>
      </c>
      <c r="J252" t="n">
        <v>75.91540000000001</v>
      </c>
      <c r="K252" t="n">
        <v>2019</v>
      </c>
      <c r="L252" t="n">
        <v>2040</v>
      </c>
      <c r="M252" t="n">
        <v>0.4936</v>
      </c>
      <c r="N252" t="n">
        <v>0.2987</v>
      </c>
      <c r="O252" t="n">
        <v>2020</v>
      </c>
      <c r="P252" t="inlineStr"/>
      <c r="Q252" t="inlineStr"/>
      <c r="R252" t="n">
        <v>400.0326</v>
      </c>
      <c r="S252" t="n">
        <v>0.00012906</v>
      </c>
      <c r="T252" t="n">
        <v>0.00019658</v>
      </c>
      <c r="U252" t="n">
        <v>115.5587</v>
      </c>
      <c r="V252" t="inlineStr">
        <is>
          <t>Provided Total Emissions</t>
        </is>
      </c>
      <c r="W252" t="b">
        <v>1</v>
      </c>
      <c r="X252" t="n">
        <v>134.3136</v>
      </c>
      <c r="Y252" t="n">
        <v>534.3696</v>
      </c>
      <c r="Z252" t="n">
        <v>18.7549</v>
      </c>
      <c r="AA252" t="n">
        <v>418.8109</v>
      </c>
      <c r="AB252" t="n">
        <v>0.162297</v>
      </c>
      <c r="AC252" t="n">
        <v>3.624227</v>
      </c>
      <c r="AD252" t="inlineStr">
        <is>
          <t>High</t>
        </is>
      </c>
      <c r="AE252" t="inlineStr">
        <is>
          <t>None</t>
        </is>
      </c>
      <c r="AF252" t="n">
        <v>0.95</v>
      </c>
      <c r="AG252" t="inlineStr">
        <is>
          <t>Valid</t>
        </is>
      </c>
    </row>
    <row r="253">
      <c r="A253" t="inlineStr">
        <is>
          <t>SUP-0026</t>
        </is>
      </c>
      <c r="B253" t="inlineStr">
        <is>
          <t>Professional Supplier 026</t>
        </is>
      </c>
      <c r="C253" t="inlineStr">
        <is>
          <t>Professional Services</t>
        </is>
      </c>
      <c r="D253" t="n">
        <v>2016</v>
      </c>
      <c r="E253" t="n">
        <v>848177.45</v>
      </c>
      <c r="F253" t="n">
        <v>2468864.2</v>
      </c>
      <c r="G253" t="n">
        <v>77.833</v>
      </c>
      <c r="H253" t="n">
        <v>21.2403</v>
      </c>
      <c r="I253" t="n">
        <v>8.965400000000001</v>
      </c>
      <c r="J253" t="n">
        <v>47.0298</v>
      </c>
      <c r="K253" t="n">
        <v>2019</v>
      </c>
      <c r="L253" t="n">
        <v>2040</v>
      </c>
      <c r="M253" t="n">
        <v>0.4936</v>
      </c>
      <c r="N253" t="n">
        <v>0.2987</v>
      </c>
      <c r="O253" t="n">
        <v>2020</v>
      </c>
      <c r="P253" t="inlineStr"/>
      <c r="Q253" t="inlineStr"/>
      <c r="R253" t="n">
        <v>400.0326</v>
      </c>
      <c r="S253" t="n">
        <v>0.00012906</v>
      </c>
      <c r="T253" t="n">
        <v>0.00019658</v>
      </c>
      <c r="U253" t="n">
        <v>77.833</v>
      </c>
      <c r="V253" t="inlineStr">
        <is>
          <t>Provided Total Emissions</t>
        </is>
      </c>
      <c r="W253" t="b">
        <v>1</v>
      </c>
      <c r="X253" t="n">
        <v>109.4658</v>
      </c>
      <c r="Y253" t="n">
        <v>485.3293</v>
      </c>
      <c r="Z253" t="n">
        <v>31.6328</v>
      </c>
      <c r="AA253" t="n">
        <v>407.4963</v>
      </c>
      <c r="AB253" t="n">
        <v>0.406419</v>
      </c>
      <c r="AC253" t="n">
        <v>5.235521</v>
      </c>
      <c r="AD253" t="inlineStr">
        <is>
          <t>High</t>
        </is>
      </c>
      <c r="AE253" t="inlineStr">
        <is>
          <t>None</t>
        </is>
      </c>
      <c r="AF253" t="n">
        <v>0.95</v>
      </c>
      <c r="AG253" t="inlineStr">
        <is>
          <t>Valid</t>
        </is>
      </c>
    </row>
    <row r="254">
      <c r="A254" t="inlineStr">
        <is>
          <t>SUP-0026</t>
        </is>
      </c>
      <c r="B254" t="inlineStr">
        <is>
          <t>Professional Supplier 026</t>
        </is>
      </c>
      <c r="C254" t="inlineStr">
        <is>
          <t>Professional Services</t>
        </is>
      </c>
      <c r="D254" t="n">
        <v>2017</v>
      </c>
      <c r="E254" t="n">
        <v>887693.26</v>
      </c>
      <c r="F254" t="n">
        <v>3459389.03</v>
      </c>
      <c r="G254" t="n">
        <v>76.6845</v>
      </c>
      <c r="H254" t="n">
        <v>14.1997</v>
      </c>
      <c r="I254" t="n">
        <v>11.9657</v>
      </c>
      <c r="J254" t="n">
        <v>46.2213</v>
      </c>
      <c r="K254" t="n">
        <v>2019</v>
      </c>
      <c r="L254" t="n">
        <v>2040</v>
      </c>
      <c r="M254" t="n">
        <v>0.4936</v>
      </c>
      <c r="N254" t="n">
        <v>0.2987</v>
      </c>
      <c r="O254" t="n">
        <v>2020</v>
      </c>
      <c r="P254" t="inlineStr"/>
      <c r="Q254" t="inlineStr"/>
      <c r="R254" t="n">
        <v>400.0326</v>
      </c>
      <c r="S254" t="n">
        <v>0.00012906</v>
      </c>
      <c r="T254" t="n">
        <v>0.00019658</v>
      </c>
      <c r="U254" t="n">
        <v>76.6845</v>
      </c>
      <c r="V254" t="inlineStr">
        <is>
          <t>Provided Total Emissions</t>
        </is>
      </c>
      <c r="W254" t="b">
        <v>1</v>
      </c>
      <c r="X254" t="n">
        <v>114.5657</v>
      </c>
      <c r="Y254" t="n">
        <v>680.0467</v>
      </c>
      <c r="Z254" t="n">
        <v>37.8812</v>
      </c>
      <c r="AA254" t="n">
        <v>603.3622</v>
      </c>
      <c r="AB254" t="n">
        <v>0.493988</v>
      </c>
      <c r="AC254" t="n">
        <v>7.868111</v>
      </c>
      <c r="AD254" t="inlineStr">
        <is>
          <t>High</t>
        </is>
      </c>
      <c r="AE254" t="inlineStr">
        <is>
          <t>None</t>
        </is>
      </c>
      <c r="AF254" t="n">
        <v>0.95</v>
      </c>
      <c r="AG254" t="inlineStr">
        <is>
          <t>Valid</t>
        </is>
      </c>
    </row>
    <row r="255">
      <c r="A255" t="inlineStr">
        <is>
          <t>SUP-0026</t>
        </is>
      </c>
      <c r="B255" t="inlineStr">
        <is>
          <t>Professional Supplier 026</t>
        </is>
      </c>
      <c r="C255" t="inlineStr">
        <is>
          <t>Professional Services</t>
        </is>
      </c>
      <c r="D255" t="n">
        <v>2018</v>
      </c>
      <c r="E255" t="n">
        <v>984357.13</v>
      </c>
      <c r="F255" t="n">
        <v>2947127.14</v>
      </c>
      <c r="G255" t="n">
        <v>92.658</v>
      </c>
      <c r="H255" t="n">
        <v>18.8301</v>
      </c>
      <c r="I255" t="n">
        <v>17.1095</v>
      </c>
      <c r="J255" t="n">
        <v>52.5788</v>
      </c>
      <c r="K255" t="n">
        <v>2019</v>
      </c>
      <c r="L255" t="n">
        <v>2040</v>
      </c>
      <c r="M255" t="n">
        <v>0.4936</v>
      </c>
      <c r="N255" t="n">
        <v>0.2987</v>
      </c>
      <c r="O255" t="n">
        <v>2020</v>
      </c>
      <c r="P255" t="inlineStr"/>
      <c r="Q255" t="inlineStr"/>
      <c r="R255" t="n">
        <v>400.0326</v>
      </c>
      <c r="S255" t="n">
        <v>0.00012906</v>
      </c>
      <c r="T255" t="n">
        <v>0.00019658</v>
      </c>
      <c r="U255" t="n">
        <v>92.658</v>
      </c>
      <c r="V255" t="inlineStr">
        <is>
          <t>Provided Total Emissions</t>
        </is>
      </c>
      <c r="W255" t="b">
        <v>1</v>
      </c>
      <c r="X255" t="n">
        <v>127.0411</v>
      </c>
      <c r="Y255" t="n">
        <v>579.3463</v>
      </c>
      <c r="Z255" t="n">
        <v>34.3831</v>
      </c>
      <c r="AA255" t="n">
        <v>486.6883</v>
      </c>
      <c r="AB255" t="n">
        <v>0.371076</v>
      </c>
      <c r="AC255" t="n">
        <v>5.252523</v>
      </c>
      <c r="AD255" t="inlineStr">
        <is>
          <t>High</t>
        </is>
      </c>
      <c r="AE255" t="inlineStr">
        <is>
          <t>None</t>
        </is>
      </c>
      <c r="AF255" t="n">
        <v>0.95</v>
      </c>
      <c r="AG255" t="inlineStr">
        <is>
          <t>Valid</t>
        </is>
      </c>
    </row>
    <row r="256">
      <c r="A256" t="inlineStr">
        <is>
          <t>SUP-0026</t>
        </is>
      </c>
      <c r="B256" t="inlineStr">
        <is>
          <t>Professional Supplier 026</t>
        </is>
      </c>
      <c r="C256" t="inlineStr">
        <is>
          <t>Professional Services</t>
        </is>
      </c>
      <c r="D256" t="n">
        <v>2019</v>
      </c>
      <c r="E256" t="n">
        <v>849842.46</v>
      </c>
      <c r="F256" t="n">
        <v>3282869.71</v>
      </c>
      <c r="G256" t="n">
        <v>67.1713</v>
      </c>
      <c r="H256" t="n">
        <v>5.9824</v>
      </c>
      <c r="I256" t="n">
        <v>6.4362</v>
      </c>
      <c r="J256" t="n">
        <v>54.0202</v>
      </c>
      <c r="K256" t="n">
        <v>2019</v>
      </c>
      <c r="L256" t="n">
        <v>2040</v>
      </c>
      <c r="M256" t="n">
        <v>0.4936</v>
      </c>
      <c r="N256" t="n">
        <v>0.2987</v>
      </c>
      <c r="O256" t="n">
        <v>2020</v>
      </c>
      <c r="P256" t="inlineStr"/>
      <c r="Q256" t="inlineStr"/>
      <c r="R256" t="n">
        <v>400.0326</v>
      </c>
      <c r="S256" t="n">
        <v>0.00012906</v>
      </c>
      <c r="T256" t="n">
        <v>0.00019658</v>
      </c>
      <c r="U256" t="n">
        <v>67.1713</v>
      </c>
      <c r="V256" t="inlineStr">
        <is>
          <t>Provided Total Emissions</t>
        </is>
      </c>
      <c r="W256" t="b">
        <v>1</v>
      </c>
      <c r="X256" t="n">
        <v>109.6807</v>
      </c>
      <c r="Y256" t="n">
        <v>645.3465</v>
      </c>
      <c r="Z256" t="n">
        <v>42.5094</v>
      </c>
      <c r="AA256" t="n">
        <v>578.1752</v>
      </c>
      <c r="AB256" t="n">
        <v>0.63285</v>
      </c>
      <c r="AC256" t="n">
        <v>8.607474</v>
      </c>
      <c r="AD256" t="inlineStr">
        <is>
          <t>High</t>
        </is>
      </c>
      <c r="AE256" t="inlineStr">
        <is>
          <t>None</t>
        </is>
      </c>
      <c r="AF256" t="n">
        <v>0.95</v>
      </c>
      <c r="AG256" t="inlineStr">
        <is>
          <t>Valid</t>
        </is>
      </c>
    </row>
    <row r="257">
      <c r="A257" t="inlineStr">
        <is>
          <t>SUP-0026</t>
        </is>
      </c>
      <c r="B257" t="inlineStr">
        <is>
          <t>Professional Supplier 026</t>
        </is>
      </c>
      <c r="C257" t="inlineStr">
        <is>
          <t>Professional Services</t>
        </is>
      </c>
      <c r="D257" t="n">
        <v>2020</v>
      </c>
      <c r="E257" t="n">
        <v>975802.0600000001</v>
      </c>
      <c r="F257" t="n">
        <v>3150509</v>
      </c>
      <c r="G257" t="n">
        <v>76.4237</v>
      </c>
      <c r="H257" t="n">
        <v>8.1599</v>
      </c>
      <c r="I257" t="n">
        <v>5.5558</v>
      </c>
      <c r="J257" t="n">
        <v>58.0165</v>
      </c>
      <c r="K257" t="n">
        <v>2019</v>
      </c>
      <c r="L257" t="n">
        <v>2040</v>
      </c>
      <c r="M257" t="n">
        <v>0.4936</v>
      </c>
      <c r="N257" t="n">
        <v>0.2987</v>
      </c>
      <c r="O257" t="n">
        <v>2020</v>
      </c>
      <c r="P257" t="inlineStr"/>
      <c r="Q257" t="inlineStr"/>
      <c r="R257" t="n">
        <v>400.0326</v>
      </c>
      <c r="S257" t="n">
        <v>0.00012906</v>
      </c>
      <c r="T257" t="n">
        <v>0.00019658</v>
      </c>
      <c r="U257" t="n">
        <v>76.4237</v>
      </c>
      <c r="V257" t="inlineStr">
        <is>
          <t>Provided Total Emissions</t>
        </is>
      </c>
      <c r="W257" t="b">
        <v>1</v>
      </c>
      <c r="X257" t="n">
        <v>125.937</v>
      </c>
      <c r="Y257" t="n">
        <v>619.3271</v>
      </c>
      <c r="Z257" t="n">
        <v>49.5133</v>
      </c>
      <c r="AA257" t="n">
        <v>542.9034</v>
      </c>
      <c r="AB257" t="n">
        <v>0.647879</v>
      </c>
      <c r="AC257" t="n">
        <v>7.103861</v>
      </c>
      <c r="AD257" t="inlineStr">
        <is>
          <t>High</t>
        </is>
      </c>
      <c r="AE257" t="inlineStr">
        <is>
          <t>None</t>
        </is>
      </c>
      <c r="AF257" t="n">
        <v>0.95</v>
      </c>
      <c r="AG257" t="inlineStr">
        <is>
          <t>Valid</t>
        </is>
      </c>
    </row>
    <row r="258">
      <c r="A258" t="inlineStr">
        <is>
          <t>SUP-0026</t>
        </is>
      </c>
      <c r="B258" t="inlineStr">
        <is>
          <t>Professional Supplier 026</t>
        </is>
      </c>
      <c r="C258" t="inlineStr">
        <is>
          <t>Professional Services</t>
        </is>
      </c>
      <c r="D258" t="n">
        <v>2021</v>
      </c>
      <c r="E258" t="n">
        <v>930501.4300000001</v>
      </c>
      <c r="F258" t="n">
        <v>2777714.02</v>
      </c>
      <c r="G258" t="n">
        <v>59.2091</v>
      </c>
      <c r="H258" t="n">
        <v>4.5491</v>
      </c>
      <c r="I258" t="n">
        <v>6.0907</v>
      </c>
      <c r="J258" t="n">
        <v>43.7275</v>
      </c>
      <c r="K258" t="n">
        <v>2019</v>
      </c>
      <c r="L258" t="n">
        <v>2040</v>
      </c>
      <c r="M258" t="n">
        <v>0.4936</v>
      </c>
      <c r="N258" t="n">
        <v>0.2987</v>
      </c>
      <c r="O258" t="n">
        <v>2020</v>
      </c>
      <c r="P258" t="inlineStr"/>
      <c r="Q258" t="inlineStr"/>
      <c r="R258" t="n">
        <v>400.0326</v>
      </c>
      <c r="S258" t="n">
        <v>0.00012906</v>
      </c>
      <c r="T258" t="n">
        <v>0.00019658</v>
      </c>
      <c r="U258" t="n">
        <v>59.2091</v>
      </c>
      <c r="V258" t="inlineStr">
        <is>
          <t>Provided Total Emissions</t>
        </is>
      </c>
      <c r="W258" t="b">
        <v>1</v>
      </c>
      <c r="X258" t="n">
        <v>120.0905</v>
      </c>
      <c r="Y258" t="n">
        <v>546.043</v>
      </c>
      <c r="Z258" t="n">
        <v>60.8814</v>
      </c>
      <c r="AA258" t="n">
        <v>486.8339</v>
      </c>
      <c r="AB258" t="n">
        <v>1.028244</v>
      </c>
      <c r="AC258" t="n">
        <v>8.222282</v>
      </c>
      <c r="AD258" t="inlineStr">
        <is>
          <t>High</t>
        </is>
      </c>
      <c r="AE258" t="inlineStr">
        <is>
          <t>None</t>
        </is>
      </c>
      <c r="AF258" t="n">
        <v>0.95</v>
      </c>
      <c r="AG258" t="inlineStr">
        <is>
          <t>Valid</t>
        </is>
      </c>
    </row>
    <row r="259">
      <c r="A259" t="inlineStr">
        <is>
          <t>SUP-0026</t>
        </is>
      </c>
      <c r="B259" t="inlineStr">
        <is>
          <t>Professional Supplier 026</t>
        </is>
      </c>
      <c r="C259" t="inlineStr">
        <is>
          <t>Professional Services</t>
        </is>
      </c>
      <c r="D259" t="n">
        <v>2022</v>
      </c>
      <c r="E259" t="n">
        <v>895415.47</v>
      </c>
      <c r="F259" t="n">
        <v>3714986.77</v>
      </c>
      <c r="G259" t="n">
        <v>60.5093</v>
      </c>
      <c r="H259" t="n">
        <v>12.4138</v>
      </c>
      <c r="I259" t="n">
        <v>9.371700000000001</v>
      </c>
      <c r="J259" t="n">
        <v>38.306</v>
      </c>
      <c r="K259" t="n">
        <v>2019</v>
      </c>
      <c r="L259" t="n">
        <v>2040</v>
      </c>
      <c r="M259" t="n">
        <v>0.4936</v>
      </c>
      <c r="N259" t="n">
        <v>0.2987</v>
      </c>
      <c r="O259" t="n">
        <v>2020</v>
      </c>
      <c r="P259" t="inlineStr"/>
      <c r="Q259" t="inlineStr"/>
      <c r="R259" t="n">
        <v>400.0326</v>
      </c>
      <c r="S259" t="n">
        <v>0.00012906</v>
      </c>
      <c r="T259" t="n">
        <v>0.00019658</v>
      </c>
      <c r="U259" t="n">
        <v>60.5093</v>
      </c>
      <c r="V259" t="inlineStr">
        <is>
          <t>Provided Total Emissions</t>
        </is>
      </c>
      <c r="W259" t="b">
        <v>1</v>
      </c>
      <c r="X259" t="n">
        <v>115.5623</v>
      </c>
      <c r="Y259" t="n">
        <v>730.2921</v>
      </c>
      <c r="Z259" t="n">
        <v>55.053</v>
      </c>
      <c r="AA259" t="n">
        <v>669.7828</v>
      </c>
      <c r="AB259" t="n">
        <v>0.9098270000000001</v>
      </c>
      <c r="AC259" t="n">
        <v>11.069089</v>
      </c>
      <c r="AD259" t="inlineStr">
        <is>
          <t>High</t>
        </is>
      </c>
      <c r="AE259" t="inlineStr">
        <is>
          <t>None</t>
        </is>
      </c>
      <c r="AF259" t="n">
        <v>0.95</v>
      </c>
      <c r="AG259" t="inlineStr">
        <is>
          <t>Valid</t>
        </is>
      </c>
    </row>
    <row r="260">
      <c r="A260" t="inlineStr">
        <is>
          <t>SUP-0026</t>
        </is>
      </c>
      <c r="B260" t="inlineStr">
        <is>
          <t>Professional Supplier 026</t>
        </is>
      </c>
      <c r="C260" t="inlineStr">
        <is>
          <t>Professional Services</t>
        </is>
      </c>
      <c r="D260" t="n">
        <v>2023</v>
      </c>
      <c r="E260" t="n">
        <v>893693.4300000001</v>
      </c>
      <c r="F260" t="n">
        <v>3271008.7</v>
      </c>
      <c r="G260" t="n">
        <v>61.5516</v>
      </c>
      <c r="H260" t="n">
        <v>15.0911</v>
      </c>
      <c r="I260" t="n">
        <v>5.1173</v>
      </c>
      <c r="J260" t="n">
        <v>40.1028</v>
      </c>
      <c r="K260" t="n">
        <v>2019</v>
      </c>
      <c r="L260" t="n">
        <v>2040</v>
      </c>
      <c r="M260" t="n">
        <v>0.4936</v>
      </c>
      <c r="N260" t="n">
        <v>0.2987</v>
      </c>
      <c r="O260" t="n">
        <v>2020</v>
      </c>
      <c r="P260" t="inlineStr"/>
      <c r="Q260" t="inlineStr"/>
      <c r="R260" t="n">
        <v>400.0326</v>
      </c>
      <c r="S260" t="n">
        <v>0.00012906</v>
      </c>
      <c r="T260" t="n">
        <v>0.00019658</v>
      </c>
      <c r="U260" t="n">
        <v>61.5516</v>
      </c>
      <c r="V260" t="inlineStr">
        <is>
          <t>Provided Total Emissions</t>
        </is>
      </c>
      <c r="W260" t="b">
        <v>1</v>
      </c>
      <c r="X260" t="n">
        <v>115.3401</v>
      </c>
      <c r="Y260" t="n">
        <v>643.0149</v>
      </c>
      <c r="Z260" t="n">
        <v>53.7885</v>
      </c>
      <c r="AA260" t="n">
        <v>581.4633</v>
      </c>
      <c r="AB260" t="n">
        <v>0.873876</v>
      </c>
      <c r="AC260" t="n">
        <v>9.446762</v>
      </c>
      <c r="AD260" t="inlineStr">
        <is>
          <t>High</t>
        </is>
      </c>
      <c r="AE260" t="inlineStr">
        <is>
          <t>None</t>
        </is>
      </c>
      <c r="AF260" t="n">
        <v>0.95</v>
      </c>
      <c r="AG260" t="inlineStr">
        <is>
          <t>Valid</t>
        </is>
      </c>
    </row>
    <row r="261">
      <c r="A261" t="inlineStr">
        <is>
          <t>SUP-0026</t>
        </is>
      </c>
      <c r="B261" t="inlineStr">
        <is>
          <t>Professional Supplier 026</t>
        </is>
      </c>
      <c r="C261" t="inlineStr">
        <is>
          <t>Professional Services</t>
        </is>
      </c>
      <c r="D261" t="n">
        <v>2024</v>
      </c>
      <c r="E261" t="n">
        <v>993339.67</v>
      </c>
      <c r="F261" t="n">
        <v>4530875.75</v>
      </c>
      <c r="G261" t="n">
        <v>93.60899999999999</v>
      </c>
      <c r="H261" t="n">
        <v>25.8028</v>
      </c>
      <c r="I261" t="n">
        <v>13.8137</v>
      </c>
      <c r="J261" t="n">
        <v>55.2833</v>
      </c>
      <c r="K261" t="n">
        <v>2019</v>
      </c>
      <c r="L261" t="n">
        <v>2040</v>
      </c>
      <c r="M261" t="n">
        <v>0.4936</v>
      </c>
      <c r="N261" t="n">
        <v>0.2987</v>
      </c>
      <c r="O261" t="n">
        <v>2020</v>
      </c>
      <c r="P261" t="inlineStr"/>
      <c r="Q261" t="inlineStr"/>
      <c r="R261" t="n">
        <v>400.0326</v>
      </c>
      <c r="S261" t="n">
        <v>0.00012906</v>
      </c>
      <c r="T261" t="n">
        <v>0.00019658</v>
      </c>
      <c r="U261" t="n">
        <v>93.60899999999999</v>
      </c>
      <c r="V261" t="inlineStr">
        <is>
          <t>Provided Total Emissions</t>
        </is>
      </c>
      <c r="W261" t="b">
        <v>1</v>
      </c>
      <c r="X261" t="n">
        <v>128.2004</v>
      </c>
      <c r="Y261" t="n">
        <v>890.6796000000001</v>
      </c>
      <c r="Z261" t="n">
        <v>34.5914</v>
      </c>
      <c r="AA261" t="n">
        <v>797.0706</v>
      </c>
      <c r="AB261" t="n">
        <v>0.369531</v>
      </c>
      <c r="AC261" t="n">
        <v>8.514892</v>
      </c>
      <c r="AD261" t="inlineStr">
        <is>
          <t>High</t>
        </is>
      </c>
      <c r="AE261" t="inlineStr">
        <is>
          <t>None</t>
        </is>
      </c>
      <c r="AF261" t="n">
        <v>0.95</v>
      </c>
      <c r="AG261" t="inlineStr">
        <is>
          <t>Valid</t>
        </is>
      </c>
    </row>
    <row r="262">
      <c r="A262" t="inlineStr">
        <is>
          <t>SUP-0027</t>
        </is>
      </c>
      <c r="B262" t="inlineStr">
        <is>
          <t>Metals Supplier 027</t>
        </is>
      </c>
      <c r="C262" t="inlineStr">
        <is>
          <t>Metals</t>
        </is>
      </c>
      <c r="D262" t="n">
        <v>2015</v>
      </c>
      <c r="E262" t="n">
        <v>10472782.26</v>
      </c>
      <c r="F262" t="n">
        <v>37285643.06</v>
      </c>
      <c r="G262" t="n">
        <v>8865.733099999999</v>
      </c>
      <c r="H262" t="n">
        <v>898.8901</v>
      </c>
      <c r="I262" t="n">
        <v>1531.4681</v>
      </c>
      <c r="J262" t="n">
        <v>6549.2942</v>
      </c>
      <c r="K262" t="n">
        <v>2019</v>
      </c>
      <c r="L262" t="n">
        <v>2030</v>
      </c>
      <c r="M262" t="n">
        <v>0.2739</v>
      </c>
      <c r="N262" t="n">
        <v>0.1728</v>
      </c>
      <c r="O262" t="n">
        <v>2019</v>
      </c>
      <c r="P262" t="n">
        <v>2030</v>
      </c>
      <c r="Q262" t="n">
        <v>0.3852</v>
      </c>
      <c r="R262" t="n">
        <v>158.2904</v>
      </c>
      <c r="S262" t="n">
        <v>0.00100695</v>
      </c>
      <c r="T262" t="n">
        <v>0.00065008</v>
      </c>
      <c r="U262" t="n">
        <v>8865.733099999999</v>
      </c>
      <c r="V262" t="inlineStr">
        <is>
          <t>Provided Total Emissions</t>
        </is>
      </c>
      <c r="W262" t="b">
        <v>1</v>
      </c>
      <c r="X262" t="n">
        <v>10545.5681</v>
      </c>
      <c r="Y262" t="n">
        <v>24238.6508</v>
      </c>
      <c r="Z262" t="n">
        <v>1679.835</v>
      </c>
      <c r="AA262" t="n">
        <v>15372.9177</v>
      </c>
      <c r="AB262" t="n">
        <v>0.189475</v>
      </c>
      <c r="AC262" t="n">
        <v>1.73397</v>
      </c>
      <c r="AD262" t="inlineStr">
        <is>
          <t>High</t>
        </is>
      </c>
      <c r="AE262" t="inlineStr">
        <is>
          <t>None</t>
        </is>
      </c>
      <c r="AF262" t="n">
        <v>0.95</v>
      </c>
      <c r="AG262" t="inlineStr">
        <is>
          <t>Valid</t>
        </is>
      </c>
    </row>
    <row r="263">
      <c r="A263" t="inlineStr">
        <is>
          <t>SUP-0027</t>
        </is>
      </c>
      <c r="B263" t="inlineStr">
        <is>
          <t>Metals Supplier 027</t>
        </is>
      </c>
      <c r="C263" t="inlineStr">
        <is>
          <t>Metals</t>
        </is>
      </c>
      <c r="D263" t="n">
        <v>2016</v>
      </c>
      <c r="E263" t="n">
        <v>11721490.72</v>
      </c>
      <c r="F263" t="n">
        <v>33394212.9</v>
      </c>
      <c r="G263" t="n">
        <v>8139.8986</v>
      </c>
      <c r="H263" t="n">
        <v>1012.3493</v>
      </c>
      <c r="I263" t="n">
        <v>1146.5911</v>
      </c>
      <c r="J263" t="n">
        <v>6009.1926</v>
      </c>
      <c r="K263" t="n">
        <v>2019</v>
      </c>
      <c r="L263" t="n">
        <v>2030</v>
      </c>
      <c r="M263" t="n">
        <v>0.2739</v>
      </c>
      <c r="N263" t="n">
        <v>0.1728</v>
      </c>
      <c r="O263" t="n">
        <v>2019</v>
      </c>
      <c r="P263" t="n">
        <v>2030</v>
      </c>
      <c r="Q263" t="n">
        <v>0.3852</v>
      </c>
      <c r="R263" t="n">
        <v>158.2904</v>
      </c>
      <c r="S263" t="n">
        <v>0.00100695</v>
      </c>
      <c r="T263" t="n">
        <v>0.00065008</v>
      </c>
      <c r="U263" t="n">
        <v>8139.8986</v>
      </c>
      <c r="V263" t="inlineStr">
        <is>
          <t>Provided Total Emissions</t>
        </is>
      </c>
      <c r="W263" t="b">
        <v>1</v>
      </c>
      <c r="X263" t="n">
        <v>11802.9551</v>
      </c>
      <c r="Y263" t="n">
        <v>21708.9099</v>
      </c>
      <c r="Z263" t="n">
        <v>3663.0565</v>
      </c>
      <c r="AA263" t="n">
        <v>13569.0113</v>
      </c>
      <c r="AB263" t="n">
        <v>0.450013</v>
      </c>
      <c r="AC263" t="n">
        <v>1.666975</v>
      </c>
      <c r="AD263" t="inlineStr">
        <is>
          <t>High</t>
        </is>
      </c>
      <c r="AE263" t="inlineStr">
        <is>
          <t>None</t>
        </is>
      </c>
      <c r="AF263" t="n">
        <v>0.95</v>
      </c>
      <c r="AG263" t="inlineStr">
        <is>
          <t>Valid</t>
        </is>
      </c>
    </row>
    <row r="264">
      <c r="A264" t="inlineStr">
        <is>
          <t>SUP-0027</t>
        </is>
      </c>
      <c r="B264" t="inlineStr">
        <is>
          <t>Metals Supplier 027</t>
        </is>
      </c>
      <c r="C264" t="inlineStr">
        <is>
          <t>Metals</t>
        </is>
      </c>
      <c r="D264" t="n">
        <v>2017</v>
      </c>
      <c r="E264" t="n">
        <v>12769245.16</v>
      </c>
      <c r="F264" t="n">
        <v>33209437.34</v>
      </c>
      <c r="G264" t="n">
        <v>6987.1292</v>
      </c>
      <c r="H264" t="n">
        <v>1758.755</v>
      </c>
      <c r="I264" t="n">
        <v>499.2694</v>
      </c>
      <c r="J264" t="n">
        <v>4675.4208</v>
      </c>
      <c r="K264" t="n">
        <v>2019</v>
      </c>
      <c r="L264" t="n">
        <v>2030</v>
      </c>
      <c r="M264" t="n">
        <v>0.2739</v>
      </c>
      <c r="N264" t="n">
        <v>0.1728</v>
      </c>
      <c r="O264" t="n">
        <v>2019</v>
      </c>
      <c r="P264" t="n">
        <v>2030</v>
      </c>
      <c r="Q264" t="n">
        <v>0.3852</v>
      </c>
      <c r="R264" t="n">
        <v>158.2904</v>
      </c>
      <c r="S264" t="n">
        <v>0.00100695</v>
      </c>
      <c r="T264" t="n">
        <v>0.00065008</v>
      </c>
      <c r="U264" t="n">
        <v>6987.1292</v>
      </c>
      <c r="V264" t="inlineStr">
        <is>
          <t>Provided Total Emissions</t>
        </is>
      </c>
      <c r="W264" t="b">
        <v>1</v>
      </c>
      <c r="X264" t="n">
        <v>12857.9914</v>
      </c>
      <c r="Y264" t="n">
        <v>21588.791</v>
      </c>
      <c r="Z264" t="n">
        <v>5870.8622</v>
      </c>
      <c r="AA264" t="n">
        <v>14601.6618</v>
      </c>
      <c r="AB264" t="n">
        <v>0.84024</v>
      </c>
      <c r="AC264" t="n">
        <v>2.089794</v>
      </c>
      <c r="AD264" t="inlineStr">
        <is>
          <t>High</t>
        </is>
      </c>
      <c r="AE264" t="inlineStr">
        <is>
          <t>None</t>
        </is>
      </c>
      <c r="AF264" t="n">
        <v>0.95</v>
      </c>
      <c r="AG264" t="inlineStr">
        <is>
          <t>Valid</t>
        </is>
      </c>
    </row>
    <row r="265">
      <c r="A265" t="inlineStr">
        <is>
          <t>SUP-0027</t>
        </is>
      </c>
      <c r="B265" t="inlineStr">
        <is>
          <t>Metals Supplier 027</t>
        </is>
      </c>
      <c r="C265" t="inlineStr">
        <is>
          <t>Metals</t>
        </is>
      </c>
      <c r="D265" t="n">
        <v>2018</v>
      </c>
      <c r="E265" t="n">
        <v>13135088.89</v>
      </c>
      <c r="F265" t="n">
        <v>42443438.05</v>
      </c>
      <c r="G265" t="n">
        <v>6774.6338</v>
      </c>
      <c r="H265" t="n">
        <v>1990.4123</v>
      </c>
      <c r="I265" t="n">
        <v>1540.9722</v>
      </c>
      <c r="J265" t="n">
        <v>4032.5449</v>
      </c>
      <c r="K265" t="n">
        <v>2019</v>
      </c>
      <c r="L265" t="n">
        <v>2030</v>
      </c>
      <c r="M265" t="n">
        <v>0.2739</v>
      </c>
      <c r="N265" t="n">
        <v>0.1728</v>
      </c>
      <c r="O265" t="n">
        <v>2019</v>
      </c>
      <c r="P265" t="n">
        <v>2030</v>
      </c>
      <c r="Q265" t="n">
        <v>0.3852</v>
      </c>
      <c r="R265" t="n">
        <v>158.2904</v>
      </c>
      <c r="S265" t="n">
        <v>0.00100695</v>
      </c>
      <c r="T265" t="n">
        <v>0.00065008</v>
      </c>
      <c r="U265" t="n">
        <v>6774.6338</v>
      </c>
      <c r="V265" t="inlineStr">
        <is>
          <t>Provided Total Emissions</t>
        </is>
      </c>
      <c r="W265" t="b">
        <v>1</v>
      </c>
      <c r="X265" t="n">
        <v>13226.3778</v>
      </c>
      <c r="Y265" t="n">
        <v>27591.6302</v>
      </c>
      <c r="Z265" t="n">
        <v>6451.744</v>
      </c>
      <c r="AA265" t="n">
        <v>20816.9964</v>
      </c>
      <c r="AB265" t="n">
        <v>0.952338</v>
      </c>
      <c r="AC265" t="n">
        <v>3.072785</v>
      </c>
      <c r="AD265" t="inlineStr">
        <is>
          <t>High</t>
        </is>
      </c>
      <c r="AE265" t="inlineStr">
        <is>
          <t>None</t>
        </is>
      </c>
      <c r="AF265" t="n">
        <v>0.95</v>
      </c>
      <c r="AG265" t="inlineStr">
        <is>
          <t>Valid</t>
        </is>
      </c>
    </row>
    <row r="266">
      <c r="A266" t="inlineStr">
        <is>
          <t>SUP-0027</t>
        </is>
      </c>
      <c r="B266" t="inlineStr">
        <is>
          <t>Metals Supplier 027</t>
        </is>
      </c>
      <c r="C266" t="inlineStr">
        <is>
          <t>Metals</t>
        </is>
      </c>
      <c r="D266" t="n">
        <v>2019</v>
      </c>
      <c r="E266" t="n">
        <v>13075733.46</v>
      </c>
      <c r="F266" t="n">
        <v>36224427.01</v>
      </c>
      <c r="G266" t="n">
        <v>7783.0952</v>
      </c>
      <c r="H266" t="n">
        <v>672.2423</v>
      </c>
      <c r="I266" t="n">
        <v>1239.3422</v>
      </c>
      <c r="J266" t="n">
        <v>6352.1899</v>
      </c>
      <c r="K266" t="n">
        <v>2019</v>
      </c>
      <c r="L266" t="n">
        <v>2030</v>
      </c>
      <c r="M266" t="n">
        <v>0.2739</v>
      </c>
      <c r="N266" t="n">
        <v>0.1728</v>
      </c>
      <c r="O266" t="n">
        <v>2019</v>
      </c>
      <c r="P266" t="n">
        <v>2030</v>
      </c>
      <c r="Q266" t="n">
        <v>0.3852</v>
      </c>
      <c r="R266" t="n">
        <v>158.2904</v>
      </c>
      <c r="S266" t="n">
        <v>0.00100695</v>
      </c>
      <c r="T266" t="n">
        <v>0.00065008</v>
      </c>
      <c r="U266" t="n">
        <v>7783.0952</v>
      </c>
      <c r="V266" t="inlineStr">
        <is>
          <t>Provided Total Emissions</t>
        </is>
      </c>
      <c r="W266" t="b">
        <v>1</v>
      </c>
      <c r="X266" t="n">
        <v>13166.6098</v>
      </c>
      <c r="Y266" t="n">
        <v>23548.7755</v>
      </c>
      <c r="Z266" t="n">
        <v>5383.5146</v>
      </c>
      <c r="AA266" t="n">
        <v>15765.6803</v>
      </c>
      <c r="AB266" t="n">
        <v>0.691693</v>
      </c>
      <c r="AC266" t="n">
        <v>2.025631</v>
      </c>
      <c r="AD266" t="inlineStr">
        <is>
          <t>High</t>
        </is>
      </c>
      <c r="AE266" t="inlineStr">
        <is>
          <t>None</t>
        </is>
      </c>
      <c r="AF266" t="n">
        <v>0.95</v>
      </c>
      <c r="AG266" t="inlineStr">
        <is>
          <t>Valid</t>
        </is>
      </c>
    </row>
    <row r="267">
      <c r="A267" t="inlineStr">
        <is>
          <t>SUP-0027</t>
        </is>
      </c>
      <c r="B267" t="inlineStr">
        <is>
          <t>Metals Supplier 027</t>
        </is>
      </c>
      <c r="C267" t="inlineStr">
        <is>
          <t>Metals</t>
        </is>
      </c>
      <c r="D267" t="n">
        <v>2020</v>
      </c>
      <c r="E267" t="n">
        <v>14057274.56</v>
      </c>
      <c r="F267" t="n">
        <v>46031978.74</v>
      </c>
      <c r="G267" t="n">
        <v>8106.9659</v>
      </c>
      <c r="H267" t="n">
        <v>1156.3547</v>
      </c>
      <c r="I267" t="n">
        <v>1563.0193</v>
      </c>
      <c r="J267" t="n">
        <v>5506.8955</v>
      </c>
      <c r="K267" t="n">
        <v>2019</v>
      </c>
      <c r="L267" t="n">
        <v>2030</v>
      </c>
      <c r="M267" t="n">
        <v>0.2739</v>
      </c>
      <c r="N267" t="n">
        <v>0.1728</v>
      </c>
      <c r="O267" t="n">
        <v>2019</v>
      </c>
      <c r="P267" t="n">
        <v>2030</v>
      </c>
      <c r="Q267" t="n">
        <v>0.3852</v>
      </c>
      <c r="R267" t="n">
        <v>158.2904</v>
      </c>
      <c r="S267" t="n">
        <v>0.00100695</v>
      </c>
      <c r="T267" t="n">
        <v>0.00065008</v>
      </c>
      <c r="U267" t="n">
        <v>8106.9659</v>
      </c>
      <c r="V267" t="inlineStr">
        <is>
          <t>Provided Total Emissions</t>
        </is>
      </c>
      <c r="W267" t="b">
        <v>1</v>
      </c>
      <c r="X267" t="n">
        <v>14154.9726</v>
      </c>
      <c r="Y267" t="n">
        <v>29924.4687</v>
      </c>
      <c r="Z267" t="n">
        <v>6048.0067</v>
      </c>
      <c r="AA267" t="n">
        <v>21817.5028</v>
      </c>
      <c r="AB267" t="n">
        <v>0.746026</v>
      </c>
      <c r="AC267" t="n">
        <v>2.691204</v>
      </c>
      <c r="AD267" t="inlineStr">
        <is>
          <t>High</t>
        </is>
      </c>
      <c r="AE267" t="inlineStr">
        <is>
          <t>None</t>
        </is>
      </c>
      <c r="AF267" t="n">
        <v>0.95</v>
      </c>
      <c r="AG267" t="inlineStr">
        <is>
          <t>Valid</t>
        </is>
      </c>
    </row>
    <row r="268">
      <c r="A268" t="inlineStr">
        <is>
          <t>SUP-0027</t>
        </is>
      </c>
      <c r="B268" t="inlineStr">
        <is>
          <t>Metals Supplier 027</t>
        </is>
      </c>
      <c r="C268" t="inlineStr">
        <is>
          <t>Metals</t>
        </is>
      </c>
      <c r="D268" t="n">
        <v>2021</v>
      </c>
      <c r="E268" t="n">
        <v>14818842.94</v>
      </c>
      <c r="F268" t="n">
        <v>45424452.1</v>
      </c>
      <c r="G268" t="n">
        <v>8031.9736</v>
      </c>
      <c r="H268" t="n">
        <v>701.4999</v>
      </c>
      <c r="I268" t="n">
        <v>1444.8155</v>
      </c>
      <c r="J268" t="n">
        <v>5746.1878</v>
      </c>
      <c r="K268" t="n">
        <v>2019</v>
      </c>
      <c r="L268" t="n">
        <v>2030</v>
      </c>
      <c r="M268" t="n">
        <v>0.2739</v>
      </c>
      <c r="N268" t="n">
        <v>0.1728</v>
      </c>
      <c r="O268" t="n">
        <v>2019</v>
      </c>
      <c r="P268" t="n">
        <v>2030</v>
      </c>
      <c r="Q268" t="n">
        <v>0.3852</v>
      </c>
      <c r="R268" t="n">
        <v>158.2904</v>
      </c>
      <c r="S268" t="n">
        <v>0.00100695</v>
      </c>
      <c r="T268" t="n">
        <v>0.00065008</v>
      </c>
      <c r="U268" t="n">
        <v>8031.9736</v>
      </c>
      <c r="V268" t="inlineStr">
        <is>
          <t>Provided Total Emissions</t>
        </is>
      </c>
      <c r="W268" t="b">
        <v>1</v>
      </c>
      <c r="X268" t="n">
        <v>14921.8339</v>
      </c>
      <c r="Y268" t="n">
        <v>29529.5278</v>
      </c>
      <c r="Z268" t="n">
        <v>6889.8603</v>
      </c>
      <c r="AA268" t="n">
        <v>21497.5542</v>
      </c>
      <c r="AB268" t="n">
        <v>0.857804</v>
      </c>
      <c r="AC268" t="n">
        <v>2.676497</v>
      </c>
      <c r="AD268" t="inlineStr">
        <is>
          <t>High</t>
        </is>
      </c>
      <c r="AE268" t="inlineStr">
        <is>
          <t>None</t>
        </is>
      </c>
      <c r="AF268" t="n">
        <v>0.95</v>
      </c>
      <c r="AG268" t="inlineStr">
        <is>
          <t>Valid</t>
        </is>
      </c>
    </row>
    <row r="269">
      <c r="A269" t="inlineStr">
        <is>
          <t>SUP-0027</t>
        </is>
      </c>
      <c r="B269" t="inlineStr">
        <is>
          <t>Metals Supplier 027</t>
        </is>
      </c>
      <c r="C269" t="inlineStr">
        <is>
          <t>Metals</t>
        </is>
      </c>
      <c r="D269" t="n">
        <v>2022</v>
      </c>
      <c r="E269" t="n">
        <v>15333712.56</v>
      </c>
      <c r="F269" t="n">
        <v>42104237.7</v>
      </c>
      <c r="G269" t="n">
        <v>7693.1699</v>
      </c>
      <c r="H269" t="n">
        <v>1041.8481</v>
      </c>
      <c r="I269" t="n">
        <v>1562.1463</v>
      </c>
      <c r="J269" t="n">
        <v>4917.039</v>
      </c>
      <c r="K269" t="n">
        <v>2019</v>
      </c>
      <c r="L269" t="n">
        <v>2030</v>
      </c>
      <c r="M269" t="n">
        <v>0.2739</v>
      </c>
      <c r="N269" t="n">
        <v>0.1728</v>
      </c>
      <c r="O269" t="n">
        <v>2019</v>
      </c>
      <c r="P269" t="n">
        <v>2030</v>
      </c>
      <c r="Q269" t="n">
        <v>0.3852</v>
      </c>
      <c r="R269" t="n">
        <v>158.2904</v>
      </c>
      <c r="S269" t="n">
        <v>0.00100695</v>
      </c>
      <c r="T269" t="n">
        <v>0.00065008</v>
      </c>
      <c r="U269" t="n">
        <v>7693.1699</v>
      </c>
      <c r="V269" t="inlineStr">
        <is>
          <t>Provided Total Emissions</t>
        </is>
      </c>
      <c r="W269" t="b">
        <v>1</v>
      </c>
      <c r="X269" t="n">
        <v>15440.2819</v>
      </c>
      <c r="Y269" t="n">
        <v>27371.1228</v>
      </c>
      <c r="Z269" t="n">
        <v>7747.112</v>
      </c>
      <c r="AA269" t="n">
        <v>19677.9529</v>
      </c>
      <c r="AB269" t="n">
        <v>1.007012</v>
      </c>
      <c r="AC269" t="n">
        <v>2.557847</v>
      </c>
      <c r="AD269" t="inlineStr">
        <is>
          <t>High</t>
        </is>
      </c>
      <c r="AE269" t="inlineStr">
        <is>
          <t>None</t>
        </is>
      </c>
      <c r="AF269" t="n">
        <v>0.95</v>
      </c>
      <c r="AG269" t="inlineStr">
        <is>
          <t>Valid</t>
        </is>
      </c>
    </row>
    <row r="270">
      <c r="A270" t="inlineStr">
        <is>
          <t>SUP-0027</t>
        </is>
      </c>
      <c r="B270" t="inlineStr">
        <is>
          <t>Metals Supplier 027</t>
        </is>
      </c>
      <c r="C270" t="inlineStr">
        <is>
          <t>Metals</t>
        </is>
      </c>
      <c r="D270" t="n">
        <v>2023</v>
      </c>
      <c r="E270" t="n">
        <v>16482944.31</v>
      </c>
      <c r="F270" t="n">
        <v>38052919.88</v>
      </c>
      <c r="G270" t="n">
        <v>7278.8139</v>
      </c>
      <c r="H270" t="n">
        <v>1997.4358</v>
      </c>
      <c r="I270" t="n">
        <v>1187.7057</v>
      </c>
      <c r="J270" t="n">
        <v>4265.4791</v>
      </c>
      <c r="K270" t="n">
        <v>2019</v>
      </c>
      <c r="L270" t="n">
        <v>2030</v>
      </c>
      <c r="M270" t="n">
        <v>0.2739</v>
      </c>
      <c r="N270" t="n">
        <v>0.1728</v>
      </c>
      <c r="O270" t="n">
        <v>2019</v>
      </c>
      <c r="P270" t="n">
        <v>2030</v>
      </c>
      <c r="Q270" t="n">
        <v>0.3852</v>
      </c>
      <c r="R270" t="n">
        <v>158.2904</v>
      </c>
      <c r="S270" t="n">
        <v>0.00100695</v>
      </c>
      <c r="T270" t="n">
        <v>0.00065008</v>
      </c>
      <c r="U270" t="n">
        <v>7278.8139</v>
      </c>
      <c r="V270" t="inlineStr">
        <is>
          <t>Provided Total Emissions</t>
        </is>
      </c>
      <c r="W270" t="b">
        <v>1</v>
      </c>
      <c r="X270" t="n">
        <v>16597.5008</v>
      </c>
      <c r="Y270" t="n">
        <v>24737.4422</v>
      </c>
      <c r="Z270" t="n">
        <v>9318.686900000001</v>
      </c>
      <c r="AA270" t="n">
        <v>17458.6283</v>
      </c>
      <c r="AB270" t="n">
        <v>1.280248</v>
      </c>
      <c r="AC270" t="n">
        <v>2.398554</v>
      </c>
      <c r="AD270" t="inlineStr">
        <is>
          <t>High</t>
        </is>
      </c>
      <c r="AE270" t="inlineStr">
        <is>
          <t>None</t>
        </is>
      </c>
      <c r="AF270" t="n">
        <v>0.95</v>
      </c>
      <c r="AG270" t="inlineStr">
        <is>
          <t>Valid</t>
        </is>
      </c>
    </row>
    <row r="271">
      <c r="A271" t="inlineStr">
        <is>
          <t>SUP-0027</t>
        </is>
      </c>
      <c r="B271" t="inlineStr">
        <is>
          <t>Metals Supplier 027</t>
        </is>
      </c>
      <c r="C271" t="inlineStr">
        <is>
          <t>Metals</t>
        </is>
      </c>
      <c r="D271" t="n">
        <v>2024</v>
      </c>
      <c r="E271" t="n">
        <v>20111235.02</v>
      </c>
      <c r="F271" t="n">
        <v>65477013.16</v>
      </c>
      <c r="G271" t="n">
        <v>9386.202600000001</v>
      </c>
      <c r="H271" t="n">
        <v>2360.709</v>
      </c>
      <c r="I271" t="n">
        <v>1459.5858</v>
      </c>
      <c r="J271" t="n">
        <v>5351.0363</v>
      </c>
      <c r="K271" t="n">
        <v>2019</v>
      </c>
      <c r="L271" t="n">
        <v>2030</v>
      </c>
      <c r="M271" t="n">
        <v>0.2739</v>
      </c>
      <c r="N271" t="n">
        <v>0.1728</v>
      </c>
      <c r="O271" t="n">
        <v>2019</v>
      </c>
      <c r="P271" t="n">
        <v>2030</v>
      </c>
      <c r="Q271" t="n">
        <v>0.3852</v>
      </c>
      <c r="R271" t="n">
        <v>158.2904</v>
      </c>
      <c r="S271" t="n">
        <v>0.00100695</v>
      </c>
      <c r="T271" t="n">
        <v>0.00065008</v>
      </c>
      <c r="U271" t="n">
        <v>9386.202600000001</v>
      </c>
      <c r="V271" t="inlineStr">
        <is>
          <t>Provided Total Emissions</t>
        </is>
      </c>
      <c r="W271" t="b">
        <v>1</v>
      </c>
      <c r="X271" t="n">
        <v>20251.0081</v>
      </c>
      <c r="Y271" t="n">
        <v>42565.2967</v>
      </c>
      <c r="Z271" t="n">
        <v>10864.8055</v>
      </c>
      <c r="AA271" t="n">
        <v>33179.0941</v>
      </c>
      <c r="AB271" t="n">
        <v>1.157529</v>
      </c>
      <c r="AC271" t="n">
        <v>3.534879</v>
      </c>
      <c r="AD271" t="inlineStr">
        <is>
          <t>High</t>
        </is>
      </c>
      <c r="AE271" t="inlineStr">
        <is>
          <t>None</t>
        </is>
      </c>
      <c r="AF271" t="n">
        <v>0.95</v>
      </c>
      <c r="AG271" t="inlineStr">
        <is>
          <t>Valid</t>
        </is>
      </c>
    </row>
    <row r="272">
      <c r="A272" t="inlineStr">
        <is>
          <t>SUP-0028</t>
        </is>
      </c>
      <c r="B272" t="inlineStr">
        <is>
          <t>Professional Supplier 028</t>
        </is>
      </c>
      <c r="C272" t="inlineStr">
        <is>
          <t>Professional Services</t>
        </is>
      </c>
      <c r="D272" t="n">
        <v>2015</v>
      </c>
      <c r="E272" t="n">
        <v>10734531</v>
      </c>
      <c r="F272" t="n">
        <v>62547040.05</v>
      </c>
      <c r="G272" t="n">
        <v>1701.742</v>
      </c>
      <c r="H272" t="n">
        <v>446.9844</v>
      </c>
      <c r="I272" t="n">
        <v>324.6698</v>
      </c>
      <c r="J272" t="n">
        <v>1096.5451</v>
      </c>
      <c r="K272" t="n">
        <v>2020</v>
      </c>
      <c r="L272" t="n">
        <v>2035</v>
      </c>
      <c r="M272" t="n">
        <v>0.5648</v>
      </c>
      <c r="N272" t="n">
        <v>0.2914</v>
      </c>
      <c r="O272" t="n">
        <v>2020</v>
      </c>
      <c r="P272" t="inlineStr"/>
      <c r="Q272" t="inlineStr"/>
      <c r="R272" t="n">
        <v>400.0326</v>
      </c>
      <c r="S272" t="n">
        <v>0.00012906</v>
      </c>
      <c r="T272" t="n">
        <v>0.00019658</v>
      </c>
      <c r="U272" t="n">
        <v>1701.742</v>
      </c>
      <c r="V272" t="inlineStr">
        <is>
          <t>Provided Total Emissions</t>
        </is>
      </c>
      <c r="W272" t="b">
        <v>1</v>
      </c>
      <c r="X272" t="n">
        <v>1385.3986</v>
      </c>
      <c r="Y272" t="n">
        <v>12295.4971</v>
      </c>
      <c r="Z272" t="n">
        <v>-316.3434</v>
      </c>
      <c r="AA272" t="n">
        <v>10593.7551</v>
      </c>
      <c r="AB272" t="n">
        <v>-0.185894</v>
      </c>
      <c r="AC272" t="n">
        <v>6.225242</v>
      </c>
      <c r="AD272" t="inlineStr">
        <is>
          <t>High</t>
        </is>
      </c>
      <c r="AE272" t="inlineStr">
        <is>
          <t>None</t>
        </is>
      </c>
      <c r="AF272" t="n">
        <v>0.95</v>
      </c>
      <c r="AG272" t="inlineStr">
        <is>
          <t>Valid</t>
        </is>
      </c>
    </row>
    <row r="273">
      <c r="A273" t="inlineStr">
        <is>
          <t>SUP-0028</t>
        </is>
      </c>
      <c r="B273" t="inlineStr">
        <is>
          <t>Professional Supplier 028</t>
        </is>
      </c>
      <c r="C273" t="inlineStr">
        <is>
          <t>Professional Services</t>
        </is>
      </c>
      <c r="D273" t="n">
        <v>2016</v>
      </c>
      <c r="E273" t="n">
        <v>9992567.310000001</v>
      </c>
      <c r="F273" t="n">
        <v>74889249.34</v>
      </c>
      <c r="G273" t="n">
        <v>1167.6142</v>
      </c>
      <c r="H273" t="n">
        <v>124.1709</v>
      </c>
      <c r="I273" t="n">
        <v>157.6059</v>
      </c>
      <c r="J273" t="n">
        <v>845.2224</v>
      </c>
      <c r="K273" t="n">
        <v>2020</v>
      </c>
      <c r="L273" t="n">
        <v>2035</v>
      </c>
      <c r="M273" t="n">
        <v>0.5648</v>
      </c>
      <c r="N273" t="n">
        <v>0.2914</v>
      </c>
      <c r="O273" t="n">
        <v>2020</v>
      </c>
      <c r="P273" t="inlineStr"/>
      <c r="Q273" t="inlineStr"/>
      <c r="R273" t="n">
        <v>400.0326</v>
      </c>
      <c r="S273" t="n">
        <v>0.00012906</v>
      </c>
      <c r="T273" t="n">
        <v>0.00019658</v>
      </c>
      <c r="U273" t="n">
        <v>1167.6142</v>
      </c>
      <c r="V273" t="inlineStr">
        <is>
          <t>Provided Total Emissions</t>
        </is>
      </c>
      <c r="W273" t="b">
        <v>1</v>
      </c>
      <c r="X273" t="n">
        <v>1289.6407</v>
      </c>
      <c r="Y273" t="n">
        <v>14721.7286</v>
      </c>
      <c r="Z273" t="n">
        <v>122.0265</v>
      </c>
      <c r="AA273" t="n">
        <v>13554.1144</v>
      </c>
      <c r="AB273" t="n">
        <v>0.104509</v>
      </c>
      <c r="AC273" t="n">
        <v>11.608384</v>
      </c>
      <c r="AD273" t="inlineStr">
        <is>
          <t>High</t>
        </is>
      </c>
      <c r="AE273" t="inlineStr">
        <is>
          <t>None</t>
        </is>
      </c>
      <c r="AF273" t="n">
        <v>0.95</v>
      </c>
      <c r="AG273" t="inlineStr">
        <is>
          <t>Valid</t>
        </is>
      </c>
    </row>
    <row r="274">
      <c r="A274" t="inlineStr">
        <is>
          <t>SUP-0028</t>
        </is>
      </c>
      <c r="B274" t="inlineStr">
        <is>
          <t>Professional Supplier 028</t>
        </is>
      </c>
      <c r="C274" t="inlineStr">
        <is>
          <t>Professional Services</t>
        </is>
      </c>
      <c r="D274" t="n">
        <v>2017</v>
      </c>
      <c r="E274" t="n">
        <v>10722422.58</v>
      </c>
      <c r="F274" t="n">
        <v>72785575.86</v>
      </c>
      <c r="G274" t="n">
        <v>1469.617</v>
      </c>
      <c r="H274" t="n">
        <v>178.7795</v>
      </c>
      <c r="I274" t="n">
        <v>299.4709</v>
      </c>
      <c r="J274" t="n">
        <v>1089.548</v>
      </c>
      <c r="K274" t="n">
        <v>2020</v>
      </c>
      <c r="L274" t="n">
        <v>2035</v>
      </c>
      <c r="M274" t="n">
        <v>0.5648</v>
      </c>
      <c r="N274" t="n">
        <v>0.2914</v>
      </c>
      <c r="O274" t="n">
        <v>2020</v>
      </c>
      <c r="P274" t="inlineStr"/>
      <c r="Q274" t="inlineStr"/>
      <c r="R274" t="n">
        <v>400.0326</v>
      </c>
      <c r="S274" t="n">
        <v>0.00012906</v>
      </c>
      <c r="T274" t="n">
        <v>0.00019658</v>
      </c>
      <c r="U274" t="n">
        <v>1469.617</v>
      </c>
      <c r="V274" t="inlineStr">
        <is>
          <t>Provided Total Emissions</t>
        </is>
      </c>
      <c r="W274" t="b">
        <v>1</v>
      </c>
      <c r="X274" t="n">
        <v>1383.8359</v>
      </c>
      <c r="Y274" t="n">
        <v>14308.1885</v>
      </c>
      <c r="Z274" t="n">
        <v>-85.7811</v>
      </c>
      <c r="AA274" t="n">
        <v>12838.5715</v>
      </c>
      <c r="AB274" t="n">
        <v>-0.05837</v>
      </c>
      <c r="AC274" t="n">
        <v>8.735998</v>
      </c>
      <c r="AD274" t="inlineStr">
        <is>
          <t>High</t>
        </is>
      </c>
      <c r="AE274" t="inlineStr">
        <is>
          <t>None</t>
        </is>
      </c>
      <c r="AF274" t="n">
        <v>0.95</v>
      </c>
      <c r="AG274" t="inlineStr">
        <is>
          <t>Valid</t>
        </is>
      </c>
    </row>
    <row r="275">
      <c r="A275" t="inlineStr">
        <is>
          <t>SUP-0028</t>
        </is>
      </c>
      <c r="B275" t="inlineStr">
        <is>
          <t>Professional Supplier 028</t>
        </is>
      </c>
      <c r="C275" t="inlineStr">
        <is>
          <t>Professional Services</t>
        </is>
      </c>
      <c r="D275" t="n">
        <v>2018</v>
      </c>
      <c r="E275" t="n">
        <v>12798210.84</v>
      </c>
      <c r="F275" t="n">
        <v>87564843.27</v>
      </c>
      <c r="G275" t="n">
        <v>1970.4947</v>
      </c>
      <c r="H275" t="n">
        <v>378.411</v>
      </c>
      <c r="I275" t="n">
        <v>165.1098</v>
      </c>
      <c r="J275" t="n">
        <v>1439.4172</v>
      </c>
      <c r="K275" t="n">
        <v>2020</v>
      </c>
      <c r="L275" t="n">
        <v>2035</v>
      </c>
      <c r="M275" t="n">
        <v>0.5648</v>
      </c>
      <c r="N275" t="n">
        <v>0.2914</v>
      </c>
      <c r="O275" t="n">
        <v>2020</v>
      </c>
      <c r="P275" t="inlineStr"/>
      <c r="Q275" t="inlineStr"/>
      <c r="R275" t="n">
        <v>400.0326</v>
      </c>
      <c r="S275" t="n">
        <v>0.00012906</v>
      </c>
      <c r="T275" t="n">
        <v>0.00019658</v>
      </c>
      <c r="U275" t="n">
        <v>1970.4947</v>
      </c>
      <c r="V275" t="inlineStr">
        <is>
          <t>Provided Total Emissions</t>
        </is>
      </c>
      <c r="W275" t="b">
        <v>1</v>
      </c>
      <c r="X275" t="n">
        <v>1651.7371</v>
      </c>
      <c r="Y275" t="n">
        <v>17213.4969</v>
      </c>
      <c r="Z275" t="n">
        <v>-318.7576</v>
      </c>
      <c r="AA275" t="n">
        <v>15243.0022</v>
      </c>
      <c r="AB275" t="n">
        <v>-0.161765</v>
      </c>
      <c r="AC275" t="n">
        <v>7.735622</v>
      </c>
      <c r="AD275" t="inlineStr">
        <is>
          <t>High</t>
        </is>
      </c>
      <c r="AE275" t="inlineStr">
        <is>
          <t>None</t>
        </is>
      </c>
      <c r="AF275" t="n">
        <v>0.95</v>
      </c>
      <c r="AG275" t="inlineStr">
        <is>
          <t>Valid</t>
        </is>
      </c>
    </row>
    <row r="276">
      <c r="A276" t="inlineStr">
        <is>
          <t>SUP-0028</t>
        </is>
      </c>
      <c r="B276" t="inlineStr">
        <is>
          <t>Professional Supplier 028</t>
        </is>
      </c>
      <c r="C276" t="inlineStr">
        <is>
          <t>Professional Services</t>
        </is>
      </c>
      <c r="D276" t="n">
        <v>2019</v>
      </c>
      <c r="E276" t="n">
        <v>10293927.01</v>
      </c>
      <c r="F276" t="n">
        <v>64183317.77</v>
      </c>
      <c r="G276" t="n">
        <v>1347.5008</v>
      </c>
      <c r="H276" t="n">
        <v>378.6466</v>
      </c>
      <c r="I276" t="n">
        <v>117.272</v>
      </c>
      <c r="J276" t="n">
        <v>948.2303000000001</v>
      </c>
      <c r="K276" t="n">
        <v>2020</v>
      </c>
      <c r="L276" t="n">
        <v>2035</v>
      </c>
      <c r="M276" t="n">
        <v>0.5648</v>
      </c>
      <c r="N276" t="n">
        <v>0.2914</v>
      </c>
      <c r="O276" t="n">
        <v>2020</v>
      </c>
      <c r="P276" t="inlineStr"/>
      <c r="Q276" t="inlineStr"/>
      <c r="R276" t="n">
        <v>400.0326</v>
      </c>
      <c r="S276" t="n">
        <v>0.00012906</v>
      </c>
      <c r="T276" t="n">
        <v>0.00019658</v>
      </c>
      <c r="U276" t="n">
        <v>1347.5008</v>
      </c>
      <c r="V276" t="inlineStr">
        <is>
          <t>Provided Total Emissions</t>
        </is>
      </c>
      <c r="W276" t="b">
        <v>1</v>
      </c>
      <c r="X276" t="n">
        <v>1328.5342</v>
      </c>
      <c r="Y276" t="n">
        <v>12617.1566</v>
      </c>
      <c r="Z276" t="n">
        <v>-18.9666</v>
      </c>
      <c r="AA276" t="n">
        <v>11269.6558</v>
      </c>
      <c r="AB276" t="n">
        <v>-0.014075</v>
      </c>
      <c r="AC276" t="n">
        <v>8.363376000000001</v>
      </c>
      <c r="AD276" t="inlineStr">
        <is>
          <t>High</t>
        </is>
      </c>
      <c r="AE276" t="inlineStr">
        <is>
          <t>None</t>
        </is>
      </c>
      <c r="AF276" t="n">
        <v>0.95</v>
      </c>
      <c r="AG276" t="inlineStr">
        <is>
          <t>Valid</t>
        </is>
      </c>
    </row>
    <row r="277">
      <c r="A277" t="inlineStr">
        <is>
          <t>SUP-0028</t>
        </is>
      </c>
      <c r="B277" t="inlineStr">
        <is>
          <t>Professional Supplier 028</t>
        </is>
      </c>
      <c r="C277" t="inlineStr">
        <is>
          <t>Professional Services</t>
        </is>
      </c>
      <c r="D277" t="n">
        <v>2020</v>
      </c>
      <c r="E277" t="n">
        <v>12993685.73</v>
      </c>
      <c r="F277" t="n">
        <v>88143337.89</v>
      </c>
      <c r="G277" t="n">
        <v>1428.3473</v>
      </c>
      <c r="H277" t="n">
        <v>383.8821</v>
      </c>
      <c r="I277" t="n">
        <v>240.5935</v>
      </c>
      <c r="J277" t="n">
        <v>838.7800999999999</v>
      </c>
      <c r="K277" t="n">
        <v>2020</v>
      </c>
      <c r="L277" t="n">
        <v>2035</v>
      </c>
      <c r="M277" t="n">
        <v>0.5648</v>
      </c>
      <c r="N277" t="n">
        <v>0.2914</v>
      </c>
      <c r="O277" t="n">
        <v>2020</v>
      </c>
      <c r="P277" t="inlineStr"/>
      <c r="Q277" t="inlineStr"/>
      <c r="R277" t="n">
        <v>400.0326</v>
      </c>
      <c r="S277" t="n">
        <v>0.00012906</v>
      </c>
      <c r="T277" t="n">
        <v>0.00019658</v>
      </c>
      <c r="U277" t="n">
        <v>1428.3473</v>
      </c>
      <c r="V277" t="inlineStr">
        <is>
          <t>Provided Total Emissions</t>
        </is>
      </c>
      <c r="W277" t="b">
        <v>1</v>
      </c>
      <c r="X277" t="n">
        <v>1676.9651</v>
      </c>
      <c r="Y277" t="n">
        <v>17327.2174</v>
      </c>
      <c r="Z277" t="n">
        <v>248.6178</v>
      </c>
      <c r="AA277" t="n">
        <v>15898.8701</v>
      </c>
      <c r="AB277" t="n">
        <v>0.17406</v>
      </c>
      <c r="AC277" t="n">
        <v>11.130955</v>
      </c>
      <c r="AD277" t="inlineStr">
        <is>
          <t>High</t>
        </is>
      </c>
      <c r="AE277" t="inlineStr">
        <is>
          <t>None</t>
        </is>
      </c>
      <c r="AF277" t="n">
        <v>0.95</v>
      </c>
      <c r="AG277" t="inlineStr">
        <is>
          <t>Valid</t>
        </is>
      </c>
    </row>
    <row r="278">
      <c r="A278" t="inlineStr">
        <is>
          <t>SUP-0028</t>
        </is>
      </c>
      <c r="B278" t="inlineStr">
        <is>
          <t>Professional Supplier 028</t>
        </is>
      </c>
      <c r="C278" t="inlineStr">
        <is>
          <t>Professional Services</t>
        </is>
      </c>
      <c r="D278" t="n">
        <v>2021</v>
      </c>
      <c r="E278" t="n">
        <v>13373573.39</v>
      </c>
      <c r="F278" t="n">
        <v>110896956.78</v>
      </c>
      <c r="G278" t="n">
        <v>1889.598</v>
      </c>
      <c r="H278" t="n">
        <v>353.4674</v>
      </c>
      <c r="I278" t="n">
        <v>386.2048</v>
      </c>
      <c r="J278" t="n">
        <v>1241.1617</v>
      </c>
      <c r="K278" t="n">
        <v>2020</v>
      </c>
      <c r="L278" t="n">
        <v>2035</v>
      </c>
      <c r="M278" t="n">
        <v>0.5648</v>
      </c>
      <c r="N278" t="n">
        <v>0.2914</v>
      </c>
      <c r="O278" t="n">
        <v>2020</v>
      </c>
      <c r="P278" t="inlineStr"/>
      <c r="Q278" t="inlineStr"/>
      <c r="R278" t="n">
        <v>400.0326</v>
      </c>
      <c r="S278" t="n">
        <v>0.00012906</v>
      </c>
      <c r="T278" t="n">
        <v>0.00019658</v>
      </c>
      <c r="U278" t="n">
        <v>1889.598</v>
      </c>
      <c r="V278" t="inlineStr">
        <is>
          <t>Provided Total Emissions</t>
        </is>
      </c>
      <c r="W278" t="b">
        <v>1</v>
      </c>
      <c r="X278" t="n">
        <v>1725.9934</v>
      </c>
      <c r="Y278" t="n">
        <v>21800.1238</v>
      </c>
      <c r="Z278" t="n">
        <v>-163.6046</v>
      </c>
      <c r="AA278" t="n">
        <v>19910.5258</v>
      </c>
      <c r="AB278" t="n">
        <v>-0.08658200000000001</v>
      </c>
      <c r="AC278" t="n">
        <v>10.536911</v>
      </c>
      <c r="AD278" t="inlineStr">
        <is>
          <t>High</t>
        </is>
      </c>
      <c r="AE278" t="inlineStr">
        <is>
          <t>None</t>
        </is>
      </c>
      <c r="AF278" t="n">
        <v>0.95</v>
      </c>
      <c r="AG278" t="inlineStr">
        <is>
          <t>Valid</t>
        </is>
      </c>
    </row>
    <row r="279">
      <c r="A279" t="inlineStr">
        <is>
          <t>SUP-0028</t>
        </is>
      </c>
      <c r="B279" t="inlineStr">
        <is>
          <t>Professional Supplier 028</t>
        </is>
      </c>
      <c r="C279" t="inlineStr">
        <is>
          <t>Professional Services</t>
        </is>
      </c>
      <c r="D279" t="n">
        <v>2022</v>
      </c>
      <c r="E279" t="n">
        <v>12592632.48</v>
      </c>
      <c r="F279" t="n">
        <v>85134341.94</v>
      </c>
      <c r="G279" t="n">
        <v>1985.2182</v>
      </c>
      <c r="H279" t="n">
        <v>271.8191</v>
      </c>
      <c r="I279" t="n">
        <v>356.8458</v>
      </c>
      <c r="J279" t="n">
        <v>1406.77</v>
      </c>
      <c r="K279" t="n">
        <v>2020</v>
      </c>
      <c r="L279" t="n">
        <v>2035</v>
      </c>
      <c r="M279" t="n">
        <v>0.5648</v>
      </c>
      <c r="N279" t="n">
        <v>0.2914</v>
      </c>
      <c r="O279" t="n">
        <v>2020</v>
      </c>
      <c r="P279" t="inlineStr"/>
      <c r="Q279" t="inlineStr"/>
      <c r="R279" t="n">
        <v>400.0326</v>
      </c>
      <c r="S279" t="n">
        <v>0.00012906</v>
      </c>
      <c r="T279" t="n">
        <v>0.00019658</v>
      </c>
      <c r="U279" t="n">
        <v>1985.2182</v>
      </c>
      <c r="V279" t="inlineStr">
        <is>
          <t>Provided Total Emissions</t>
        </is>
      </c>
      <c r="W279" t="b">
        <v>1</v>
      </c>
      <c r="X279" t="n">
        <v>1625.2051</v>
      </c>
      <c r="Y279" t="n">
        <v>16735.7089</v>
      </c>
      <c r="Z279" t="n">
        <v>-360.0131</v>
      </c>
      <c r="AA279" t="n">
        <v>14750.4907</v>
      </c>
      <c r="AB279" t="n">
        <v>-0.181347</v>
      </c>
      <c r="AC279" t="n">
        <v>7.430161</v>
      </c>
      <c r="AD279" t="inlineStr">
        <is>
          <t>High</t>
        </is>
      </c>
      <c r="AE279" t="inlineStr">
        <is>
          <t>None</t>
        </is>
      </c>
      <c r="AF279" t="n">
        <v>0.95</v>
      </c>
      <c r="AG279" t="inlineStr">
        <is>
          <t>Valid</t>
        </is>
      </c>
    </row>
    <row r="280">
      <c r="A280" t="inlineStr">
        <is>
          <t>SUP-0028</t>
        </is>
      </c>
      <c r="B280" t="inlineStr">
        <is>
          <t>Professional Supplier 028</t>
        </is>
      </c>
      <c r="C280" t="inlineStr">
        <is>
          <t>Professional Services</t>
        </is>
      </c>
      <c r="D280" t="n">
        <v>2023</v>
      </c>
      <c r="E280" t="n">
        <v>14059345.87</v>
      </c>
      <c r="F280" t="n">
        <v>102810531.03</v>
      </c>
      <c r="G280" t="n">
        <v>2004.8012</v>
      </c>
      <c r="H280" t="n">
        <v>352.1035</v>
      </c>
      <c r="I280" t="n">
        <v>368.8109</v>
      </c>
      <c r="J280" t="n">
        <v>1215.3521</v>
      </c>
      <c r="K280" t="n">
        <v>2020</v>
      </c>
      <c r="L280" t="n">
        <v>2035</v>
      </c>
      <c r="M280" t="n">
        <v>0.5648</v>
      </c>
      <c r="N280" t="n">
        <v>0.2914</v>
      </c>
      <c r="O280" t="n">
        <v>2020</v>
      </c>
      <c r="P280" t="inlineStr"/>
      <c r="Q280" t="inlineStr"/>
      <c r="R280" t="n">
        <v>400.0326</v>
      </c>
      <c r="S280" t="n">
        <v>0.00012906</v>
      </c>
      <c r="T280" t="n">
        <v>0.00019658</v>
      </c>
      <c r="U280" t="n">
        <v>2004.8012</v>
      </c>
      <c r="V280" t="inlineStr">
        <is>
          <t>Provided Total Emissions</t>
        </is>
      </c>
      <c r="W280" t="b">
        <v>1</v>
      </c>
      <c r="X280" t="n">
        <v>1814.4992</v>
      </c>
      <c r="Y280" t="n">
        <v>20210.4942</v>
      </c>
      <c r="Z280" t="n">
        <v>-190.302</v>
      </c>
      <c r="AA280" t="n">
        <v>18205.693</v>
      </c>
      <c r="AB280" t="n">
        <v>-0.09492299999999999</v>
      </c>
      <c r="AC280" t="n">
        <v>9.081047</v>
      </c>
      <c r="AD280" t="inlineStr">
        <is>
          <t>High</t>
        </is>
      </c>
      <c r="AE280" t="inlineStr">
        <is>
          <t>None</t>
        </is>
      </c>
      <c r="AF280" t="n">
        <v>0.95</v>
      </c>
      <c r="AG280" t="inlineStr">
        <is>
          <t>Valid</t>
        </is>
      </c>
    </row>
    <row r="281">
      <c r="A281" t="inlineStr">
        <is>
          <t>SUP-0028</t>
        </is>
      </c>
      <c r="B281" t="inlineStr">
        <is>
          <t>Professional Supplier 028</t>
        </is>
      </c>
      <c r="C281" t="inlineStr">
        <is>
          <t>Professional Services</t>
        </is>
      </c>
      <c r="D281" t="n">
        <v>2024</v>
      </c>
      <c r="E281" t="n">
        <v>13198001.69</v>
      </c>
      <c r="F281" t="n">
        <v>90459784.41</v>
      </c>
      <c r="G281" t="n">
        <v>1850.0365</v>
      </c>
      <c r="H281" t="n">
        <v>318.9023</v>
      </c>
      <c r="I281" t="n">
        <v>201.854</v>
      </c>
      <c r="J281" t="n">
        <v>1411.4951</v>
      </c>
      <c r="K281" t="n">
        <v>2020</v>
      </c>
      <c r="L281" t="n">
        <v>2035</v>
      </c>
      <c r="M281" t="n">
        <v>0.5648</v>
      </c>
      <c r="N281" t="n">
        <v>0.2914</v>
      </c>
      <c r="O281" t="n">
        <v>2020</v>
      </c>
      <c r="P281" t="inlineStr"/>
      <c r="Q281" t="inlineStr"/>
      <c r="R281" t="n">
        <v>400.0326</v>
      </c>
      <c r="S281" t="n">
        <v>0.00012906</v>
      </c>
      <c r="T281" t="n">
        <v>0.00019658</v>
      </c>
      <c r="U281" t="n">
        <v>1850.0365</v>
      </c>
      <c r="V281" t="inlineStr">
        <is>
          <t>Provided Total Emissions</t>
        </is>
      </c>
      <c r="W281" t="b">
        <v>1</v>
      </c>
      <c r="X281" t="n">
        <v>1703.3341</v>
      </c>
      <c r="Y281" t="n">
        <v>17782.5844</v>
      </c>
      <c r="Z281" t="n">
        <v>-146.7024</v>
      </c>
      <c r="AA281" t="n">
        <v>15932.5479</v>
      </c>
      <c r="AB281" t="n">
        <v>-0.07929700000000001</v>
      </c>
      <c r="AC281" t="n">
        <v>8.612018000000001</v>
      </c>
      <c r="AD281" t="inlineStr">
        <is>
          <t>High</t>
        </is>
      </c>
      <c r="AE281" t="inlineStr">
        <is>
          <t>None</t>
        </is>
      </c>
      <c r="AF281" t="n">
        <v>0.95</v>
      </c>
      <c r="AG281" t="inlineStr">
        <is>
          <t>Valid</t>
        </is>
      </c>
    </row>
    <row r="282">
      <c r="A282" t="inlineStr">
        <is>
          <t>SUP-0029</t>
        </is>
      </c>
      <c r="B282" t="inlineStr">
        <is>
          <t>Electronics Supplier 029</t>
        </is>
      </c>
      <c r="C282" t="inlineStr">
        <is>
          <t>Electronics</t>
        </is>
      </c>
      <c r="D282" t="n">
        <v>2015</v>
      </c>
      <c r="E282" t="n">
        <v>223062.03</v>
      </c>
      <c r="F282" t="n">
        <v>458767.46</v>
      </c>
      <c r="G282" t="n">
        <v>151.9491</v>
      </c>
      <c r="H282" t="n">
        <v>33.4493</v>
      </c>
      <c r="I282" t="n">
        <v>27.76</v>
      </c>
      <c r="J282" t="n">
        <v>102.2946</v>
      </c>
      <c r="K282" t="inlineStr"/>
      <c r="L282" t="inlineStr"/>
      <c r="M282" t="inlineStr"/>
      <c r="N282" t="inlineStr"/>
      <c r="O282" t="n">
        <v>2018</v>
      </c>
      <c r="P282" t="n">
        <v>2040</v>
      </c>
      <c r="Q282" t="n">
        <v>0.3424</v>
      </c>
      <c r="R282" t="n">
        <v>635.1588</v>
      </c>
      <c r="S282" t="n">
        <v>0.00086105</v>
      </c>
      <c r="T282" t="n">
        <v>0.00013947</v>
      </c>
      <c r="U282" t="n">
        <v>151.9491</v>
      </c>
      <c r="V282" t="inlineStr">
        <is>
          <t>Provided Total Emissions</t>
        </is>
      </c>
      <c r="W282" t="b">
        <v>1</v>
      </c>
      <c r="X282" t="n">
        <v>192.0676</v>
      </c>
      <c r="Y282" t="n">
        <v>63.9843</v>
      </c>
      <c r="Z282" t="n">
        <v>40.1185</v>
      </c>
      <c r="AA282" t="n">
        <v>-87.9648</v>
      </c>
      <c r="AB282" t="n">
        <v>0.264026</v>
      </c>
      <c r="AC282" t="n">
        <v>-0.57891</v>
      </c>
      <c r="AD282" t="inlineStr">
        <is>
          <t>High</t>
        </is>
      </c>
      <c r="AE282" t="inlineStr">
        <is>
          <t>None</t>
        </is>
      </c>
      <c r="AF282" t="n">
        <v>0.95</v>
      </c>
      <c r="AG282" t="inlineStr">
        <is>
          <t>Valid</t>
        </is>
      </c>
    </row>
    <row r="283">
      <c r="A283" t="inlineStr">
        <is>
          <t>SUP-0029</t>
        </is>
      </c>
      <c r="B283" t="inlineStr">
        <is>
          <t>Electronics Supplier 029</t>
        </is>
      </c>
      <c r="C283" t="inlineStr">
        <is>
          <t>Electronics</t>
        </is>
      </c>
      <c r="D283" t="n">
        <v>2016</v>
      </c>
      <c r="E283" t="n">
        <v>241306.76</v>
      </c>
      <c r="F283" t="n">
        <v>598385.1899999999</v>
      </c>
      <c r="G283" t="n">
        <v>153.9803</v>
      </c>
      <c r="H283" t="n">
        <v>33.6248</v>
      </c>
      <c r="I283" t="n">
        <v>23.9532</v>
      </c>
      <c r="J283" t="n">
        <v>99.8334</v>
      </c>
      <c r="K283" t="inlineStr"/>
      <c r="L283" t="inlineStr"/>
      <c r="M283" t="inlineStr"/>
      <c r="N283" t="inlineStr"/>
      <c r="O283" t="n">
        <v>2018</v>
      </c>
      <c r="P283" t="n">
        <v>2040</v>
      </c>
      <c r="Q283" t="n">
        <v>0.3424</v>
      </c>
      <c r="R283" t="n">
        <v>635.1588</v>
      </c>
      <c r="S283" t="n">
        <v>0.00086105</v>
      </c>
      <c r="T283" t="n">
        <v>0.00013947</v>
      </c>
      <c r="U283" t="n">
        <v>153.9803</v>
      </c>
      <c r="V283" t="inlineStr">
        <is>
          <t>Provided Total Emissions</t>
        </is>
      </c>
      <c r="W283" t="b">
        <v>1</v>
      </c>
      <c r="X283" t="n">
        <v>207.7772</v>
      </c>
      <c r="Y283" t="n">
        <v>83.4568</v>
      </c>
      <c r="Z283" t="n">
        <v>53.7969</v>
      </c>
      <c r="AA283" t="n">
        <v>-70.5235</v>
      </c>
      <c r="AB283" t="n">
        <v>0.349375</v>
      </c>
      <c r="AC283" t="n">
        <v>-0.458004</v>
      </c>
      <c r="AD283" t="inlineStr">
        <is>
          <t>High</t>
        </is>
      </c>
      <c r="AE283" t="inlineStr">
        <is>
          <t>None</t>
        </is>
      </c>
      <c r="AF283" t="n">
        <v>0.95</v>
      </c>
      <c r="AG283" t="inlineStr">
        <is>
          <t>Valid</t>
        </is>
      </c>
    </row>
    <row r="284">
      <c r="A284" t="inlineStr">
        <is>
          <t>SUP-0029</t>
        </is>
      </c>
      <c r="B284" t="inlineStr">
        <is>
          <t>Electronics Supplier 029</t>
        </is>
      </c>
      <c r="C284" t="inlineStr">
        <is>
          <t>Electronics</t>
        </is>
      </c>
      <c r="D284" t="n">
        <v>2017</v>
      </c>
      <c r="E284" t="n">
        <v>267111.36</v>
      </c>
      <c r="F284" t="n">
        <v>529256.98</v>
      </c>
      <c r="G284" t="n">
        <v>204.1134</v>
      </c>
      <c r="H284" t="n">
        <v>42.0518</v>
      </c>
      <c r="I284" t="n">
        <v>13.6744</v>
      </c>
      <c r="J284" t="n">
        <v>155.1985</v>
      </c>
      <c r="K284" t="inlineStr"/>
      <c r="L284" t="inlineStr"/>
      <c r="M284" t="inlineStr"/>
      <c r="N284" t="inlineStr"/>
      <c r="O284" t="n">
        <v>2018</v>
      </c>
      <c r="P284" t="n">
        <v>2040</v>
      </c>
      <c r="Q284" t="n">
        <v>0.3424</v>
      </c>
      <c r="R284" t="n">
        <v>635.1588</v>
      </c>
      <c r="S284" t="n">
        <v>0.00086105</v>
      </c>
      <c r="T284" t="n">
        <v>0.00013947</v>
      </c>
      <c r="U284" t="n">
        <v>204.1134</v>
      </c>
      <c r="V284" t="inlineStr">
        <is>
          <t>Provided Total Emissions</t>
        </is>
      </c>
      <c r="W284" t="b">
        <v>1</v>
      </c>
      <c r="X284" t="n">
        <v>229.9962</v>
      </c>
      <c r="Y284" t="n">
        <v>73.8155</v>
      </c>
      <c r="Z284" t="n">
        <v>25.8828</v>
      </c>
      <c r="AA284" t="n">
        <v>-130.2979</v>
      </c>
      <c r="AB284" t="n">
        <v>0.126806</v>
      </c>
      <c r="AC284" t="n">
        <v>-0.63836</v>
      </c>
      <c r="AD284" t="inlineStr">
        <is>
          <t>High</t>
        </is>
      </c>
      <c r="AE284" t="inlineStr">
        <is>
          <t>None</t>
        </is>
      </c>
      <c r="AF284" t="n">
        <v>0.95</v>
      </c>
      <c r="AG284" t="inlineStr">
        <is>
          <t>Valid</t>
        </is>
      </c>
    </row>
    <row r="285">
      <c r="A285" t="inlineStr">
        <is>
          <t>SUP-0029</t>
        </is>
      </c>
      <c r="B285" t="inlineStr">
        <is>
          <t>Electronics Supplier 029</t>
        </is>
      </c>
      <c r="C285" t="inlineStr">
        <is>
          <t>Electronics</t>
        </is>
      </c>
      <c r="D285" t="n">
        <v>2018</v>
      </c>
      <c r="E285" t="n">
        <v>252950.87</v>
      </c>
      <c r="F285" t="n">
        <v>565369.3199999999</v>
      </c>
      <c r="G285" t="n">
        <v>174.8928</v>
      </c>
      <c r="H285" t="n">
        <v>14.2522</v>
      </c>
      <c r="I285" t="n">
        <v>29.5052</v>
      </c>
      <c r="J285" t="n">
        <v>124.3836</v>
      </c>
      <c r="K285" t="inlineStr"/>
      <c r="L285" t="inlineStr"/>
      <c r="M285" t="inlineStr"/>
      <c r="N285" t="inlineStr"/>
      <c r="O285" t="n">
        <v>2018</v>
      </c>
      <c r="P285" t="n">
        <v>2040</v>
      </c>
      <c r="Q285" t="n">
        <v>0.3424</v>
      </c>
      <c r="R285" t="n">
        <v>635.1588</v>
      </c>
      <c r="S285" t="n">
        <v>0.00086105</v>
      </c>
      <c r="T285" t="n">
        <v>0.00013947</v>
      </c>
      <c r="U285" t="n">
        <v>174.8928</v>
      </c>
      <c r="V285" t="inlineStr">
        <is>
          <t>Provided Total Emissions</t>
        </is>
      </c>
      <c r="W285" t="b">
        <v>1</v>
      </c>
      <c r="X285" t="n">
        <v>217.8033</v>
      </c>
      <c r="Y285" t="n">
        <v>78.85209999999999</v>
      </c>
      <c r="Z285" t="n">
        <v>42.9105</v>
      </c>
      <c r="AA285" t="n">
        <v>-96.0407</v>
      </c>
      <c r="AB285" t="n">
        <v>0.245353</v>
      </c>
      <c r="AC285" t="n">
        <v>-0.549141</v>
      </c>
      <c r="AD285" t="inlineStr">
        <is>
          <t>High</t>
        </is>
      </c>
      <c r="AE285" t="inlineStr">
        <is>
          <t>None</t>
        </is>
      </c>
      <c r="AF285" t="n">
        <v>0.95</v>
      </c>
      <c r="AG285" t="inlineStr">
        <is>
          <t>Valid</t>
        </is>
      </c>
    </row>
    <row r="286">
      <c r="A286" t="inlineStr">
        <is>
          <t>SUP-0029</t>
        </is>
      </c>
      <c r="B286" t="inlineStr">
        <is>
          <t>Electronics Supplier 029</t>
        </is>
      </c>
      <c r="C286" t="inlineStr">
        <is>
          <t>Electronics</t>
        </is>
      </c>
      <c r="D286" t="n">
        <v>2019</v>
      </c>
      <c r="E286" t="n">
        <v>220241.63</v>
      </c>
      <c r="F286" t="n">
        <v>596207.6800000001</v>
      </c>
      <c r="G286" t="n">
        <v>160.5815</v>
      </c>
      <c r="H286" t="n">
        <v>25.2138</v>
      </c>
      <c r="I286" t="n">
        <v>12.7047</v>
      </c>
      <c r="J286" t="n">
        <v>133.6157</v>
      </c>
      <c r="K286" t="inlineStr"/>
      <c r="L286" t="inlineStr"/>
      <c r="M286" t="inlineStr"/>
      <c r="N286" t="inlineStr"/>
      <c r="O286" t="n">
        <v>2018</v>
      </c>
      <c r="P286" t="n">
        <v>2040</v>
      </c>
      <c r="Q286" t="n">
        <v>0.3424</v>
      </c>
      <c r="R286" t="n">
        <v>635.1588</v>
      </c>
      <c r="S286" t="n">
        <v>0.00086105</v>
      </c>
      <c r="T286" t="n">
        <v>0.00013947</v>
      </c>
      <c r="U286" t="n">
        <v>160.5815</v>
      </c>
      <c r="V286" t="inlineStr">
        <is>
          <t>Provided Total Emissions</t>
        </is>
      </c>
      <c r="W286" t="b">
        <v>1</v>
      </c>
      <c r="X286" t="n">
        <v>189.6391</v>
      </c>
      <c r="Y286" t="n">
        <v>83.15309999999999</v>
      </c>
      <c r="Z286" t="n">
        <v>29.0576</v>
      </c>
      <c r="AA286" t="n">
        <v>-77.4284</v>
      </c>
      <c r="AB286" t="n">
        <v>0.180952</v>
      </c>
      <c r="AC286" t="n">
        <v>-0.482175</v>
      </c>
      <c r="AD286" t="inlineStr">
        <is>
          <t>High</t>
        </is>
      </c>
      <c r="AE286" t="inlineStr">
        <is>
          <t>None</t>
        </is>
      </c>
      <c r="AF286" t="n">
        <v>0.95</v>
      </c>
      <c r="AG286" t="inlineStr">
        <is>
          <t>Valid</t>
        </is>
      </c>
    </row>
    <row r="287">
      <c r="A287" t="inlineStr">
        <is>
          <t>SUP-0029</t>
        </is>
      </c>
      <c r="B287" t="inlineStr">
        <is>
          <t>Electronics Supplier 029</t>
        </is>
      </c>
      <c r="C287" t="inlineStr">
        <is>
          <t>Electronics</t>
        </is>
      </c>
      <c r="D287" t="n">
        <v>2020</v>
      </c>
      <c r="E287" t="n">
        <v>245532.05</v>
      </c>
      <c r="F287" t="n">
        <v>586961.75</v>
      </c>
      <c r="G287" t="n">
        <v>158.8172</v>
      </c>
      <c r="H287" t="n">
        <v>24.1389</v>
      </c>
      <c r="I287" t="n">
        <v>13.7509</v>
      </c>
      <c r="J287" t="n">
        <v>110.029</v>
      </c>
      <c r="K287" t="inlineStr"/>
      <c r="L287" t="inlineStr"/>
      <c r="M287" t="inlineStr"/>
      <c r="N287" t="inlineStr"/>
      <c r="O287" t="n">
        <v>2018</v>
      </c>
      <c r="P287" t="n">
        <v>2040</v>
      </c>
      <c r="Q287" t="n">
        <v>0.3424</v>
      </c>
      <c r="R287" t="n">
        <v>635.1588</v>
      </c>
      <c r="S287" t="n">
        <v>0.00086105</v>
      </c>
      <c r="T287" t="n">
        <v>0.00013947</v>
      </c>
      <c r="U287" t="n">
        <v>158.8172</v>
      </c>
      <c r="V287" t="inlineStr">
        <is>
          <t>Provided Total Emissions</t>
        </is>
      </c>
      <c r="W287" t="b">
        <v>1</v>
      </c>
      <c r="X287" t="n">
        <v>211.4154</v>
      </c>
      <c r="Y287" t="n">
        <v>81.86360000000001</v>
      </c>
      <c r="Z287" t="n">
        <v>52.5982</v>
      </c>
      <c r="AA287" t="n">
        <v>-76.95359999999999</v>
      </c>
      <c r="AB287" t="n">
        <v>0.331187</v>
      </c>
      <c r="AC287" t="n">
        <v>-0.484542</v>
      </c>
      <c r="AD287" t="inlineStr">
        <is>
          <t>High</t>
        </is>
      </c>
      <c r="AE287" t="inlineStr">
        <is>
          <t>None</t>
        </is>
      </c>
      <c r="AF287" t="n">
        <v>0.95</v>
      </c>
      <c r="AG287" t="inlineStr">
        <is>
          <t>Valid</t>
        </is>
      </c>
    </row>
    <row r="288">
      <c r="A288" t="inlineStr">
        <is>
          <t>SUP-0029</t>
        </is>
      </c>
      <c r="B288" t="inlineStr">
        <is>
          <t>Electronics Supplier 029</t>
        </is>
      </c>
      <c r="C288" t="inlineStr">
        <is>
          <t>Electronics</t>
        </is>
      </c>
      <c r="D288" t="n">
        <v>2021</v>
      </c>
      <c r="E288" t="n">
        <v>244358.09</v>
      </c>
      <c r="F288" t="n">
        <v>443195.02</v>
      </c>
      <c r="G288" t="n">
        <v>178.0783</v>
      </c>
      <c r="H288" t="n">
        <v>43.6369</v>
      </c>
      <c r="I288" t="n">
        <v>18.3024</v>
      </c>
      <c r="J288" t="n">
        <v>101.3148</v>
      </c>
      <c r="K288" t="inlineStr"/>
      <c r="L288" t="inlineStr"/>
      <c r="M288" t="inlineStr"/>
      <c r="N288" t="inlineStr"/>
      <c r="O288" t="n">
        <v>2018</v>
      </c>
      <c r="P288" t="n">
        <v>2040</v>
      </c>
      <c r="Q288" t="n">
        <v>0.3424</v>
      </c>
      <c r="R288" t="n">
        <v>635.1588</v>
      </c>
      <c r="S288" t="n">
        <v>0.00086105</v>
      </c>
      <c r="T288" t="n">
        <v>0.00013947</v>
      </c>
      <c r="U288" t="n">
        <v>178.0783</v>
      </c>
      <c r="V288" t="inlineStr">
        <is>
          <t>Provided Total Emissions</t>
        </is>
      </c>
      <c r="W288" t="b">
        <v>1</v>
      </c>
      <c r="X288" t="n">
        <v>210.4045</v>
      </c>
      <c r="Y288" t="n">
        <v>61.8124</v>
      </c>
      <c r="Z288" t="n">
        <v>32.3262</v>
      </c>
      <c r="AA288" t="n">
        <v>-116.2659</v>
      </c>
      <c r="AB288" t="n">
        <v>0.181528</v>
      </c>
      <c r="AC288" t="n">
        <v>-0.652892</v>
      </c>
      <c r="AD288" t="inlineStr">
        <is>
          <t>High</t>
        </is>
      </c>
      <c r="AE288" t="inlineStr">
        <is>
          <t>None</t>
        </is>
      </c>
      <c r="AF288" t="n">
        <v>0.95</v>
      </c>
      <c r="AG288" t="inlineStr">
        <is>
          <t>Valid</t>
        </is>
      </c>
    </row>
    <row r="289">
      <c r="A289" t="inlineStr">
        <is>
          <t>SUP-0029</t>
        </is>
      </c>
      <c r="B289" t="inlineStr">
        <is>
          <t>Electronics Supplier 029</t>
        </is>
      </c>
      <c r="C289" t="inlineStr">
        <is>
          <t>Electronics</t>
        </is>
      </c>
      <c r="D289" t="n">
        <v>2022</v>
      </c>
      <c r="E289" t="n">
        <v>228057.38</v>
      </c>
      <c r="F289" t="n">
        <v>419221.41</v>
      </c>
      <c r="G289" t="n">
        <v>194.0224</v>
      </c>
      <c r="H289" t="n">
        <v>17.8165</v>
      </c>
      <c r="I289" t="n">
        <v>22.695</v>
      </c>
      <c r="J289" t="n">
        <v>147.9371</v>
      </c>
      <c r="K289" t="inlineStr"/>
      <c r="L289" t="inlineStr"/>
      <c r="M289" t="inlineStr"/>
      <c r="N289" t="inlineStr"/>
      <c r="O289" t="n">
        <v>2018</v>
      </c>
      <c r="P289" t="n">
        <v>2040</v>
      </c>
      <c r="Q289" t="n">
        <v>0.3424</v>
      </c>
      <c r="R289" t="n">
        <v>635.1588</v>
      </c>
      <c r="S289" t="n">
        <v>0.00086105</v>
      </c>
      <c r="T289" t="n">
        <v>0.00013947</v>
      </c>
      <c r="U289" t="n">
        <v>194.0224</v>
      </c>
      <c r="V289" t="inlineStr">
        <is>
          <t>Provided Total Emissions</t>
        </is>
      </c>
      <c r="W289" t="b">
        <v>1</v>
      </c>
      <c r="X289" t="n">
        <v>196.3688</v>
      </c>
      <c r="Y289" t="n">
        <v>58.4688</v>
      </c>
      <c r="Z289" t="n">
        <v>2.3464</v>
      </c>
      <c r="AA289" t="n">
        <v>-135.5536</v>
      </c>
      <c r="AB289" t="n">
        <v>0.012093</v>
      </c>
      <c r="AC289" t="n">
        <v>-0.698649</v>
      </c>
      <c r="AD289" t="inlineStr">
        <is>
          <t>High</t>
        </is>
      </c>
      <c r="AE289" t="inlineStr">
        <is>
          <t>None</t>
        </is>
      </c>
      <c r="AF289" t="n">
        <v>0.95</v>
      </c>
      <c r="AG289" t="inlineStr">
        <is>
          <t>Valid</t>
        </is>
      </c>
    </row>
    <row r="290">
      <c r="A290" t="inlineStr">
        <is>
          <t>SUP-0029</t>
        </is>
      </c>
      <c r="B290" t="inlineStr">
        <is>
          <t>Electronics Supplier 029</t>
        </is>
      </c>
      <c r="C290" t="inlineStr">
        <is>
          <t>Electronics</t>
        </is>
      </c>
      <c r="D290" t="n">
        <v>2023</v>
      </c>
      <c r="E290" t="n">
        <v>265407.68</v>
      </c>
      <c r="F290" t="n">
        <v>455493.32</v>
      </c>
      <c r="G290" t="n">
        <v>192.0086</v>
      </c>
      <c r="H290" t="n">
        <v>30.0418</v>
      </c>
      <c r="I290" t="n">
        <v>19.75</v>
      </c>
      <c r="J290" t="n">
        <v>127.5048</v>
      </c>
      <c r="K290" t="inlineStr"/>
      <c r="L290" t="inlineStr"/>
      <c r="M290" t="inlineStr"/>
      <c r="N290" t="inlineStr"/>
      <c r="O290" t="n">
        <v>2018</v>
      </c>
      <c r="P290" t="n">
        <v>2040</v>
      </c>
      <c r="Q290" t="n">
        <v>0.3424</v>
      </c>
      <c r="R290" t="n">
        <v>635.1588</v>
      </c>
      <c r="S290" t="n">
        <v>0.00086105</v>
      </c>
      <c r="T290" t="n">
        <v>0.00013947</v>
      </c>
      <c r="U290" t="n">
        <v>192.0086</v>
      </c>
      <c r="V290" t="inlineStr">
        <is>
          <t>Provided Total Emissions</t>
        </is>
      </c>
      <c r="W290" t="b">
        <v>1</v>
      </c>
      <c r="X290" t="n">
        <v>228.5293</v>
      </c>
      <c r="Y290" t="n">
        <v>63.5277</v>
      </c>
      <c r="Z290" t="n">
        <v>36.5207</v>
      </c>
      <c r="AA290" t="n">
        <v>-128.4809</v>
      </c>
      <c r="AB290" t="n">
        <v>0.190203</v>
      </c>
      <c r="AC290" t="n">
        <v>-0.669142</v>
      </c>
      <c r="AD290" t="inlineStr">
        <is>
          <t>High</t>
        </is>
      </c>
      <c r="AE290" t="inlineStr">
        <is>
          <t>None</t>
        </is>
      </c>
      <c r="AF290" t="n">
        <v>0.95</v>
      </c>
      <c r="AG290" t="inlineStr">
        <is>
          <t>Valid</t>
        </is>
      </c>
    </row>
    <row r="291">
      <c r="A291" t="inlineStr">
        <is>
          <t>SUP-0029</t>
        </is>
      </c>
      <c r="B291" t="inlineStr">
        <is>
          <t>Electronics Supplier 029</t>
        </is>
      </c>
      <c r="C291" t="inlineStr">
        <is>
          <t>Electronics</t>
        </is>
      </c>
      <c r="D291" t="n">
        <v>2024</v>
      </c>
      <c r="E291" t="n">
        <v>222813.21</v>
      </c>
      <c r="F291" t="n">
        <v>672583.71</v>
      </c>
      <c r="G291" t="n">
        <v>163.0581</v>
      </c>
      <c r="H291" t="n">
        <v>31.4304</v>
      </c>
      <c r="I291" t="n">
        <v>20.2685</v>
      </c>
      <c r="J291" t="n">
        <v>98.7323</v>
      </c>
      <c r="K291" t="inlineStr"/>
      <c r="L291" t="inlineStr"/>
      <c r="M291" t="inlineStr"/>
      <c r="N291" t="inlineStr"/>
      <c r="O291" t="n">
        <v>2018</v>
      </c>
      <c r="P291" t="n">
        <v>2040</v>
      </c>
      <c r="Q291" t="n">
        <v>0.3424</v>
      </c>
      <c r="R291" t="n">
        <v>635.1588</v>
      </c>
      <c r="S291" t="n">
        <v>0.00086105</v>
      </c>
      <c r="T291" t="n">
        <v>0.00013947</v>
      </c>
      <c r="U291" t="n">
        <v>163.0581</v>
      </c>
      <c r="V291" t="inlineStr">
        <is>
          <t>Provided Total Emissions</t>
        </is>
      </c>
      <c r="W291" t="b">
        <v>1</v>
      </c>
      <c r="X291" t="n">
        <v>191.8533</v>
      </c>
      <c r="Y291" t="n">
        <v>93.8053</v>
      </c>
      <c r="Z291" t="n">
        <v>28.7952</v>
      </c>
      <c r="AA291" t="n">
        <v>-69.25279999999999</v>
      </c>
      <c r="AB291" t="n">
        <v>0.176595</v>
      </c>
      <c r="AC291" t="n">
        <v>-0.424713</v>
      </c>
      <c r="AD291" t="inlineStr">
        <is>
          <t>High</t>
        </is>
      </c>
      <c r="AE291" t="inlineStr">
        <is>
          <t>None</t>
        </is>
      </c>
      <c r="AF291" t="n">
        <v>0.95</v>
      </c>
      <c r="AG291" t="inlineStr">
        <is>
          <t>Valid</t>
        </is>
      </c>
    </row>
    <row r="292">
      <c r="A292" t="inlineStr">
        <is>
          <t>SUP-0030</t>
        </is>
      </c>
      <c r="B292" t="inlineStr">
        <is>
          <t>Agriculture Supplier 030</t>
        </is>
      </c>
      <c r="C292" t="inlineStr">
        <is>
          <t>Agriculture</t>
        </is>
      </c>
      <c r="D292" t="n">
        <v>2015</v>
      </c>
      <c r="E292" t="n">
        <v>17909060.11</v>
      </c>
      <c r="F292" t="n">
        <v>130491251.74</v>
      </c>
      <c r="G292" t="n">
        <v>19786.4407</v>
      </c>
      <c r="H292" t="n">
        <v>5490.914</v>
      </c>
      <c r="I292" t="n">
        <v>2741.5933</v>
      </c>
      <c r="J292" t="n">
        <v>12569.1446</v>
      </c>
      <c r="K292" t="inlineStr"/>
      <c r="L292" t="inlineStr"/>
      <c r="M292" t="inlineStr"/>
      <c r="N292" t="inlineStr"/>
      <c r="O292" t="n">
        <v>2018</v>
      </c>
      <c r="P292" t="inlineStr"/>
      <c r="Q292" t="inlineStr"/>
      <c r="R292" t="n">
        <v>529.8294</v>
      </c>
      <c r="S292" t="n">
        <v>0.00091413</v>
      </c>
      <c r="T292" t="n">
        <v>0.00096913</v>
      </c>
      <c r="U292" t="n">
        <v>19786.4407</v>
      </c>
      <c r="V292" t="inlineStr">
        <is>
          <t>Provided Total Emissions</t>
        </is>
      </c>
      <c r="W292" t="b">
        <v>1</v>
      </c>
      <c r="X292" t="n">
        <v>16371.2091</v>
      </c>
      <c r="Y292" t="n">
        <v>126462.9868</v>
      </c>
      <c r="Z292" t="n">
        <v>-3415.2316</v>
      </c>
      <c r="AA292" t="n">
        <v>106676.5461</v>
      </c>
      <c r="AB292" t="n">
        <v>-0.172605</v>
      </c>
      <c r="AC292" t="n">
        <v>5.391396</v>
      </c>
      <c r="AD292" t="inlineStr">
        <is>
          <t>High</t>
        </is>
      </c>
      <c r="AE292" t="inlineStr">
        <is>
          <t>None</t>
        </is>
      </c>
      <c r="AF292" t="n">
        <v>0.95</v>
      </c>
      <c r="AG292" t="inlineStr">
        <is>
          <t>Valid</t>
        </is>
      </c>
    </row>
    <row r="293">
      <c r="A293" t="inlineStr">
        <is>
          <t>SUP-0030</t>
        </is>
      </c>
      <c r="B293" t="inlineStr">
        <is>
          <t>Agriculture Supplier 030</t>
        </is>
      </c>
      <c r="C293" t="inlineStr">
        <is>
          <t>Agriculture</t>
        </is>
      </c>
      <c r="D293" t="n">
        <v>2016</v>
      </c>
      <c r="E293" t="n">
        <v>19840476.29</v>
      </c>
      <c r="F293" t="n">
        <v>135062764.63</v>
      </c>
      <c r="G293" t="n">
        <v>23373.4782</v>
      </c>
      <c r="H293" t="n">
        <v>4254.0238</v>
      </c>
      <c r="I293" t="n">
        <v>3513.7584</v>
      </c>
      <c r="J293" t="n">
        <v>14451.5213</v>
      </c>
      <c r="K293" t="inlineStr"/>
      <c r="L293" t="inlineStr"/>
      <c r="M293" t="inlineStr"/>
      <c r="N293" t="inlineStr"/>
      <c r="O293" t="n">
        <v>2018</v>
      </c>
      <c r="P293" t="inlineStr"/>
      <c r="Q293" t="inlineStr"/>
      <c r="R293" t="n">
        <v>529.8294</v>
      </c>
      <c r="S293" t="n">
        <v>0.00091413</v>
      </c>
      <c r="T293" t="n">
        <v>0.00096913</v>
      </c>
      <c r="U293" t="n">
        <v>23373.4782</v>
      </c>
      <c r="V293" t="inlineStr">
        <is>
          <t>Provided Total Emissions</t>
        </is>
      </c>
      <c r="W293" t="b">
        <v>1</v>
      </c>
      <c r="X293" t="n">
        <v>18136.7746</v>
      </c>
      <c r="Y293" t="n">
        <v>130893.3771</v>
      </c>
      <c r="Z293" t="n">
        <v>-5236.7036</v>
      </c>
      <c r="AA293" t="n">
        <v>107519.8989</v>
      </c>
      <c r="AB293" t="n">
        <v>-0.224045</v>
      </c>
      <c r="AC293" t="n">
        <v>4.600081</v>
      </c>
      <c r="AD293" t="inlineStr">
        <is>
          <t>High</t>
        </is>
      </c>
      <c r="AE293" t="inlineStr">
        <is>
          <t>None</t>
        </is>
      </c>
      <c r="AF293" t="n">
        <v>0.95</v>
      </c>
      <c r="AG293" t="inlineStr">
        <is>
          <t>Valid</t>
        </is>
      </c>
    </row>
    <row r="294">
      <c r="A294" t="inlineStr">
        <is>
          <t>SUP-0030</t>
        </is>
      </c>
      <c r="B294" t="inlineStr">
        <is>
          <t>Agriculture Supplier 030</t>
        </is>
      </c>
      <c r="C294" t="inlineStr">
        <is>
          <t>Agriculture</t>
        </is>
      </c>
      <c r="D294" t="n">
        <v>2017</v>
      </c>
      <c r="E294" t="n">
        <v>22579401.71</v>
      </c>
      <c r="F294" t="n">
        <v>161374800.24</v>
      </c>
      <c r="G294" t="n">
        <v>26800.9351</v>
      </c>
      <c r="H294" t="n">
        <v>7117.832</v>
      </c>
      <c r="I294" t="n">
        <v>3692.7142</v>
      </c>
      <c r="J294" t="n">
        <v>16260.0457</v>
      </c>
      <c r="K294" t="inlineStr"/>
      <c r="L294" t="inlineStr"/>
      <c r="M294" t="inlineStr"/>
      <c r="N294" t="inlineStr"/>
      <c r="O294" t="n">
        <v>2018</v>
      </c>
      <c r="P294" t="inlineStr"/>
      <c r="Q294" t="inlineStr"/>
      <c r="R294" t="n">
        <v>529.8294</v>
      </c>
      <c r="S294" t="n">
        <v>0.00091413</v>
      </c>
      <c r="T294" t="n">
        <v>0.00096913</v>
      </c>
      <c r="U294" t="n">
        <v>26800.9351</v>
      </c>
      <c r="V294" t="inlineStr">
        <is>
          <t>Provided Total Emissions</t>
        </is>
      </c>
      <c r="W294" t="b">
        <v>1</v>
      </c>
      <c r="X294" t="n">
        <v>20640.5085</v>
      </c>
      <c r="Y294" t="n">
        <v>156393.1602</v>
      </c>
      <c r="Z294" t="n">
        <v>-6160.4266</v>
      </c>
      <c r="AA294" t="n">
        <v>129592.2251</v>
      </c>
      <c r="AB294" t="n">
        <v>-0.229859</v>
      </c>
      <c r="AC294" t="n">
        <v>4.835362</v>
      </c>
      <c r="AD294" t="inlineStr">
        <is>
          <t>High</t>
        </is>
      </c>
      <c r="AE294" t="inlineStr">
        <is>
          <t>None</t>
        </is>
      </c>
      <c r="AF294" t="n">
        <v>0.95</v>
      </c>
      <c r="AG294" t="inlineStr">
        <is>
          <t>Valid</t>
        </is>
      </c>
    </row>
    <row r="295">
      <c r="A295" t="inlineStr">
        <is>
          <t>SUP-0030</t>
        </is>
      </c>
      <c r="B295" t="inlineStr">
        <is>
          <t>Agriculture Supplier 030</t>
        </is>
      </c>
      <c r="C295" t="inlineStr">
        <is>
          <t>Agriculture</t>
        </is>
      </c>
      <c r="D295" t="n">
        <v>2018</v>
      </c>
      <c r="E295" t="n">
        <v>21586726.87</v>
      </c>
      <c r="F295" t="n">
        <v>166956017.43</v>
      </c>
      <c r="G295" t="n">
        <v>22795.8982</v>
      </c>
      <c r="H295" t="n">
        <v>3678.8105</v>
      </c>
      <c r="I295" t="n">
        <v>3819.7555</v>
      </c>
      <c r="J295" t="n">
        <v>14585.3566</v>
      </c>
      <c r="K295" t="inlineStr"/>
      <c r="L295" t="inlineStr"/>
      <c r="M295" t="inlineStr"/>
      <c r="N295" t="inlineStr"/>
      <c r="O295" t="n">
        <v>2018</v>
      </c>
      <c r="P295" t="inlineStr"/>
      <c r="Q295" t="inlineStr"/>
      <c r="R295" t="n">
        <v>529.8294</v>
      </c>
      <c r="S295" t="n">
        <v>0.00091413</v>
      </c>
      <c r="T295" t="n">
        <v>0.00096913</v>
      </c>
      <c r="U295" t="n">
        <v>22795.8982</v>
      </c>
      <c r="V295" t="inlineStr">
        <is>
          <t>Provided Total Emissions</t>
        </is>
      </c>
      <c r="W295" t="b">
        <v>1</v>
      </c>
      <c r="X295" t="n">
        <v>19733.0746</v>
      </c>
      <c r="Y295" t="n">
        <v>161802.0852</v>
      </c>
      <c r="Z295" t="n">
        <v>-3062.8236</v>
      </c>
      <c r="AA295" t="n">
        <v>139006.187</v>
      </c>
      <c r="AB295" t="n">
        <v>-0.134359</v>
      </c>
      <c r="AC295" t="n">
        <v>6.09786</v>
      </c>
      <c r="AD295" t="inlineStr">
        <is>
          <t>High</t>
        </is>
      </c>
      <c r="AE295" t="inlineStr">
        <is>
          <t>None</t>
        </is>
      </c>
      <c r="AF295" t="n">
        <v>0.95</v>
      </c>
      <c r="AG295" t="inlineStr">
        <is>
          <t>Valid</t>
        </is>
      </c>
    </row>
    <row r="296">
      <c r="A296" t="inlineStr">
        <is>
          <t>SUP-0030</t>
        </is>
      </c>
      <c r="B296" t="inlineStr">
        <is>
          <t>Agriculture Supplier 030</t>
        </is>
      </c>
      <c r="C296" t="inlineStr">
        <is>
          <t>Agriculture</t>
        </is>
      </c>
      <c r="D296" t="n">
        <v>2019</v>
      </c>
      <c r="E296" t="n">
        <v>24715912.81</v>
      </c>
      <c r="F296" t="n">
        <v>140876629.35</v>
      </c>
      <c r="G296" t="n">
        <v>20411.3029</v>
      </c>
      <c r="H296" t="n">
        <v>2083.0355</v>
      </c>
      <c r="I296" t="n">
        <v>2046.7214</v>
      </c>
      <c r="J296" t="n">
        <v>16846.5933</v>
      </c>
      <c r="K296" t="inlineStr"/>
      <c r="L296" t="inlineStr"/>
      <c r="M296" t="inlineStr"/>
      <c r="N296" t="inlineStr"/>
      <c r="O296" t="n">
        <v>2018</v>
      </c>
      <c r="P296" t="inlineStr"/>
      <c r="Q296" t="inlineStr"/>
      <c r="R296" t="n">
        <v>529.8294</v>
      </c>
      <c r="S296" t="n">
        <v>0.00091413</v>
      </c>
      <c r="T296" t="n">
        <v>0.00096913</v>
      </c>
      <c r="U296" t="n">
        <v>20411.3029</v>
      </c>
      <c r="V296" t="inlineStr">
        <is>
          <t>Provided Total Emissions</t>
        </is>
      </c>
      <c r="W296" t="b">
        <v>1</v>
      </c>
      <c r="X296" t="n">
        <v>22593.5574</v>
      </c>
      <c r="Y296" t="n">
        <v>136527.7678</v>
      </c>
      <c r="Z296" t="n">
        <v>2182.2545</v>
      </c>
      <c r="AA296" t="n">
        <v>116116.4649</v>
      </c>
      <c r="AB296" t="n">
        <v>0.106914</v>
      </c>
      <c r="AC296" t="n">
        <v>5.688832</v>
      </c>
      <c r="AD296" t="inlineStr">
        <is>
          <t>High</t>
        </is>
      </c>
      <c r="AE296" t="inlineStr">
        <is>
          <t>None</t>
        </is>
      </c>
      <c r="AF296" t="n">
        <v>0.95</v>
      </c>
      <c r="AG296" t="inlineStr">
        <is>
          <t>Valid</t>
        </is>
      </c>
    </row>
    <row r="297">
      <c r="A297" t="inlineStr">
        <is>
          <t>SUP-0030</t>
        </is>
      </c>
      <c r="B297" t="inlineStr">
        <is>
          <t>Agriculture Supplier 030</t>
        </is>
      </c>
      <c r="C297" t="inlineStr">
        <is>
          <t>Agriculture</t>
        </is>
      </c>
      <c r="D297" t="n">
        <v>2020</v>
      </c>
      <c r="E297" t="n">
        <v>25279346.94</v>
      </c>
      <c r="F297" t="n">
        <v>179347848.39</v>
      </c>
      <c r="G297" t="n">
        <v>22047.5687</v>
      </c>
      <c r="H297" t="n">
        <v>4691.5942</v>
      </c>
      <c r="I297" t="n">
        <v>4412.5517</v>
      </c>
      <c r="J297" t="n">
        <v>13224.0917</v>
      </c>
      <c r="K297" t="inlineStr"/>
      <c r="L297" t="inlineStr"/>
      <c r="M297" t="inlineStr"/>
      <c r="N297" t="inlineStr"/>
      <c r="O297" t="n">
        <v>2018</v>
      </c>
      <c r="P297" t="inlineStr"/>
      <c r="Q297" t="inlineStr"/>
      <c r="R297" t="n">
        <v>529.8294</v>
      </c>
      <c r="S297" t="n">
        <v>0.00091413</v>
      </c>
      <c r="T297" t="n">
        <v>0.00096913</v>
      </c>
      <c r="U297" t="n">
        <v>22047.5687</v>
      </c>
      <c r="V297" t="inlineStr">
        <is>
          <t>Provided Total Emissions</t>
        </is>
      </c>
      <c r="W297" t="b">
        <v>1</v>
      </c>
      <c r="X297" t="n">
        <v>23108.6094</v>
      </c>
      <c r="Y297" t="n">
        <v>173811.3803</v>
      </c>
      <c r="Z297" t="n">
        <v>1061.0407</v>
      </c>
      <c r="AA297" t="n">
        <v>151763.8116</v>
      </c>
      <c r="AB297" t="n">
        <v>0.048125</v>
      </c>
      <c r="AC297" t="n">
        <v>6.883472</v>
      </c>
      <c r="AD297" t="inlineStr">
        <is>
          <t>High</t>
        </is>
      </c>
      <c r="AE297" t="inlineStr">
        <is>
          <t>None</t>
        </is>
      </c>
      <c r="AF297" t="n">
        <v>0.95</v>
      </c>
      <c r="AG297" t="inlineStr">
        <is>
          <t>Valid</t>
        </is>
      </c>
    </row>
    <row r="298">
      <c r="A298" t="inlineStr">
        <is>
          <t>SUP-0030</t>
        </is>
      </c>
      <c r="B298" t="inlineStr">
        <is>
          <t>Agriculture Supplier 030</t>
        </is>
      </c>
      <c r="C298" t="inlineStr">
        <is>
          <t>Agriculture</t>
        </is>
      </c>
      <c r="D298" t="n">
        <v>2021</v>
      </c>
      <c r="E298" t="n">
        <v>22344949.67</v>
      </c>
      <c r="F298" t="n">
        <v>163705926.94</v>
      </c>
      <c r="G298" t="n">
        <v>23910.3597</v>
      </c>
      <c r="H298" t="n">
        <v>6355.5603</v>
      </c>
      <c r="I298" t="n">
        <v>2231.1681</v>
      </c>
      <c r="J298" t="n">
        <v>14704.9675</v>
      </c>
      <c r="K298" t="inlineStr"/>
      <c r="L298" t="inlineStr"/>
      <c r="M298" t="inlineStr"/>
      <c r="N298" t="inlineStr"/>
      <c r="O298" t="n">
        <v>2018</v>
      </c>
      <c r="P298" t="inlineStr"/>
      <c r="Q298" t="inlineStr"/>
      <c r="R298" t="n">
        <v>529.8294</v>
      </c>
      <c r="S298" t="n">
        <v>0.00091413</v>
      </c>
      <c r="T298" t="n">
        <v>0.00096913</v>
      </c>
      <c r="U298" t="n">
        <v>23910.3597</v>
      </c>
      <c r="V298" t="inlineStr">
        <is>
          <t>Provided Total Emissions</t>
        </is>
      </c>
      <c r="W298" t="b">
        <v>1</v>
      </c>
      <c r="X298" t="n">
        <v>20426.1888</v>
      </c>
      <c r="Y298" t="n">
        <v>158652.325</v>
      </c>
      <c r="Z298" t="n">
        <v>-3484.1709</v>
      </c>
      <c r="AA298" t="n">
        <v>134741.9653</v>
      </c>
      <c r="AB298" t="n">
        <v>-0.145718</v>
      </c>
      <c r="AC298" t="n">
        <v>5.635296</v>
      </c>
      <c r="AD298" t="inlineStr">
        <is>
          <t>High</t>
        </is>
      </c>
      <c r="AE298" t="inlineStr">
        <is>
          <t>None</t>
        </is>
      </c>
      <c r="AF298" t="n">
        <v>0.95</v>
      </c>
      <c r="AG298" t="inlineStr">
        <is>
          <t>Valid</t>
        </is>
      </c>
    </row>
    <row r="299">
      <c r="A299" t="inlineStr">
        <is>
          <t>SUP-0030</t>
        </is>
      </c>
      <c r="B299" t="inlineStr">
        <is>
          <t>Agriculture Supplier 030</t>
        </is>
      </c>
      <c r="C299" t="inlineStr">
        <is>
          <t>Agriculture</t>
        </is>
      </c>
      <c r="D299" t="n">
        <v>2022</v>
      </c>
      <c r="E299" t="n">
        <v>26312881.37</v>
      </c>
      <c r="F299" t="n">
        <v>167586065.68</v>
      </c>
      <c r="G299" t="n">
        <v>25356.2077</v>
      </c>
      <c r="H299" t="n">
        <v>2144.6946</v>
      </c>
      <c r="I299" t="n">
        <v>2095.6363</v>
      </c>
      <c r="J299" t="n">
        <v>20503.7029</v>
      </c>
      <c r="K299" t="inlineStr"/>
      <c r="L299" t="inlineStr"/>
      <c r="M299" t="inlineStr"/>
      <c r="N299" t="inlineStr"/>
      <c r="O299" t="n">
        <v>2018</v>
      </c>
      <c r="P299" t="inlineStr"/>
      <c r="Q299" t="inlineStr"/>
      <c r="R299" t="n">
        <v>529.8294</v>
      </c>
      <c r="S299" t="n">
        <v>0.00091413</v>
      </c>
      <c r="T299" t="n">
        <v>0.00096913</v>
      </c>
      <c r="U299" t="n">
        <v>25356.2077</v>
      </c>
      <c r="V299" t="inlineStr">
        <is>
          <t>Provided Total Emissions</t>
        </is>
      </c>
      <c r="W299" t="b">
        <v>1</v>
      </c>
      <c r="X299" t="n">
        <v>24053.3942</v>
      </c>
      <c r="Y299" t="n">
        <v>162412.6838</v>
      </c>
      <c r="Z299" t="n">
        <v>-1302.8135</v>
      </c>
      <c r="AA299" t="n">
        <v>137056.4761</v>
      </c>
      <c r="AB299" t="n">
        <v>-0.05138</v>
      </c>
      <c r="AC299" t="n">
        <v>5.405243</v>
      </c>
      <c r="AD299" t="inlineStr">
        <is>
          <t>High</t>
        </is>
      </c>
      <c r="AE299" t="inlineStr">
        <is>
          <t>None</t>
        </is>
      </c>
      <c r="AF299" t="n">
        <v>0.95</v>
      </c>
      <c r="AG299" t="inlineStr">
        <is>
          <t>Valid</t>
        </is>
      </c>
    </row>
    <row r="300">
      <c r="A300" t="inlineStr">
        <is>
          <t>SUP-0030</t>
        </is>
      </c>
      <c r="B300" t="inlineStr">
        <is>
          <t>Agriculture Supplier 030</t>
        </is>
      </c>
      <c r="C300" t="inlineStr">
        <is>
          <t>Agriculture</t>
        </is>
      </c>
      <c r="D300" t="n">
        <v>2023</v>
      </c>
      <c r="E300" t="n">
        <v>29235000.05</v>
      </c>
      <c r="F300" t="n">
        <v>237026566.03</v>
      </c>
      <c r="G300" t="n">
        <v>22628.1895</v>
      </c>
      <c r="H300" t="n">
        <v>3261.0174</v>
      </c>
      <c r="I300" t="n">
        <v>2026.5033</v>
      </c>
      <c r="J300" t="n">
        <v>17515.5349</v>
      </c>
      <c r="K300" t="inlineStr"/>
      <c r="L300" t="inlineStr"/>
      <c r="M300" t="inlineStr"/>
      <c r="N300" t="inlineStr"/>
      <c r="O300" t="n">
        <v>2018</v>
      </c>
      <c r="P300" t="inlineStr"/>
      <c r="Q300" t="inlineStr"/>
      <c r="R300" t="n">
        <v>529.8294</v>
      </c>
      <c r="S300" t="n">
        <v>0.00091413</v>
      </c>
      <c r="T300" t="n">
        <v>0.00096913</v>
      </c>
      <c r="U300" t="n">
        <v>22628.1895</v>
      </c>
      <c r="V300" t="inlineStr">
        <is>
          <t>Provided Total Emissions</t>
        </is>
      </c>
      <c r="W300" t="b">
        <v>1</v>
      </c>
      <c r="X300" t="n">
        <v>26724.5906</v>
      </c>
      <c r="Y300" t="n">
        <v>229709.5559</v>
      </c>
      <c r="Z300" t="n">
        <v>4096.4011</v>
      </c>
      <c r="AA300" t="n">
        <v>207081.3664</v>
      </c>
      <c r="AB300" t="n">
        <v>0.181031</v>
      </c>
      <c r="AC300" t="n">
        <v>9.151477</v>
      </c>
      <c r="AD300" t="inlineStr">
        <is>
          <t>High</t>
        </is>
      </c>
      <c r="AE300" t="inlineStr">
        <is>
          <t>None</t>
        </is>
      </c>
      <c r="AF300" t="n">
        <v>0.95</v>
      </c>
      <c r="AG300" t="inlineStr">
        <is>
          <t>Valid</t>
        </is>
      </c>
    </row>
    <row r="301">
      <c r="A301" t="inlineStr">
        <is>
          <t>SUP-0030</t>
        </is>
      </c>
      <c r="B301" t="inlineStr">
        <is>
          <t>Agriculture Supplier 030</t>
        </is>
      </c>
      <c r="C301" t="inlineStr">
        <is>
          <t>Agriculture</t>
        </is>
      </c>
      <c r="D301" t="n">
        <v>2024</v>
      </c>
      <c r="E301" t="n">
        <v>33628613.81</v>
      </c>
      <c r="F301" t="n">
        <v>276886307.65</v>
      </c>
      <c r="G301" t="n">
        <v>26332.4931</v>
      </c>
      <c r="H301" t="n">
        <v>5330.482</v>
      </c>
      <c r="I301" t="n">
        <v>1911.2776</v>
      </c>
      <c r="J301" t="n">
        <v>20152.7191</v>
      </c>
      <c r="K301" t="inlineStr"/>
      <c r="L301" t="inlineStr"/>
      <c r="M301" t="inlineStr"/>
      <c r="N301" t="inlineStr"/>
      <c r="O301" t="n">
        <v>2018</v>
      </c>
      <c r="P301" t="inlineStr"/>
      <c r="Q301" t="inlineStr"/>
      <c r="R301" t="n">
        <v>529.8294</v>
      </c>
      <c r="S301" t="n">
        <v>0.00091413</v>
      </c>
      <c r="T301" t="n">
        <v>0.00096913</v>
      </c>
      <c r="U301" t="n">
        <v>26332.4931</v>
      </c>
      <c r="V301" t="inlineStr">
        <is>
          <t>Provided Total Emissions</t>
        </is>
      </c>
      <c r="W301" t="b">
        <v>1</v>
      </c>
      <c r="X301" t="n">
        <v>30740.9247</v>
      </c>
      <c r="Y301" t="n">
        <v>268338.8273</v>
      </c>
      <c r="Z301" t="n">
        <v>4408.4316</v>
      </c>
      <c r="AA301" t="n">
        <v>242006.3342</v>
      </c>
      <c r="AB301" t="n">
        <v>0.167414</v>
      </c>
      <c r="AC301" t="n">
        <v>9.190407</v>
      </c>
      <c r="AD301" t="inlineStr">
        <is>
          <t>High</t>
        </is>
      </c>
      <c r="AE301" t="inlineStr">
        <is>
          <t>None</t>
        </is>
      </c>
      <c r="AF301" t="n">
        <v>0.95</v>
      </c>
      <c r="AG301" t="inlineStr">
        <is>
          <t>Valid</t>
        </is>
      </c>
    </row>
    <row r="302">
      <c r="A302" t="inlineStr">
        <is>
          <t>SUP-0031</t>
        </is>
      </c>
      <c r="B302" t="inlineStr">
        <is>
          <t>Professional Supplier 031</t>
        </is>
      </c>
      <c r="C302" t="inlineStr">
        <is>
          <t>Professional Services</t>
        </is>
      </c>
      <c r="D302" t="n">
        <v>2015</v>
      </c>
      <c r="E302" t="n">
        <v>19317170.21</v>
      </c>
      <c r="F302" t="n">
        <v>110942819.34</v>
      </c>
      <c r="G302" t="n">
        <v>2930.2668</v>
      </c>
      <c r="H302" t="n">
        <v>410.7166</v>
      </c>
      <c r="I302" t="n">
        <v>635.4351</v>
      </c>
      <c r="J302" t="n">
        <v>2078.4078</v>
      </c>
      <c r="K302" t="n">
        <v>2020</v>
      </c>
      <c r="L302" t="n">
        <v>2040</v>
      </c>
      <c r="M302" t="n">
        <v>0.6432</v>
      </c>
      <c r="N302" t="n">
        <v>0.4028</v>
      </c>
      <c r="O302" t="n">
        <v>2020</v>
      </c>
      <c r="P302" t="inlineStr"/>
      <c r="Q302" t="inlineStr"/>
      <c r="R302" t="n">
        <v>400.0326</v>
      </c>
      <c r="S302" t="n">
        <v>0.00012906</v>
      </c>
      <c r="T302" t="n">
        <v>0.00019658</v>
      </c>
      <c r="U302" t="n">
        <v>2930.2668</v>
      </c>
      <c r="V302" t="inlineStr">
        <is>
          <t>Provided Total Emissions</t>
        </is>
      </c>
      <c r="W302" t="b">
        <v>1</v>
      </c>
      <c r="X302" t="n">
        <v>2493.074</v>
      </c>
      <c r="Y302" t="n">
        <v>21809.1394</v>
      </c>
      <c r="Z302" t="n">
        <v>-437.1928</v>
      </c>
      <c r="AA302" t="n">
        <v>18878.8726</v>
      </c>
      <c r="AB302" t="n">
        <v>-0.149199</v>
      </c>
      <c r="AC302" t="n">
        <v>6.442715</v>
      </c>
      <c r="AD302" t="inlineStr">
        <is>
          <t>High</t>
        </is>
      </c>
      <c r="AE302" t="inlineStr">
        <is>
          <t>None</t>
        </is>
      </c>
      <c r="AF302" t="n">
        <v>0.95</v>
      </c>
      <c r="AG302" t="inlineStr">
        <is>
          <t>Valid</t>
        </is>
      </c>
    </row>
    <row r="303">
      <c r="A303" t="inlineStr">
        <is>
          <t>SUP-0031</t>
        </is>
      </c>
      <c r="B303" t="inlineStr">
        <is>
          <t>Professional Supplier 031</t>
        </is>
      </c>
      <c r="C303" t="inlineStr">
        <is>
          <t>Professional Services</t>
        </is>
      </c>
      <c r="D303" t="n">
        <v>2016</v>
      </c>
      <c r="E303" t="n">
        <v>19266245.62</v>
      </c>
      <c r="F303" t="n">
        <v>112543316.76</v>
      </c>
      <c r="G303" t="n">
        <v>3474.0478</v>
      </c>
      <c r="H303" t="n">
        <v>310.2074</v>
      </c>
      <c r="I303" t="n">
        <v>678.6254</v>
      </c>
      <c r="J303" t="n">
        <v>2551.5319</v>
      </c>
      <c r="K303" t="n">
        <v>2020</v>
      </c>
      <c r="L303" t="n">
        <v>2040</v>
      </c>
      <c r="M303" t="n">
        <v>0.6432</v>
      </c>
      <c r="N303" t="n">
        <v>0.4028</v>
      </c>
      <c r="O303" t="n">
        <v>2020</v>
      </c>
      <c r="P303" t="inlineStr"/>
      <c r="Q303" t="inlineStr"/>
      <c r="R303" t="n">
        <v>400.0326</v>
      </c>
      <c r="S303" t="n">
        <v>0.00012906</v>
      </c>
      <c r="T303" t="n">
        <v>0.00019658</v>
      </c>
      <c r="U303" t="n">
        <v>3474.0478</v>
      </c>
      <c r="V303" t="inlineStr">
        <is>
          <t>Provided Total Emissions</t>
        </is>
      </c>
      <c r="W303" t="b">
        <v>1</v>
      </c>
      <c r="X303" t="n">
        <v>2486.5017</v>
      </c>
      <c r="Y303" t="n">
        <v>22123.7652</v>
      </c>
      <c r="Z303" t="n">
        <v>-987.5461</v>
      </c>
      <c r="AA303" t="n">
        <v>18649.7174</v>
      </c>
      <c r="AB303" t="n">
        <v>-0.284264</v>
      </c>
      <c r="AC303" t="n">
        <v>5.368296</v>
      </c>
      <c r="AD303" t="inlineStr">
        <is>
          <t>High</t>
        </is>
      </c>
      <c r="AE303" t="inlineStr">
        <is>
          <t>None</t>
        </is>
      </c>
      <c r="AF303" t="n">
        <v>0.95</v>
      </c>
      <c r="AG303" t="inlineStr">
        <is>
          <t>Valid</t>
        </is>
      </c>
    </row>
    <row r="304">
      <c r="A304" t="inlineStr">
        <is>
          <t>SUP-0031</t>
        </is>
      </c>
      <c r="B304" t="inlineStr">
        <is>
          <t>Professional Supplier 031</t>
        </is>
      </c>
      <c r="C304" t="inlineStr">
        <is>
          <t>Professional Services</t>
        </is>
      </c>
      <c r="D304" t="n">
        <v>2017</v>
      </c>
      <c r="E304" t="n">
        <v>16875390.43</v>
      </c>
      <c r="F304" t="n">
        <v>135504038.66</v>
      </c>
      <c r="G304" t="n">
        <v>2153.5007</v>
      </c>
      <c r="H304" t="n">
        <v>283.7012</v>
      </c>
      <c r="I304" t="n">
        <v>267.6612</v>
      </c>
      <c r="J304" t="n">
        <v>1510.1413</v>
      </c>
      <c r="K304" t="n">
        <v>2020</v>
      </c>
      <c r="L304" t="n">
        <v>2040</v>
      </c>
      <c r="M304" t="n">
        <v>0.6432</v>
      </c>
      <c r="N304" t="n">
        <v>0.4028</v>
      </c>
      <c r="O304" t="n">
        <v>2020</v>
      </c>
      <c r="P304" t="inlineStr"/>
      <c r="Q304" t="inlineStr"/>
      <c r="R304" t="n">
        <v>400.0326</v>
      </c>
      <c r="S304" t="n">
        <v>0.00012906</v>
      </c>
      <c r="T304" t="n">
        <v>0.00019658</v>
      </c>
      <c r="U304" t="n">
        <v>2153.5007</v>
      </c>
      <c r="V304" t="inlineStr">
        <is>
          <t>Provided Total Emissions</t>
        </is>
      </c>
      <c r="W304" t="b">
        <v>1</v>
      </c>
      <c r="X304" t="n">
        <v>2177.9379</v>
      </c>
      <c r="Y304" t="n">
        <v>26637.3839</v>
      </c>
      <c r="Z304" t="n">
        <v>24.4372</v>
      </c>
      <c r="AA304" t="n">
        <v>24483.8832</v>
      </c>
      <c r="AB304" t="n">
        <v>0.011348</v>
      </c>
      <c r="AC304" t="n">
        <v>11.369341</v>
      </c>
      <c r="AD304" t="inlineStr">
        <is>
          <t>High</t>
        </is>
      </c>
      <c r="AE304" t="inlineStr">
        <is>
          <t>None</t>
        </is>
      </c>
      <c r="AF304" t="n">
        <v>0.95</v>
      </c>
      <c r="AG304" t="inlineStr">
        <is>
          <t>Valid</t>
        </is>
      </c>
    </row>
    <row r="305">
      <c r="A305" t="inlineStr">
        <is>
          <t>SUP-0031</t>
        </is>
      </c>
      <c r="B305" t="inlineStr">
        <is>
          <t>Professional Supplier 031</t>
        </is>
      </c>
      <c r="C305" t="inlineStr">
        <is>
          <t>Professional Services</t>
        </is>
      </c>
      <c r="D305" t="n">
        <v>2018</v>
      </c>
      <c r="E305" t="n">
        <v>20339472.05</v>
      </c>
      <c r="F305" t="n">
        <v>157885060.76</v>
      </c>
      <c r="G305" t="n">
        <v>3228.8704</v>
      </c>
      <c r="H305" t="n">
        <v>327.0737</v>
      </c>
      <c r="I305" t="n">
        <v>460.9404</v>
      </c>
      <c r="J305" t="n">
        <v>2662.3321</v>
      </c>
      <c r="K305" t="n">
        <v>2020</v>
      </c>
      <c r="L305" t="n">
        <v>2040</v>
      </c>
      <c r="M305" t="n">
        <v>0.6432</v>
      </c>
      <c r="N305" t="n">
        <v>0.4028</v>
      </c>
      <c r="O305" t="n">
        <v>2020</v>
      </c>
      <c r="P305" t="inlineStr"/>
      <c r="Q305" t="inlineStr"/>
      <c r="R305" t="n">
        <v>400.0326</v>
      </c>
      <c r="S305" t="n">
        <v>0.00012906</v>
      </c>
      <c r="T305" t="n">
        <v>0.00019658</v>
      </c>
      <c r="U305" t="n">
        <v>3228.8704</v>
      </c>
      <c r="V305" t="inlineStr">
        <is>
          <t>Provided Total Emissions</t>
        </is>
      </c>
      <c r="W305" t="b">
        <v>1</v>
      </c>
      <c r="X305" t="n">
        <v>2625.0123</v>
      </c>
      <c r="Y305" t="n">
        <v>31037.0452</v>
      </c>
      <c r="Z305" t="n">
        <v>-603.8581</v>
      </c>
      <c r="AA305" t="n">
        <v>27808.1748</v>
      </c>
      <c r="AB305" t="n">
        <v>-0.187018</v>
      </c>
      <c r="AC305" t="n">
        <v>8.612354</v>
      </c>
      <c r="AD305" t="inlineStr">
        <is>
          <t>High</t>
        </is>
      </c>
      <c r="AE305" t="inlineStr">
        <is>
          <t>None</t>
        </is>
      </c>
      <c r="AF305" t="n">
        <v>0.95</v>
      </c>
      <c r="AG305" t="inlineStr">
        <is>
          <t>Valid</t>
        </is>
      </c>
    </row>
    <row r="306">
      <c r="A306" t="inlineStr">
        <is>
          <t>SUP-0031</t>
        </is>
      </c>
      <c r="B306" t="inlineStr">
        <is>
          <t>Professional Supplier 031</t>
        </is>
      </c>
      <c r="C306" t="inlineStr">
        <is>
          <t>Professional Services</t>
        </is>
      </c>
      <c r="D306" t="n">
        <v>2019</v>
      </c>
      <c r="E306" t="n">
        <v>21284062.29</v>
      </c>
      <c r="F306" t="n">
        <v>135008335.03</v>
      </c>
      <c r="G306" t="n">
        <v>2311.1774</v>
      </c>
      <c r="H306" t="n">
        <v>409.3161</v>
      </c>
      <c r="I306" t="n">
        <v>301.5696</v>
      </c>
      <c r="J306" t="n">
        <v>1812.2925</v>
      </c>
      <c r="K306" t="n">
        <v>2020</v>
      </c>
      <c r="L306" t="n">
        <v>2040</v>
      </c>
      <c r="M306" t="n">
        <v>0.6432</v>
      </c>
      <c r="N306" t="n">
        <v>0.4028</v>
      </c>
      <c r="O306" t="n">
        <v>2020</v>
      </c>
      <c r="P306" t="inlineStr"/>
      <c r="Q306" t="inlineStr"/>
      <c r="R306" t="n">
        <v>400.0326</v>
      </c>
      <c r="S306" t="n">
        <v>0.00012906</v>
      </c>
      <c r="T306" t="n">
        <v>0.00019658</v>
      </c>
      <c r="U306" t="n">
        <v>2311.1774</v>
      </c>
      <c r="V306" t="inlineStr">
        <is>
          <t>Provided Total Emissions</t>
        </is>
      </c>
      <c r="W306" t="b">
        <v>1</v>
      </c>
      <c r="X306" t="n">
        <v>2746.9211</v>
      </c>
      <c r="Y306" t="n">
        <v>26539.9385</v>
      </c>
      <c r="Z306" t="n">
        <v>435.7437</v>
      </c>
      <c r="AA306" t="n">
        <v>24228.7611</v>
      </c>
      <c r="AB306" t="n">
        <v>0.188538</v>
      </c>
      <c r="AC306" t="n">
        <v>10.483298</v>
      </c>
      <c r="AD306" t="inlineStr">
        <is>
          <t>High</t>
        </is>
      </c>
      <c r="AE306" t="inlineStr">
        <is>
          <t>None</t>
        </is>
      </c>
      <c r="AF306" t="n">
        <v>0.95</v>
      </c>
      <c r="AG306" t="inlineStr">
        <is>
          <t>Valid</t>
        </is>
      </c>
    </row>
    <row r="307">
      <c r="A307" t="inlineStr">
        <is>
          <t>SUP-0031</t>
        </is>
      </c>
      <c r="B307" t="inlineStr">
        <is>
          <t>Professional Supplier 031</t>
        </is>
      </c>
      <c r="C307" t="inlineStr">
        <is>
          <t>Professional Services</t>
        </is>
      </c>
      <c r="D307" t="n">
        <v>2020</v>
      </c>
      <c r="E307" t="n">
        <v>21532513.74</v>
      </c>
      <c r="F307" t="n">
        <v>174133853.96</v>
      </c>
      <c r="G307" t="n">
        <v>2893.9504</v>
      </c>
      <c r="H307" t="n">
        <v>471.6932</v>
      </c>
      <c r="I307" t="n">
        <v>520.3762</v>
      </c>
      <c r="J307" t="n">
        <v>1842.0945</v>
      </c>
      <c r="K307" t="n">
        <v>2020</v>
      </c>
      <c r="L307" t="n">
        <v>2040</v>
      </c>
      <c r="M307" t="n">
        <v>0.6432</v>
      </c>
      <c r="N307" t="n">
        <v>0.4028</v>
      </c>
      <c r="O307" t="n">
        <v>2020</v>
      </c>
      <c r="P307" t="inlineStr"/>
      <c r="Q307" t="inlineStr"/>
      <c r="R307" t="n">
        <v>400.0326</v>
      </c>
      <c r="S307" t="n">
        <v>0.00012906</v>
      </c>
      <c r="T307" t="n">
        <v>0.00019658</v>
      </c>
      <c r="U307" t="n">
        <v>2893.9504</v>
      </c>
      <c r="V307" t="inlineStr">
        <is>
          <t>Provided Total Emissions</t>
        </is>
      </c>
      <c r="W307" t="b">
        <v>1</v>
      </c>
      <c r="X307" t="n">
        <v>2778.9862</v>
      </c>
      <c r="Y307" t="n">
        <v>34231.233</v>
      </c>
      <c r="Z307" t="n">
        <v>-114.9642</v>
      </c>
      <c r="AA307" t="n">
        <v>31337.2826</v>
      </c>
      <c r="AB307" t="n">
        <v>-0.039726</v>
      </c>
      <c r="AC307" t="n">
        <v>10.828549</v>
      </c>
      <c r="AD307" t="inlineStr">
        <is>
          <t>High</t>
        </is>
      </c>
      <c r="AE307" t="inlineStr">
        <is>
          <t>None</t>
        </is>
      </c>
      <c r="AF307" t="n">
        <v>0.95</v>
      </c>
      <c r="AG307" t="inlineStr">
        <is>
          <t>Valid</t>
        </is>
      </c>
    </row>
    <row r="308">
      <c r="A308" t="inlineStr">
        <is>
          <t>SUP-0031</t>
        </is>
      </c>
      <c r="B308" t="inlineStr">
        <is>
          <t>Professional Supplier 031</t>
        </is>
      </c>
      <c r="C308" t="inlineStr">
        <is>
          <t>Professional Services</t>
        </is>
      </c>
      <c r="D308" t="n">
        <v>2021</v>
      </c>
      <c r="E308" t="n">
        <v>20538051.38</v>
      </c>
      <c r="F308" t="n">
        <v>145587037.59</v>
      </c>
      <c r="G308" t="n">
        <v>2562.341</v>
      </c>
      <c r="H308" t="n">
        <v>308.5521</v>
      </c>
      <c r="I308" t="n">
        <v>479.9229</v>
      </c>
      <c r="J308" t="n">
        <v>2137.9727</v>
      </c>
      <c r="K308" t="n">
        <v>2020</v>
      </c>
      <c r="L308" t="n">
        <v>2040</v>
      </c>
      <c r="M308" t="n">
        <v>0.6432</v>
      </c>
      <c r="N308" t="n">
        <v>0.4028</v>
      </c>
      <c r="O308" t="n">
        <v>2020</v>
      </c>
      <c r="P308" t="inlineStr"/>
      <c r="Q308" t="inlineStr"/>
      <c r="R308" t="n">
        <v>400.0326</v>
      </c>
      <c r="S308" t="n">
        <v>0.00012906</v>
      </c>
      <c r="T308" t="n">
        <v>0.00019658</v>
      </c>
      <c r="U308" t="n">
        <v>2562.341</v>
      </c>
      <c r="V308" t="inlineStr">
        <is>
          <t>Provided Total Emissions</t>
        </is>
      </c>
      <c r="W308" t="b">
        <v>1</v>
      </c>
      <c r="X308" t="n">
        <v>2650.6409</v>
      </c>
      <c r="Y308" t="n">
        <v>28619.4998</v>
      </c>
      <c r="Z308" t="n">
        <v>88.29989999999999</v>
      </c>
      <c r="AA308" t="n">
        <v>26057.1588</v>
      </c>
      <c r="AB308" t="n">
        <v>0.034461</v>
      </c>
      <c r="AC308" t="n">
        <v>10.169278</v>
      </c>
      <c r="AD308" t="inlineStr">
        <is>
          <t>High</t>
        </is>
      </c>
      <c r="AE308" t="inlineStr">
        <is>
          <t>None</t>
        </is>
      </c>
      <c r="AF308" t="n">
        <v>0.95</v>
      </c>
      <c r="AG308" t="inlineStr">
        <is>
          <t>Valid</t>
        </is>
      </c>
    </row>
    <row r="309">
      <c r="A309" t="inlineStr">
        <is>
          <t>SUP-0031</t>
        </is>
      </c>
      <c r="B309" t="inlineStr">
        <is>
          <t>Professional Supplier 031</t>
        </is>
      </c>
      <c r="C309" t="inlineStr">
        <is>
          <t>Professional Services</t>
        </is>
      </c>
      <c r="D309" t="n">
        <v>2022</v>
      </c>
      <c r="E309" t="n">
        <v>23747402.88</v>
      </c>
      <c r="F309" t="n">
        <v>150202222.04</v>
      </c>
      <c r="G309" t="n">
        <v>3304.5571</v>
      </c>
      <c r="H309" t="n">
        <v>364.0911</v>
      </c>
      <c r="I309" t="n">
        <v>640.8466</v>
      </c>
      <c r="J309" t="n">
        <v>2471.0143</v>
      </c>
      <c r="K309" t="n">
        <v>2020</v>
      </c>
      <c r="L309" t="n">
        <v>2040</v>
      </c>
      <c r="M309" t="n">
        <v>0.6432</v>
      </c>
      <c r="N309" t="n">
        <v>0.4028</v>
      </c>
      <c r="O309" t="n">
        <v>2020</v>
      </c>
      <c r="P309" t="inlineStr"/>
      <c r="Q309" t="inlineStr"/>
      <c r="R309" t="n">
        <v>400.0326</v>
      </c>
      <c r="S309" t="n">
        <v>0.00012906</v>
      </c>
      <c r="T309" t="n">
        <v>0.00019658</v>
      </c>
      <c r="U309" t="n">
        <v>3304.5571</v>
      </c>
      <c r="V309" t="inlineStr">
        <is>
          <t>Provided Total Emissions</t>
        </is>
      </c>
      <c r="W309" t="b">
        <v>1</v>
      </c>
      <c r="X309" t="n">
        <v>3064.8398</v>
      </c>
      <c r="Y309" t="n">
        <v>29526.7528</v>
      </c>
      <c r="Z309" t="n">
        <v>-239.7173</v>
      </c>
      <c r="AA309" t="n">
        <v>26222.1957</v>
      </c>
      <c r="AB309" t="n">
        <v>-0.07254099999999999</v>
      </c>
      <c r="AC309" t="n">
        <v>7.935162</v>
      </c>
      <c r="AD309" t="inlineStr">
        <is>
          <t>High</t>
        </is>
      </c>
      <c r="AE309" t="inlineStr">
        <is>
          <t>None</t>
        </is>
      </c>
      <c r="AF309" t="n">
        <v>0.95</v>
      </c>
      <c r="AG309" t="inlineStr">
        <is>
          <t>Valid</t>
        </is>
      </c>
    </row>
    <row r="310">
      <c r="A310" t="inlineStr">
        <is>
          <t>SUP-0031</t>
        </is>
      </c>
      <c r="B310" t="inlineStr">
        <is>
          <t>Professional Supplier 031</t>
        </is>
      </c>
      <c r="C310" t="inlineStr">
        <is>
          <t>Professional Services</t>
        </is>
      </c>
      <c r="D310" t="n">
        <v>2023</v>
      </c>
      <c r="E310" t="n">
        <v>24871423.81</v>
      </c>
      <c r="F310" t="n">
        <v>201926004.81</v>
      </c>
      <c r="G310" t="n">
        <v>3163.5607</v>
      </c>
      <c r="H310" t="n">
        <v>557.9772</v>
      </c>
      <c r="I310" t="n">
        <v>630.3502</v>
      </c>
      <c r="J310" t="n">
        <v>1983.0895</v>
      </c>
      <c r="K310" t="n">
        <v>2020</v>
      </c>
      <c r="L310" t="n">
        <v>2040</v>
      </c>
      <c r="M310" t="n">
        <v>0.6432</v>
      </c>
      <c r="N310" t="n">
        <v>0.4028</v>
      </c>
      <c r="O310" t="n">
        <v>2020</v>
      </c>
      <c r="P310" t="inlineStr"/>
      <c r="Q310" t="inlineStr"/>
      <c r="R310" t="n">
        <v>400.0326</v>
      </c>
      <c r="S310" t="n">
        <v>0.00012906</v>
      </c>
      <c r="T310" t="n">
        <v>0.00019658</v>
      </c>
      <c r="U310" t="n">
        <v>3163.5607</v>
      </c>
      <c r="V310" t="inlineStr">
        <is>
          <t>Provided Total Emissions</t>
        </is>
      </c>
      <c r="W310" t="b">
        <v>1</v>
      </c>
      <c r="X310" t="n">
        <v>3209.906</v>
      </c>
      <c r="Y310" t="n">
        <v>39694.614</v>
      </c>
      <c r="Z310" t="n">
        <v>46.3453</v>
      </c>
      <c r="AA310" t="n">
        <v>36531.0533</v>
      </c>
      <c r="AB310" t="n">
        <v>0.01465</v>
      </c>
      <c r="AC310" t="n">
        <v>11.547448</v>
      </c>
      <c r="AD310" t="inlineStr">
        <is>
          <t>High</t>
        </is>
      </c>
      <c r="AE310" t="inlineStr">
        <is>
          <t>None</t>
        </is>
      </c>
      <c r="AF310" t="n">
        <v>0.95</v>
      </c>
      <c r="AG310" t="inlineStr">
        <is>
          <t>Valid</t>
        </is>
      </c>
    </row>
    <row r="311">
      <c r="A311" t="inlineStr">
        <is>
          <t>SUP-0031</t>
        </is>
      </c>
      <c r="B311" t="inlineStr">
        <is>
          <t>Professional Supplier 031</t>
        </is>
      </c>
      <c r="C311" t="inlineStr">
        <is>
          <t>Professional Services</t>
        </is>
      </c>
      <c r="D311" t="n">
        <v>2024</v>
      </c>
      <c r="E311" t="n">
        <v>26096563.11</v>
      </c>
      <c r="F311" t="n">
        <v>215871245.21</v>
      </c>
      <c r="G311" t="n">
        <v>2967.1823</v>
      </c>
      <c r="H311" t="n">
        <v>739.4444</v>
      </c>
      <c r="I311" t="n">
        <v>330.6118</v>
      </c>
      <c r="J311" t="n">
        <v>1931.7399</v>
      </c>
      <c r="K311" t="n">
        <v>2020</v>
      </c>
      <c r="L311" t="n">
        <v>2040</v>
      </c>
      <c r="M311" t="n">
        <v>0.6432</v>
      </c>
      <c r="N311" t="n">
        <v>0.4028</v>
      </c>
      <c r="O311" t="n">
        <v>2020</v>
      </c>
      <c r="P311" t="inlineStr"/>
      <c r="Q311" t="inlineStr"/>
      <c r="R311" t="n">
        <v>400.0326</v>
      </c>
      <c r="S311" t="n">
        <v>0.00012906</v>
      </c>
      <c r="T311" t="n">
        <v>0.00019658</v>
      </c>
      <c r="U311" t="n">
        <v>2967.1823</v>
      </c>
      <c r="V311" t="inlineStr">
        <is>
          <t>Provided Total Emissions</t>
        </is>
      </c>
      <c r="W311" t="b">
        <v>1</v>
      </c>
      <c r="X311" t="n">
        <v>3368.0224</v>
      </c>
      <c r="Y311" t="n">
        <v>42435.9694</v>
      </c>
      <c r="Z311" t="n">
        <v>400.8401</v>
      </c>
      <c r="AA311" t="n">
        <v>39468.7871</v>
      </c>
      <c r="AB311" t="n">
        <v>0.135091</v>
      </c>
      <c r="AC311" t="n">
        <v>13.301774</v>
      </c>
      <c r="AD311" t="inlineStr">
        <is>
          <t>High</t>
        </is>
      </c>
      <c r="AE311" t="inlineStr">
        <is>
          <t>None</t>
        </is>
      </c>
      <c r="AF311" t="n">
        <v>0.95</v>
      </c>
      <c r="AG311" t="inlineStr">
        <is>
          <t>Valid</t>
        </is>
      </c>
    </row>
    <row r="312">
      <c r="A312" t="inlineStr">
        <is>
          <t>SUP-0032</t>
        </is>
      </c>
      <c r="B312" t="inlineStr">
        <is>
          <t>Agriculture Supplier 032</t>
        </is>
      </c>
      <c r="C312" t="inlineStr">
        <is>
          <t>Agriculture</t>
        </is>
      </c>
      <c r="D312" t="n">
        <v>2015</v>
      </c>
      <c r="E312" t="n">
        <v>21233122.08</v>
      </c>
      <c r="F312" t="n">
        <v>52704414.57</v>
      </c>
      <c r="G312" t="n">
        <v>27660.6991</v>
      </c>
      <c r="H312" t="n">
        <v>4343.6234</v>
      </c>
      <c r="I312" t="n">
        <v>4542.7692</v>
      </c>
      <c r="J312" t="n">
        <v>18128.3492</v>
      </c>
      <c r="K312" t="n">
        <v>2018</v>
      </c>
      <c r="L312" t="n">
        <v>2035</v>
      </c>
      <c r="M312" t="n">
        <v>0.4241</v>
      </c>
      <c r="N312" t="n">
        <v>0.1876</v>
      </c>
      <c r="O312" t="n">
        <v>2018</v>
      </c>
      <c r="P312" t="inlineStr"/>
      <c r="Q312" t="inlineStr"/>
      <c r="R312" t="n">
        <v>529.8294</v>
      </c>
      <c r="S312" t="n">
        <v>0.00091413</v>
      </c>
      <c r="T312" t="n">
        <v>0.00096913</v>
      </c>
      <c r="U312" t="n">
        <v>27660.6991</v>
      </c>
      <c r="V312" t="inlineStr">
        <is>
          <t>Provided Total Emissions</t>
        </is>
      </c>
      <c r="W312" t="b">
        <v>1</v>
      </c>
      <c r="X312" t="n">
        <v>19409.8339</v>
      </c>
      <c r="Y312" t="n">
        <v>51077.4293</v>
      </c>
      <c r="Z312" t="n">
        <v>-8250.8652</v>
      </c>
      <c r="AA312" t="n">
        <v>23416.7302</v>
      </c>
      <c r="AB312" t="n">
        <v>-0.298288</v>
      </c>
      <c r="AC312" t="n">
        <v>0.84657</v>
      </c>
      <c r="AD312" t="inlineStr">
        <is>
          <t>High</t>
        </is>
      </c>
      <c r="AE312" t="inlineStr">
        <is>
          <t>None</t>
        </is>
      </c>
      <c r="AF312" t="n">
        <v>0.95</v>
      </c>
      <c r="AG312" t="inlineStr">
        <is>
          <t>Valid</t>
        </is>
      </c>
    </row>
    <row r="313">
      <c r="A313" t="inlineStr">
        <is>
          <t>SUP-0032</t>
        </is>
      </c>
      <c r="B313" t="inlineStr">
        <is>
          <t>Agriculture Supplier 032</t>
        </is>
      </c>
      <c r="C313" t="inlineStr">
        <is>
          <t>Agriculture</t>
        </is>
      </c>
      <c r="D313" t="n">
        <v>2016</v>
      </c>
      <c r="E313" t="n">
        <v>19120072.99</v>
      </c>
      <c r="F313" t="n">
        <v>44016153.21</v>
      </c>
      <c r="G313" t="n">
        <v>22514.7375</v>
      </c>
      <c r="H313" t="n">
        <v>2886.8334</v>
      </c>
      <c r="I313" t="n">
        <v>1743.3124</v>
      </c>
      <c r="J313" t="n">
        <v>19238.8606</v>
      </c>
      <c r="K313" t="n">
        <v>2018</v>
      </c>
      <c r="L313" t="n">
        <v>2035</v>
      </c>
      <c r="M313" t="n">
        <v>0.4241</v>
      </c>
      <c r="N313" t="n">
        <v>0.1876</v>
      </c>
      <c r="O313" t="n">
        <v>2018</v>
      </c>
      <c r="P313" t="inlineStr"/>
      <c r="Q313" t="inlineStr"/>
      <c r="R313" t="n">
        <v>529.8294</v>
      </c>
      <c r="S313" t="n">
        <v>0.00091413</v>
      </c>
      <c r="T313" t="n">
        <v>0.00096913</v>
      </c>
      <c r="U313" t="n">
        <v>22514.7375</v>
      </c>
      <c r="V313" t="inlineStr">
        <is>
          <t>Provided Total Emissions</t>
        </is>
      </c>
      <c r="W313" t="b">
        <v>1</v>
      </c>
      <c r="X313" t="n">
        <v>17478.2323</v>
      </c>
      <c r="Y313" t="n">
        <v>42657.3746</v>
      </c>
      <c r="Z313" t="n">
        <v>-5036.5052</v>
      </c>
      <c r="AA313" t="n">
        <v>20142.6371</v>
      </c>
      <c r="AB313" t="n">
        <v>-0.223698</v>
      </c>
      <c r="AC313" t="n">
        <v>0.894642</v>
      </c>
      <c r="AD313" t="inlineStr">
        <is>
          <t>High</t>
        </is>
      </c>
      <c r="AE313" t="inlineStr">
        <is>
          <t>None</t>
        </is>
      </c>
      <c r="AF313" t="n">
        <v>0.95</v>
      </c>
      <c r="AG313" t="inlineStr">
        <is>
          <t>Valid</t>
        </is>
      </c>
    </row>
    <row r="314">
      <c r="A314" t="inlineStr">
        <is>
          <t>SUP-0032</t>
        </is>
      </c>
      <c r="B314" t="inlineStr">
        <is>
          <t>Agriculture Supplier 032</t>
        </is>
      </c>
      <c r="C314" t="inlineStr">
        <is>
          <t>Agriculture</t>
        </is>
      </c>
      <c r="D314" t="n">
        <v>2017</v>
      </c>
      <c r="E314" t="n">
        <v>20067334.8</v>
      </c>
      <c r="F314" t="n">
        <v>57264940.05</v>
      </c>
      <c r="G314" t="n">
        <v>18974.1113</v>
      </c>
      <c r="H314" t="n">
        <v>5530.6047</v>
      </c>
      <c r="I314" t="n">
        <v>4048.2394</v>
      </c>
      <c r="J314" t="n">
        <v>9846.3678</v>
      </c>
      <c r="K314" t="n">
        <v>2018</v>
      </c>
      <c r="L314" t="n">
        <v>2035</v>
      </c>
      <c r="M314" t="n">
        <v>0.4241</v>
      </c>
      <c r="N314" t="n">
        <v>0.1876</v>
      </c>
      <c r="O314" t="n">
        <v>2018</v>
      </c>
      <c r="P314" t="inlineStr"/>
      <c r="Q314" t="inlineStr"/>
      <c r="R314" t="n">
        <v>529.8294</v>
      </c>
      <c r="S314" t="n">
        <v>0.00091413</v>
      </c>
      <c r="T314" t="n">
        <v>0.00096913</v>
      </c>
      <c r="U314" t="n">
        <v>18974.1113</v>
      </c>
      <c r="V314" t="inlineStr">
        <is>
          <t>Provided Total Emissions</t>
        </is>
      </c>
      <c r="W314" t="b">
        <v>1</v>
      </c>
      <c r="X314" t="n">
        <v>18344.1528</v>
      </c>
      <c r="Y314" t="n">
        <v>55497.1714</v>
      </c>
      <c r="Z314" t="n">
        <v>-629.9585</v>
      </c>
      <c r="AA314" t="n">
        <v>36523.0601</v>
      </c>
      <c r="AB314" t="n">
        <v>-0.033201</v>
      </c>
      <c r="AC314" t="n">
        <v>1.924889</v>
      </c>
      <c r="AD314" t="inlineStr">
        <is>
          <t>High</t>
        </is>
      </c>
      <c r="AE314" t="inlineStr">
        <is>
          <t>None</t>
        </is>
      </c>
      <c r="AF314" t="n">
        <v>0.95</v>
      </c>
      <c r="AG314" t="inlineStr">
        <is>
          <t>Valid</t>
        </is>
      </c>
    </row>
    <row r="315">
      <c r="A315" t="inlineStr">
        <is>
          <t>SUP-0032</t>
        </is>
      </c>
      <c r="B315" t="inlineStr">
        <is>
          <t>Agriculture Supplier 032</t>
        </is>
      </c>
      <c r="C315" t="inlineStr">
        <is>
          <t>Agriculture</t>
        </is>
      </c>
      <c r="D315" t="n">
        <v>2018</v>
      </c>
      <c r="E315" t="n">
        <v>22016588.31</v>
      </c>
      <c r="F315" t="n">
        <v>41513083.64</v>
      </c>
      <c r="G315" t="n">
        <v>21808.8858</v>
      </c>
      <c r="H315" t="n">
        <v>3740.4149</v>
      </c>
      <c r="I315" t="n">
        <v>1856.2762</v>
      </c>
      <c r="J315" t="n">
        <v>15225.0924</v>
      </c>
      <c r="K315" t="n">
        <v>2018</v>
      </c>
      <c r="L315" t="n">
        <v>2035</v>
      </c>
      <c r="M315" t="n">
        <v>0.4241</v>
      </c>
      <c r="N315" t="n">
        <v>0.1876</v>
      </c>
      <c r="O315" t="n">
        <v>2018</v>
      </c>
      <c r="P315" t="inlineStr"/>
      <c r="Q315" t="inlineStr"/>
      <c r="R315" t="n">
        <v>529.8294</v>
      </c>
      <c r="S315" t="n">
        <v>0.00091413</v>
      </c>
      <c r="T315" t="n">
        <v>0.00096913</v>
      </c>
      <c r="U315" t="n">
        <v>21808.8858</v>
      </c>
      <c r="V315" t="inlineStr">
        <is>
          <t>Provided Total Emissions</t>
        </is>
      </c>
      <c r="W315" t="b">
        <v>1</v>
      </c>
      <c r="X315" t="n">
        <v>20126.0239</v>
      </c>
      <c r="Y315" t="n">
        <v>40231.5747</v>
      </c>
      <c r="Z315" t="n">
        <v>-1682.8619</v>
      </c>
      <c r="AA315" t="n">
        <v>18422.6889</v>
      </c>
      <c r="AB315" t="n">
        <v>-0.077164</v>
      </c>
      <c r="AC315" t="n">
        <v>0.844733</v>
      </c>
      <c r="AD315" t="inlineStr">
        <is>
          <t>High</t>
        </is>
      </c>
      <c r="AE315" t="inlineStr">
        <is>
          <t>None</t>
        </is>
      </c>
      <c r="AF315" t="n">
        <v>0.95</v>
      </c>
      <c r="AG315" t="inlineStr">
        <is>
          <t>Valid</t>
        </is>
      </c>
    </row>
    <row r="316">
      <c r="A316" t="inlineStr">
        <is>
          <t>SUP-0032</t>
        </is>
      </c>
      <c r="B316" t="inlineStr">
        <is>
          <t>Agriculture Supplier 032</t>
        </is>
      </c>
      <c r="C316" t="inlineStr">
        <is>
          <t>Agriculture</t>
        </is>
      </c>
      <c r="D316" t="n">
        <v>2019</v>
      </c>
      <c r="E316" t="n">
        <v>26354693.52</v>
      </c>
      <c r="F316" t="n">
        <v>51671935.58</v>
      </c>
      <c r="G316" t="n">
        <v>33025.3747</v>
      </c>
      <c r="H316" t="n">
        <v>3002.5849</v>
      </c>
      <c r="I316" t="n">
        <v>2764.6497</v>
      </c>
      <c r="J316" t="n">
        <v>27898.783</v>
      </c>
      <c r="K316" t="n">
        <v>2018</v>
      </c>
      <c r="L316" t="n">
        <v>2035</v>
      </c>
      <c r="M316" t="n">
        <v>0.4241</v>
      </c>
      <c r="N316" t="n">
        <v>0.1876</v>
      </c>
      <c r="O316" t="n">
        <v>2018</v>
      </c>
      <c r="P316" t="inlineStr"/>
      <c r="Q316" t="inlineStr"/>
      <c r="R316" t="n">
        <v>529.8294</v>
      </c>
      <c r="S316" t="n">
        <v>0.00091413</v>
      </c>
      <c r="T316" t="n">
        <v>0.00096913</v>
      </c>
      <c r="U316" t="n">
        <v>33025.3747</v>
      </c>
      <c r="V316" t="inlineStr">
        <is>
          <t>Provided Total Emissions</t>
        </is>
      </c>
      <c r="W316" t="b">
        <v>1</v>
      </c>
      <c r="X316" t="n">
        <v>24091.616</v>
      </c>
      <c r="Y316" t="n">
        <v>50076.8229</v>
      </c>
      <c r="Z316" t="n">
        <v>-8933.7587</v>
      </c>
      <c r="AA316" t="n">
        <v>17051.4482</v>
      </c>
      <c r="AB316" t="n">
        <v>-0.270512</v>
      </c>
      <c r="AC316" t="n">
        <v>0.5163140000000001</v>
      </c>
      <c r="AD316" t="inlineStr">
        <is>
          <t>High</t>
        </is>
      </c>
      <c r="AE316" t="inlineStr">
        <is>
          <t>None</t>
        </is>
      </c>
      <c r="AF316" t="n">
        <v>0.95</v>
      </c>
      <c r="AG316" t="inlineStr">
        <is>
          <t>Valid</t>
        </is>
      </c>
    </row>
    <row r="317">
      <c r="A317" t="inlineStr">
        <is>
          <t>SUP-0032</t>
        </is>
      </c>
      <c r="B317" t="inlineStr">
        <is>
          <t>Agriculture Supplier 032</t>
        </is>
      </c>
      <c r="C317" t="inlineStr">
        <is>
          <t>Agriculture</t>
        </is>
      </c>
      <c r="D317" t="n">
        <v>2020</v>
      </c>
      <c r="E317" t="n">
        <v>21719749.37</v>
      </c>
      <c r="F317" t="n">
        <v>37044997.79</v>
      </c>
      <c r="G317" t="n">
        <v>20983.841</v>
      </c>
      <c r="H317" t="n">
        <v>2464.0849</v>
      </c>
      <c r="I317" t="n">
        <v>2940.1945</v>
      </c>
      <c r="J317" t="n">
        <v>15064.6983</v>
      </c>
      <c r="K317" t="n">
        <v>2018</v>
      </c>
      <c r="L317" t="n">
        <v>2035</v>
      </c>
      <c r="M317" t="n">
        <v>0.4241</v>
      </c>
      <c r="N317" t="n">
        <v>0.1876</v>
      </c>
      <c r="O317" t="n">
        <v>2018</v>
      </c>
      <c r="P317" t="inlineStr"/>
      <c r="Q317" t="inlineStr"/>
      <c r="R317" t="n">
        <v>529.8294</v>
      </c>
      <c r="S317" t="n">
        <v>0.00091413</v>
      </c>
      <c r="T317" t="n">
        <v>0.00096913</v>
      </c>
      <c r="U317" t="n">
        <v>20983.841</v>
      </c>
      <c r="V317" t="inlineStr">
        <is>
          <t>Provided Total Emissions</t>
        </is>
      </c>
      <c r="W317" t="b">
        <v>1</v>
      </c>
      <c r="X317" t="n">
        <v>19854.6745</v>
      </c>
      <c r="Y317" t="n">
        <v>35901.4187</v>
      </c>
      <c r="Z317" t="n">
        <v>-1129.1665</v>
      </c>
      <c r="AA317" t="n">
        <v>14917.5777</v>
      </c>
      <c r="AB317" t="n">
        <v>-0.053811</v>
      </c>
      <c r="AC317" t="n">
        <v>0.710908</v>
      </c>
      <c r="AD317" t="inlineStr">
        <is>
          <t>High</t>
        </is>
      </c>
      <c r="AE317" t="inlineStr">
        <is>
          <t>None</t>
        </is>
      </c>
      <c r="AF317" t="n">
        <v>0.95</v>
      </c>
      <c r="AG317" t="inlineStr">
        <is>
          <t>Valid</t>
        </is>
      </c>
    </row>
    <row r="318">
      <c r="A318" t="inlineStr">
        <is>
          <t>SUP-0032</t>
        </is>
      </c>
      <c r="B318" t="inlineStr">
        <is>
          <t>Agriculture Supplier 032</t>
        </is>
      </c>
      <c r="C318" t="inlineStr">
        <is>
          <t>Agriculture</t>
        </is>
      </c>
      <c r="D318" t="n">
        <v>2021</v>
      </c>
      <c r="E318" t="n">
        <v>26657829</v>
      </c>
      <c r="F318" t="n">
        <v>50623394.95</v>
      </c>
      <c r="G318" t="n">
        <v>25869.0855</v>
      </c>
      <c r="H318" t="n">
        <v>2595.008</v>
      </c>
      <c r="I318" t="n">
        <v>3531.5972</v>
      </c>
      <c r="J318" t="n">
        <v>20484.6702</v>
      </c>
      <c r="K318" t="n">
        <v>2018</v>
      </c>
      <c r="L318" t="n">
        <v>2035</v>
      </c>
      <c r="M318" t="n">
        <v>0.4241</v>
      </c>
      <c r="N318" t="n">
        <v>0.1876</v>
      </c>
      <c r="O318" t="n">
        <v>2018</v>
      </c>
      <c r="P318" t="inlineStr"/>
      <c r="Q318" t="inlineStr"/>
      <c r="R318" t="n">
        <v>529.8294</v>
      </c>
      <c r="S318" t="n">
        <v>0.00091413</v>
      </c>
      <c r="T318" t="n">
        <v>0.00096913</v>
      </c>
      <c r="U318" t="n">
        <v>25869.0855</v>
      </c>
      <c r="V318" t="inlineStr">
        <is>
          <t>Provided Total Emissions</t>
        </is>
      </c>
      <c r="W318" t="b">
        <v>1</v>
      </c>
      <c r="X318" t="n">
        <v>24368.7212</v>
      </c>
      <c r="Y318" t="n">
        <v>49060.6507</v>
      </c>
      <c r="Z318" t="n">
        <v>-1500.3643</v>
      </c>
      <c r="AA318" t="n">
        <v>23191.5652</v>
      </c>
      <c r="AB318" t="n">
        <v>-0.057998</v>
      </c>
      <c r="AC318" t="n">
        <v>0.896497</v>
      </c>
      <c r="AD318" t="inlineStr">
        <is>
          <t>High</t>
        </is>
      </c>
      <c r="AE318" t="inlineStr">
        <is>
          <t>None</t>
        </is>
      </c>
      <c r="AF318" t="n">
        <v>0.95</v>
      </c>
      <c r="AG318" t="inlineStr">
        <is>
          <t>Valid</t>
        </is>
      </c>
    </row>
    <row r="319">
      <c r="A319" t="inlineStr">
        <is>
          <t>SUP-0032</t>
        </is>
      </c>
      <c r="B319" t="inlineStr">
        <is>
          <t>Agriculture Supplier 032</t>
        </is>
      </c>
      <c r="C319" t="inlineStr">
        <is>
          <t>Agriculture</t>
        </is>
      </c>
      <c r="D319" t="n">
        <v>2022</v>
      </c>
      <c r="E319" t="n">
        <v>31242811.43</v>
      </c>
      <c r="F319" t="n">
        <v>65014914.54</v>
      </c>
      <c r="G319" t="n">
        <v>27557.6547</v>
      </c>
      <c r="H319" t="n">
        <v>4811.5877</v>
      </c>
      <c r="I319" t="n">
        <v>2244.7932</v>
      </c>
      <c r="J319" t="n">
        <v>20114.3144</v>
      </c>
      <c r="K319" t="n">
        <v>2018</v>
      </c>
      <c r="L319" t="n">
        <v>2035</v>
      </c>
      <c r="M319" t="n">
        <v>0.4241</v>
      </c>
      <c r="N319" t="n">
        <v>0.1876</v>
      </c>
      <c r="O319" t="n">
        <v>2018</v>
      </c>
      <c r="P319" t="inlineStr"/>
      <c r="Q319" t="inlineStr"/>
      <c r="R319" t="n">
        <v>529.8294</v>
      </c>
      <c r="S319" t="n">
        <v>0.00091413</v>
      </c>
      <c r="T319" t="n">
        <v>0.00096913</v>
      </c>
      <c r="U319" t="n">
        <v>27557.6547</v>
      </c>
      <c r="V319" t="inlineStr">
        <is>
          <t>Provided Total Emissions</t>
        </is>
      </c>
      <c r="W319" t="b">
        <v>1</v>
      </c>
      <c r="X319" t="n">
        <v>28559.9912</v>
      </c>
      <c r="Y319" t="n">
        <v>63007.9041</v>
      </c>
      <c r="Z319" t="n">
        <v>1002.3365</v>
      </c>
      <c r="AA319" t="n">
        <v>35450.2494</v>
      </c>
      <c r="AB319" t="n">
        <v>0.036372</v>
      </c>
      <c r="AC319" t="n">
        <v>1.286403</v>
      </c>
      <c r="AD319" t="inlineStr">
        <is>
          <t>High</t>
        </is>
      </c>
      <c r="AE319" t="inlineStr">
        <is>
          <t>None</t>
        </is>
      </c>
      <c r="AF319" t="n">
        <v>0.95</v>
      </c>
      <c r="AG319" t="inlineStr">
        <is>
          <t>Valid</t>
        </is>
      </c>
    </row>
    <row r="320">
      <c r="A320" t="inlineStr">
        <is>
          <t>SUP-0032</t>
        </is>
      </c>
      <c r="B320" t="inlineStr">
        <is>
          <t>Agriculture Supplier 032</t>
        </is>
      </c>
      <c r="C320" t="inlineStr">
        <is>
          <t>Agriculture</t>
        </is>
      </c>
      <c r="D320" t="n">
        <v>2023</v>
      </c>
      <c r="E320" t="n">
        <v>26370598.13</v>
      </c>
      <c r="F320" t="n">
        <v>56102092.16</v>
      </c>
      <c r="G320" t="n">
        <v>27694.9338</v>
      </c>
      <c r="H320" t="n">
        <v>3804.0961</v>
      </c>
      <c r="I320" t="n">
        <v>3620.9945</v>
      </c>
      <c r="J320" t="n">
        <v>20153.5367</v>
      </c>
      <c r="K320" t="n">
        <v>2018</v>
      </c>
      <c r="L320" t="n">
        <v>2035</v>
      </c>
      <c r="M320" t="n">
        <v>0.4241</v>
      </c>
      <c r="N320" t="n">
        <v>0.1876</v>
      </c>
      <c r="O320" t="n">
        <v>2018</v>
      </c>
      <c r="P320" t="inlineStr"/>
      <c r="Q320" t="inlineStr"/>
      <c r="R320" t="n">
        <v>529.8294</v>
      </c>
      <c r="S320" t="n">
        <v>0.00091413</v>
      </c>
      <c r="T320" t="n">
        <v>0.00096913</v>
      </c>
      <c r="U320" t="n">
        <v>27694.9338</v>
      </c>
      <c r="V320" t="inlineStr">
        <is>
          <t>Provided Total Emissions</t>
        </is>
      </c>
      <c r="W320" t="b">
        <v>1</v>
      </c>
      <c r="X320" t="n">
        <v>24106.1549</v>
      </c>
      <c r="Y320" t="n">
        <v>54370.2206</v>
      </c>
      <c r="Z320" t="n">
        <v>-3588.7789</v>
      </c>
      <c r="AA320" t="n">
        <v>26675.2868</v>
      </c>
      <c r="AB320" t="n">
        <v>-0.129583</v>
      </c>
      <c r="AC320" t="n">
        <v>0.963183</v>
      </c>
      <c r="AD320" t="inlineStr">
        <is>
          <t>High</t>
        </is>
      </c>
      <c r="AE320" t="inlineStr">
        <is>
          <t>None</t>
        </is>
      </c>
      <c r="AF320" t="n">
        <v>0.95</v>
      </c>
      <c r="AG320" t="inlineStr">
        <is>
          <t>Valid</t>
        </is>
      </c>
    </row>
    <row r="321">
      <c r="A321" t="inlineStr">
        <is>
          <t>SUP-0032</t>
        </is>
      </c>
      <c r="B321" t="inlineStr">
        <is>
          <t>Agriculture Supplier 032</t>
        </is>
      </c>
      <c r="C321" t="inlineStr">
        <is>
          <t>Agriculture</t>
        </is>
      </c>
      <c r="D321" t="n">
        <v>2024</v>
      </c>
      <c r="E321" t="n">
        <v>29658352.82</v>
      </c>
      <c r="F321" t="n">
        <v>54901393.73</v>
      </c>
      <c r="G321" t="n">
        <v>34656.8022</v>
      </c>
      <c r="H321" t="n">
        <v>7131.6436</v>
      </c>
      <c r="I321" t="n">
        <v>5510.1683</v>
      </c>
      <c r="J321" t="n">
        <v>20443.4335</v>
      </c>
      <c r="K321" t="n">
        <v>2018</v>
      </c>
      <c r="L321" t="n">
        <v>2035</v>
      </c>
      <c r="M321" t="n">
        <v>0.4241</v>
      </c>
      <c r="N321" t="n">
        <v>0.1876</v>
      </c>
      <c r="O321" t="n">
        <v>2018</v>
      </c>
      <c r="P321" t="inlineStr"/>
      <c r="Q321" t="inlineStr"/>
      <c r="R321" t="n">
        <v>529.8294</v>
      </c>
      <c r="S321" t="n">
        <v>0.00091413</v>
      </c>
      <c r="T321" t="n">
        <v>0.00096913</v>
      </c>
      <c r="U321" t="n">
        <v>34656.8022</v>
      </c>
      <c r="V321" t="inlineStr">
        <is>
          <t>Provided Total Emissions</t>
        </is>
      </c>
      <c r="W321" t="b">
        <v>1</v>
      </c>
      <c r="X321" t="n">
        <v>27111.5901</v>
      </c>
      <c r="Y321" t="n">
        <v>53206.5877</v>
      </c>
      <c r="Z321" t="n">
        <v>-7545.2121</v>
      </c>
      <c r="AA321" t="n">
        <v>18549.7855</v>
      </c>
      <c r="AB321" t="n">
        <v>-0.217712</v>
      </c>
      <c r="AC321" t="n">
        <v>0.535242</v>
      </c>
      <c r="AD321" t="inlineStr">
        <is>
          <t>High</t>
        </is>
      </c>
      <c r="AE321" t="inlineStr">
        <is>
          <t>None</t>
        </is>
      </c>
      <c r="AF321" t="n">
        <v>0.95</v>
      </c>
      <c r="AG321" t="inlineStr">
        <is>
          <t>Valid</t>
        </is>
      </c>
    </row>
    <row r="322">
      <c r="A322" t="inlineStr">
        <is>
          <t>SUP-0033</t>
        </is>
      </c>
      <c r="B322" t="inlineStr">
        <is>
          <t>Metals Supplier 033</t>
        </is>
      </c>
      <c r="C322" t="inlineStr">
        <is>
          <t>Metals</t>
        </is>
      </c>
      <c r="D322" t="n">
        <v>2015</v>
      </c>
      <c r="E322" t="n">
        <v>15998310.87</v>
      </c>
      <c r="F322" t="n">
        <v>89254633.77</v>
      </c>
      <c r="G322" t="n">
        <v>9065.9326</v>
      </c>
      <c r="H322" t="n">
        <v>2079.8164</v>
      </c>
      <c r="I322" t="n">
        <v>806.274</v>
      </c>
      <c r="J322" t="n">
        <v>6325.0081</v>
      </c>
      <c r="K322" t="n">
        <v>2021</v>
      </c>
      <c r="L322" t="n">
        <v>2030</v>
      </c>
      <c r="M322" t="n">
        <v>0.3204</v>
      </c>
      <c r="N322" t="n">
        <v>0.1259</v>
      </c>
      <c r="O322" t="n">
        <v>2019</v>
      </c>
      <c r="P322" t="n">
        <v>2030</v>
      </c>
      <c r="Q322" t="n">
        <v>0.3852</v>
      </c>
      <c r="R322" t="n">
        <v>158.2904</v>
      </c>
      <c r="S322" t="n">
        <v>0.00100695</v>
      </c>
      <c r="T322" t="n">
        <v>0.00065008</v>
      </c>
      <c r="U322" t="n">
        <v>9065.9326</v>
      </c>
      <c r="V322" t="inlineStr">
        <is>
          <t>Provided Total Emissions</t>
        </is>
      </c>
      <c r="W322" t="b">
        <v>1</v>
      </c>
      <c r="X322" t="n">
        <v>16109.4991</v>
      </c>
      <c r="Y322" t="n">
        <v>58022.6523</v>
      </c>
      <c r="Z322" t="n">
        <v>7043.5665</v>
      </c>
      <c r="AA322" t="n">
        <v>48956.7197</v>
      </c>
      <c r="AB322" t="n">
        <v>0.776927</v>
      </c>
      <c r="AC322" t="n">
        <v>5.400075</v>
      </c>
      <c r="AD322" t="inlineStr">
        <is>
          <t>High</t>
        </is>
      </c>
      <c r="AE322" t="inlineStr">
        <is>
          <t>None</t>
        </is>
      </c>
      <c r="AF322" t="n">
        <v>0.95</v>
      </c>
      <c r="AG322" t="inlineStr">
        <is>
          <t>Valid</t>
        </is>
      </c>
    </row>
    <row r="323">
      <c r="A323" t="inlineStr">
        <is>
          <t>SUP-0033</t>
        </is>
      </c>
      <c r="B323" t="inlineStr">
        <is>
          <t>Metals Supplier 033</t>
        </is>
      </c>
      <c r="C323" t="inlineStr">
        <is>
          <t>Metals</t>
        </is>
      </c>
      <c r="D323" t="n">
        <v>2016</v>
      </c>
      <c r="E323" t="n">
        <v>13720608.69</v>
      </c>
      <c r="F323" t="n">
        <v>74581272.39</v>
      </c>
      <c r="G323" t="n">
        <v>11244.0091</v>
      </c>
      <c r="H323" t="n">
        <v>2254.7139</v>
      </c>
      <c r="I323" t="n">
        <v>1569.8402</v>
      </c>
      <c r="J323" t="n">
        <v>7894.4241</v>
      </c>
      <c r="K323" t="n">
        <v>2021</v>
      </c>
      <c r="L323" t="n">
        <v>2030</v>
      </c>
      <c r="M323" t="n">
        <v>0.3204</v>
      </c>
      <c r="N323" t="n">
        <v>0.1259</v>
      </c>
      <c r="O323" t="n">
        <v>2019</v>
      </c>
      <c r="P323" t="n">
        <v>2030</v>
      </c>
      <c r="Q323" t="n">
        <v>0.3852</v>
      </c>
      <c r="R323" t="n">
        <v>158.2904</v>
      </c>
      <c r="S323" t="n">
        <v>0.00100695</v>
      </c>
      <c r="T323" t="n">
        <v>0.00065008</v>
      </c>
      <c r="U323" t="n">
        <v>11244.0091</v>
      </c>
      <c r="V323" t="inlineStr">
        <is>
          <t>Provided Total Emissions</t>
        </is>
      </c>
      <c r="W323" t="b">
        <v>1</v>
      </c>
      <c r="X323" t="n">
        <v>13815.9669</v>
      </c>
      <c r="Y323" t="n">
        <v>48483.7936</v>
      </c>
      <c r="Z323" t="n">
        <v>2571.9578</v>
      </c>
      <c r="AA323" t="n">
        <v>37239.7845</v>
      </c>
      <c r="AB323" t="n">
        <v>0.22874</v>
      </c>
      <c r="AC323" t="n">
        <v>3.311967</v>
      </c>
      <c r="AD323" t="inlineStr">
        <is>
          <t>High</t>
        </is>
      </c>
      <c r="AE323" t="inlineStr">
        <is>
          <t>None</t>
        </is>
      </c>
      <c r="AF323" t="n">
        <v>0.95</v>
      </c>
      <c r="AG323" t="inlineStr">
        <is>
          <t>Valid</t>
        </is>
      </c>
    </row>
    <row r="324">
      <c r="A324" t="inlineStr">
        <is>
          <t>SUP-0033</t>
        </is>
      </c>
      <c r="B324" t="inlineStr">
        <is>
          <t>Metals Supplier 033</t>
        </is>
      </c>
      <c r="C324" t="inlineStr">
        <is>
          <t>Metals</t>
        </is>
      </c>
      <c r="D324" t="n">
        <v>2017</v>
      </c>
      <c r="E324" t="n">
        <v>15549179.27</v>
      </c>
      <c r="F324" t="n">
        <v>73634595.66</v>
      </c>
      <c r="G324" t="n">
        <v>10732.473</v>
      </c>
      <c r="H324" t="n">
        <v>1075.6427</v>
      </c>
      <c r="I324" t="n">
        <v>1555.5003</v>
      </c>
      <c r="J324" t="n">
        <v>7426.8225</v>
      </c>
      <c r="K324" t="n">
        <v>2021</v>
      </c>
      <c r="L324" t="n">
        <v>2030</v>
      </c>
      <c r="M324" t="n">
        <v>0.3204</v>
      </c>
      <c r="N324" t="n">
        <v>0.1259</v>
      </c>
      <c r="O324" t="n">
        <v>2019</v>
      </c>
      <c r="P324" t="n">
        <v>2030</v>
      </c>
      <c r="Q324" t="n">
        <v>0.3852</v>
      </c>
      <c r="R324" t="n">
        <v>158.2904</v>
      </c>
      <c r="S324" t="n">
        <v>0.00100695</v>
      </c>
      <c r="T324" t="n">
        <v>0.00065008</v>
      </c>
      <c r="U324" t="n">
        <v>10732.473</v>
      </c>
      <c r="V324" t="inlineStr">
        <is>
          <t>Provided Total Emissions</t>
        </is>
      </c>
      <c r="W324" t="b">
        <v>1</v>
      </c>
      <c r="X324" t="n">
        <v>15657.2461</v>
      </c>
      <c r="Y324" t="n">
        <v>47868.3779</v>
      </c>
      <c r="Z324" t="n">
        <v>4924.7731</v>
      </c>
      <c r="AA324" t="n">
        <v>37135.9049</v>
      </c>
      <c r="AB324" t="n">
        <v>0.458867</v>
      </c>
      <c r="AC324" t="n">
        <v>3.460144</v>
      </c>
      <c r="AD324" t="inlineStr">
        <is>
          <t>High</t>
        </is>
      </c>
      <c r="AE324" t="inlineStr">
        <is>
          <t>None</t>
        </is>
      </c>
      <c r="AF324" t="n">
        <v>0.95</v>
      </c>
      <c r="AG324" t="inlineStr">
        <is>
          <t>Valid</t>
        </is>
      </c>
    </row>
    <row r="325">
      <c r="A325" t="inlineStr">
        <is>
          <t>SUP-0033</t>
        </is>
      </c>
      <c r="B325" t="inlineStr">
        <is>
          <t>Metals Supplier 033</t>
        </is>
      </c>
      <c r="C325" t="inlineStr">
        <is>
          <t>Metals</t>
        </is>
      </c>
      <c r="D325" t="n">
        <v>2018</v>
      </c>
      <c r="E325" t="n">
        <v>17303283.72</v>
      </c>
      <c r="F325" t="n">
        <v>83890023.86</v>
      </c>
      <c r="G325" t="n">
        <v>11595.7144</v>
      </c>
      <c r="H325" t="n">
        <v>2030.6753</v>
      </c>
      <c r="I325" t="n">
        <v>1070.8501</v>
      </c>
      <c r="J325" t="n">
        <v>9078.356100000001</v>
      </c>
      <c r="K325" t="n">
        <v>2021</v>
      </c>
      <c r="L325" t="n">
        <v>2030</v>
      </c>
      <c r="M325" t="n">
        <v>0.3204</v>
      </c>
      <c r="N325" t="n">
        <v>0.1259</v>
      </c>
      <c r="O325" t="n">
        <v>2019</v>
      </c>
      <c r="P325" t="n">
        <v>2030</v>
      </c>
      <c r="Q325" t="n">
        <v>0.3852</v>
      </c>
      <c r="R325" t="n">
        <v>158.2904</v>
      </c>
      <c r="S325" t="n">
        <v>0.00100695</v>
      </c>
      <c r="T325" t="n">
        <v>0.00065008</v>
      </c>
      <c r="U325" t="n">
        <v>11595.7144</v>
      </c>
      <c r="V325" t="inlineStr">
        <is>
          <t>Provided Total Emissions</t>
        </is>
      </c>
      <c r="W325" t="b">
        <v>1</v>
      </c>
      <c r="X325" t="n">
        <v>17423.5415</v>
      </c>
      <c r="Y325" t="n">
        <v>54535.2267</v>
      </c>
      <c r="Z325" t="n">
        <v>5827.8271</v>
      </c>
      <c r="AA325" t="n">
        <v>42939.5123</v>
      </c>
      <c r="AB325" t="n">
        <v>0.5025849999999999</v>
      </c>
      <c r="AC325" t="n">
        <v>3.70305</v>
      </c>
      <c r="AD325" t="inlineStr">
        <is>
          <t>High</t>
        </is>
      </c>
      <c r="AE325" t="inlineStr">
        <is>
          <t>None</t>
        </is>
      </c>
      <c r="AF325" t="n">
        <v>0.95</v>
      </c>
      <c r="AG325" t="inlineStr">
        <is>
          <t>Valid</t>
        </is>
      </c>
    </row>
    <row r="326">
      <c r="A326" t="inlineStr">
        <is>
          <t>SUP-0033</t>
        </is>
      </c>
      <c r="B326" t="inlineStr">
        <is>
          <t>Metals Supplier 033</t>
        </is>
      </c>
      <c r="C326" t="inlineStr">
        <is>
          <t>Metals</t>
        </is>
      </c>
      <c r="D326" t="n">
        <v>2019</v>
      </c>
      <c r="E326" t="n">
        <v>16336880.54</v>
      </c>
      <c r="F326" t="n">
        <v>72219573.26000001</v>
      </c>
      <c r="G326" t="n">
        <v>12102.1724</v>
      </c>
      <c r="H326" t="n">
        <v>2834.8484</v>
      </c>
      <c r="I326" t="n">
        <v>1321.075</v>
      </c>
      <c r="J326" t="n">
        <v>8195.859</v>
      </c>
      <c r="K326" t="n">
        <v>2021</v>
      </c>
      <c r="L326" t="n">
        <v>2030</v>
      </c>
      <c r="M326" t="n">
        <v>0.3204</v>
      </c>
      <c r="N326" t="n">
        <v>0.1259</v>
      </c>
      <c r="O326" t="n">
        <v>2019</v>
      </c>
      <c r="P326" t="n">
        <v>2030</v>
      </c>
      <c r="Q326" t="n">
        <v>0.3852</v>
      </c>
      <c r="R326" t="n">
        <v>158.2904</v>
      </c>
      <c r="S326" t="n">
        <v>0.00100695</v>
      </c>
      <c r="T326" t="n">
        <v>0.00065008</v>
      </c>
      <c r="U326" t="n">
        <v>12102.1724</v>
      </c>
      <c r="V326" t="inlineStr">
        <is>
          <t>Provided Total Emissions</t>
        </is>
      </c>
      <c r="W326" t="b">
        <v>1</v>
      </c>
      <c r="X326" t="n">
        <v>16450.4219</v>
      </c>
      <c r="Y326" t="n">
        <v>46948.5002</v>
      </c>
      <c r="Z326" t="n">
        <v>4348.2495</v>
      </c>
      <c r="AA326" t="n">
        <v>34846.3278</v>
      </c>
      <c r="AB326" t="n">
        <v>0.359295</v>
      </c>
      <c r="AC326" t="n">
        <v>2.879345</v>
      </c>
      <c r="AD326" t="inlineStr">
        <is>
          <t>High</t>
        </is>
      </c>
      <c r="AE326" t="inlineStr">
        <is>
          <t>None</t>
        </is>
      </c>
      <c r="AF326" t="n">
        <v>0.95</v>
      </c>
      <c r="AG326" t="inlineStr">
        <is>
          <t>Valid</t>
        </is>
      </c>
    </row>
    <row r="327">
      <c r="A327" t="inlineStr">
        <is>
          <t>SUP-0033</t>
        </is>
      </c>
      <c r="B327" t="inlineStr">
        <is>
          <t>Metals Supplier 033</t>
        </is>
      </c>
      <c r="C327" t="inlineStr">
        <is>
          <t>Metals</t>
        </is>
      </c>
      <c r="D327" t="n">
        <v>2020</v>
      </c>
      <c r="E327" t="n">
        <v>16537249.98</v>
      </c>
      <c r="F327" t="n">
        <v>102216500.22</v>
      </c>
      <c r="G327" t="n">
        <v>12522.7846</v>
      </c>
      <c r="H327" t="n">
        <v>2862.5934</v>
      </c>
      <c r="I327" t="n">
        <v>1060.2234</v>
      </c>
      <c r="J327" t="n">
        <v>7682.4781</v>
      </c>
      <c r="K327" t="n">
        <v>2021</v>
      </c>
      <c r="L327" t="n">
        <v>2030</v>
      </c>
      <c r="M327" t="n">
        <v>0.3204</v>
      </c>
      <c r="N327" t="n">
        <v>0.1259</v>
      </c>
      <c r="O327" t="n">
        <v>2019</v>
      </c>
      <c r="P327" t="n">
        <v>2030</v>
      </c>
      <c r="Q327" t="n">
        <v>0.3852</v>
      </c>
      <c r="R327" t="n">
        <v>158.2904</v>
      </c>
      <c r="S327" t="n">
        <v>0.00100695</v>
      </c>
      <c r="T327" t="n">
        <v>0.00065008</v>
      </c>
      <c r="U327" t="n">
        <v>12522.7846</v>
      </c>
      <c r="V327" t="inlineStr">
        <is>
          <t>Provided Total Emissions</t>
        </is>
      </c>
      <c r="W327" t="b">
        <v>1</v>
      </c>
      <c r="X327" t="n">
        <v>16652.1839</v>
      </c>
      <c r="Y327" t="n">
        <v>66448.9025</v>
      </c>
      <c r="Z327" t="n">
        <v>4129.3993</v>
      </c>
      <c r="AA327" t="n">
        <v>53926.1179</v>
      </c>
      <c r="AB327" t="n">
        <v>0.329751</v>
      </c>
      <c r="AC327" t="n">
        <v>4.30624</v>
      </c>
      <c r="AD327" t="inlineStr">
        <is>
          <t>High</t>
        </is>
      </c>
      <c r="AE327" t="inlineStr">
        <is>
          <t>None</t>
        </is>
      </c>
      <c r="AF327" t="n">
        <v>0.95</v>
      </c>
      <c r="AG327" t="inlineStr">
        <is>
          <t>Valid</t>
        </is>
      </c>
    </row>
    <row r="328">
      <c r="A328" t="inlineStr">
        <is>
          <t>SUP-0033</t>
        </is>
      </c>
      <c r="B328" t="inlineStr">
        <is>
          <t>Metals Supplier 033</t>
        </is>
      </c>
      <c r="C328" t="inlineStr">
        <is>
          <t>Metals</t>
        </is>
      </c>
      <c r="D328" t="n">
        <v>2021</v>
      </c>
      <c r="E328" t="n">
        <v>17348753.3</v>
      </c>
      <c r="F328" t="n">
        <v>101167181.7</v>
      </c>
      <c r="G328" t="n">
        <v>13883.0935</v>
      </c>
      <c r="H328" t="n">
        <v>2520.0288</v>
      </c>
      <c r="I328" t="n">
        <v>1425.7247</v>
      </c>
      <c r="J328" t="n">
        <v>9267.352500000001</v>
      </c>
      <c r="K328" t="n">
        <v>2021</v>
      </c>
      <c r="L328" t="n">
        <v>2030</v>
      </c>
      <c r="M328" t="n">
        <v>0.3204</v>
      </c>
      <c r="N328" t="n">
        <v>0.1259</v>
      </c>
      <c r="O328" t="n">
        <v>2019</v>
      </c>
      <c r="P328" t="n">
        <v>2030</v>
      </c>
      <c r="Q328" t="n">
        <v>0.3852</v>
      </c>
      <c r="R328" t="n">
        <v>158.2904</v>
      </c>
      <c r="S328" t="n">
        <v>0.00100695</v>
      </c>
      <c r="T328" t="n">
        <v>0.00065008</v>
      </c>
      <c r="U328" t="n">
        <v>13883.0935</v>
      </c>
      <c r="V328" t="inlineStr">
        <is>
          <t>Provided Total Emissions</t>
        </is>
      </c>
      <c r="W328" t="b">
        <v>1</v>
      </c>
      <c r="X328" t="n">
        <v>17469.3271</v>
      </c>
      <c r="Y328" t="n">
        <v>65766.76149999999</v>
      </c>
      <c r="Z328" t="n">
        <v>3586.2336</v>
      </c>
      <c r="AA328" t="n">
        <v>51883.668</v>
      </c>
      <c r="AB328" t="n">
        <v>0.258317</v>
      </c>
      <c r="AC328" t="n">
        <v>3.737184</v>
      </c>
      <c r="AD328" t="inlineStr">
        <is>
          <t>High</t>
        </is>
      </c>
      <c r="AE328" t="inlineStr">
        <is>
          <t>None</t>
        </is>
      </c>
      <c r="AF328" t="n">
        <v>0.95</v>
      </c>
      <c r="AG328" t="inlineStr">
        <is>
          <t>Valid</t>
        </is>
      </c>
    </row>
    <row r="329">
      <c r="A329" t="inlineStr">
        <is>
          <t>SUP-0033</t>
        </is>
      </c>
      <c r="B329" t="inlineStr">
        <is>
          <t>Metals Supplier 033</t>
        </is>
      </c>
      <c r="C329" t="inlineStr">
        <is>
          <t>Metals</t>
        </is>
      </c>
      <c r="D329" t="n">
        <v>2022</v>
      </c>
      <c r="E329" t="n">
        <v>17927363.41</v>
      </c>
      <c r="F329" t="n">
        <v>108130446.51</v>
      </c>
      <c r="G329" t="n">
        <v>13167.4154</v>
      </c>
      <c r="H329" t="n">
        <v>3305.3177</v>
      </c>
      <c r="I329" t="n">
        <v>1986.6977</v>
      </c>
      <c r="J329" t="n">
        <v>8424.433999999999</v>
      </c>
      <c r="K329" t="n">
        <v>2021</v>
      </c>
      <c r="L329" t="n">
        <v>2030</v>
      </c>
      <c r="M329" t="n">
        <v>0.3204</v>
      </c>
      <c r="N329" t="n">
        <v>0.1259</v>
      </c>
      <c r="O329" t="n">
        <v>2019</v>
      </c>
      <c r="P329" t="n">
        <v>2030</v>
      </c>
      <c r="Q329" t="n">
        <v>0.3852</v>
      </c>
      <c r="R329" t="n">
        <v>158.2904</v>
      </c>
      <c r="S329" t="n">
        <v>0.00100695</v>
      </c>
      <c r="T329" t="n">
        <v>0.00065008</v>
      </c>
      <c r="U329" t="n">
        <v>13167.4154</v>
      </c>
      <c r="V329" t="inlineStr">
        <is>
          <t>Provided Total Emissions</t>
        </is>
      </c>
      <c r="W329" t="b">
        <v>1</v>
      </c>
      <c r="X329" t="n">
        <v>18051.9586</v>
      </c>
      <c r="Y329" t="n">
        <v>70293.44070000001</v>
      </c>
      <c r="Z329" t="n">
        <v>4884.5432</v>
      </c>
      <c r="AA329" t="n">
        <v>57126.0253</v>
      </c>
      <c r="AB329" t="n">
        <v>0.370957</v>
      </c>
      <c r="AC329" t="n">
        <v>4.338439</v>
      </c>
      <c r="AD329" t="inlineStr">
        <is>
          <t>High</t>
        </is>
      </c>
      <c r="AE329" t="inlineStr">
        <is>
          <t>None</t>
        </is>
      </c>
      <c r="AF329" t="n">
        <v>0.95</v>
      </c>
      <c r="AG329" t="inlineStr">
        <is>
          <t>Valid</t>
        </is>
      </c>
    </row>
    <row r="330">
      <c r="A330" t="inlineStr">
        <is>
          <t>SUP-0033</t>
        </is>
      </c>
      <c r="B330" t="inlineStr">
        <is>
          <t>Metals Supplier 033</t>
        </is>
      </c>
      <c r="C330" t="inlineStr">
        <is>
          <t>Metals</t>
        </is>
      </c>
      <c r="D330" t="n">
        <v>2023</v>
      </c>
      <c r="E330" t="n">
        <v>16980651.57</v>
      </c>
      <c r="F330" t="n">
        <v>77564386.36</v>
      </c>
      <c r="G330" t="n">
        <v>12985.5048</v>
      </c>
      <c r="H330" t="n">
        <v>3144.9567</v>
      </c>
      <c r="I330" t="n">
        <v>1521.4671</v>
      </c>
      <c r="J330" t="n">
        <v>8014.7075</v>
      </c>
      <c r="K330" t="n">
        <v>2021</v>
      </c>
      <c r="L330" t="n">
        <v>2030</v>
      </c>
      <c r="M330" t="n">
        <v>0.3204</v>
      </c>
      <c r="N330" t="n">
        <v>0.1259</v>
      </c>
      <c r="O330" t="n">
        <v>2019</v>
      </c>
      <c r="P330" t="n">
        <v>2030</v>
      </c>
      <c r="Q330" t="n">
        <v>0.3852</v>
      </c>
      <c r="R330" t="n">
        <v>158.2904</v>
      </c>
      <c r="S330" t="n">
        <v>0.00100695</v>
      </c>
      <c r="T330" t="n">
        <v>0.00065008</v>
      </c>
      <c r="U330" t="n">
        <v>12985.5048</v>
      </c>
      <c r="V330" t="inlineStr">
        <is>
          <t>Provided Total Emissions</t>
        </is>
      </c>
      <c r="W330" t="b">
        <v>1</v>
      </c>
      <c r="X330" t="n">
        <v>17098.6671</v>
      </c>
      <c r="Y330" t="n">
        <v>50423.0563</v>
      </c>
      <c r="Z330" t="n">
        <v>4113.1623</v>
      </c>
      <c r="AA330" t="n">
        <v>37437.5515</v>
      </c>
      <c r="AB330" t="n">
        <v>0.31675</v>
      </c>
      <c r="AC330" t="n">
        <v>2.883026</v>
      </c>
      <c r="AD330" t="inlineStr">
        <is>
          <t>High</t>
        </is>
      </c>
      <c r="AE330" t="inlineStr">
        <is>
          <t>None</t>
        </is>
      </c>
      <c r="AF330" t="n">
        <v>0.95</v>
      </c>
      <c r="AG330" t="inlineStr">
        <is>
          <t>Valid</t>
        </is>
      </c>
    </row>
    <row r="331">
      <c r="A331" t="inlineStr">
        <is>
          <t>SUP-0033</t>
        </is>
      </c>
      <c r="B331" t="inlineStr">
        <is>
          <t>Metals Supplier 033</t>
        </is>
      </c>
      <c r="C331" t="inlineStr">
        <is>
          <t>Metals</t>
        </is>
      </c>
      <c r="D331" t="n">
        <v>2024</v>
      </c>
      <c r="E331" t="n">
        <v>18958013.92</v>
      </c>
      <c r="F331" t="n">
        <v>104451745.12</v>
      </c>
      <c r="G331" t="n">
        <v>12244.2507</v>
      </c>
      <c r="H331" t="n">
        <v>2156.3568</v>
      </c>
      <c r="I331" t="n">
        <v>1832.355</v>
      </c>
      <c r="J331" t="n">
        <v>8994.9452</v>
      </c>
      <c r="K331" t="n">
        <v>2021</v>
      </c>
      <c r="L331" t="n">
        <v>2030</v>
      </c>
      <c r="M331" t="n">
        <v>0.3204</v>
      </c>
      <c r="N331" t="n">
        <v>0.1259</v>
      </c>
      <c r="O331" t="n">
        <v>2019</v>
      </c>
      <c r="P331" t="n">
        <v>2030</v>
      </c>
      <c r="Q331" t="n">
        <v>0.3852</v>
      </c>
      <c r="R331" t="n">
        <v>158.2904</v>
      </c>
      <c r="S331" t="n">
        <v>0.00100695</v>
      </c>
      <c r="T331" t="n">
        <v>0.00065008</v>
      </c>
      <c r="U331" t="n">
        <v>12244.2507</v>
      </c>
      <c r="V331" t="inlineStr">
        <is>
          <t>Provided Total Emissions</t>
        </is>
      </c>
      <c r="W331" t="b">
        <v>1</v>
      </c>
      <c r="X331" t="n">
        <v>19089.7721</v>
      </c>
      <c r="Y331" t="n">
        <v>67901.9905</v>
      </c>
      <c r="Z331" t="n">
        <v>6845.5214</v>
      </c>
      <c r="AA331" t="n">
        <v>55657.7398</v>
      </c>
      <c r="AB331" t="n">
        <v>0.55908</v>
      </c>
      <c r="AC331" t="n">
        <v>4.545622</v>
      </c>
      <c r="AD331" t="inlineStr">
        <is>
          <t>High</t>
        </is>
      </c>
      <c r="AE331" t="inlineStr">
        <is>
          <t>None</t>
        </is>
      </c>
      <c r="AF331" t="n">
        <v>0.95</v>
      </c>
      <c r="AG331" t="inlineStr">
        <is>
          <t>Valid</t>
        </is>
      </c>
    </row>
    <row r="332">
      <c r="A332" t="inlineStr">
        <is>
          <t>SUP-0034</t>
        </is>
      </c>
      <c r="B332" t="inlineStr">
        <is>
          <t>Logistics Supplier 034</t>
        </is>
      </c>
      <c r="C332" t="inlineStr">
        <is>
          <t>Logistics</t>
        </is>
      </c>
      <c r="D332" t="n">
        <v>2015</v>
      </c>
      <c r="E332" t="n">
        <v>19040237.78</v>
      </c>
      <c r="F332" t="n">
        <v>116344496.25</v>
      </c>
      <c r="G332" t="n">
        <v>4392.4433</v>
      </c>
      <c r="H332" t="n">
        <v>946.421</v>
      </c>
      <c r="I332" t="n">
        <v>570.6712</v>
      </c>
      <c r="J332" t="n">
        <v>2859.2036</v>
      </c>
      <c r="K332" t="n">
        <v>2020</v>
      </c>
      <c r="L332" t="n">
        <v>2035</v>
      </c>
      <c r="M332" t="n">
        <v>0.5058</v>
      </c>
      <c r="N332" t="n">
        <v>0.1853</v>
      </c>
      <c r="O332" t="n">
        <v>2019</v>
      </c>
      <c r="P332" t="n">
        <v>2040</v>
      </c>
      <c r="Q332" t="n">
        <v>0.4616</v>
      </c>
      <c r="R332" t="n">
        <v>591.6386</v>
      </c>
      <c r="S332" t="n">
        <v>0.00022349</v>
      </c>
      <c r="T332" t="n">
        <v>0.00047787</v>
      </c>
      <c r="U332" t="n">
        <v>4392.4433</v>
      </c>
      <c r="V332" t="inlineStr">
        <is>
          <t>Provided Total Emissions</t>
        </is>
      </c>
      <c r="W332" t="b">
        <v>1</v>
      </c>
      <c r="X332" t="n">
        <v>4255.3027</v>
      </c>
      <c r="Y332" t="n">
        <v>55597.5444</v>
      </c>
      <c r="Z332" t="n">
        <v>-137.1406</v>
      </c>
      <c r="AA332" t="n">
        <v>51205.1011</v>
      </c>
      <c r="AB332" t="n">
        <v>-0.031222</v>
      </c>
      <c r="AC332" t="n">
        <v>11.657544</v>
      </c>
      <c r="AD332" t="inlineStr">
        <is>
          <t>High</t>
        </is>
      </c>
      <c r="AE332" t="inlineStr">
        <is>
          <t>None</t>
        </is>
      </c>
      <c r="AF332" t="n">
        <v>0.95</v>
      </c>
      <c r="AG332" t="inlineStr">
        <is>
          <t>Valid</t>
        </is>
      </c>
    </row>
    <row r="333">
      <c r="A333" t="inlineStr">
        <is>
          <t>SUP-0034</t>
        </is>
      </c>
      <c r="B333" t="inlineStr">
        <is>
          <t>Logistics Supplier 034</t>
        </is>
      </c>
      <c r="C333" t="inlineStr">
        <is>
          <t>Logistics</t>
        </is>
      </c>
      <c r="D333" t="n">
        <v>2016</v>
      </c>
      <c r="E333" t="n">
        <v>18730497.43</v>
      </c>
      <c r="F333" t="n">
        <v>134779633.06</v>
      </c>
      <c r="G333" t="n">
        <v>3728.3764</v>
      </c>
      <c r="H333" t="n">
        <v>460.276</v>
      </c>
      <c r="I333" t="n">
        <v>524.8778</v>
      </c>
      <c r="J333" t="n">
        <v>2743.4851</v>
      </c>
      <c r="K333" t="n">
        <v>2020</v>
      </c>
      <c r="L333" t="n">
        <v>2035</v>
      </c>
      <c r="M333" t="n">
        <v>0.5058</v>
      </c>
      <c r="N333" t="n">
        <v>0.1853</v>
      </c>
      <c r="O333" t="n">
        <v>2019</v>
      </c>
      <c r="P333" t="n">
        <v>2040</v>
      </c>
      <c r="Q333" t="n">
        <v>0.4616</v>
      </c>
      <c r="R333" t="n">
        <v>591.6386</v>
      </c>
      <c r="S333" t="n">
        <v>0.00022349</v>
      </c>
      <c r="T333" t="n">
        <v>0.00047787</v>
      </c>
      <c r="U333" t="n">
        <v>3728.3764</v>
      </c>
      <c r="V333" t="inlineStr">
        <is>
          <t>Provided Total Emissions</t>
        </is>
      </c>
      <c r="W333" t="b">
        <v>1</v>
      </c>
      <c r="X333" t="n">
        <v>4186.0789</v>
      </c>
      <c r="Y333" t="n">
        <v>64407.1433</v>
      </c>
      <c r="Z333" t="n">
        <v>457.7025</v>
      </c>
      <c r="AA333" t="n">
        <v>60678.7669</v>
      </c>
      <c r="AB333" t="n">
        <v>0.122762</v>
      </c>
      <c r="AC333" t="n">
        <v>16.27485</v>
      </c>
      <c r="AD333" t="inlineStr">
        <is>
          <t>High</t>
        </is>
      </c>
      <c r="AE333" t="inlineStr">
        <is>
          <t>None</t>
        </is>
      </c>
      <c r="AF333" t="n">
        <v>0.95</v>
      </c>
      <c r="AG333" t="inlineStr">
        <is>
          <t>Valid</t>
        </is>
      </c>
    </row>
    <row r="334">
      <c r="A334" t="inlineStr">
        <is>
          <t>SUP-0034</t>
        </is>
      </c>
      <c r="B334" t="inlineStr">
        <is>
          <t>Logistics Supplier 034</t>
        </is>
      </c>
      <c r="C334" t="inlineStr">
        <is>
          <t>Logistics</t>
        </is>
      </c>
      <c r="D334" t="n">
        <v>2017</v>
      </c>
      <c r="E334" t="n">
        <v>18651982.3</v>
      </c>
      <c r="F334" t="n">
        <v>115338466.91</v>
      </c>
      <c r="G334" t="n">
        <v>3933.1381</v>
      </c>
      <c r="H334" t="n">
        <v>670.0202</v>
      </c>
      <c r="I334" t="n">
        <v>787.9194</v>
      </c>
      <c r="J334" t="n">
        <v>2419.0406</v>
      </c>
      <c r="K334" t="n">
        <v>2020</v>
      </c>
      <c r="L334" t="n">
        <v>2035</v>
      </c>
      <c r="M334" t="n">
        <v>0.5058</v>
      </c>
      <c r="N334" t="n">
        <v>0.1853</v>
      </c>
      <c r="O334" t="n">
        <v>2019</v>
      </c>
      <c r="P334" t="n">
        <v>2040</v>
      </c>
      <c r="Q334" t="n">
        <v>0.4616</v>
      </c>
      <c r="R334" t="n">
        <v>591.6386</v>
      </c>
      <c r="S334" t="n">
        <v>0.00022349</v>
      </c>
      <c r="T334" t="n">
        <v>0.00047787</v>
      </c>
      <c r="U334" t="n">
        <v>3933.1381</v>
      </c>
      <c r="V334" t="inlineStr">
        <is>
          <t>Provided Total Emissions</t>
        </is>
      </c>
      <c r="W334" t="b">
        <v>1</v>
      </c>
      <c r="X334" t="n">
        <v>4168.5315</v>
      </c>
      <c r="Y334" t="n">
        <v>55116.7932</v>
      </c>
      <c r="Z334" t="n">
        <v>235.3934</v>
      </c>
      <c r="AA334" t="n">
        <v>51183.6551</v>
      </c>
      <c r="AB334" t="n">
        <v>0.059849</v>
      </c>
      <c r="AC334" t="n">
        <v>13.01344</v>
      </c>
      <c r="AD334" t="inlineStr">
        <is>
          <t>High</t>
        </is>
      </c>
      <c r="AE334" t="inlineStr">
        <is>
          <t>None</t>
        </is>
      </c>
      <c r="AF334" t="n">
        <v>0.95</v>
      </c>
      <c r="AG334" t="inlineStr">
        <is>
          <t>Valid</t>
        </is>
      </c>
    </row>
    <row r="335">
      <c r="A335" t="inlineStr">
        <is>
          <t>SUP-0034</t>
        </is>
      </c>
      <c r="B335" t="inlineStr">
        <is>
          <t>Logistics Supplier 034</t>
        </is>
      </c>
      <c r="C335" t="inlineStr">
        <is>
          <t>Logistics</t>
        </is>
      </c>
      <c r="D335" t="n">
        <v>2018</v>
      </c>
      <c r="E335" t="n">
        <v>21359791</v>
      </c>
      <c r="F335" t="n">
        <v>139172350.84</v>
      </c>
      <c r="G335" t="n">
        <v>4662.97</v>
      </c>
      <c r="H335" t="n">
        <v>1232.3042</v>
      </c>
      <c r="I335" t="n">
        <v>815.4778</v>
      </c>
      <c r="J335" t="n">
        <v>2539.8581</v>
      </c>
      <c r="K335" t="n">
        <v>2020</v>
      </c>
      <c r="L335" t="n">
        <v>2035</v>
      </c>
      <c r="M335" t="n">
        <v>0.5058</v>
      </c>
      <c r="N335" t="n">
        <v>0.1853</v>
      </c>
      <c r="O335" t="n">
        <v>2019</v>
      </c>
      <c r="P335" t="n">
        <v>2040</v>
      </c>
      <c r="Q335" t="n">
        <v>0.4616</v>
      </c>
      <c r="R335" t="n">
        <v>591.6386</v>
      </c>
      <c r="S335" t="n">
        <v>0.00022349</v>
      </c>
      <c r="T335" t="n">
        <v>0.00047787</v>
      </c>
      <c r="U335" t="n">
        <v>4662.97</v>
      </c>
      <c r="V335" t="inlineStr">
        <is>
          <t>Provided Total Emissions</t>
        </is>
      </c>
      <c r="W335" t="b">
        <v>1</v>
      </c>
      <c r="X335" t="n">
        <v>4773.6997</v>
      </c>
      <c r="Y335" t="n">
        <v>66506.2913</v>
      </c>
      <c r="Z335" t="n">
        <v>110.7297</v>
      </c>
      <c r="AA335" t="n">
        <v>61843.3213</v>
      </c>
      <c r="AB335" t="n">
        <v>0.023747</v>
      </c>
      <c r="AC335" t="n">
        <v>13.262646</v>
      </c>
      <c r="AD335" t="inlineStr">
        <is>
          <t>High</t>
        </is>
      </c>
      <c r="AE335" t="inlineStr">
        <is>
          <t>None</t>
        </is>
      </c>
      <c r="AF335" t="n">
        <v>0.95</v>
      </c>
      <c r="AG335" t="inlineStr">
        <is>
          <t>Valid</t>
        </is>
      </c>
    </row>
    <row r="336">
      <c r="A336" t="inlineStr">
        <is>
          <t>SUP-0034</t>
        </is>
      </c>
      <c r="B336" t="inlineStr">
        <is>
          <t>Logistics Supplier 034</t>
        </is>
      </c>
      <c r="C336" t="inlineStr">
        <is>
          <t>Logistics</t>
        </is>
      </c>
      <c r="D336" t="n">
        <v>2019</v>
      </c>
      <c r="E336" t="n">
        <v>23971015.81</v>
      </c>
      <c r="F336" t="n">
        <v>144845903.44</v>
      </c>
      <c r="G336" t="n">
        <v>4914.8181</v>
      </c>
      <c r="H336" t="n">
        <v>817.2832</v>
      </c>
      <c r="I336" t="n">
        <v>358.0742</v>
      </c>
      <c r="J336" t="n">
        <v>3703.9821</v>
      </c>
      <c r="K336" t="n">
        <v>2020</v>
      </c>
      <c r="L336" t="n">
        <v>2035</v>
      </c>
      <c r="M336" t="n">
        <v>0.5058</v>
      </c>
      <c r="N336" t="n">
        <v>0.1853</v>
      </c>
      <c r="O336" t="n">
        <v>2019</v>
      </c>
      <c r="P336" t="n">
        <v>2040</v>
      </c>
      <c r="Q336" t="n">
        <v>0.4616</v>
      </c>
      <c r="R336" t="n">
        <v>591.6386</v>
      </c>
      <c r="S336" t="n">
        <v>0.00022349</v>
      </c>
      <c r="T336" t="n">
        <v>0.00047787</v>
      </c>
      <c r="U336" t="n">
        <v>4914.8181</v>
      </c>
      <c r="V336" t="inlineStr">
        <is>
          <t>Provided Total Emissions</t>
        </is>
      </c>
      <c r="W336" t="b">
        <v>1</v>
      </c>
      <c r="X336" t="n">
        <v>5357.2823</v>
      </c>
      <c r="Y336" t="n">
        <v>69217.5119</v>
      </c>
      <c r="Z336" t="n">
        <v>442.4642</v>
      </c>
      <c r="AA336" t="n">
        <v>64302.6938</v>
      </c>
      <c r="AB336" t="n">
        <v>0.090027</v>
      </c>
      <c r="AC336" t="n">
        <v>13.083433</v>
      </c>
      <c r="AD336" t="inlineStr">
        <is>
          <t>High</t>
        </is>
      </c>
      <c r="AE336" t="inlineStr">
        <is>
          <t>None</t>
        </is>
      </c>
      <c r="AF336" t="n">
        <v>0.95</v>
      </c>
      <c r="AG336" t="inlineStr">
        <is>
          <t>Valid</t>
        </is>
      </c>
    </row>
    <row r="337">
      <c r="A337" t="inlineStr">
        <is>
          <t>SUP-0034</t>
        </is>
      </c>
      <c r="B337" t="inlineStr">
        <is>
          <t>Logistics Supplier 034</t>
        </is>
      </c>
      <c r="C337" t="inlineStr">
        <is>
          <t>Logistics</t>
        </is>
      </c>
      <c r="D337" t="n">
        <v>2020</v>
      </c>
      <c r="E337" t="n">
        <v>21903922.36</v>
      </c>
      <c r="F337" t="n">
        <v>141624239.49</v>
      </c>
      <c r="G337" t="n">
        <v>4701.9081</v>
      </c>
      <c r="H337" t="n">
        <v>456.582</v>
      </c>
      <c r="I337" t="n">
        <v>382.2548</v>
      </c>
      <c r="J337" t="n">
        <v>3719.8328</v>
      </c>
      <c r="K337" t="n">
        <v>2020</v>
      </c>
      <c r="L337" t="n">
        <v>2035</v>
      </c>
      <c r="M337" t="n">
        <v>0.5058</v>
      </c>
      <c r="N337" t="n">
        <v>0.1853</v>
      </c>
      <c r="O337" t="n">
        <v>2019</v>
      </c>
      <c r="P337" t="n">
        <v>2040</v>
      </c>
      <c r="Q337" t="n">
        <v>0.4616</v>
      </c>
      <c r="R337" t="n">
        <v>591.6386</v>
      </c>
      <c r="S337" t="n">
        <v>0.00022349</v>
      </c>
      <c r="T337" t="n">
        <v>0.00047787</v>
      </c>
      <c r="U337" t="n">
        <v>4701.9081</v>
      </c>
      <c r="V337" t="inlineStr">
        <is>
          <t>Provided Total Emissions</t>
        </is>
      </c>
      <c r="W337" t="b">
        <v>1</v>
      </c>
      <c r="X337" t="n">
        <v>4895.3076</v>
      </c>
      <c r="Y337" t="n">
        <v>67677.97530000001</v>
      </c>
      <c r="Z337" t="n">
        <v>193.3995</v>
      </c>
      <c r="AA337" t="n">
        <v>62976.0672</v>
      </c>
      <c r="AB337" t="n">
        <v>0.041132</v>
      </c>
      <c r="AC337" t="n">
        <v>13.393726</v>
      </c>
      <c r="AD337" t="inlineStr">
        <is>
          <t>High</t>
        </is>
      </c>
      <c r="AE337" t="inlineStr">
        <is>
          <t>None</t>
        </is>
      </c>
      <c r="AF337" t="n">
        <v>0.95</v>
      </c>
      <c r="AG337" t="inlineStr">
        <is>
          <t>Valid</t>
        </is>
      </c>
    </row>
    <row r="338">
      <c r="A338" t="inlineStr">
        <is>
          <t>SUP-0034</t>
        </is>
      </c>
      <c r="B338" t="inlineStr">
        <is>
          <t>Logistics Supplier 034</t>
        </is>
      </c>
      <c r="C338" t="inlineStr">
        <is>
          <t>Logistics</t>
        </is>
      </c>
      <c r="D338" t="n">
        <v>2021</v>
      </c>
      <c r="E338" t="n">
        <v>22626505.43</v>
      </c>
      <c r="F338" t="n">
        <v>156101402.75</v>
      </c>
      <c r="G338" t="n">
        <v>4573.2377</v>
      </c>
      <c r="H338" t="n">
        <v>556.7282</v>
      </c>
      <c r="I338" t="n">
        <v>836.2675</v>
      </c>
      <c r="J338" t="n">
        <v>3427.5821</v>
      </c>
      <c r="K338" t="n">
        <v>2020</v>
      </c>
      <c r="L338" t="n">
        <v>2035</v>
      </c>
      <c r="M338" t="n">
        <v>0.5058</v>
      </c>
      <c r="N338" t="n">
        <v>0.1853</v>
      </c>
      <c r="O338" t="n">
        <v>2019</v>
      </c>
      <c r="P338" t="n">
        <v>2040</v>
      </c>
      <c r="Q338" t="n">
        <v>0.4616</v>
      </c>
      <c r="R338" t="n">
        <v>591.6386</v>
      </c>
      <c r="S338" t="n">
        <v>0.00022349</v>
      </c>
      <c r="T338" t="n">
        <v>0.00047787</v>
      </c>
      <c r="U338" t="n">
        <v>4573.2377</v>
      </c>
      <c r="V338" t="inlineStr">
        <is>
          <t>Provided Total Emissions</t>
        </is>
      </c>
      <c r="W338" t="b">
        <v>1</v>
      </c>
      <c r="X338" t="n">
        <v>5056.7977</v>
      </c>
      <c r="Y338" t="n">
        <v>74596.1773</v>
      </c>
      <c r="Z338" t="n">
        <v>483.56</v>
      </c>
      <c r="AA338" t="n">
        <v>70022.9396</v>
      </c>
      <c r="AB338" t="n">
        <v>0.105737</v>
      </c>
      <c r="AC338" t="n">
        <v>15.311459</v>
      </c>
      <c r="AD338" t="inlineStr">
        <is>
          <t>High</t>
        </is>
      </c>
      <c r="AE338" t="inlineStr">
        <is>
          <t>None</t>
        </is>
      </c>
      <c r="AF338" t="n">
        <v>0.95</v>
      </c>
      <c r="AG338" t="inlineStr">
        <is>
          <t>Valid</t>
        </is>
      </c>
    </row>
    <row r="339">
      <c r="A339" t="inlineStr">
        <is>
          <t>SUP-0034</t>
        </is>
      </c>
      <c r="B339" t="inlineStr">
        <is>
          <t>Logistics Supplier 034</t>
        </is>
      </c>
      <c r="C339" t="inlineStr">
        <is>
          <t>Logistics</t>
        </is>
      </c>
      <c r="D339" t="n">
        <v>2022</v>
      </c>
      <c r="E339" t="n">
        <v>21227341.45</v>
      </c>
      <c r="F339" t="n">
        <v>150195708.14</v>
      </c>
      <c r="G339" t="n">
        <v>4206.7626</v>
      </c>
      <c r="H339" t="n">
        <v>917.9058</v>
      </c>
      <c r="I339" t="n">
        <v>389.4106</v>
      </c>
      <c r="J339" t="n">
        <v>2917.875</v>
      </c>
      <c r="K339" t="n">
        <v>2020</v>
      </c>
      <c r="L339" t="n">
        <v>2035</v>
      </c>
      <c r="M339" t="n">
        <v>0.5058</v>
      </c>
      <c r="N339" t="n">
        <v>0.1853</v>
      </c>
      <c r="O339" t="n">
        <v>2019</v>
      </c>
      <c r="P339" t="n">
        <v>2040</v>
      </c>
      <c r="Q339" t="n">
        <v>0.4616</v>
      </c>
      <c r="R339" t="n">
        <v>591.6386</v>
      </c>
      <c r="S339" t="n">
        <v>0.00022349</v>
      </c>
      <c r="T339" t="n">
        <v>0.00047787</v>
      </c>
      <c r="U339" t="n">
        <v>4206.7626</v>
      </c>
      <c r="V339" t="inlineStr">
        <is>
          <t>Provided Total Emissions</t>
        </is>
      </c>
      <c r="W339" t="b">
        <v>1</v>
      </c>
      <c r="X339" t="n">
        <v>4744.0985</v>
      </c>
      <c r="Y339" t="n">
        <v>71774.023</v>
      </c>
      <c r="Z339" t="n">
        <v>537.3359</v>
      </c>
      <c r="AA339" t="n">
        <v>67567.2604</v>
      </c>
      <c r="AB339" t="n">
        <v>0.127731</v>
      </c>
      <c r="AC339" t="n">
        <v>16.061582</v>
      </c>
      <c r="AD339" t="inlineStr">
        <is>
          <t>High</t>
        </is>
      </c>
      <c r="AE339" t="inlineStr">
        <is>
          <t>None</t>
        </is>
      </c>
      <c r="AF339" t="n">
        <v>0.95</v>
      </c>
      <c r="AG339" t="inlineStr">
        <is>
          <t>Valid</t>
        </is>
      </c>
    </row>
    <row r="340">
      <c r="A340" t="inlineStr">
        <is>
          <t>SUP-0034</t>
        </is>
      </c>
      <c r="B340" t="inlineStr">
        <is>
          <t>Logistics Supplier 034</t>
        </is>
      </c>
      <c r="C340" t="inlineStr">
        <is>
          <t>Logistics</t>
        </is>
      </c>
      <c r="D340" t="n">
        <v>2023</v>
      </c>
      <c r="E340" t="n">
        <v>25015123</v>
      </c>
      <c r="F340" t="n">
        <v>128014940.86</v>
      </c>
      <c r="G340" t="n">
        <v>5725.9683</v>
      </c>
      <c r="H340" t="n">
        <v>768.2855</v>
      </c>
      <c r="I340" t="n">
        <v>1343.4971</v>
      </c>
      <c r="J340" t="n">
        <v>3917.818</v>
      </c>
      <c r="K340" t="n">
        <v>2020</v>
      </c>
      <c r="L340" t="n">
        <v>2035</v>
      </c>
      <c r="M340" t="n">
        <v>0.5058</v>
      </c>
      <c r="N340" t="n">
        <v>0.1853</v>
      </c>
      <c r="O340" t="n">
        <v>2019</v>
      </c>
      <c r="P340" t="n">
        <v>2040</v>
      </c>
      <c r="Q340" t="n">
        <v>0.4616</v>
      </c>
      <c r="R340" t="n">
        <v>591.6386</v>
      </c>
      <c r="S340" t="n">
        <v>0.00022349</v>
      </c>
      <c r="T340" t="n">
        <v>0.00047787</v>
      </c>
      <c r="U340" t="n">
        <v>5725.9683</v>
      </c>
      <c r="V340" t="inlineStr">
        <is>
          <t>Provided Total Emissions</t>
        </is>
      </c>
      <c r="W340" t="b">
        <v>1</v>
      </c>
      <c r="X340" t="n">
        <v>5590.6298</v>
      </c>
      <c r="Y340" t="n">
        <v>61174.4998</v>
      </c>
      <c r="Z340" t="n">
        <v>-135.3385</v>
      </c>
      <c r="AA340" t="n">
        <v>55448.5315</v>
      </c>
      <c r="AB340" t="n">
        <v>-0.023636</v>
      </c>
      <c r="AC340" t="n">
        <v>9.683695</v>
      </c>
      <c r="AD340" t="inlineStr">
        <is>
          <t>High</t>
        </is>
      </c>
      <c r="AE340" t="inlineStr">
        <is>
          <t>None</t>
        </is>
      </c>
      <c r="AF340" t="n">
        <v>0.95</v>
      </c>
      <c r="AG340" t="inlineStr">
        <is>
          <t>Valid</t>
        </is>
      </c>
    </row>
    <row r="341">
      <c r="A341" t="inlineStr">
        <is>
          <t>SUP-0034</t>
        </is>
      </c>
      <c r="B341" t="inlineStr">
        <is>
          <t>Logistics Supplier 034</t>
        </is>
      </c>
      <c r="C341" t="inlineStr">
        <is>
          <t>Logistics</t>
        </is>
      </c>
      <c r="D341" t="n">
        <v>2024</v>
      </c>
      <c r="E341" t="n">
        <v>23627672.7</v>
      </c>
      <c r="F341" t="n">
        <v>232879500.3</v>
      </c>
      <c r="G341" t="n">
        <v>5611.4786</v>
      </c>
      <c r="H341" t="n">
        <v>1260.2179</v>
      </c>
      <c r="I341" t="n">
        <v>1088.3227</v>
      </c>
      <c r="J341" t="n">
        <v>3411.1148</v>
      </c>
      <c r="K341" t="n">
        <v>2020</v>
      </c>
      <c r="L341" t="n">
        <v>2035</v>
      </c>
      <c r="M341" t="n">
        <v>0.5058</v>
      </c>
      <c r="N341" t="n">
        <v>0.1853</v>
      </c>
      <c r="O341" t="n">
        <v>2019</v>
      </c>
      <c r="P341" t="n">
        <v>2040</v>
      </c>
      <c r="Q341" t="n">
        <v>0.4616</v>
      </c>
      <c r="R341" t="n">
        <v>591.6386</v>
      </c>
      <c r="S341" t="n">
        <v>0.00022349</v>
      </c>
      <c r="T341" t="n">
        <v>0.00047787</v>
      </c>
      <c r="U341" t="n">
        <v>5611.4786</v>
      </c>
      <c r="V341" t="inlineStr">
        <is>
          <t>Provided Total Emissions</t>
        </is>
      </c>
      <c r="W341" t="b">
        <v>1</v>
      </c>
      <c r="X341" t="n">
        <v>5280.5486</v>
      </c>
      <c r="Y341" t="n">
        <v>111286.1268</v>
      </c>
      <c r="Z341" t="n">
        <v>-330.93</v>
      </c>
      <c r="AA341" t="n">
        <v>105674.6482</v>
      </c>
      <c r="AB341" t="n">
        <v>-0.058974</v>
      </c>
      <c r="AC341" t="n">
        <v>18.831872</v>
      </c>
      <c r="AD341" t="inlineStr">
        <is>
          <t>High</t>
        </is>
      </c>
      <c r="AE341" t="inlineStr">
        <is>
          <t>None</t>
        </is>
      </c>
      <c r="AF341" t="n">
        <v>0.95</v>
      </c>
      <c r="AG341" t="inlineStr">
        <is>
          <t>Valid</t>
        </is>
      </c>
    </row>
    <row r="342">
      <c r="A342" t="inlineStr">
        <is>
          <t>SUP-0035</t>
        </is>
      </c>
      <c r="B342" t="inlineStr">
        <is>
          <t>Electronics Supplier 035</t>
        </is>
      </c>
      <c r="C342" t="inlineStr">
        <is>
          <t>Electronics</t>
        </is>
      </c>
      <c r="D342" t="n">
        <v>2015</v>
      </c>
      <c r="E342" t="n">
        <v>20426576.37</v>
      </c>
      <c r="F342" t="n">
        <v>29719573.98</v>
      </c>
      <c r="G342" t="n">
        <v>15579.0932</v>
      </c>
      <c r="H342" t="n">
        <v>1487.9583</v>
      </c>
      <c r="I342" t="n">
        <v>1025.6585</v>
      </c>
      <c r="J342" t="n">
        <v>14068.6648</v>
      </c>
      <c r="K342" t="inlineStr"/>
      <c r="L342" t="inlineStr"/>
      <c r="M342" t="inlineStr"/>
      <c r="N342" t="inlineStr"/>
      <c r="O342" t="n">
        <v>2018</v>
      </c>
      <c r="P342" t="n">
        <v>2040</v>
      </c>
      <c r="Q342" t="n">
        <v>0.3424</v>
      </c>
      <c r="R342" t="n">
        <v>635.1588</v>
      </c>
      <c r="S342" t="n">
        <v>0.00086105</v>
      </c>
      <c r="T342" t="n">
        <v>0.00013947</v>
      </c>
      <c r="U342" t="n">
        <v>15579.0932</v>
      </c>
      <c r="V342" t="inlineStr">
        <is>
          <t>Provided Total Emissions</t>
        </is>
      </c>
      <c r="W342" t="b">
        <v>1</v>
      </c>
      <c r="X342" t="n">
        <v>17588.3036</v>
      </c>
      <c r="Y342" t="n">
        <v>4144.989</v>
      </c>
      <c r="Z342" t="n">
        <v>2009.2104</v>
      </c>
      <c r="AA342" t="n">
        <v>-11434.1042</v>
      </c>
      <c r="AB342" t="n">
        <v>0.128968</v>
      </c>
      <c r="AC342" t="n">
        <v>-0.733939</v>
      </c>
      <c r="AD342" t="inlineStr">
        <is>
          <t>High</t>
        </is>
      </c>
      <c r="AE342" t="inlineStr">
        <is>
          <t>None</t>
        </is>
      </c>
      <c r="AF342" t="n">
        <v>0.95</v>
      </c>
      <c r="AG342" t="inlineStr">
        <is>
          <t>Valid</t>
        </is>
      </c>
    </row>
    <row r="343">
      <c r="A343" t="inlineStr">
        <is>
          <t>SUP-0035</t>
        </is>
      </c>
      <c r="B343" t="inlineStr">
        <is>
          <t>Electronics Supplier 035</t>
        </is>
      </c>
      <c r="C343" t="inlineStr">
        <is>
          <t>Electronics</t>
        </is>
      </c>
      <c r="D343" t="n">
        <v>2016</v>
      </c>
      <c r="E343" t="n">
        <v>23350603.06</v>
      </c>
      <c r="F343" t="n">
        <v>27122763.25</v>
      </c>
      <c r="G343" t="n">
        <v>13632.7323</v>
      </c>
      <c r="H343" t="n">
        <v>2644.2224</v>
      </c>
      <c r="I343" t="n">
        <v>1826.6625</v>
      </c>
      <c r="J343" t="n">
        <v>9716.9769</v>
      </c>
      <c r="K343" t="inlineStr"/>
      <c r="L343" t="inlineStr"/>
      <c r="M343" t="inlineStr"/>
      <c r="N343" t="inlineStr"/>
      <c r="O343" t="n">
        <v>2018</v>
      </c>
      <c r="P343" t="n">
        <v>2040</v>
      </c>
      <c r="Q343" t="n">
        <v>0.3424</v>
      </c>
      <c r="R343" t="n">
        <v>635.1588</v>
      </c>
      <c r="S343" t="n">
        <v>0.00086105</v>
      </c>
      <c r="T343" t="n">
        <v>0.00013947</v>
      </c>
      <c r="U343" t="n">
        <v>13632.7323</v>
      </c>
      <c r="V343" t="inlineStr">
        <is>
          <t>Provided Total Emissions</t>
        </is>
      </c>
      <c r="W343" t="b">
        <v>1</v>
      </c>
      <c r="X343" t="n">
        <v>20106.0368</v>
      </c>
      <c r="Y343" t="n">
        <v>3782.8118</v>
      </c>
      <c r="Z343" t="n">
        <v>6473.3045</v>
      </c>
      <c r="AA343" t="n">
        <v>-9849.9205</v>
      </c>
      <c r="AB343" t="n">
        <v>0.474835</v>
      </c>
      <c r="AC343" t="n">
        <v>-0.7225200000000001</v>
      </c>
      <c r="AD343" t="inlineStr">
        <is>
          <t>High</t>
        </is>
      </c>
      <c r="AE343" t="inlineStr">
        <is>
          <t>None</t>
        </is>
      </c>
      <c r="AF343" t="n">
        <v>0.95</v>
      </c>
      <c r="AG343" t="inlineStr">
        <is>
          <t>Valid</t>
        </is>
      </c>
    </row>
    <row r="344">
      <c r="A344" t="inlineStr">
        <is>
          <t>SUP-0035</t>
        </is>
      </c>
      <c r="B344" t="inlineStr">
        <is>
          <t>Electronics Supplier 035</t>
        </is>
      </c>
      <c r="C344" t="inlineStr">
        <is>
          <t>Electronics</t>
        </is>
      </c>
      <c r="D344" t="n">
        <v>2017</v>
      </c>
      <c r="E344" t="n">
        <v>23307823.73</v>
      </c>
      <c r="F344" t="n">
        <v>33029634.55</v>
      </c>
      <c r="G344" t="n">
        <v>17985.2621</v>
      </c>
      <c r="H344" t="n">
        <v>4280.532</v>
      </c>
      <c r="I344" t="n">
        <v>1750.6265</v>
      </c>
      <c r="J344" t="n">
        <v>10109.8351</v>
      </c>
      <c r="K344" t="inlineStr"/>
      <c r="L344" t="inlineStr"/>
      <c r="M344" t="inlineStr"/>
      <c r="N344" t="inlineStr"/>
      <c r="O344" t="n">
        <v>2018</v>
      </c>
      <c r="P344" t="n">
        <v>2040</v>
      </c>
      <c r="Q344" t="n">
        <v>0.3424</v>
      </c>
      <c r="R344" t="n">
        <v>635.1588</v>
      </c>
      <c r="S344" t="n">
        <v>0.00086105</v>
      </c>
      <c r="T344" t="n">
        <v>0.00013947</v>
      </c>
      <c r="U344" t="n">
        <v>17985.2621</v>
      </c>
      <c r="V344" t="inlineStr">
        <is>
          <t>Provided Total Emissions</t>
        </is>
      </c>
      <c r="W344" t="b">
        <v>1</v>
      </c>
      <c r="X344" t="n">
        <v>20069.2016</v>
      </c>
      <c r="Y344" t="n">
        <v>4606.6431</v>
      </c>
      <c r="Z344" t="n">
        <v>2083.9395</v>
      </c>
      <c r="AA344" t="n">
        <v>-13378.619</v>
      </c>
      <c r="AB344" t="n">
        <v>0.115869</v>
      </c>
      <c r="AC344" t="n">
        <v>-0.743866</v>
      </c>
      <c r="AD344" t="inlineStr">
        <is>
          <t>High</t>
        </is>
      </c>
      <c r="AE344" t="inlineStr">
        <is>
          <t>None</t>
        </is>
      </c>
      <c r="AF344" t="n">
        <v>0.95</v>
      </c>
      <c r="AG344" t="inlineStr">
        <is>
          <t>Valid</t>
        </is>
      </c>
    </row>
    <row r="345">
      <c r="A345" t="inlineStr">
        <is>
          <t>SUP-0035</t>
        </is>
      </c>
      <c r="B345" t="inlineStr">
        <is>
          <t>Electronics Supplier 035</t>
        </is>
      </c>
      <c r="C345" t="inlineStr">
        <is>
          <t>Electronics</t>
        </is>
      </c>
      <c r="D345" t="n">
        <v>2018</v>
      </c>
      <c r="E345" t="n">
        <v>26701967.63</v>
      </c>
      <c r="F345" t="n">
        <v>36593994.79</v>
      </c>
      <c r="G345" t="n">
        <v>16404.932</v>
      </c>
      <c r="H345" t="n">
        <v>2170.3317</v>
      </c>
      <c r="I345" t="n">
        <v>3836.6665</v>
      </c>
      <c r="J345" t="n">
        <v>11433.891</v>
      </c>
      <c r="K345" t="inlineStr"/>
      <c r="L345" t="inlineStr"/>
      <c r="M345" t="inlineStr"/>
      <c r="N345" t="inlineStr"/>
      <c r="O345" t="n">
        <v>2018</v>
      </c>
      <c r="P345" t="n">
        <v>2040</v>
      </c>
      <c r="Q345" t="n">
        <v>0.3424</v>
      </c>
      <c r="R345" t="n">
        <v>635.1588</v>
      </c>
      <c r="S345" t="n">
        <v>0.00086105</v>
      </c>
      <c r="T345" t="n">
        <v>0.00013947</v>
      </c>
      <c r="U345" t="n">
        <v>16404.932</v>
      </c>
      <c r="V345" t="inlineStr">
        <is>
          <t>Provided Total Emissions</t>
        </is>
      </c>
      <c r="W345" t="b">
        <v>1</v>
      </c>
      <c r="X345" t="n">
        <v>22991.7292</v>
      </c>
      <c r="Y345" t="n">
        <v>5103.7645</v>
      </c>
      <c r="Z345" t="n">
        <v>6586.7972</v>
      </c>
      <c r="AA345" t="n">
        <v>-11301.1675</v>
      </c>
      <c r="AB345" t="n">
        <v>0.401513</v>
      </c>
      <c r="AC345" t="n">
        <v>-0.6888879999999999</v>
      </c>
      <c r="AD345" t="inlineStr">
        <is>
          <t>High</t>
        </is>
      </c>
      <c r="AE345" t="inlineStr">
        <is>
          <t>None</t>
        </is>
      </c>
      <c r="AF345" t="n">
        <v>0.95</v>
      </c>
      <c r="AG345" t="inlineStr">
        <is>
          <t>Valid</t>
        </is>
      </c>
    </row>
    <row r="346">
      <c r="A346" t="inlineStr">
        <is>
          <t>SUP-0035</t>
        </is>
      </c>
      <c r="B346" t="inlineStr">
        <is>
          <t>Electronics Supplier 035</t>
        </is>
      </c>
      <c r="C346" t="inlineStr">
        <is>
          <t>Electronics</t>
        </is>
      </c>
      <c r="D346" t="n">
        <v>2019</v>
      </c>
      <c r="E346" t="n">
        <v>25753136.25</v>
      </c>
      <c r="F346" t="n">
        <v>42253712.21</v>
      </c>
      <c r="G346" t="n">
        <v>14844.4018</v>
      </c>
      <c r="H346" t="n">
        <v>2641.7558</v>
      </c>
      <c r="I346" t="n">
        <v>1869.4547</v>
      </c>
      <c r="J346" t="n">
        <v>9134.1656</v>
      </c>
      <c r="K346" t="inlineStr"/>
      <c r="L346" t="inlineStr"/>
      <c r="M346" t="inlineStr"/>
      <c r="N346" t="inlineStr"/>
      <c r="O346" t="n">
        <v>2018</v>
      </c>
      <c r="P346" t="n">
        <v>2040</v>
      </c>
      <c r="Q346" t="n">
        <v>0.3424</v>
      </c>
      <c r="R346" t="n">
        <v>635.1588</v>
      </c>
      <c r="S346" t="n">
        <v>0.00086105</v>
      </c>
      <c r="T346" t="n">
        <v>0.00013947</v>
      </c>
      <c r="U346" t="n">
        <v>14844.4018</v>
      </c>
      <c r="V346" t="inlineStr">
        <is>
          <t>Provided Total Emissions</t>
        </is>
      </c>
      <c r="W346" t="b">
        <v>1</v>
      </c>
      <c r="X346" t="n">
        <v>22174.738</v>
      </c>
      <c r="Y346" t="n">
        <v>5893.1252</v>
      </c>
      <c r="Z346" t="n">
        <v>7330.3362</v>
      </c>
      <c r="AA346" t="n">
        <v>-8951.276599999999</v>
      </c>
      <c r="AB346" t="n">
        <v>0.493811</v>
      </c>
      <c r="AC346" t="n">
        <v>-0.603007</v>
      </c>
      <c r="AD346" t="inlineStr">
        <is>
          <t>High</t>
        </is>
      </c>
      <c r="AE346" t="inlineStr">
        <is>
          <t>None</t>
        </is>
      </c>
      <c r="AF346" t="n">
        <v>0.95</v>
      </c>
      <c r="AG346" t="inlineStr">
        <is>
          <t>Valid</t>
        </is>
      </c>
    </row>
    <row r="347">
      <c r="A347" t="inlineStr">
        <is>
          <t>SUP-0035</t>
        </is>
      </c>
      <c r="B347" t="inlineStr">
        <is>
          <t>Electronics Supplier 035</t>
        </is>
      </c>
      <c r="C347" t="inlineStr">
        <is>
          <t>Electronics</t>
        </is>
      </c>
      <c r="D347" t="n">
        <v>2020</v>
      </c>
      <c r="E347" t="n">
        <v>28833132.26</v>
      </c>
      <c r="F347" t="n">
        <v>45408884.99</v>
      </c>
      <c r="G347" t="n">
        <v>20737.6211</v>
      </c>
      <c r="H347" t="n">
        <v>3106.5285</v>
      </c>
      <c r="I347" t="n">
        <v>4426.0465</v>
      </c>
      <c r="J347" t="n">
        <v>13580.7388</v>
      </c>
      <c r="K347" t="inlineStr"/>
      <c r="L347" t="inlineStr"/>
      <c r="M347" t="inlineStr"/>
      <c r="N347" t="inlineStr"/>
      <c r="O347" t="n">
        <v>2018</v>
      </c>
      <c r="P347" t="n">
        <v>2040</v>
      </c>
      <c r="Q347" t="n">
        <v>0.3424</v>
      </c>
      <c r="R347" t="n">
        <v>635.1588</v>
      </c>
      <c r="S347" t="n">
        <v>0.00086105</v>
      </c>
      <c r="T347" t="n">
        <v>0.00013947</v>
      </c>
      <c r="U347" t="n">
        <v>20737.6211</v>
      </c>
      <c r="V347" t="inlineStr">
        <is>
          <t>Provided Total Emissions</t>
        </is>
      </c>
      <c r="W347" t="b">
        <v>1</v>
      </c>
      <c r="X347" t="n">
        <v>24826.7685</v>
      </c>
      <c r="Y347" t="n">
        <v>6333.1772</v>
      </c>
      <c r="Z347" t="n">
        <v>4089.1474</v>
      </c>
      <c r="AA347" t="n">
        <v>-14404.4439</v>
      </c>
      <c r="AB347" t="n">
        <v>0.197185</v>
      </c>
      <c r="AC347" t="n">
        <v>-0.694604</v>
      </c>
      <c r="AD347" t="inlineStr">
        <is>
          <t>High</t>
        </is>
      </c>
      <c r="AE347" t="inlineStr">
        <is>
          <t>None</t>
        </is>
      </c>
      <c r="AF347" t="n">
        <v>0.95</v>
      </c>
      <c r="AG347" t="inlineStr">
        <is>
          <t>Valid</t>
        </is>
      </c>
    </row>
    <row r="348">
      <c r="A348" t="inlineStr">
        <is>
          <t>SUP-0035</t>
        </is>
      </c>
      <c r="B348" t="inlineStr">
        <is>
          <t>Electronics Supplier 035</t>
        </is>
      </c>
      <c r="C348" t="inlineStr">
        <is>
          <t>Electronics</t>
        </is>
      </c>
      <c r="D348" t="n">
        <v>2021</v>
      </c>
      <c r="E348" t="n">
        <v>34847084.65</v>
      </c>
      <c r="F348" t="n">
        <v>47945803.11</v>
      </c>
      <c r="G348" t="n">
        <v>22649.7767</v>
      </c>
      <c r="H348" t="n">
        <v>6253.7056</v>
      </c>
      <c r="I348" t="n">
        <v>2985.4723</v>
      </c>
      <c r="J348" t="n">
        <v>16343.7594</v>
      </c>
      <c r="K348" t="inlineStr"/>
      <c r="L348" t="inlineStr"/>
      <c r="M348" t="inlineStr"/>
      <c r="N348" t="inlineStr"/>
      <c r="O348" t="n">
        <v>2018</v>
      </c>
      <c r="P348" t="n">
        <v>2040</v>
      </c>
      <c r="Q348" t="n">
        <v>0.3424</v>
      </c>
      <c r="R348" t="n">
        <v>635.1588</v>
      </c>
      <c r="S348" t="n">
        <v>0.00086105</v>
      </c>
      <c r="T348" t="n">
        <v>0.00013947</v>
      </c>
      <c r="U348" t="n">
        <v>22649.7767</v>
      </c>
      <c r="V348" t="inlineStr">
        <is>
          <t>Provided Total Emissions</t>
        </is>
      </c>
      <c r="W348" t="b">
        <v>1</v>
      </c>
      <c r="X348" t="n">
        <v>30005.0822</v>
      </c>
      <c r="Y348" t="n">
        <v>6687.0012</v>
      </c>
      <c r="Z348" t="n">
        <v>7355.3055</v>
      </c>
      <c r="AA348" t="n">
        <v>-15962.7755</v>
      </c>
      <c r="AB348" t="n">
        <v>0.324741</v>
      </c>
      <c r="AC348" t="n">
        <v>-0.704765</v>
      </c>
      <c r="AD348" t="inlineStr">
        <is>
          <t>High</t>
        </is>
      </c>
      <c r="AE348" t="inlineStr">
        <is>
          <t>None</t>
        </is>
      </c>
      <c r="AF348" t="n">
        <v>0.95</v>
      </c>
      <c r="AG348" t="inlineStr">
        <is>
          <t>Valid</t>
        </is>
      </c>
    </row>
    <row r="349">
      <c r="A349" t="inlineStr">
        <is>
          <t>SUP-0035</t>
        </is>
      </c>
      <c r="B349" t="inlineStr">
        <is>
          <t>Electronics Supplier 035</t>
        </is>
      </c>
      <c r="C349" t="inlineStr">
        <is>
          <t>Electronics</t>
        </is>
      </c>
      <c r="D349" t="n">
        <v>2022</v>
      </c>
      <c r="E349" t="n">
        <v>34575726.32</v>
      </c>
      <c r="F349" t="n">
        <v>44434364.37</v>
      </c>
      <c r="G349" t="n">
        <v>28742.1347</v>
      </c>
      <c r="H349" t="n">
        <v>6983.7158</v>
      </c>
      <c r="I349" t="n">
        <v>5758.6912</v>
      </c>
      <c r="J349" t="n">
        <v>14394.765</v>
      </c>
      <c r="K349" t="inlineStr"/>
      <c r="L349" t="inlineStr"/>
      <c r="M349" t="inlineStr"/>
      <c r="N349" t="inlineStr"/>
      <c r="O349" t="n">
        <v>2018</v>
      </c>
      <c r="P349" t="n">
        <v>2040</v>
      </c>
      <c r="Q349" t="n">
        <v>0.3424</v>
      </c>
      <c r="R349" t="n">
        <v>635.1588</v>
      </c>
      <c r="S349" t="n">
        <v>0.00086105</v>
      </c>
      <c r="T349" t="n">
        <v>0.00013947</v>
      </c>
      <c r="U349" t="n">
        <v>28742.1347</v>
      </c>
      <c r="V349" t="inlineStr">
        <is>
          <t>Provided Total Emissions</t>
        </is>
      </c>
      <c r="W349" t="b">
        <v>1</v>
      </c>
      <c r="X349" t="n">
        <v>29771.4291</v>
      </c>
      <c r="Y349" t="n">
        <v>6197.2608</v>
      </c>
      <c r="Z349" t="n">
        <v>1029.2944</v>
      </c>
      <c r="AA349" t="n">
        <v>-22544.8739</v>
      </c>
      <c r="AB349" t="n">
        <v>0.035811</v>
      </c>
      <c r="AC349" t="n">
        <v>-0.784384</v>
      </c>
      <c r="AD349" t="inlineStr">
        <is>
          <t>High</t>
        </is>
      </c>
      <c r="AE349" t="inlineStr">
        <is>
          <t>None</t>
        </is>
      </c>
      <c r="AF349" t="n">
        <v>0.95</v>
      </c>
      <c r="AG349" t="inlineStr">
        <is>
          <t>Valid</t>
        </is>
      </c>
    </row>
    <row r="350">
      <c r="A350" t="inlineStr">
        <is>
          <t>SUP-0035</t>
        </is>
      </c>
      <c r="B350" t="inlineStr">
        <is>
          <t>Electronics Supplier 035</t>
        </is>
      </c>
      <c r="C350" t="inlineStr">
        <is>
          <t>Electronics</t>
        </is>
      </c>
      <c r="D350" t="n">
        <v>2023</v>
      </c>
      <c r="E350" t="n">
        <v>37374355.39</v>
      </c>
      <c r="F350" t="n">
        <v>59684531.11</v>
      </c>
      <c r="G350" t="n">
        <v>23457.212</v>
      </c>
      <c r="H350" t="n">
        <v>4411.8808</v>
      </c>
      <c r="I350" t="n">
        <v>4474.7196</v>
      </c>
      <c r="J350" t="n">
        <v>14707.6603</v>
      </c>
      <c r="K350" t="inlineStr"/>
      <c r="L350" t="inlineStr"/>
      <c r="M350" t="inlineStr"/>
      <c r="N350" t="inlineStr"/>
      <c r="O350" t="n">
        <v>2018</v>
      </c>
      <c r="P350" t="n">
        <v>2040</v>
      </c>
      <c r="Q350" t="n">
        <v>0.3424</v>
      </c>
      <c r="R350" t="n">
        <v>635.1588</v>
      </c>
      <c r="S350" t="n">
        <v>0.00086105</v>
      </c>
      <c r="T350" t="n">
        <v>0.00013947</v>
      </c>
      <c r="U350" t="n">
        <v>23457.212</v>
      </c>
      <c r="V350" t="inlineStr">
        <is>
          <t>Provided Total Emissions</t>
        </is>
      </c>
      <c r="W350" t="b">
        <v>1</v>
      </c>
      <c r="X350" t="n">
        <v>32181.1887</v>
      </c>
      <c r="Y350" t="n">
        <v>8324.2016</v>
      </c>
      <c r="Z350" t="n">
        <v>8723.976699999999</v>
      </c>
      <c r="AA350" t="n">
        <v>-15133.0104</v>
      </c>
      <c r="AB350" t="n">
        <v>0.37191</v>
      </c>
      <c r="AC350" t="n">
        <v>-0.645133</v>
      </c>
      <c r="AD350" t="inlineStr">
        <is>
          <t>High</t>
        </is>
      </c>
      <c r="AE350" t="inlineStr">
        <is>
          <t>None</t>
        </is>
      </c>
      <c r="AF350" t="n">
        <v>0.95</v>
      </c>
      <c r="AG350" t="inlineStr">
        <is>
          <t>Valid</t>
        </is>
      </c>
    </row>
    <row r="351">
      <c r="A351" t="inlineStr">
        <is>
          <t>SUP-0035</t>
        </is>
      </c>
      <c r="B351" t="inlineStr">
        <is>
          <t>Electronics Supplier 035</t>
        </is>
      </c>
      <c r="C351" t="inlineStr">
        <is>
          <t>Electronics</t>
        </is>
      </c>
      <c r="D351" t="n">
        <v>2024</v>
      </c>
      <c r="E351" t="n">
        <v>37936357.49</v>
      </c>
      <c r="F351" t="n">
        <v>56187941.98</v>
      </c>
      <c r="G351" t="n">
        <v>23190.5906</v>
      </c>
      <c r="H351" t="n">
        <v>2894.491</v>
      </c>
      <c r="I351" t="n">
        <v>1752.3803</v>
      </c>
      <c r="J351" t="n">
        <v>20630.1494</v>
      </c>
      <c r="K351" t="inlineStr"/>
      <c r="L351" t="inlineStr"/>
      <c r="M351" t="inlineStr"/>
      <c r="N351" t="inlineStr"/>
      <c r="O351" t="n">
        <v>2018</v>
      </c>
      <c r="P351" t="n">
        <v>2040</v>
      </c>
      <c r="Q351" t="n">
        <v>0.3424</v>
      </c>
      <c r="R351" t="n">
        <v>635.1588</v>
      </c>
      <c r="S351" t="n">
        <v>0.00086105</v>
      </c>
      <c r="T351" t="n">
        <v>0.00013947</v>
      </c>
      <c r="U351" t="n">
        <v>23190.5906</v>
      </c>
      <c r="V351" t="inlineStr">
        <is>
          <t>Provided Total Emissions</t>
        </is>
      </c>
      <c r="W351" t="b">
        <v>1</v>
      </c>
      <c r="X351" t="n">
        <v>32665.1006</v>
      </c>
      <c r="Y351" t="n">
        <v>7836.5323</v>
      </c>
      <c r="Z351" t="n">
        <v>9474.51</v>
      </c>
      <c r="AA351" t="n">
        <v>-15354.0583</v>
      </c>
      <c r="AB351" t="n">
        <v>0.40855</v>
      </c>
      <c r="AC351" t="n">
        <v>-0.662081</v>
      </c>
      <c r="AD351" t="inlineStr">
        <is>
          <t>High</t>
        </is>
      </c>
      <c r="AE351" t="inlineStr">
        <is>
          <t>None</t>
        </is>
      </c>
      <c r="AF351" t="n">
        <v>0.95</v>
      </c>
      <c r="AG351" t="inlineStr">
        <is>
          <t>Valid</t>
        </is>
      </c>
    </row>
    <row r="352">
      <c r="A352" t="inlineStr">
        <is>
          <t>SUP-0036</t>
        </is>
      </c>
      <c r="B352" t="inlineStr">
        <is>
          <t>Metals Supplier 036</t>
        </is>
      </c>
      <c r="C352" t="inlineStr">
        <is>
          <t>Metals</t>
        </is>
      </c>
      <c r="D352" t="n">
        <v>2015</v>
      </c>
      <c r="E352" t="n">
        <v>24368084.07</v>
      </c>
      <c r="F352" t="n">
        <v>88285614.34999999</v>
      </c>
      <c r="G352" t="n">
        <v>25179.2865</v>
      </c>
      <c r="H352" t="n">
        <v>4152.5543</v>
      </c>
      <c r="I352" t="n">
        <v>3621.8613</v>
      </c>
      <c r="J352" t="n">
        <v>16306.7958</v>
      </c>
      <c r="K352" t="inlineStr"/>
      <c r="L352" t="inlineStr"/>
      <c r="M352" t="inlineStr"/>
      <c r="N352" t="inlineStr"/>
      <c r="O352" t="n">
        <v>2019</v>
      </c>
      <c r="P352" t="n">
        <v>2030</v>
      </c>
      <c r="Q352" t="n">
        <v>0.3852</v>
      </c>
      <c r="R352" t="n">
        <v>158.2904</v>
      </c>
      <c r="S352" t="n">
        <v>0.00100695</v>
      </c>
      <c r="T352" t="n">
        <v>0.00065008</v>
      </c>
      <c r="U352" t="n">
        <v>25179.2865</v>
      </c>
      <c r="V352" t="inlineStr">
        <is>
          <t>Provided Total Emissions</t>
        </is>
      </c>
      <c r="W352" t="b">
        <v>1</v>
      </c>
      <c r="X352" t="n">
        <v>24537.4423</v>
      </c>
      <c r="Y352" t="n">
        <v>57392.7122</v>
      </c>
      <c r="Z352" t="n">
        <v>-641.8442</v>
      </c>
      <c r="AA352" t="n">
        <v>32213.4257</v>
      </c>
      <c r="AB352" t="n">
        <v>-0.025491</v>
      </c>
      <c r="AC352" t="n">
        <v>1.279362</v>
      </c>
      <c r="AD352" t="inlineStr">
        <is>
          <t>High</t>
        </is>
      </c>
      <c r="AE352" t="inlineStr">
        <is>
          <t>None</t>
        </is>
      </c>
      <c r="AF352" t="n">
        <v>0.95</v>
      </c>
      <c r="AG352" t="inlineStr">
        <is>
          <t>Valid</t>
        </is>
      </c>
    </row>
    <row r="353">
      <c r="A353" t="inlineStr">
        <is>
          <t>SUP-0036</t>
        </is>
      </c>
      <c r="B353" t="inlineStr">
        <is>
          <t>Metals Supplier 036</t>
        </is>
      </c>
      <c r="C353" t="inlineStr">
        <is>
          <t>Metals</t>
        </is>
      </c>
      <c r="D353" t="n">
        <v>2016</v>
      </c>
      <c r="E353" t="n">
        <v>22652589.85</v>
      </c>
      <c r="F353" t="n">
        <v>75100329.91</v>
      </c>
      <c r="G353" t="n">
        <v>24303.2188</v>
      </c>
      <c r="H353" t="n">
        <v>5480.9391</v>
      </c>
      <c r="I353" t="n">
        <v>2303.2119</v>
      </c>
      <c r="J353" t="n">
        <v>16758.5659</v>
      </c>
      <c r="K353" t="inlineStr"/>
      <c r="L353" t="inlineStr"/>
      <c r="M353" t="inlineStr"/>
      <c r="N353" t="inlineStr"/>
      <c r="O353" t="n">
        <v>2019</v>
      </c>
      <c r="P353" t="n">
        <v>2030</v>
      </c>
      <c r="Q353" t="n">
        <v>0.3852</v>
      </c>
      <c r="R353" t="n">
        <v>158.2904</v>
      </c>
      <c r="S353" t="n">
        <v>0.00100695</v>
      </c>
      <c r="T353" t="n">
        <v>0.00065008</v>
      </c>
      <c r="U353" t="n">
        <v>24303.2188</v>
      </c>
      <c r="V353" t="inlineStr">
        <is>
          <t>Provided Total Emissions</t>
        </is>
      </c>
      <c r="W353" t="b">
        <v>1</v>
      </c>
      <c r="X353" t="n">
        <v>22810.0253</v>
      </c>
      <c r="Y353" t="n">
        <v>48821.2225</v>
      </c>
      <c r="Z353" t="n">
        <v>-1493.1935</v>
      </c>
      <c r="AA353" t="n">
        <v>24518.0037</v>
      </c>
      <c r="AB353" t="n">
        <v>-0.06144</v>
      </c>
      <c r="AC353" t="n">
        <v>1.008838</v>
      </c>
      <c r="AD353" t="inlineStr">
        <is>
          <t>High</t>
        </is>
      </c>
      <c r="AE353" t="inlineStr">
        <is>
          <t>None</t>
        </is>
      </c>
      <c r="AF353" t="n">
        <v>0.95</v>
      </c>
      <c r="AG353" t="inlineStr">
        <is>
          <t>Valid</t>
        </is>
      </c>
    </row>
    <row r="354">
      <c r="A354" t="inlineStr">
        <is>
          <t>SUP-0036</t>
        </is>
      </c>
      <c r="B354" t="inlineStr">
        <is>
          <t>Metals Supplier 036</t>
        </is>
      </c>
      <c r="C354" t="inlineStr">
        <is>
          <t>Metals</t>
        </is>
      </c>
      <c r="D354" t="n">
        <v>2017</v>
      </c>
      <c r="E354" t="n">
        <v>29714076.72</v>
      </c>
      <c r="F354" t="n">
        <v>64907094.59</v>
      </c>
      <c r="G354" t="n">
        <v>33493.2358</v>
      </c>
      <c r="H354" t="n">
        <v>4975.9332</v>
      </c>
      <c r="I354" t="n">
        <v>2789.9629</v>
      </c>
      <c r="J354" t="n">
        <v>25550.1548</v>
      </c>
      <c r="K354" t="inlineStr"/>
      <c r="L354" t="inlineStr"/>
      <c r="M354" t="inlineStr"/>
      <c r="N354" t="inlineStr"/>
      <c r="O354" t="n">
        <v>2019</v>
      </c>
      <c r="P354" t="n">
        <v>2030</v>
      </c>
      <c r="Q354" t="n">
        <v>0.3852</v>
      </c>
      <c r="R354" t="n">
        <v>158.2904</v>
      </c>
      <c r="S354" t="n">
        <v>0.00100695</v>
      </c>
      <c r="T354" t="n">
        <v>0.00065008</v>
      </c>
      <c r="U354" t="n">
        <v>33493.2358</v>
      </c>
      <c r="V354" t="inlineStr">
        <is>
          <t>Provided Total Emissions</t>
        </is>
      </c>
      <c r="W354" t="b">
        <v>1</v>
      </c>
      <c r="X354" t="n">
        <v>29920.5896</v>
      </c>
      <c r="Y354" t="n">
        <v>42194.8041</v>
      </c>
      <c r="Z354" t="n">
        <v>-3572.6462</v>
      </c>
      <c r="AA354" t="n">
        <v>8701.568300000001</v>
      </c>
      <c r="AB354" t="n">
        <v>-0.106668</v>
      </c>
      <c r="AC354" t="n">
        <v>0.259801</v>
      </c>
      <c r="AD354" t="inlineStr">
        <is>
          <t>High</t>
        </is>
      </c>
      <c r="AE354" t="inlineStr">
        <is>
          <t>None</t>
        </is>
      </c>
      <c r="AF354" t="n">
        <v>0.95</v>
      </c>
      <c r="AG354" t="inlineStr">
        <is>
          <t>Valid</t>
        </is>
      </c>
    </row>
    <row r="355">
      <c r="A355" t="inlineStr">
        <is>
          <t>SUP-0036</t>
        </is>
      </c>
      <c r="B355" t="inlineStr">
        <is>
          <t>Metals Supplier 036</t>
        </is>
      </c>
      <c r="C355" t="inlineStr">
        <is>
          <t>Metals</t>
        </is>
      </c>
      <c r="D355" t="n">
        <v>2018</v>
      </c>
      <c r="E355" t="n">
        <v>27281053.86</v>
      </c>
      <c r="F355" t="n">
        <v>82293932.27</v>
      </c>
      <c r="G355" t="n">
        <v>26820.766</v>
      </c>
      <c r="H355" t="n">
        <v>2956.7645</v>
      </c>
      <c r="I355" t="n">
        <v>4514.6711</v>
      </c>
      <c r="J355" t="n">
        <v>17317.0166</v>
      </c>
      <c r="K355" t="inlineStr"/>
      <c r="L355" t="inlineStr"/>
      <c r="M355" t="inlineStr"/>
      <c r="N355" t="inlineStr"/>
      <c r="O355" t="n">
        <v>2019</v>
      </c>
      <c r="P355" t="n">
        <v>2030</v>
      </c>
      <c r="Q355" t="n">
        <v>0.3852</v>
      </c>
      <c r="R355" t="n">
        <v>158.2904</v>
      </c>
      <c r="S355" t="n">
        <v>0.00100695</v>
      </c>
      <c r="T355" t="n">
        <v>0.00065008</v>
      </c>
      <c r="U355" t="n">
        <v>26820.766</v>
      </c>
      <c r="V355" t="inlineStr">
        <is>
          <t>Provided Total Emissions</t>
        </is>
      </c>
      <c r="W355" t="b">
        <v>1</v>
      </c>
      <c r="X355" t="n">
        <v>27470.6572</v>
      </c>
      <c r="Y355" t="n">
        <v>53497.6395</v>
      </c>
      <c r="Z355" t="n">
        <v>649.8912</v>
      </c>
      <c r="AA355" t="n">
        <v>26676.8735</v>
      </c>
      <c r="AB355" t="n">
        <v>0.024231</v>
      </c>
      <c r="AC355" t="n">
        <v>0.994635</v>
      </c>
      <c r="AD355" t="inlineStr">
        <is>
          <t>High</t>
        </is>
      </c>
      <c r="AE355" t="inlineStr">
        <is>
          <t>None</t>
        </is>
      </c>
      <c r="AF355" t="n">
        <v>0.95</v>
      </c>
      <c r="AG355" t="inlineStr">
        <is>
          <t>Valid</t>
        </is>
      </c>
    </row>
    <row r="356">
      <c r="A356" t="inlineStr">
        <is>
          <t>SUP-0036</t>
        </is>
      </c>
      <c r="B356" t="inlineStr">
        <is>
          <t>Metals Supplier 036</t>
        </is>
      </c>
      <c r="C356" t="inlineStr">
        <is>
          <t>Metals</t>
        </is>
      </c>
      <c r="D356" t="n">
        <v>2019</v>
      </c>
      <c r="E356" t="n">
        <v>28887085.92</v>
      </c>
      <c r="F356" t="n">
        <v>111487077.53</v>
      </c>
      <c r="G356" t="n">
        <v>27330.5972</v>
      </c>
      <c r="H356" t="n">
        <v>7115.3826</v>
      </c>
      <c r="I356" t="n">
        <v>3263.985</v>
      </c>
      <c r="J356" t="n">
        <v>17656.3126</v>
      </c>
      <c r="K356" t="inlineStr"/>
      <c r="L356" t="inlineStr"/>
      <c r="M356" t="inlineStr"/>
      <c r="N356" t="inlineStr"/>
      <c r="O356" t="n">
        <v>2019</v>
      </c>
      <c r="P356" t="n">
        <v>2030</v>
      </c>
      <c r="Q356" t="n">
        <v>0.3852</v>
      </c>
      <c r="R356" t="n">
        <v>158.2904</v>
      </c>
      <c r="S356" t="n">
        <v>0.00100695</v>
      </c>
      <c r="T356" t="n">
        <v>0.00065008</v>
      </c>
      <c r="U356" t="n">
        <v>27330.5972</v>
      </c>
      <c r="V356" t="inlineStr">
        <is>
          <t>Provided Total Emissions</t>
        </is>
      </c>
      <c r="W356" t="b">
        <v>1</v>
      </c>
      <c r="X356" t="n">
        <v>29087.8512</v>
      </c>
      <c r="Y356" t="n">
        <v>72475.5194</v>
      </c>
      <c r="Z356" t="n">
        <v>1757.254</v>
      </c>
      <c r="AA356" t="n">
        <v>45144.9222</v>
      </c>
      <c r="AB356" t="n">
        <v>0.06429600000000001</v>
      </c>
      <c r="AC356" t="n">
        <v>1.651809</v>
      </c>
      <c r="AD356" t="inlineStr">
        <is>
          <t>High</t>
        </is>
      </c>
      <c r="AE356" t="inlineStr">
        <is>
          <t>None</t>
        </is>
      </c>
      <c r="AF356" t="n">
        <v>0.95</v>
      </c>
      <c r="AG356" t="inlineStr">
        <is>
          <t>Valid</t>
        </is>
      </c>
    </row>
    <row r="357">
      <c r="A357" t="inlineStr">
        <is>
          <t>SUP-0036</t>
        </is>
      </c>
      <c r="B357" t="inlineStr">
        <is>
          <t>Metals Supplier 036</t>
        </is>
      </c>
      <c r="C357" t="inlineStr">
        <is>
          <t>Metals</t>
        </is>
      </c>
      <c r="D357" t="n">
        <v>2020</v>
      </c>
      <c r="E357" t="n">
        <v>32544400.79</v>
      </c>
      <c r="F357" t="n">
        <v>88514071.45999999</v>
      </c>
      <c r="G357" t="n">
        <v>31985.6767</v>
      </c>
      <c r="H357" t="n">
        <v>2748.2383</v>
      </c>
      <c r="I357" t="n">
        <v>2043.5515</v>
      </c>
      <c r="J357" t="n">
        <v>28023.4533</v>
      </c>
      <c r="K357" t="inlineStr"/>
      <c r="L357" t="inlineStr"/>
      <c r="M357" t="inlineStr"/>
      <c r="N357" t="inlineStr"/>
      <c r="O357" t="n">
        <v>2019</v>
      </c>
      <c r="P357" t="n">
        <v>2030</v>
      </c>
      <c r="Q357" t="n">
        <v>0.3852</v>
      </c>
      <c r="R357" t="n">
        <v>158.2904</v>
      </c>
      <c r="S357" t="n">
        <v>0.00100695</v>
      </c>
      <c r="T357" t="n">
        <v>0.00065008</v>
      </c>
      <c r="U357" t="n">
        <v>31985.6767</v>
      </c>
      <c r="V357" t="inlineStr">
        <is>
          <t>Provided Total Emissions</t>
        </is>
      </c>
      <c r="W357" t="b">
        <v>1</v>
      </c>
      <c r="X357" t="n">
        <v>32770.5844</v>
      </c>
      <c r="Y357" t="n">
        <v>57541.2276</v>
      </c>
      <c r="Z357" t="n">
        <v>784.9077</v>
      </c>
      <c r="AA357" t="n">
        <v>25555.5509</v>
      </c>
      <c r="AB357" t="n">
        <v>0.024539</v>
      </c>
      <c r="AC357" t="n">
        <v>0.798969</v>
      </c>
      <c r="AD357" t="inlineStr">
        <is>
          <t>High</t>
        </is>
      </c>
      <c r="AE357" t="inlineStr">
        <is>
          <t>None</t>
        </is>
      </c>
      <c r="AF357" t="n">
        <v>0.95</v>
      </c>
      <c r="AG357" t="inlineStr">
        <is>
          <t>Valid</t>
        </is>
      </c>
    </row>
    <row r="358">
      <c r="A358" t="inlineStr">
        <is>
          <t>SUP-0036</t>
        </is>
      </c>
      <c r="B358" t="inlineStr">
        <is>
          <t>Metals Supplier 036</t>
        </is>
      </c>
      <c r="C358" t="inlineStr">
        <is>
          <t>Metals</t>
        </is>
      </c>
      <c r="D358" t="n">
        <v>2021</v>
      </c>
      <c r="E358" t="n">
        <v>31664310.52</v>
      </c>
      <c r="F358" t="n">
        <v>156965170.98</v>
      </c>
      <c r="G358" t="n">
        <v>26847.8444</v>
      </c>
      <c r="H358" t="n">
        <v>2787.655</v>
      </c>
      <c r="I358" t="n">
        <v>2650.4833</v>
      </c>
      <c r="J358" t="n">
        <v>21151.2494</v>
      </c>
      <c r="K358" t="inlineStr"/>
      <c r="L358" t="inlineStr"/>
      <c r="M358" t="inlineStr"/>
      <c r="N358" t="inlineStr"/>
      <c r="O358" t="n">
        <v>2019</v>
      </c>
      <c r="P358" t="n">
        <v>2030</v>
      </c>
      <c r="Q358" t="n">
        <v>0.3852</v>
      </c>
      <c r="R358" t="n">
        <v>158.2904</v>
      </c>
      <c r="S358" t="n">
        <v>0.00100695</v>
      </c>
      <c r="T358" t="n">
        <v>0.00065008</v>
      </c>
      <c r="U358" t="n">
        <v>26847.8444</v>
      </c>
      <c r="V358" t="inlineStr">
        <is>
          <t>Provided Total Emissions</t>
        </is>
      </c>
      <c r="W358" t="b">
        <v>1</v>
      </c>
      <c r="X358" t="n">
        <v>31884.3775</v>
      </c>
      <c r="Y358" t="n">
        <v>102039.9184</v>
      </c>
      <c r="Z358" t="n">
        <v>5036.5331</v>
      </c>
      <c r="AA358" t="n">
        <v>75192.07399999999</v>
      </c>
      <c r="AB358" t="n">
        <v>0.187595</v>
      </c>
      <c r="AC358" t="n">
        <v>2.800675</v>
      </c>
      <c r="AD358" t="inlineStr">
        <is>
          <t>High</t>
        </is>
      </c>
      <c r="AE358" t="inlineStr">
        <is>
          <t>None</t>
        </is>
      </c>
      <c r="AF358" t="n">
        <v>0.95</v>
      </c>
      <c r="AG358" t="inlineStr">
        <is>
          <t>Valid</t>
        </is>
      </c>
    </row>
    <row r="359">
      <c r="A359" t="inlineStr">
        <is>
          <t>SUP-0036</t>
        </is>
      </c>
      <c r="B359" t="inlineStr">
        <is>
          <t>Metals Supplier 036</t>
        </is>
      </c>
      <c r="C359" t="inlineStr">
        <is>
          <t>Metals</t>
        </is>
      </c>
      <c r="D359" t="n">
        <v>2022</v>
      </c>
      <c r="E359" t="n">
        <v>40796629.49</v>
      </c>
      <c r="F359" t="n">
        <v>87260708.13</v>
      </c>
      <c r="G359" t="n">
        <v>48555.4925</v>
      </c>
      <c r="H359" t="n">
        <v>6013.6001</v>
      </c>
      <c r="I359" t="n">
        <v>5233.5693</v>
      </c>
      <c r="J359" t="n">
        <v>36592.9927</v>
      </c>
      <c r="K359" t="inlineStr"/>
      <c r="L359" t="inlineStr"/>
      <c r="M359" t="inlineStr"/>
      <c r="N359" t="inlineStr"/>
      <c r="O359" t="n">
        <v>2019</v>
      </c>
      <c r="P359" t="n">
        <v>2030</v>
      </c>
      <c r="Q359" t="n">
        <v>0.3852</v>
      </c>
      <c r="R359" t="n">
        <v>158.2904</v>
      </c>
      <c r="S359" t="n">
        <v>0.00100695</v>
      </c>
      <c r="T359" t="n">
        <v>0.00065008</v>
      </c>
      <c r="U359" t="n">
        <v>48555.4925</v>
      </c>
      <c r="V359" t="inlineStr">
        <is>
          <t>Provided Total Emissions</t>
        </is>
      </c>
      <c r="W359" t="b">
        <v>1</v>
      </c>
      <c r="X359" t="n">
        <v>41080.1661</v>
      </c>
      <c r="Y359" t="n">
        <v>56726.4411</v>
      </c>
      <c r="Z359" t="n">
        <v>-7475.3264</v>
      </c>
      <c r="AA359" t="n">
        <v>8170.9486</v>
      </c>
      <c r="AB359" t="n">
        <v>-0.153954</v>
      </c>
      <c r="AC359" t="n">
        <v>0.168281</v>
      </c>
      <c r="AD359" t="inlineStr">
        <is>
          <t>High</t>
        </is>
      </c>
      <c r="AE359" t="inlineStr">
        <is>
          <t>None</t>
        </is>
      </c>
      <c r="AF359" t="n">
        <v>0.95</v>
      </c>
      <c r="AG359" t="inlineStr">
        <is>
          <t>Valid</t>
        </is>
      </c>
    </row>
    <row r="360">
      <c r="A360" t="inlineStr">
        <is>
          <t>SUP-0036</t>
        </is>
      </c>
      <c r="B360" t="inlineStr">
        <is>
          <t>Metals Supplier 036</t>
        </is>
      </c>
      <c r="C360" t="inlineStr">
        <is>
          <t>Metals</t>
        </is>
      </c>
      <c r="D360" t="n">
        <v>2023</v>
      </c>
      <c r="E360" t="n">
        <v>31525041.92</v>
      </c>
      <c r="F360" t="n">
        <v>140223185.18</v>
      </c>
      <c r="G360" t="n">
        <v>31686.4932</v>
      </c>
      <c r="H360" t="n">
        <v>5605.4586</v>
      </c>
      <c r="I360" t="n">
        <v>4513.6403</v>
      </c>
      <c r="J360" t="n">
        <v>19574.5066</v>
      </c>
      <c r="K360" t="inlineStr"/>
      <c r="L360" t="inlineStr"/>
      <c r="M360" t="inlineStr"/>
      <c r="N360" t="inlineStr"/>
      <c r="O360" t="n">
        <v>2019</v>
      </c>
      <c r="P360" t="n">
        <v>2030</v>
      </c>
      <c r="Q360" t="n">
        <v>0.3852</v>
      </c>
      <c r="R360" t="n">
        <v>158.2904</v>
      </c>
      <c r="S360" t="n">
        <v>0.00100695</v>
      </c>
      <c r="T360" t="n">
        <v>0.00065008</v>
      </c>
      <c r="U360" t="n">
        <v>31686.4932</v>
      </c>
      <c r="V360" t="inlineStr">
        <is>
          <t>Provided Total Emissions</t>
        </is>
      </c>
      <c r="W360" t="b">
        <v>1</v>
      </c>
      <c r="X360" t="n">
        <v>31744.141</v>
      </c>
      <c r="Y360" t="n">
        <v>91156.2882</v>
      </c>
      <c r="Z360" t="n">
        <v>57.6478</v>
      </c>
      <c r="AA360" t="n">
        <v>59469.795</v>
      </c>
      <c r="AB360" t="n">
        <v>0.001819</v>
      </c>
      <c r="AC360" t="n">
        <v>1.876818</v>
      </c>
      <c r="AD360" t="inlineStr">
        <is>
          <t>High</t>
        </is>
      </c>
      <c r="AE360" t="inlineStr">
        <is>
          <t>None</t>
        </is>
      </c>
      <c r="AF360" t="n">
        <v>0.95</v>
      </c>
      <c r="AG360" t="inlineStr">
        <is>
          <t>Valid</t>
        </is>
      </c>
    </row>
    <row r="361">
      <c r="A361" t="inlineStr">
        <is>
          <t>SUP-0036</t>
        </is>
      </c>
      <c r="B361" t="inlineStr">
        <is>
          <t>Metals Supplier 036</t>
        </is>
      </c>
      <c r="C361" t="inlineStr">
        <is>
          <t>Metals</t>
        </is>
      </c>
      <c r="D361" t="n">
        <v>2024</v>
      </c>
      <c r="E361" t="n">
        <v>39253784.89</v>
      </c>
      <c r="F361" t="n">
        <v>132900679.86</v>
      </c>
      <c r="G361" t="n">
        <v>38687.7856</v>
      </c>
      <c r="H361" t="n">
        <v>7578.5332</v>
      </c>
      <c r="I361" t="n">
        <v>2713.8883</v>
      </c>
      <c r="J361" t="n">
        <v>28678.0905</v>
      </c>
      <c r="K361" t="inlineStr"/>
      <c r="L361" t="inlineStr"/>
      <c r="M361" t="inlineStr"/>
      <c r="N361" t="inlineStr"/>
      <c r="O361" t="n">
        <v>2019</v>
      </c>
      <c r="P361" t="n">
        <v>2030</v>
      </c>
      <c r="Q361" t="n">
        <v>0.3852</v>
      </c>
      <c r="R361" t="n">
        <v>158.2904</v>
      </c>
      <c r="S361" t="n">
        <v>0.00100695</v>
      </c>
      <c r="T361" t="n">
        <v>0.00065008</v>
      </c>
      <c r="U361" t="n">
        <v>38687.7856</v>
      </c>
      <c r="V361" t="inlineStr">
        <is>
          <t>Provided Total Emissions</t>
        </is>
      </c>
      <c r="W361" t="b">
        <v>1</v>
      </c>
      <c r="X361" t="n">
        <v>39526.5987</v>
      </c>
      <c r="Y361" t="n">
        <v>86396.07399999999</v>
      </c>
      <c r="Z361" t="n">
        <v>838.8131</v>
      </c>
      <c r="AA361" t="n">
        <v>47708.2884</v>
      </c>
      <c r="AB361" t="n">
        <v>0.021682</v>
      </c>
      <c r="AC361" t="n">
        <v>1.233162</v>
      </c>
      <c r="AD361" t="inlineStr">
        <is>
          <t>High</t>
        </is>
      </c>
      <c r="AE361" t="inlineStr">
        <is>
          <t>None</t>
        </is>
      </c>
      <c r="AF361" t="n">
        <v>0.95</v>
      </c>
      <c r="AG361" t="inlineStr">
        <is>
          <t>Valid</t>
        </is>
      </c>
    </row>
    <row r="362">
      <c r="A362" t="inlineStr">
        <is>
          <t>SUP-0037</t>
        </is>
      </c>
      <c r="B362" t="inlineStr">
        <is>
          <t>Agriculture Supplier 037</t>
        </is>
      </c>
      <c r="C362" t="inlineStr">
        <is>
          <t>Agriculture</t>
        </is>
      </c>
      <c r="D362" t="n">
        <v>2015</v>
      </c>
      <c r="E362" t="n">
        <v>26116905.2</v>
      </c>
      <c r="F362" t="n">
        <v>60512632.69</v>
      </c>
      <c r="G362" t="n">
        <v>19288.7383</v>
      </c>
      <c r="H362" t="n">
        <v>3598.9607</v>
      </c>
      <c r="I362" t="n">
        <v>1176.2689</v>
      </c>
      <c r="J362" t="n">
        <v>12595.3642</v>
      </c>
      <c r="K362" t="n">
        <v>2019</v>
      </c>
      <c r="L362" t="n">
        <v>2035</v>
      </c>
      <c r="M362" t="n">
        <v>0.5499000000000001</v>
      </c>
      <c r="N362" t="n">
        <v>0.2996</v>
      </c>
      <c r="O362" t="n">
        <v>2018</v>
      </c>
      <c r="P362" t="inlineStr"/>
      <c r="Q362" t="inlineStr"/>
      <c r="R362" t="n">
        <v>529.8294</v>
      </c>
      <c r="S362" t="n">
        <v>0.00091413</v>
      </c>
      <c r="T362" t="n">
        <v>0.00096913</v>
      </c>
      <c r="U362" t="n">
        <v>19288.7383</v>
      </c>
      <c r="V362" t="inlineStr">
        <is>
          <t>Provided Total Emissions</t>
        </is>
      </c>
      <c r="W362" t="b">
        <v>1</v>
      </c>
      <c r="X362" t="n">
        <v>23874.2466</v>
      </c>
      <c r="Y362" t="n">
        <v>58644.6077</v>
      </c>
      <c r="Z362" t="n">
        <v>4585.5083</v>
      </c>
      <c r="AA362" t="n">
        <v>39355.8694</v>
      </c>
      <c r="AB362" t="n">
        <v>0.23773</v>
      </c>
      <c r="AC362" t="n">
        <v>2.040355</v>
      </c>
      <c r="AD362" t="inlineStr">
        <is>
          <t>High</t>
        </is>
      </c>
      <c r="AE362" t="inlineStr">
        <is>
          <t>None</t>
        </is>
      </c>
      <c r="AF362" t="n">
        <v>0.95</v>
      </c>
      <c r="AG362" t="inlineStr">
        <is>
          <t>Valid</t>
        </is>
      </c>
    </row>
    <row r="363">
      <c r="A363" t="inlineStr">
        <is>
          <t>SUP-0037</t>
        </is>
      </c>
      <c r="B363" t="inlineStr">
        <is>
          <t>Agriculture Supplier 037</t>
        </is>
      </c>
      <c r="C363" t="inlineStr">
        <is>
          <t>Agriculture</t>
        </is>
      </c>
      <c r="D363" t="n">
        <v>2016</v>
      </c>
      <c r="E363" t="n">
        <v>19764864.23</v>
      </c>
      <c r="F363" t="n">
        <v>49671299.67</v>
      </c>
      <c r="G363" t="n">
        <v>12892.9693</v>
      </c>
      <c r="H363" t="n">
        <v>3341.1667</v>
      </c>
      <c r="I363" t="n">
        <v>1320.2082</v>
      </c>
      <c r="J363" t="n">
        <v>8920.371999999999</v>
      </c>
      <c r="K363" t="n">
        <v>2019</v>
      </c>
      <c r="L363" t="n">
        <v>2035</v>
      </c>
      <c r="M363" t="n">
        <v>0.5499000000000001</v>
      </c>
      <c r="N363" t="n">
        <v>0.2996</v>
      </c>
      <c r="O363" t="n">
        <v>2018</v>
      </c>
      <c r="P363" t="inlineStr"/>
      <c r="Q363" t="inlineStr"/>
      <c r="R363" t="n">
        <v>529.8294</v>
      </c>
      <c r="S363" t="n">
        <v>0.00091413</v>
      </c>
      <c r="T363" t="n">
        <v>0.00096913</v>
      </c>
      <c r="U363" t="n">
        <v>12892.9693</v>
      </c>
      <c r="V363" t="inlineStr">
        <is>
          <t>Provided Total Emissions</t>
        </is>
      </c>
      <c r="W363" t="b">
        <v>1</v>
      </c>
      <c r="X363" t="n">
        <v>18067.6553</v>
      </c>
      <c r="Y363" t="n">
        <v>48137.9466</v>
      </c>
      <c r="Z363" t="n">
        <v>5174.686</v>
      </c>
      <c r="AA363" t="n">
        <v>35244.9773</v>
      </c>
      <c r="AB363" t="n">
        <v>0.401357</v>
      </c>
      <c r="AC363" t="n">
        <v>2.733659</v>
      </c>
      <c r="AD363" t="inlineStr">
        <is>
          <t>High</t>
        </is>
      </c>
      <c r="AE363" t="inlineStr">
        <is>
          <t>None</t>
        </is>
      </c>
      <c r="AF363" t="n">
        <v>0.95</v>
      </c>
      <c r="AG363" t="inlineStr">
        <is>
          <t>Valid</t>
        </is>
      </c>
    </row>
    <row r="364">
      <c r="A364" t="inlineStr">
        <is>
          <t>SUP-0037</t>
        </is>
      </c>
      <c r="B364" t="inlineStr">
        <is>
          <t>Agriculture Supplier 037</t>
        </is>
      </c>
      <c r="C364" t="inlineStr">
        <is>
          <t>Agriculture</t>
        </is>
      </c>
      <c r="D364" t="n">
        <v>2017</v>
      </c>
      <c r="E364" t="n">
        <v>23026753.15</v>
      </c>
      <c r="F364" t="n">
        <v>57163834.99</v>
      </c>
      <c r="G364" t="n">
        <v>15694.1764</v>
      </c>
      <c r="H364" t="n">
        <v>4575.1358</v>
      </c>
      <c r="I364" t="n">
        <v>1305.6075</v>
      </c>
      <c r="J364" t="n">
        <v>10150.0166</v>
      </c>
      <c r="K364" t="n">
        <v>2019</v>
      </c>
      <c r="L364" t="n">
        <v>2035</v>
      </c>
      <c r="M364" t="n">
        <v>0.5499000000000001</v>
      </c>
      <c r="N364" t="n">
        <v>0.2996</v>
      </c>
      <c r="O364" t="n">
        <v>2018</v>
      </c>
      <c r="P364" t="inlineStr"/>
      <c r="Q364" t="inlineStr"/>
      <c r="R364" t="n">
        <v>529.8294</v>
      </c>
      <c r="S364" t="n">
        <v>0.00091413</v>
      </c>
      <c r="T364" t="n">
        <v>0.00096913</v>
      </c>
      <c r="U364" t="n">
        <v>15694.1764</v>
      </c>
      <c r="V364" t="inlineStr">
        <is>
          <t>Provided Total Emissions</t>
        </is>
      </c>
      <c r="W364" t="b">
        <v>1</v>
      </c>
      <c r="X364" t="n">
        <v>21049.4459</v>
      </c>
      <c r="Y364" t="n">
        <v>55399.1874</v>
      </c>
      <c r="Z364" t="n">
        <v>5355.2695</v>
      </c>
      <c r="AA364" t="n">
        <v>39705.011</v>
      </c>
      <c r="AB364" t="n">
        <v>0.341227</v>
      </c>
      <c r="AC364" t="n">
        <v>2.52992</v>
      </c>
      <c r="AD364" t="inlineStr">
        <is>
          <t>High</t>
        </is>
      </c>
      <c r="AE364" t="inlineStr">
        <is>
          <t>None</t>
        </is>
      </c>
      <c r="AF364" t="n">
        <v>0.95</v>
      </c>
      <c r="AG364" t="inlineStr">
        <is>
          <t>Valid</t>
        </is>
      </c>
    </row>
    <row r="365">
      <c r="A365" t="inlineStr">
        <is>
          <t>SUP-0037</t>
        </is>
      </c>
      <c r="B365" t="inlineStr">
        <is>
          <t>Agriculture Supplier 037</t>
        </is>
      </c>
      <c r="C365" t="inlineStr">
        <is>
          <t>Agriculture</t>
        </is>
      </c>
      <c r="D365" t="n">
        <v>2018</v>
      </c>
      <c r="E365" t="n">
        <v>23979567.75</v>
      </c>
      <c r="F365" t="n">
        <v>53859911.45</v>
      </c>
      <c r="G365" t="n">
        <v>15333.6731</v>
      </c>
      <c r="H365" t="n">
        <v>2935.9349</v>
      </c>
      <c r="I365" t="n">
        <v>1903.1483</v>
      </c>
      <c r="J365" t="n">
        <v>9372.9184</v>
      </c>
      <c r="K365" t="n">
        <v>2019</v>
      </c>
      <c r="L365" t="n">
        <v>2035</v>
      </c>
      <c r="M365" t="n">
        <v>0.5499000000000001</v>
      </c>
      <c r="N365" t="n">
        <v>0.2996</v>
      </c>
      <c r="O365" t="n">
        <v>2018</v>
      </c>
      <c r="P365" t="inlineStr"/>
      <c r="Q365" t="inlineStr"/>
      <c r="R365" t="n">
        <v>529.8294</v>
      </c>
      <c r="S365" t="n">
        <v>0.00091413</v>
      </c>
      <c r="T365" t="n">
        <v>0.00096913</v>
      </c>
      <c r="U365" t="n">
        <v>15333.6731</v>
      </c>
      <c r="V365" t="inlineStr">
        <is>
          <t>Provided Total Emissions</t>
        </is>
      </c>
      <c r="W365" t="b">
        <v>1</v>
      </c>
      <c r="X365" t="n">
        <v>21920.4423</v>
      </c>
      <c r="Y365" t="n">
        <v>52197.256</v>
      </c>
      <c r="Z365" t="n">
        <v>6586.7692</v>
      </c>
      <c r="AA365" t="n">
        <v>36863.5829</v>
      </c>
      <c r="AB365" t="n">
        <v>0.429562</v>
      </c>
      <c r="AC365" t="n">
        <v>2.404093</v>
      </c>
      <c r="AD365" t="inlineStr">
        <is>
          <t>High</t>
        </is>
      </c>
      <c r="AE365" t="inlineStr">
        <is>
          <t>None</t>
        </is>
      </c>
      <c r="AF365" t="n">
        <v>0.95</v>
      </c>
      <c r="AG365" t="inlineStr">
        <is>
          <t>Valid</t>
        </is>
      </c>
    </row>
    <row r="366">
      <c r="A366" t="inlineStr">
        <is>
          <t>SUP-0037</t>
        </is>
      </c>
      <c r="B366" t="inlineStr">
        <is>
          <t>Agriculture Supplier 037</t>
        </is>
      </c>
      <c r="C366" t="inlineStr">
        <is>
          <t>Agriculture</t>
        </is>
      </c>
      <c r="D366" t="n">
        <v>2019</v>
      </c>
      <c r="E366" t="n">
        <v>25634907.46</v>
      </c>
      <c r="F366" t="n">
        <v>53390725.31</v>
      </c>
      <c r="G366" t="n">
        <v>15786.4995</v>
      </c>
      <c r="H366" t="n">
        <v>4336.4911</v>
      </c>
      <c r="I366" t="n">
        <v>1289.0667</v>
      </c>
      <c r="J366" t="n">
        <v>11065.847</v>
      </c>
      <c r="K366" t="n">
        <v>2019</v>
      </c>
      <c r="L366" t="n">
        <v>2035</v>
      </c>
      <c r="M366" t="n">
        <v>0.5499000000000001</v>
      </c>
      <c r="N366" t="n">
        <v>0.2996</v>
      </c>
      <c r="O366" t="n">
        <v>2018</v>
      </c>
      <c r="P366" t="inlineStr"/>
      <c r="Q366" t="inlineStr"/>
      <c r="R366" t="n">
        <v>529.8294</v>
      </c>
      <c r="S366" t="n">
        <v>0.00091413</v>
      </c>
      <c r="T366" t="n">
        <v>0.00096913</v>
      </c>
      <c r="U366" t="n">
        <v>15786.4995</v>
      </c>
      <c r="V366" t="inlineStr">
        <is>
          <t>Provided Total Emissions</t>
        </is>
      </c>
      <c r="W366" t="b">
        <v>1</v>
      </c>
      <c r="X366" t="n">
        <v>23433.638</v>
      </c>
      <c r="Y366" t="n">
        <v>51742.5536</v>
      </c>
      <c r="Z366" t="n">
        <v>7647.1385</v>
      </c>
      <c r="AA366" t="n">
        <v>35956.0541</v>
      </c>
      <c r="AB366" t="n">
        <v>0.48441</v>
      </c>
      <c r="AC366" t="n">
        <v>2.277646</v>
      </c>
      <c r="AD366" t="inlineStr">
        <is>
          <t>High</t>
        </is>
      </c>
      <c r="AE366" t="inlineStr">
        <is>
          <t>None</t>
        </is>
      </c>
      <c r="AF366" t="n">
        <v>0.95</v>
      </c>
      <c r="AG366" t="inlineStr">
        <is>
          <t>Valid</t>
        </is>
      </c>
    </row>
    <row r="367">
      <c r="A367" t="inlineStr">
        <is>
          <t>SUP-0037</t>
        </is>
      </c>
      <c r="B367" t="inlineStr">
        <is>
          <t>Agriculture Supplier 037</t>
        </is>
      </c>
      <c r="C367" t="inlineStr">
        <is>
          <t>Agriculture</t>
        </is>
      </c>
      <c r="D367" t="n">
        <v>2020</v>
      </c>
      <c r="E367" t="n">
        <v>21437252.97</v>
      </c>
      <c r="F367" t="n">
        <v>62480378.18</v>
      </c>
      <c r="G367" t="n">
        <v>12897.518</v>
      </c>
      <c r="H367" t="n">
        <v>3221.3761</v>
      </c>
      <c r="I367" t="n">
        <v>2661.1949</v>
      </c>
      <c r="J367" t="n">
        <v>7229.7551</v>
      </c>
      <c r="K367" t="n">
        <v>2019</v>
      </c>
      <c r="L367" t="n">
        <v>2035</v>
      </c>
      <c r="M367" t="n">
        <v>0.5499000000000001</v>
      </c>
      <c r="N367" t="n">
        <v>0.2996</v>
      </c>
      <c r="O367" t="n">
        <v>2018</v>
      </c>
      <c r="P367" t="inlineStr"/>
      <c r="Q367" t="inlineStr"/>
      <c r="R367" t="n">
        <v>529.8294</v>
      </c>
      <c r="S367" t="n">
        <v>0.00091413</v>
      </c>
      <c r="T367" t="n">
        <v>0.00096913</v>
      </c>
      <c r="U367" t="n">
        <v>12897.518</v>
      </c>
      <c r="V367" t="inlineStr">
        <is>
          <t>Provided Total Emissions</t>
        </is>
      </c>
      <c r="W367" t="b">
        <v>1</v>
      </c>
      <c r="X367" t="n">
        <v>19596.4361</v>
      </c>
      <c r="Y367" t="n">
        <v>60551.6089</v>
      </c>
      <c r="Z367" t="n">
        <v>6698.9181</v>
      </c>
      <c r="AA367" t="n">
        <v>47654.0909</v>
      </c>
      <c r="AB367" t="n">
        <v>0.519396</v>
      </c>
      <c r="AC367" t="n">
        <v>3.694826</v>
      </c>
      <c r="AD367" t="inlineStr">
        <is>
          <t>High</t>
        </is>
      </c>
      <c r="AE367" t="inlineStr">
        <is>
          <t>None</t>
        </is>
      </c>
      <c r="AF367" t="n">
        <v>0.95</v>
      </c>
      <c r="AG367" t="inlineStr">
        <is>
          <t>Valid</t>
        </is>
      </c>
    </row>
    <row r="368">
      <c r="A368" t="inlineStr">
        <is>
          <t>SUP-0037</t>
        </is>
      </c>
      <c r="B368" t="inlineStr">
        <is>
          <t>Agriculture Supplier 037</t>
        </is>
      </c>
      <c r="C368" t="inlineStr">
        <is>
          <t>Agriculture</t>
        </is>
      </c>
      <c r="D368" t="n">
        <v>2021</v>
      </c>
      <c r="E368" t="n">
        <v>24128271.05</v>
      </c>
      <c r="F368" t="n">
        <v>51164195.79</v>
      </c>
      <c r="G368" t="n">
        <v>11774.29</v>
      </c>
      <c r="H368" t="n">
        <v>2441.0935</v>
      </c>
      <c r="I368" t="n">
        <v>1510.5457</v>
      </c>
      <c r="J368" t="n">
        <v>7684.4666</v>
      </c>
      <c r="K368" t="n">
        <v>2019</v>
      </c>
      <c r="L368" t="n">
        <v>2035</v>
      </c>
      <c r="M368" t="n">
        <v>0.5499000000000001</v>
      </c>
      <c r="N368" t="n">
        <v>0.2996</v>
      </c>
      <c r="O368" t="n">
        <v>2018</v>
      </c>
      <c r="P368" t="inlineStr"/>
      <c r="Q368" t="inlineStr"/>
      <c r="R368" t="n">
        <v>529.8294</v>
      </c>
      <c r="S368" t="n">
        <v>0.00091413</v>
      </c>
      <c r="T368" t="n">
        <v>0.00096913</v>
      </c>
      <c r="U368" t="n">
        <v>11774.29</v>
      </c>
      <c r="V368" t="inlineStr">
        <is>
          <t>Provided Total Emissions</t>
        </is>
      </c>
      <c r="W368" t="b">
        <v>1</v>
      </c>
      <c r="X368" t="n">
        <v>22056.3764</v>
      </c>
      <c r="Y368" t="n">
        <v>49584.7571</v>
      </c>
      <c r="Z368" t="n">
        <v>10282.0864</v>
      </c>
      <c r="AA368" t="n">
        <v>37810.4671</v>
      </c>
      <c r="AB368" t="n">
        <v>0.873266</v>
      </c>
      <c r="AC368" t="n">
        <v>3.211274</v>
      </c>
      <c r="AD368" t="inlineStr">
        <is>
          <t>High</t>
        </is>
      </c>
      <c r="AE368" t="inlineStr">
        <is>
          <t>None</t>
        </is>
      </c>
      <c r="AF368" t="n">
        <v>0.95</v>
      </c>
      <c r="AG368" t="inlineStr">
        <is>
          <t>Valid</t>
        </is>
      </c>
    </row>
    <row r="369">
      <c r="A369" t="inlineStr">
        <is>
          <t>SUP-0037</t>
        </is>
      </c>
      <c r="B369" t="inlineStr">
        <is>
          <t>Agriculture Supplier 037</t>
        </is>
      </c>
      <c r="C369" t="inlineStr">
        <is>
          <t>Agriculture</t>
        </is>
      </c>
      <c r="D369" t="n">
        <v>2022</v>
      </c>
      <c r="E369" t="n">
        <v>24100987.37</v>
      </c>
      <c r="F369" t="n">
        <v>67850346.78</v>
      </c>
      <c r="G369" t="n">
        <v>14167.6272</v>
      </c>
      <c r="H369" t="n">
        <v>2665.7679</v>
      </c>
      <c r="I369" t="n">
        <v>1614.6304</v>
      </c>
      <c r="J369" t="n">
        <v>10393.0162</v>
      </c>
      <c r="K369" t="n">
        <v>2019</v>
      </c>
      <c r="L369" t="n">
        <v>2035</v>
      </c>
      <c r="M369" t="n">
        <v>0.5499000000000001</v>
      </c>
      <c r="N369" t="n">
        <v>0.2996</v>
      </c>
      <c r="O369" t="n">
        <v>2018</v>
      </c>
      <c r="P369" t="inlineStr"/>
      <c r="Q369" t="inlineStr"/>
      <c r="R369" t="n">
        <v>529.8294</v>
      </c>
      <c r="S369" t="n">
        <v>0.00091413</v>
      </c>
      <c r="T369" t="n">
        <v>0.00096913</v>
      </c>
      <c r="U369" t="n">
        <v>14167.6272</v>
      </c>
      <c r="V369" t="inlineStr">
        <is>
          <t>Provided Total Emissions</t>
        </is>
      </c>
      <c r="W369" t="b">
        <v>1</v>
      </c>
      <c r="X369" t="n">
        <v>22031.4356</v>
      </c>
      <c r="Y369" t="n">
        <v>65755.8066</v>
      </c>
      <c r="Z369" t="n">
        <v>7863.8084</v>
      </c>
      <c r="AA369" t="n">
        <v>51588.1794</v>
      </c>
      <c r="AB369" t="n">
        <v>0.555055</v>
      </c>
      <c r="AC369" t="n">
        <v>3.641272</v>
      </c>
      <c r="AD369" t="inlineStr">
        <is>
          <t>High</t>
        </is>
      </c>
      <c r="AE369" t="inlineStr">
        <is>
          <t>None</t>
        </is>
      </c>
      <c r="AF369" t="n">
        <v>0.95</v>
      </c>
      <c r="AG369" t="inlineStr">
        <is>
          <t>Valid</t>
        </is>
      </c>
    </row>
    <row r="370">
      <c r="A370" t="inlineStr">
        <is>
          <t>SUP-0037</t>
        </is>
      </c>
      <c r="B370" t="inlineStr">
        <is>
          <t>Agriculture Supplier 037</t>
        </is>
      </c>
      <c r="C370" t="inlineStr">
        <is>
          <t>Agriculture</t>
        </is>
      </c>
      <c r="D370" t="n">
        <v>2023</v>
      </c>
      <c r="E370" t="n">
        <v>20415046.49</v>
      </c>
      <c r="F370" t="n">
        <v>58791720.77</v>
      </c>
      <c r="G370" t="n">
        <v>11224.2775</v>
      </c>
      <c r="H370" t="n">
        <v>2321.5002</v>
      </c>
      <c r="I370" t="n">
        <v>1096.965</v>
      </c>
      <c r="J370" t="n">
        <v>7258.3922</v>
      </c>
      <c r="K370" t="n">
        <v>2019</v>
      </c>
      <c r="L370" t="n">
        <v>2035</v>
      </c>
      <c r="M370" t="n">
        <v>0.5499000000000001</v>
      </c>
      <c r="N370" t="n">
        <v>0.2996</v>
      </c>
      <c r="O370" t="n">
        <v>2018</v>
      </c>
      <c r="P370" t="inlineStr"/>
      <c r="Q370" t="inlineStr"/>
      <c r="R370" t="n">
        <v>529.8294</v>
      </c>
      <c r="S370" t="n">
        <v>0.00091413</v>
      </c>
      <c r="T370" t="n">
        <v>0.00096913</v>
      </c>
      <c r="U370" t="n">
        <v>11224.2775</v>
      </c>
      <c r="V370" t="inlineStr">
        <is>
          <t>Provided Total Emissions</t>
        </is>
      </c>
      <c r="W370" t="b">
        <v>1</v>
      </c>
      <c r="X370" t="n">
        <v>18662.0064</v>
      </c>
      <c r="Y370" t="n">
        <v>56976.8203</v>
      </c>
      <c r="Z370" t="n">
        <v>7437.7289</v>
      </c>
      <c r="AA370" t="n">
        <v>45752.5428</v>
      </c>
      <c r="AB370" t="n">
        <v>0.662647</v>
      </c>
      <c r="AC370" t="n">
        <v>4.076213</v>
      </c>
      <c r="AD370" t="inlineStr">
        <is>
          <t>High</t>
        </is>
      </c>
      <c r="AE370" t="inlineStr">
        <is>
          <t>None</t>
        </is>
      </c>
      <c r="AF370" t="n">
        <v>0.95</v>
      </c>
      <c r="AG370" t="inlineStr">
        <is>
          <t>Valid</t>
        </is>
      </c>
    </row>
    <row r="371">
      <c r="A371" t="inlineStr">
        <is>
          <t>SUP-0037</t>
        </is>
      </c>
      <c r="B371" t="inlineStr">
        <is>
          <t>Agriculture Supplier 037</t>
        </is>
      </c>
      <c r="C371" t="inlineStr">
        <is>
          <t>Agriculture</t>
        </is>
      </c>
      <c r="D371" t="n">
        <v>2024</v>
      </c>
      <c r="E371" t="n">
        <v>26483300.15</v>
      </c>
      <c r="F371" t="n">
        <v>57053590.24</v>
      </c>
      <c r="G371" t="n">
        <v>13051.2434</v>
      </c>
      <c r="H371" t="n">
        <v>3284.9472</v>
      </c>
      <c r="I371" t="n">
        <v>1144.4694</v>
      </c>
      <c r="J371" t="n">
        <v>9280.322700000001</v>
      </c>
      <c r="K371" t="n">
        <v>2019</v>
      </c>
      <c r="L371" t="n">
        <v>2035</v>
      </c>
      <c r="M371" t="n">
        <v>0.5499000000000001</v>
      </c>
      <c r="N371" t="n">
        <v>0.2996</v>
      </c>
      <c r="O371" t="n">
        <v>2018</v>
      </c>
      <c r="P371" t="inlineStr"/>
      <c r="Q371" t="inlineStr"/>
      <c r="R371" t="n">
        <v>529.8294</v>
      </c>
      <c r="S371" t="n">
        <v>0.00091413</v>
      </c>
      <c r="T371" t="n">
        <v>0.00096913</v>
      </c>
      <c r="U371" t="n">
        <v>13051.2434</v>
      </c>
      <c r="V371" t="inlineStr">
        <is>
          <t>Provided Total Emissions</t>
        </is>
      </c>
      <c r="W371" t="b">
        <v>1</v>
      </c>
      <c r="X371" t="n">
        <v>24209.1792</v>
      </c>
      <c r="Y371" t="n">
        <v>55292.3459</v>
      </c>
      <c r="Z371" t="n">
        <v>11157.9358</v>
      </c>
      <c r="AA371" t="n">
        <v>42241.1025</v>
      </c>
      <c r="AB371" t="n">
        <v>0.8549330000000001</v>
      </c>
      <c r="AC371" t="n">
        <v>3.236558</v>
      </c>
      <c r="AD371" t="inlineStr">
        <is>
          <t>High</t>
        </is>
      </c>
      <c r="AE371" t="inlineStr">
        <is>
          <t>None</t>
        </is>
      </c>
      <c r="AF371" t="n">
        <v>0.95</v>
      </c>
      <c r="AG371" t="inlineStr">
        <is>
          <t>Valid</t>
        </is>
      </c>
    </row>
    <row r="372">
      <c r="A372" t="inlineStr">
        <is>
          <t>SUP-0038</t>
        </is>
      </c>
      <c r="B372" t="inlineStr">
        <is>
          <t>Agriculture Supplier 038</t>
        </is>
      </c>
      <c r="C372" t="inlineStr">
        <is>
          <t>Agriculture</t>
        </is>
      </c>
      <c r="D372" t="n">
        <v>2015</v>
      </c>
      <c r="E372" t="n">
        <v>14805212.08</v>
      </c>
      <c r="F372" t="n">
        <v>43650389.3</v>
      </c>
      <c r="G372" t="n">
        <v>22876.7359</v>
      </c>
      <c r="H372" t="n">
        <v>4009.5025</v>
      </c>
      <c r="I372" t="n">
        <v>1612.1863</v>
      </c>
      <c r="J372" t="n">
        <v>16396.6582</v>
      </c>
      <c r="K372" t="n">
        <v>2020</v>
      </c>
      <c r="L372" t="n">
        <v>2040</v>
      </c>
      <c r="M372" t="n">
        <v>0.6816</v>
      </c>
      <c r="N372" t="n">
        <v>0.3985</v>
      </c>
      <c r="O372" t="n">
        <v>2018</v>
      </c>
      <c r="P372" t="inlineStr"/>
      <c r="Q372" t="inlineStr"/>
      <c r="R372" t="n">
        <v>529.8294</v>
      </c>
      <c r="S372" t="n">
        <v>0.00091413</v>
      </c>
      <c r="T372" t="n">
        <v>0.00096913</v>
      </c>
      <c r="U372" t="n">
        <v>22876.7359</v>
      </c>
      <c r="V372" t="inlineStr">
        <is>
          <t>Provided Total Emissions</t>
        </is>
      </c>
      <c r="W372" t="b">
        <v>1</v>
      </c>
      <c r="X372" t="n">
        <v>13533.8885</v>
      </c>
      <c r="Y372" t="n">
        <v>42302.9018</v>
      </c>
      <c r="Z372" t="n">
        <v>-9342.847400000001</v>
      </c>
      <c r="AA372" t="n">
        <v>19426.1659</v>
      </c>
      <c r="AB372" t="n">
        <v>-0.408399</v>
      </c>
      <c r="AC372" t="n">
        <v>0.849167</v>
      </c>
      <c r="AD372" t="inlineStr">
        <is>
          <t>High</t>
        </is>
      </c>
      <c r="AE372" t="inlineStr">
        <is>
          <t>None</t>
        </is>
      </c>
      <c r="AF372" t="n">
        <v>0.95</v>
      </c>
      <c r="AG372" t="inlineStr">
        <is>
          <t>Valid</t>
        </is>
      </c>
    </row>
    <row r="373">
      <c r="A373" t="inlineStr">
        <is>
          <t>SUP-0038</t>
        </is>
      </c>
      <c r="B373" t="inlineStr">
        <is>
          <t>Agriculture Supplier 038</t>
        </is>
      </c>
      <c r="C373" t="inlineStr">
        <is>
          <t>Agriculture</t>
        </is>
      </c>
      <c r="D373" t="n">
        <v>2016</v>
      </c>
      <c r="E373" t="n">
        <v>14556064.61</v>
      </c>
      <c r="F373" t="n">
        <v>47065155.38</v>
      </c>
      <c r="G373" t="n">
        <v>18967.999</v>
      </c>
      <c r="H373" t="n">
        <v>3818.1455</v>
      </c>
      <c r="I373" t="n">
        <v>3946.1347</v>
      </c>
      <c r="J373" t="n">
        <v>10654.0138</v>
      </c>
      <c r="K373" t="n">
        <v>2020</v>
      </c>
      <c r="L373" t="n">
        <v>2040</v>
      </c>
      <c r="M373" t="n">
        <v>0.6816</v>
      </c>
      <c r="N373" t="n">
        <v>0.3985</v>
      </c>
      <c r="O373" t="n">
        <v>2018</v>
      </c>
      <c r="P373" t="inlineStr"/>
      <c r="Q373" t="inlineStr"/>
      <c r="R373" t="n">
        <v>529.8294</v>
      </c>
      <c r="S373" t="n">
        <v>0.00091413</v>
      </c>
      <c r="T373" t="n">
        <v>0.00096913</v>
      </c>
      <c r="U373" t="n">
        <v>18967.999</v>
      </c>
      <c r="V373" t="inlineStr">
        <is>
          <t>Provided Total Emissions</t>
        </is>
      </c>
      <c r="W373" t="b">
        <v>1</v>
      </c>
      <c r="X373" t="n">
        <v>13306.1353</v>
      </c>
      <c r="Y373" t="n">
        <v>45612.254</v>
      </c>
      <c r="Z373" t="n">
        <v>-5661.8637</v>
      </c>
      <c r="AA373" t="n">
        <v>26644.255</v>
      </c>
      <c r="AB373" t="n">
        <v>-0.298496</v>
      </c>
      <c r="AC373" t="n">
        <v>1.404695</v>
      </c>
      <c r="AD373" t="inlineStr">
        <is>
          <t>High</t>
        </is>
      </c>
      <c r="AE373" t="inlineStr">
        <is>
          <t>None</t>
        </is>
      </c>
      <c r="AF373" t="n">
        <v>0.95</v>
      </c>
      <c r="AG373" t="inlineStr">
        <is>
          <t>Valid</t>
        </is>
      </c>
    </row>
    <row r="374">
      <c r="A374" t="inlineStr">
        <is>
          <t>SUP-0038</t>
        </is>
      </c>
      <c r="B374" t="inlineStr">
        <is>
          <t>Agriculture Supplier 038</t>
        </is>
      </c>
      <c r="C374" t="inlineStr">
        <is>
          <t>Agriculture</t>
        </is>
      </c>
      <c r="D374" t="n">
        <v>2017</v>
      </c>
      <c r="E374" t="n">
        <v>16152451.03</v>
      </c>
      <c r="F374" t="n">
        <v>41968027.5</v>
      </c>
      <c r="G374" t="n">
        <v>17865.2611</v>
      </c>
      <c r="H374" t="n">
        <v>2482.0328</v>
      </c>
      <c r="I374" t="n">
        <v>2155.3696</v>
      </c>
      <c r="J374" t="n">
        <v>12085.4284</v>
      </c>
      <c r="K374" t="n">
        <v>2020</v>
      </c>
      <c r="L374" t="n">
        <v>2040</v>
      </c>
      <c r="M374" t="n">
        <v>0.6816</v>
      </c>
      <c r="N374" t="n">
        <v>0.3985</v>
      </c>
      <c r="O374" t="n">
        <v>2018</v>
      </c>
      <c r="P374" t="inlineStr"/>
      <c r="Q374" t="inlineStr"/>
      <c r="R374" t="n">
        <v>529.8294</v>
      </c>
      <c r="S374" t="n">
        <v>0.00091413</v>
      </c>
      <c r="T374" t="n">
        <v>0.00096913</v>
      </c>
      <c r="U374" t="n">
        <v>17865.2611</v>
      </c>
      <c r="V374" t="inlineStr">
        <is>
          <t>Provided Total Emissions</t>
        </is>
      </c>
      <c r="W374" t="b">
        <v>1</v>
      </c>
      <c r="X374" t="n">
        <v>14765.4401</v>
      </c>
      <c r="Y374" t="n">
        <v>40672.4745</v>
      </c>
      <c r="Z374" t="n">
        <v>-3099.821</v>
      </c>
      <c r="AA374" t="n">
        <v>22807.2134</v>
      </c>
      <c r="AB374" t="n">
        <v>-0.173511</v>
      </c>
      <c r="AC374" t="n">
        <v>1.276624</v>
      </c>
      <c r="AD374" t="inlineStr">
        <is>
          <t>High</t>
        </is>
      </c>
      <c r="AE374" t="inlineStr">
        <is>
          <t>None</t>
        </is>
      </c>
      <c r="AF374" t="n">
        <v>0.95</v>
      </c>
      <c r="AG374" t="inlineStr">
        <is>
          <t>Valid</t>
        </is>
      </c>
    </row>
    <row r="375">
      <c r="A375" t="inlineStr">
        <is>
          <t>SUP-0038</t>
        </is>
      </c>
      <c r="B375" t="inlineStr">
        <is>
          <t>Agriculture Supplier 038</t>
        </is>
      </c>
      <c r="C375" t="inlineStr">
        <is>
          <t>Agriculture</t>
        </is>
      </c>
      <c r="D375" t="n">
        <v>2018</v>
      </c>
      <c r="E375" t="n">
        <v>12343138.76</v>
      </c>
      <c r="F375" t="n">
        <v>50074962.88</v>
      </c>
      <c r="G375" t="n">
        <v>11879.9428</v>
      </c>
      <c r="H375" t="n">
        <v>1308.9805</v>
      </c>
      <c r="I375" t="n">
        <v>2720.1646</v>
      </c>
      <c r="J375" t="n">
        <v>8168.2955</v>
      </c>
      <c r="K375" t="n">
        <v>2020</v>
      </c>
      <c r="L375" t="n">
        <v>2040</v>
      </c>
      <c r="M375" t="n">
        <v>0.6816</v>
      </c>
      <c r="N375" t="n">
        <v>0.3985</v>
      </c>
      <c r="O375" t="n">
        <v>2018</v>
      </c>
      <c r="P375" t="inlineStr"/>
      <c r="Q375" t="inlineStr"/>
      <c r="R375" t="n">
        <v>529.8294</v>
      </c>
      <c r="S375" t="n">
        <v>0.00091413</v>
      </c>
      <c r="T375" t="n">
        <v>0.00096913</v>
      </c>
      <c r="U375" t="n">
        <v>11879.9428</v>
      </c>
      <c r="V375" t="inlineStr">
        <is>
          <t>Provided Total Emissions</t>
        </is>
      </c>
      <c r="W375" t="b">
        <v>1</v>
      </c>
      <c r="X375" t="n">
        <v>11283.2334</v>
      </c>
      <c r="Y375" t="n">
        <v>48529.1488</v>
      </c>
      <c r="Z375" t="n">
        <v>-596.7094</v>
      </c>
      <c r="AA375" t="n">
        <v>36649.206</v>
      </c>
      <c r="AB375" t="n">
        <v>-0.050228</v>
      </c>
      <c r="AC375" t="n">
        <v>3.084965</v>
      </c>
      <c r="AD375" t="inlineStr">
        <is>
          <t>High</t>
        </is>
      </c>
      <c r="AE375" t="inlineStr">
        <is>
          <t>None</t>
        </is>
      </c>
      <c r="AF375" t="n">
        <v>0.95</v>
      </c>
      <c r="AG375" t="inlineStr">
        <is>
          <t>Valid</t>
        </is>
      </c>
    </row>
    <row r="376">
      <c r="A376" t="inlineStr">
        <is>
          <t>SUP-0038</t>
        </is>
      </c>
      <c r="B376" t="inlineStr">
        <is>
          <t>Agriculture Supplier 038</t>
        </is>
      </c>
      <c r="C376" t="inlineStr">
        <is>
          <t>Agriculture</t>
        </is>
      </c>
      <c r="D376" t="n">
        <v>2019</v>
      </c>
      <c r="E376" t="n">
        <v>13573368.1</v>
      </c>
      <c r="F376" t="n">
        <v>47407340.83</v>
      </c>
      <c r="G376" t="n">
        <v>18076.5701</v>
      </c>
      <c r="H376" t="n">
        <v>3185.1768</v>
      </c>
      <c r="I376" t="n">
        <v>2658.9788</v>
      </c>
      <c r="J376" t="n">
        <v>12535.1354</v>
      </c>
      <c r="K376" t="n">
        <v>2020</v>
      </c>
      <c r="L376" t="n">
        <v>2040</v>
      </c>
      <c r="M376" t="n">
        <v>0.6816</v>
      </c>
      <c r="N376" t="n">
        <v>0.3985</v>
      </c>
      <c r="O376" t="n">
        <v>2018</v>
      </c>
      <c r="P376" t="inlineStr"/>
      <c r="Q376" t="inlineStr"/>
      <c r="R376" t="n">
        <v>529.8294</v>
      </c>
      <c r="S376" t="n">
        <v>0.00091413</v>
      </c>
      <c r="T376" t="n">
        <v>0.00096913</v>
      </c>
      <c r="U376" t="n">
        <v>18076.5701</v>
      </c>
      <c r="V376" t="inlineStr">
        <is>
          <t>Provided Total Emissions</t>
        </is>
      </c>
      <c r="W376" t="b">
        <v>1</v>
      </c>
      <c r="X376" t="n">
        <v>12407.823</v>
      </c>
      <c r="Y376" t="n">
        <v>45943.8762</v>
      </c>
      <c r="Z376" t="n">
        <v>-5668.7471</v>
      </c>
      <c r="AA376" t="n">
        <v>27867.3061</v>
      </c>
      <c r="AB376" t="n">
        <v>-0.313596</v>
      </c>
      <c r="AC376" t="n">
        <v>1.541626</v>
      </c>
      <c r="AD376" t="inlineStr">
        <is>
          <t>High</t>
        </is>
      </c>
      <c r="AE376" t="inlineStr">
        <is>
          <t>None</t>
        </is>
      </c>
      <c r="AF376" t="n">
        <v>0.95</v>
      </c>
      <c r="AG376" t="inlineStr">
        <is>
          <t>Valid</t>
        </is>
      </c>
    </row>
    <row r="377">
      <c r="A377" t="inlineStr">
        <is>
          <t>SUP-0038</t>
        </is>
      </c>
      <c r="B377" t="inlineStr">
        <is>
          <t>Agriculture Supplier 038</t>
        </is>
      </c>
      <c r="C377" t="inlineStr">
        <is>
          <t>Agriculture</t>
        </is>
      </c>
      <c r="D377" t="n">
        <v>2020</v>
      </c>
      <c r="E377" t="n">
        <v>12559955.47</v>
      </c>
      <c r="F377" t="n">
        <v>40375714.69</v>
      </c>
      <c r="G377" t="n">
        <v>13839.7149</v>
      </c>
      <c r="H377" t="n">
        <v>1848.357</v>
      </c>
      <c r="I377" t="n">
        <v>1860.1332</v>
      </c>
      <c r="J377" t="n">
        <v>10509.9595</v>
      </c>
      <c r="K377" t="n">
        <v>2020</v>
      </c>
      <c r="L377" t="n">
        <v>2040</v>
      </c>
      <c r="M377" t="n">
        <v>0.6816</v>
      </c>
      <c r="N377" t="n">
        <v>0.3985</v>
      </c>
      <c r="O377" t="n">
        <v>2018</v>
      </c>
      <c r="P377" t="inlineStr"/>
      <c r="Q377" t="inlineStr"/>
      <c r="R377" t="n">
        <v>529.8294</v>
      </c>
      <c r="S377" t="n">
        <v>0.00091413</v>
      </c>
      <c r="T377" t="n">
        <v>0.00096913</v>
      </c>
      <c r="U377" t="n">
        <v>13839.7149</v>
      </c>
      <c r="V377" t="inlineStr">
        <is>
          <t>Provided Total Emissions</t>
        </is>
      </c>
      <c r="W377" t="b">
        <v>1</v>
      </c>
      <c r="X377" t="n">
        <v>11481.4321</v>
      </c>
      <c r="Y377" t="n">
        <v>39129.3164</v>
      </c>
      <c r="Z377" t="n">
        <v>-2358.2828</v>
      </c>
      <c r="AA377" t="n">
        <v>25289.6015</v>
      </c>
      <c r="AB377" t="n">
        <v>-0.1704</v>
      </c>
      <c r="AC377" t="n">
        <v>1.827321</v>
      </c>
      <c r="AD377" t="inlineStr">
        <is>
          <t>High</t>
        </is>
      </c>
      <c r="AE377" t="inlineStr">
        <is>
          <t>None</t>
        </is>
      </c>
      <c r="AF377" t="n">
        <v>0.95</v>
      </c>
      <c r="AG377" t="inlineStr">
        <is>
          <t>Valid</t>
        </is>
      </c>
    </row>
    <row r="378">
      <c r="A378" t="inlineStr">
        <is>
          <t>SUP-0038</t>
        </is>
      </c>
      <c r="B378" t="inlineStr">
        <is>
          <t>Agriculture Supplier 038</t>
        </is>
      </c>
      <c r="C378" t="inlineStr">
        <is>
          <t>Agriculture</t>
        </is>
      </c>
      <c r="D378" t="n">
        <v>2021</v>
      </c>
      <c r="E378" t="n">
        <v>14562351.39</v>
      </c>
      <c r="F378" t="n">
        <v>54781787.14</v>
      </c>
      <c r="G378" t="n">
        <v>19234.0241</v>
      </c>
      <c r="H378" t="n">
        <v>2444.2313</v>
      </c>
      <c r="I378" t="n">
        <v>1177.2597</v>
      </c>
      <c r="J378" t="n">
        <v>16645.5067</v>
      </c>
      <c r="K378" t="n">
        <v>2020</v>
      </c>
      <c r="L378" t="n">
        <v>2040</v>
      </c>
      <c r="M378" t="n">
        <v>0.6816</v>
      </c>
      <c r="N378" t="n">
        <v>0.3985</v>
      </c>
      <c r="O378" t="n">
        <v>2018</v>
      </c>
      <c r="P378" t="inlineStr"/>
      <c r="Q378" t="inlineStr"/>
      <c r="R378" t="n">
        <v>529.8294</v>
      </c>
      <c r="S378" t="n">
        <v>0.00091413</v>
      </c>
      <c r="T378" t="n">
        <v>0.00096913</v>
      </c>
      <c r="U378" t="n">
        <v>19234.0241</v>
      </c>
      <c r="V378" t="inlineStr">
        <is>
          <t>Provided Total Emissions</t>
        </is>
      </c>
      <c r="W378" t="b">
        <v>1</v>
      </c>
      <c r="X378" t="n">
        <v>13311.8823</v>
      </c>
      <c r="Y378" t="n">
        <v>53090.6734</v>
      </c>
      <c r="Z378" t="n">
        <v>-5922.1418</v>
      </c>
      <c r="AA378" t="n">
        <v>33856.6493</v>
      </c>
      <c r="AB378" t="n">
        <v>-0.307899</v>
      </c>
      <c r="AC378" t="n">
        <v>1.760248</v>
      </c>
      <c r="AD378" t="inlineStr">
        <is>
          <t>High</t>
        </is>
      </c>
      <c r="AE378" t="inlineStr">
        <is>
          <t>None</t>
        </is>
      </c>
      <c r="AF378" t="n">
        <v>0.95</v>
      </c>
      <c r="AG378" t="inlineStr">
        <is>
          <t>Valid</t>
        </is>
      </c>
    </row>
    <row r="379">
      <c r="A379" t="inlineStr">
        <is>
          <t>SUP-0038</t>
        </is>
      </c>
      <c r="B379" t="inlineStr">
        <is>
          <t>Agriculture Supplier 038</t>
        </is>
      </c>
      <c r="C379" t="inlineStr">
        <is>
          <t>Agriculture</t>
        </is>
      </c>
      <c r="D379" t="n">
        <v>2022</v>
      </c>
      <c r="E379" t="n">
        <v>14570276.25</v>
      </c>
      <c r="F379" t="n">
        <v>50887522.7</v>
      </c>
      <c r="G379" t="n">
        <v>12777.9916</v>
      </c>
      <c r="H379" t="n">
        <v>3164.9433</v>
      </c>
      <c r="I379" t="n">
        <v>2201.0522</v>
      </c>
      <c r="J379" t="n">
        <v>7417.6339</v>
      </c>
      <c r="K379" t="n">
        <v>2020</v>
      </c>
      <c r="L379" t="n">
        <v>2040</v>
      </c>
      <c r="M379" t="n">
        <v>0.6816</v>
      </c>
      <c r="N379" t="n">
        <v>0.3985</v>
      </c>
      <c r="O379" t="n">
        <v>2018</v>
      </c>
      <c r="P379" t="inlineStr"/>
      <c r="Q379" t="inlineStr"/>
      <c r="R379" t="n">
        <v>529.8294</v>
      </c>
      <c r="S379" t="n">
        <v>0.00091413</v>
      </c>
      <c r="T379" t="n">
        <v>0.00096913</v>
      </c>
      <c r="U379" t="n">
        <v>12777.9916</v>
      </c>
      <c r="V379" t="inlineStr">
        <is>
          <t>Provided Total Emissions</t>
        </is>
      </c>
      <c r="W379" t="b">
        <v>1</v>
      </c>
      <c r="X379" t="n">
        <v>13319.1266</v>
      </c>
      <c r="Y379" t="n">
        <v>49316.6249</v>
      </c>
      <c r="Z379" t="n">
        <v>541.135</v>
      </c>
      <c r="AA379" t="n">
        <v>36538.6333</v>
      </c>
      <c r="AB379" t="n">
        <v>0.042349</v>
      </c>
      <c r="AC379" t="n">
        <v>2.859497</v>
      </c>
      <c r="AD379" t="inlineStr">
        <is>
          <t>High</t>
        </is>
      </c>
      <c r="AE379" t="inlineStr">
        <is>
          <t>None</t>
        </is>
      </c>
      <c r="AF379" t="n">
        <v>0.95</v>
      </c>
      <c r="AG379" t="inlineStr">
        <is>
          <t>Valid</t>
        </is>
      </c>
    </row>
    <row r="380">
      <c r="A380" t="inlineStr">
        <is>
          <t>SUP-0038</t>
        </is>
      </c>
      <c r="B380" t="inlineStr">
        <is>
          <t>Agriculture Supplier 038</t>
        </is>
      </c>
      <c r="C380" t="inlineStr">
        <is>
          <t>Agriculture</t>
        </is>
      </c>
      <c r="D380" t="n">
        <v>2023</v>
      </c>
      <c r="E380" t="n">
        <v>14350857.76</v>
      </c>
      <c r="F380" t="n">
        <v>37362785.44</v>
      </c>
      <c r="G380" t="n">
        <v>15025.2831</v>
      </c>
      <c r="H380" t="n">
        <v>4021.3266</v>
      </c>
      <c r="I380" t="n">
        <v>1954.4517</v>
      </c>
      <c r="J380" t="n">
        <v>8918.0563</v>
      </c>
      <c r="K380" t="n">
        <v>2020</v>
      </c>
      <c r="L380" t="n">
        <v>2040</v>
      </c>
      <c r="M380" t="n">
        <v>0.6816</v>
      </c>
      <c r="N380" t="n">
        <v>0.3985</v>
      </c>
      <c r="O380" t="n">
        <v>2018</v>
      </c>
      <c r="P380" t="inlineStr"/>
      <c r="Q380" t="inlineStr"/>
      <c r="R380" t="n">
        <v>529.8294</v>
      </c>
      <c r="S380" t="n">
        <v>0.00091413</v>
      </c>
      <c r="T380" t="n">
        <v>0.00096913</v>
      </c>
      <c r="U380" t="n">
        <v>15025.2831</v>
      </c>
      <c r="V380" t="inlineStr">
        <is>
          <t>Provided Total Emissions</t>
        </is>
      </c>
      <c r="W380" t="b">
        <v>1</v>
      </c>
      <c r="X380" t="n">
        <v>13118.5496</v>
      </c>
      <c r="Y380" t="n">
        <v>36209.3963</v>
      </c>
      <c r="Z380" t="n">
        <v>-1906.7335</v>
      </c>
      <c r="AA380" t="n">
        <v>21184.1132</v>
      </c>
      <c r="AB380" t="n">
        <v>-0.126902</v>
      </c>
      <c r="AC380" t="n">
        <v>1.409898</v>
      </c>
      <c r="AD380" t="inlineStr">
        <is>
          <t>High</t>
        </is>
      </c>
      <c r="AE380" t="inlineStr">
        <is>
          <t>None</t>
        </is>
      </c>
      <c r="AF380" t="n">
        <v>0.95</v>
      </c>
      <c r="AG380" t="inlineStr">
        <is>
          <t>Valid</t>
        </is>
      </c>
    </row>
    <row r="381">
      <c r="A381" t="inlineStr">
        <is>
          <t>SUP-0038</t>
        </is>
      </c>
      <c r="B381" t="inlineStr">
        <is>
          <t>Agriculture Supplier 038</t>
        </is>
      </c>
      <c r="C381" t="inlineStr">
        <is>
          <t>Agriculture</t>
        </is>
      </c>
      <c r="D381" t="n">
        <v>2024</v>
      </c>
      <c r="E381" t="n">
        <v>13831452.9</v>
      </c>
      <c r="F381" t="n">
        <v>33834276.85</v>
      </c>
      <c r="G381" t="n">
        <v>16071.1844</v>
      </c>
      <c r="H381" t="n">
        <v>2142.4139</v>
      </c>
      <c r="I381" t="n">
        <v>2355.7957</v>
      </c>
      <c r="J381" t="n">
        <v>10997.5378</v>
      </c>
      <c r="K381" t="n">
        <v>2020</v>
      </c>
      <c r="L381" t="n">
        <v>2040</v>
      </c>
      <c r="M381" t="n">
        <v>0.6816</v>
      </c>
      <c r="N381" t="n">
        <v>0.3985</v>
      </c>
      <c r="O381" t="n">
        <v>2018</v>
      </c>
      <c r="P381" t="inlineStr"/>
      <c r="Q381" t="inlineStr"/>
      <c r="R381" t="n">
        <v>529.8294</v>
      </c>
      <c r="S381" t="n">
        <v>0.00091413</v>
      </c>
      <c r="T381" t="n">
        <v>0.00096913</v>
      </c>
      <c r="U381" t="n">
        <v>16071.1844</v>
      </c>
      <c r="V381" t="inlineStr">
        <is>
          <t>Provided Total Emissions</t>
        </is>
      </c>
      <c r="W381" t="b">
        <v>1</v>
      </c>
      <c r="X381" t="n">
        <v>12643.746</v>
      </c>
      <c r="Y381" t="n">
        <v>32789.8127</v>
      </c>
      <c r="Z381" t="n">
        <v>-3427.4384</v>
      </c>
      <c r="AA381" t="n">
        <v>16718.6283</v>
      </c>
      <c r="AB381" t="n">
        <v>-0.213266</v>
      </c>
      <c r="AC381" t="n">
        <v>1.040286</v>
      </c>
      <c r="AD381" t="inlineStr">
        <is>
          <t>High</t>
        </is>
      </c>
      <c r="AE381" t="inlineStr">
        <is>
          <t>None</t>
        </is>
      </c>
      <c r="AF381" t="n">
        <v>0.95</v>
      </c>
      <c r="AG381" t="inlineStr">
        <is>
          <t>Valid</t>
        </is>
      </c>
    </row>
    <row r="382">
      <c r="A382" t="inlineStr">
        <is>
          <t>SUP-0039</t>
        </is>
      </c>
      <c r="B382" t="inlineStr">
        <is>
          <t>Electronics Supplier 039</t>
        </is>
      </c>
      <c r="C382" t="inlineStr">
        <is>
          <t>Electronics</t>
        </is>
      </c>
      <c r="D382" t="n">
        <v>2015</v>
      </c>
      <c r="E382" t="n">
        <v>22650957.54</v>
      </c>
      <c r="F382" t="n">
        <v>184179008.14</v>
      </c>
      <c r="G382" t="n">
        <v>14435.294</v>
      </c>
      <c r="H382" t="n">
        <v>2403.3883</v>
      </c>
      <c r="I382" t="n">
        <v>1418.1893</v>
      </c>
      <c r="J382" t="n">
        <v>10054.5759</v>
      </c>
      <c r="K382" t="inlineStr"/>
      <c r="L382" t="inlineStr"/>
      <c r="M382" t="inlineStr"/>
      <c r="N382" t="inlineStr"/>
      <c r="O382" t="n">
        <v>2018</v>
      </c>
      <c r="P382" t="n">
        <v>2040</v>
      </c>
      <c r="Q382" t="n">
        <v>0.3424</v>
      </c>
      <c r="R382" t="n">
        <v>635.1588</v>
      </c>
      <c r="S382" t="n">
        <v>0.00086105</v>
      </c>
      <c r="T382" t="n">
        <v>0.00013947</v>
      </c>
      <c r="U382" t="n">
        <v>14435.294</v>
      </c>
      <c r="V382" t="inlineStr">
        <is>
          <t>Provided Total Emissions</t>
        </is>
      </c>
      <c r="W382" t="b">
        <v>1</v>
      </c>
      <c r="X382" t="n">
        <v>19503.607</v>
      </c>
      <c r="Y382" t="n">
        <v>25687.4463</v>
      </c>
      <c r="Z382" t="n">
        <v>5068.313</v>
      </c>
      <c r="AA382" t="n">
        <v>11252.1523</v>
      </c>
      <c r="AB382" t="n">
        <v>0.351106</v>
      </c>
      <c r="AC382" t="n">
        <v>0.779489</v>
      </c>
      <c r="AD382" t="inlineStr">
        <is>
          <t>High</t>
        </is>
      </c>
      <c r="AE382" t="inlineStr">
        <is>
          <t>None</t>
        </is>
      </c>
      <c r="AF382" t="n">
        <v>0.95</v>
      </c>
      <c r="AG382" t="inlineStr">
        <is>
          <t>Valid</t>
        </is>
      </c>
    </row>
    <row r="383">
      <c r="A383" t="inlineStr">
        <is>
          <t>SUP-0039</t>
        </is>
      </c>
      <c r="B383" t="inlineStr">
        <is>
          <t>Electronics Supplier 039</t>
        </is>
      </c>
      <c r="C383" t="inlineStr">
        <is>
          <t>Electronics</t>
        </is>
      </c>
      <c r="D383" t="n">
        <v>2016</v>
      </c>
      <c r="E383" t="n">
        <v>25617368.06</v>
      </c>
      <c r="F383" t="n">
        <v>172986219.1</v>
      </c>
      <c r="G383" t="n">
        <v>16355.3013</v>
      </c>
      <c r="H383" t="n">
        <v>4026.2406</v>
      </c>
      <c r="I383" t="n">
        <v>1991.5224</v>
      </c>
      <c r="J383" t="n">
        <v>9372.720600000001</v>
      </c>
      <c r="K383" t="inlineStr"/>
      <c r="L383" t="inlineStr"/>
      <c r="M383" t="inlineStr"/>
      <c r="N383" t="inlineStr"/>
      <c r="O383" t="n">
        <v>2018</v>
      </c>
      <c r="P383" t="n">
        <v>2040</v>
      </c>
      <c r="Q383" t="n">
        <v>0.3424</v>
      </c>
      <c r="R383" t="n">
        <v>635.1588</v>
      </c>
      <c r="S383" t="n">
        <v>0.00086105</v>
      </c>
      <c r="T383" t="n">
        <v>0.00013947</v>
      </c>
      <c r="U383" t="n">
        <v>16355.3013</v>
      </c>
      <c r="V383" t="inlineStr">
        <is>
          <t>Provided Total Emissions</t>
        </is>
      </c>
      <c r="W383" t="b">
        <v>1</v>
      </c>
      <c r="X383" t="n">
        <v>22057.8348</v>
      </c>
      <c r="Y383" t="n">
        <v>24126.388</v>
      </c>
      <c r="Z383" t="n">
        <v>5702.5335</v>
      </c>
      <c r="AA383" t="n">
        <v>7771.0867</v>
      </c>
      <c r="AB383" t="n">
        <v>0.348666</v>
      </c>
      <c r="AC383" t="n">
        <v>0.475142</v>
      </c>
      <c r="AD383" t="inlineStr">
        <is>
          <t>High</t>
        </is>
      </c>
      <c r="AE383" t="inlineStr">
        <is>
          <t>None</t>
        </is>
      </c>
      <c r="AF383" t="n">
        <v>0.95</v>
      </c>
      <c r="AG383" t="inlineStr">
        <is>
          <t>Valid</t>
        </is>
      </c>
    </row>
    <row r="384">
      <c r="A384" t="inlineStr">
        <is>
          <t>SUP-0039</t>
        </is>
      </c>
      <c r="B384" t="inlineStr">
        <is>
          <t>Electronics Supplier 039</t>
        </is>
      </c>
      <c r="C384" t="inlineStr">
        <is>
          <t>Electronics</t>
        </is>
      </c>
      <c r="D384" t="n">
        <v>2017</v>
      </c>
      <c r="E384" t="n">
        <v>24068630.98</v>
      </c>
      <c r="F384" t="n">
        <v>205583351</v>
      </c>
      <c r="G384" t="n">
        <v>14583.1756</v>
      </c>
      <c r="H384" t="n">
        <v>3922.5515</v>
      </c>
      <c r="I384" t="n">
        <v>2318.3639</v>
      </c>
      <c r="J384" t="n">
        <v>8766.191800000001</v>
      </c>
      <c r="K384" t="inlineStr"/>
      <c r="L384" t="inlineStr"/>
      <c r="M384" t="inlineStr"/>
      <c r="N384" t="inlineStr"/>
      <c r="O384" t="n">
        <v>2018</v>
      </c>
      <c r="P384" t="n">
        <v>2040</v>
      </c>
      <c r="Q384" t="n">
        <v>0.3424</v>
      </c>
      <c r="R384" t="n">
        <v>635.1588</v>
      </c>
      <c r="S384" t="n">
        <v>0.00086105</v>
      </c>
      <c r="T384" t="n">
        <v>0.00013947</v>
      </c>
      <c r="U384" t="n">
        <v>14583.1756</v>
      </c>
      <c r="V384" t="inlineStr">
        <is>
          <t>Provided Total Emissions</t>
        </is>
      </c>
      <c r="W384" t="b">
        <v>1</v>
      </c>
      <c r="X384" t="n">
        <v>20724.2947</v>
      </c>
      <c r="Y384" t="n">
        <v>28672.71</v>
      </c>
      <c r="Z384" t="n">
        <v>6141.1191</v>
      </c>
      <c r="AA384" t="n">
        <v>14089.5344</v>
      </c>
      <c r="AB384" t="n">
        <v>0.42111</v>
      </c>
      <c r="AC384" t="n">
        <v>0.96615</v>
      </c>
      <c r="AD384" t="inlineStr">
        <is>
          <t>High</t>
        </is>
      </c>
      <c r="AE384" t="inlineStr">
        <is>
          <t>None</t>
        </is>
      </c>
      <c r="AF384" t="n">
        <v>0.95</v>
      </c>
      <c r="AG384" t="inlineStr">
        <is>
          <t>Valid</t>
        </is>
      </c>
    </row>
    <row r="385">
      <c r="A385" t="inlineStr">
        <is>
          <t>SUP-0039</t>
        </is>
      </c>
      <c r="B385" t="inlineStr">
        <is>
          <t>Electronics Supplier 039</t>
        </is>
      </c>
      <c r="C385" t="inlineStr">
        <is>
          <t>Electronics</t>
        </is>
      </c>
      <c r="D385" t="n">
        <v>2018</v>
      </c>
      <c r="E385" t="n">
        <v>27320540.01</v>
      </c>
      <c r="F385" t="n">
        <v>199240719.61</v>
      </c>
      <c r="G385" t="n">
        <v>15897.3007</v>
      </c>
      <c r="H385" t="n">
        <v>2879.5923</v>
      </c>
      <c r="I385" t="n">
        <v>1035.1758</v>
      </c>
      <c r="J385" t="n">
        <v>10725.5987</v>
      </c>
      <c r="K385" t="inlineStr"/>
      <c r="L385" t="inlineStr"/>
      <c r="M385" t="inlineStr"/>
      <c r="N385" t="inlineStr"/>
      <c r="O385" t="n">
        <v>2018</v>
      </c>
      <c r="P385" t="n">
        <v>2040</v>
      </c>
      <c r="Q385" t="n">
        <v>0.3424</v>
      </c>
      <c r="R385" t="n">
        <v>635.1588</v>
      </c>
      <c r="S385" t="n">
        <v>0.00086105</v>
      </c>
      <c r="T385" t="n">
        <v>0.00013947</v>
      </c>
      <c r="U385" t="n">
        <v>15897.3007</v>
      </c>
      <c r="V385" t="inlineStr">
        <is>
          <t>Provided Total Emissions</t>
        </is>
      </c>
      <c r="W385" t="b">
        <v>1</v>
      </c>
      <c r="X385" t="n">
        <v>23524.351</v>
      </c>
      <c r="Y385" t="n">
        <v>27788.1032</v>
      </c>
      <c r="Z385" t="n">
        <v>7627.0503</v>
      </c>
      <c r="AA385" t="n">
        <v>11890.8025</v>
      </c>
      <c r="AB385" t="n">
        <v>0.47977</v>
      </c>
      <c r="AC385" t="n">
        <v>0.747976</v>
      </c>
      <c r="AD385" t="inlineStr">
        <is>
          <t>High</t>
        </is>
      </c>
      <c r="AE385" t="inlineStr">
        <is>
          <t>None</t>
        </is>
      </c>
      <c r="AF385" t="n">
        <v>0.95</v>
      </c>
      <c r="AG385" t="inlineStr">
        <is>
          <t>Valid</t>
        </is>
      </c>
    </row>
    <row r="386">
      <c r="A386" t="inlineStr">
        <is>
          <t>SUP-0039</t>
        </is>
      </c>
      <c r="B386" t="inlineStr">
        <is>
          <t>Electronics Supplier 039</t>
        </is>
      </c>
      <c r="C386" t="inlineStr">
        <is>
          <t>Electronics</t>
        </is>
      </c>
      <c r="D386" t="n">
        <v>2019</v>
      </c>
      <c r="E386" t="n">
        <v>26276313.59</v>
      </c>
      <c r="F386" t="n">
        <v>197886759.44</v>
      </c>
      <c r="G386" t="n">
        <v>15946.8821</v>
      </c>
      <c r="H386" t="n">
        <v>2200.6736</v>
      </c>
      <c r="I386" t="n">
        <v>3340.5853</v>
      </c>
      <c r="J386" t="n">
        <v>10303.653</v>
      </c>
      <c r="K386" t="inlineStr"/>
      <c r="L386" t="inlineStr"/>
      <c r="M386" t="inlineStr"/>
      <c r="N386" t="inlineStr"/>
      <c r="O386" t="n">
        <v>2018</v>
      </c>
      <c r="P386" t="n">
        <v>2040</v>
      </c>
      <c r="Q386" t="n">
        <v>0.3424</v>
      </c>
      <c r="R386" t="n">
        <v>635.1588</v>
      </c>
      <c r="S386" t="n">
        <v>0.00086105</v>
      </c>
      <c r="T386" t="n">
        <v>0.00013947</v>
      </c>
      <c r="U386" t="n">
        <v>15946.8821</v>
      </c>
      <c r="V386" t="inlineStr">
        <is>
          <t>Provided Total Emissions</t>
        </is>
      </c>
      <c r="W386" t="b">
        <v>1</v>
      </c>
      <c r="X386" t="n">
        <v>22625.2198</v>
      </c>
      <c r="Y386" t="n">
        <v>27599.2663</v>
      </c>
      <c r="Z386" t="n">
        <v>6678.3377</v>
      </c>
      <c r="AA386" t="n">
        <v>11652.3842</v>
      </c>
      <c r="AB386" t="n">
        <v>0.418786</v>
      </c>
      <c r="AC386" t="n">
        <v>0.7307</v>
      </c>
      <c r="AD386" t="inlineStr">
        <is>
          <t>High</t>
        </is>
      </c>
      <c r="AE386" t="inlineStr">
        <is>
          <t>None</t>
        </is>
      </c>
      <c r="AF386" t="n">
        <v>0.95</v>
      </c>
      <c r="AG386" t="inlineStr">
        <is>
          <t>Valid</t>
        </is>
      </c>
    </row>
    <row r="387">
      <c r="A387" t="inlineStr">
        <is>
          <t>SUP-0039</t>
        </is>
      </c>
      <c r="B387" t="inlineStr">
        <is>
          <t>Electronics Supplier 039</t>
        </is>
      </c>
      <c r="C387" t="inlineStr">
        <is>
          <t>Electronics</t>
        </is>
      </c>
      <c r="D387" t="n">
        <v>2020</v>
      </c>
      <c r="E387" t="n">
        <v>31447738.13</v>
      </c>
      <c r="F387" t="n">
        <v>273596282.03</v>
      </c>
      <c r="G387" t="n">
        <v>15049.2047</v>
      </c>
      <c r="H387" t="n">
        <v>2156.2719</v>
      </c>
      <c r="I387" t="n">
        <v>1111.5808</v>
      </c>
      <c r="J387" t="n">
        <v>12033.9607</v>
      </c>
      <c r="K387" t="inlineStr"/>
      <c r="L387" t="inlineStr"/>
      <c r="M387" t="inlineStr"/>
      <c r="N387" t="inlineStr"/>
      <c r="O387" t="n">
        <v>2018</v>
      </c>
      <c r="P387" t="n">
        <v>2040</v>
      </c>
      <c r="Q387" t="n">
        <v>0.3424</v>
      </c>
      <c r="R387" t="n">
        <v>635.1588</v>
      </c>
      <c r="S387" t="n">
        <v>0.00086105</v>
      </c>
      <c r="T387" t="n">
        <v>0.00013947</v>
      </c>
      <c r="U387" t="n">
        <v>15049.2047</v>
      </c>
      <c r="V387" t="inlineStr">
        <is>
          <t>Provided Total Emissions</t>
        </is>
      </c>
      <c r="W387" t="b">
        <v>1</v>
      </c>
      <c r="X387" t="n">
        <v>27078.0749</v>
      </c>
      <c r="Y387" t="n">
        <v>38158.4735</v>
      </c>
      <c r="Z387" t="n">
        <v>12028.8702</v>
      </c>
      <c r="AA387" t="n">
        <v>23109.2688</v>
      </c>
      <c r="AB387" t="n">
        <v>0.799303</v>
      </c>
      <c r="AC387" t="n">
        <v>1.535581</v>
      </c>
      <c r="AD387" t="inlineStr">
        <is>
          <t>High</t>
        </is>
      </c>
      <c r="AE387" t="inlineStr">
        <is>
          <t>None</t>
        </is>
      </c>
      <c r="AF387" t="n">
        <v>0.95</v>
      </c>
      <c r="AG387" t="inlineStr">
        <is>
          <t>Valid</t>
        </is>
      </c>
    </row>
    <row r="388">
      <c r="A388" t="inlineStr">
        <is>
          <t>SUP-0039</t>
        </is>
      </c>
      <c r="B388" t="inlineStr">
        <is>
          <t>Electronics Supplier 039</t>
        </is>
      </c>
      <c r="C388" t="inlineStr">
        <is>
          <t>Electronics</t>
        </is>
      </c>
      <c r="D388" t="n">
        <v>2021</v>
      </c>
      <c r="E388" t="n">
        <v>28311716.4</v>
      </c>
      <c r="F388" t="n">
        <v>230571342.34</v>
      </c>
      <c r="G388" t="n">
        <v>11094.521</v>
      </c>
      <c r="H388" t="n">
        <v>1979.1161</v>
      </c>
      <c r="I388" t="n">
        <v>2321.1854</v>
      </c>
      <c r="J388" t="n">
        <v>7321.18</v>
      </c>
      <c r="K388" t="inlineStr"/>
      <c r="L388" t="inlineStr"/>
      <c r="M388" t="inlineStr"/>
      <c r="N388" t="inlineStr"/>
      <c r="O388" t="n">
        <v>2018</v>
      </c>
      <c r="P388" t="n">
        <v>2040</v>
      </c>
      <c r="Q388" t="n">
        <v>0.3424</v>
      </c>
      <c r="R388" t="n">
        <v>635.1588</v>
      </c>
      <c r="S388" t="n">
        <v>0.00086105</v>
      </c>
      <c r="T388" t="n">
        <v>0.00013947</v>
      </c>
      <c r="U388" t="n">
        <v>11094.521</v>
      </c>
      <c r="V388" t="inlineStr">
        <is>
          <t>Provided Total Emissions</t>
        </is>
      </c>
      <c r="W388" t="b">
        <v>1</v>
      </c>
      <c r="X388" t="n">
        <v>24377.8034</v>
      </c>
      <c r="Y388" t="n">
        <v>32157.7851</v>
      </c>
      <c r="Z388" t="n">
        <v>13283.2824</v>
      </c>
      <c r="AA388" t="n">
        <v>21063.2641</v>
      </c>
      <c r="AB388" t="n">
        <v>1.197283</v>
      </c>
      <c r="AC388" t="n">
        <v>1.898528</v>
      </c>
      <c r="AD388" t="inlineStr">
        <is>
          <t>High</t>
        </is>
      </c>
      <c r="AE388" t="inlineStr">
        <is>
          <t>None</t>
        </is>
      </c>
      <c r="AF388" t="n">
        <v>0.95</v>
      </c>
      <c r="AG388" t="inlineStr">
        <is>
          <t>Valid</t>
        </is>
      </c>
    </row>
    <row r="389">
      <c r="A389" t="inlineStr">
        <is>
          <t>SUP-0039</t>
        </is>
      </c>
      <c r="B389" t="inlineStr">
        <is>
          <t>Electronics Supplier 039</t>
        </is>
      </c>
      <c r="C389" t="inlineStr">
        <is>
          <t>Electronics</t>
        </is>
      </c>
      <c r="D389" t="n">
        <v>2022</v>
      </c>
      <c r="E389" t="n">
        <v>33119650.09</v>
      </c>
      <c r="F389" t="n">
        <v>288421301.75</v>
      </c>
      <c r="G389" t="n">
        <v>13987.645</v>
      </c>
      <c r="H389" t="n">
        <v>2453.8536</v>
      </c>
      <c r="I389" t="n">
        <v>1738.5436</v>
      </c>
      <c r="J389" t="n">
        <v>8999.0386</v>
      </c>
      <c r="K389" t="inlineStr"/>
      <c r="L389" t="inlineStr"/>
      <c r="M389" t="inlineStr"/>
      <c r="N389" t="inlineStr"/>
      <c r="O389" t="n">
        <v>2018</v>
      </c>
      <c r="P389" t="n">
        <v>2040</v>
      </c>
      <c r="Q389" t="n">
        <v>0.3424</v>
      </c>
      <c r="R389" t="n">
        <v>635.1588</v>
      </c>
      <c r="S389" t="n">
        <v>0.00086105</v>
      </c>
      <c r="T389" t="n">
        <v>0.00013947</v>
      </c>
      <c r="U389" t="n">
        <v>13987.645</v>
      </c>
      <c r="V389" t="inlineStr">
        <is>
          <t>Provided Total Emissions</t>
        </is>
      </c>
      <c r="W389" t="b">
        <v>1</v>
      </c>
      <c r="X389" t="n">
        <v>28517.6747</v>
      </c>
      <c r="Y389" t="n">
        <v>40226.119</v>
      </c>
      <c r="Z389" t="n">
        <v>14530.0297</v>
      </c>
      <c r="AA389" t="n">
        <v>26238.474</v>
      </c>
      <c r="AB389" t="n">
        <v>1.038776</v>
      </c>
      <c r="AC389" t="n">
        <v>1.875832</v>
      </c>
      <c r="AD389" t="inlineStr">
        <is>
          <t>High</t>
        </is>
      </c>
      <c r="AE389" t="inlineStr">
        <is>
          <t>None</t>
        </is>
      </c>
      <c r="AF389" t="n">
        <v>0.95</v>
      </c>
      <c r="AG389" t="inlineStr">
        <is>
          <t>Valid</t>
        </is>
      </c>
    </row>
    <row r="390">
      <c r="A390" t="inlineStr">
        <is>
          <t>SUP-0039</t>
        </is>
      </c>
      <c r="B390" t="inlineStr">
        <is>
          <t>Electronics Supplier 039</t>
        </is>
      </c>
      <c r="C390" t="inlineStr">
        <is>
          <t>Electronics</t>
        </is>
      </c>
      <c r="D390" t="n">
        <v>2023</v>
      </c>
      <c r="E390" t="n">
        <v>33938557.54</v>
      </c>
      <c r="F390" t="n">
        <v>299261997.25</v>
      </c>
      <c r="G390" t="n">
        <v>14383.9625</v>
      </c>
      <c r="H390" t="n">
        <v>2424.848</v>
      </c>
      <c r="I390" t="n">
        <v>864.5204</v>
      </c>
      <c r="J390" t="n">
        <v>10685.8285</v>
      </c>
      <c r="K390" t="inlineStr"/>
      <c r="L390" t="inlineStr"/>
      <c r="M390" t="inlineStr"/>
      <c r="N390" t="inlineStr"/>
      <c r="O390" t="n">
        <v>2018</v>
      </c>
      <c r="P390" t="n">
        <v>2040</v>
      </c>
      <c r="Q390" t="n">
        <v>0.3424</v>
      </c>
      <c r="R390" t="n">
        <v>635.1588</v>
      </c>
      <c r="S390" t="n">
        <v>0.00086105</v>
      </c>
      <c r="T390" t="n">
        <v>0.00013947</v>
      </c>
      <c r="U390" t="n">
        <v>14383.9625</v>
      </c>
      <c r="V390" t="inlineStr">
        <is>
          <t>Provided Total Emissions</t>
        </is>
      </c>
      <c r="W390" t="b">
        <v>1</v>
      </c>
      <c r="X390" t="n">
        <v>29222.795</v>
      </c>
      <c r="Y390" t="n">
        <v>41738.0708</v>
      </c>
      <c r="Z390" t="n">
        <v>14838.8325</v>
      </c>
      <c r="AA390" t="n">
        <v>27354.1083</v>
      </c>
      <c r="AB390" t="n">
        <v>1.031623</v>
      </c>
      <c r="AC390" t="n">
        <v>1.901709</v>
      </c>
      <c r="AD390" t="inlineStr">
        <is>
          <t>High</t>
        </is>
      </c>
      <c r="AE390" t="inlineStr">
        <is>
          <t>None</t>
        </is>
      </c>
      <c r="AF390" t="n">
        <v>0.95</v>
      </c>
      <c r="AG390" t="inlineStr">
        <is>
          <t>Valid</t>
        </is>
      </c>
    </row>
    <row r="391">
      <c r="A391" t="inlineStr">
        <is>
          <t>SUP-0039</t>
        </is>
      </c>
      <c r="B391" t="inlineStr">
        <is>
          <t>Electronics Supplier 039</t>
        </is>
      </c>
      <c r="C391" t="inlineStr">
        <is>
          <t>Electronics</t>
        </is>
      </c>
      <c r="D391" t="n">
        <v>2024</v>
      </c>
      <c r="E391" t="n">
        <v>35278962.72</v>
      </c>
      <c r="F391" t="n">
        <v>405077060.74</v>
      </c>
      <c r="G391" t="n">
        <v>16018.6447</v>
      </c>
      <c r="H391" t="n">
        <v>3392.6745</v>
      </c>
      <c r="I391" t="n">
        <v>3419.1994</v>
      </c>
      <c r="J391" t="n">
        <v>8856.776900000001</v>
      </c>
      <c r="K391" t="inlineStr"/>
      <c r="L391" t="inlineStr"/>
      <c r="M391" t="inlineStr"/>
      <c r="N391" t="inlineStr"/>
      <c r="O391" t="n">
        <v>2018</v>
      </c>
      <c r="P391" t="n">
        <v>2040</v>
      </c>
      <c r="Q391" t="n">
        <v>0.3424</v>
      </c>
      <c r="R391" t="n">
        <v>635.1588</v>
      </c>
      <c r="S391" t="n">
        <v>0.00086105</v>
      </c>
      <c r="T391" t="n">
        <v>0.00013947</v>
      </c>
      <c r="U391" t="n">
        <v>16018.6447</v>
      </c>
      <c r="V391" t="inlineStr">
        <is>
          <t>Provided Total Emissions</t>
        </is>
      </c>
      <c r="W391" t="b">
        <v>1</v>
      </c>
      <c r="X391" t="n">
        <v>30376.9509</v>
      </c>
      <c r="Y391" t="n">
        <v>56496.0977</v>
      </c>
      <c r="Z391" t="n">
        <v>14358.3062</v>
      </c>
      <c r="AA391" t="n">
        <v>40477.453</v>
      </c>
      <c r="AB391" t="n">
        <v>0.89635</v>
      </c>
      <c r="AC391" t="n">
        <v>2.526896</v>
      </c>
      <c r="AD391" t="inlineStr">
        <is>
          <t>High</t>
        </is>
      </c>
      <c r="AE391" t="inlineStr">
        <is>
          <t>None</t>
        </is>
      </c>
      <c r="AF391" t="n">
        <v>0.95</v>
      </c>
      <c r="AG391" t="inlineStr">
        <is>
          <t>Valid</t>
        </is>
      </c>
    </row>
    <row r="392">
      <c r="A392" t="inlineStr">
        <is>
          <t>SUP-0040</t>
        </is>
      </c>
      <c r="B392" t="inlineStr">
        <is>
          <t>Chemicals Supplier 040</t>
        </is>
      </c>
      <c r="C392" t="inlineStr">
        <is>
          <t>Chemicals</t>
        </is>
      </c>
      <c r="D392" t="n">
        <v>2015</v>
      </c>
      <c r="E392" t="n">
        <v>11424841.09</v>
      </c>
      <c r="F392" t="n">
        <v>14458845.2</v>
      </c>
      <c r="G392" t="n">
        <v>11264.6652</v>
      </c>
      <c r="H392" t="n">
        <v>2698.7832</v>
      </c>
      <c r="I392" t="n">
        <v>1512.3675</v>
      </c>
      <c r="J392" t="n">
        <v>7420.4093</v>
      </c>
      <c r="K392" t="n">
        <v>2021</v>
      </c>
      <c r="L392" t="n">
        <v>2030</v>
      </c>
      <c r="M392" t="n">
        <v>0.5251</v>
      </c>
      <c r="N392" t="n">
        <v>0.198</v>
      </c>
      <c r="O392" t="n">
        <v>2019</v>
      </c>
      <c r="P392" t="n">
        <v>2035</v>
      </c>
      <c r="Q392" t="n">
        <v>0.5229</v>
      </c>
      <c r="R392" t="n">
        <v>506.3191</v>
      </c>
      <c r="S392" t="n">
        <v>0.00100149</v>
      </c>
      <c r="T392" t="n">
        <v>0.00047124</v>
      </c>
      <c r="U392" t="n">
        <v>11264.6652</v>
      </c>
      <c r="V392" t="inlineStr">
        <is>
          <t>Provided Total Emissions</t>
        </is>
      </c>
      <c r="W392" t="b">
        <v>1</v>
      </c>
      <c r="X392" t="n">
        <v>11441.8641</v>
      </c>
      <c r="Y392" t="n">
        <v>6813.5862</v>
      </c>
      <c r="Z392" t="n">
        <v>177.1989</v>
      </c>
      <c r="AA392" t="n">
        <v>-4451.079</v>
      </c>
      <c r="AB392" t="n">
        <v>0.015731</v>
      </c>
      <c r="AC392" t="n">
        <v>-0.395136</v>
      </c>
      <c r="AD392" t="inlineStr">
        <is>
          <t>High</t>
        </is>
      </c>
      <c r="AE392" t="inlineStr">
        <is>
          <t>None</t>
        </is>
      </c>
      <c r="AF392" t="n">
        <v>0.95</v>
      </c>
      <c r="AG392" t="inlineStr">
        <is>
          <t>Valid</t>
        </is>
      </c>
    </row>
    <row r="393">
      <c r="A393" t="inlineStr">
        <is>
          <t>SUP-0040</t>
        </is>
      </c>
      <c r="B393" t="inlineStr">
        <is>
          <t>Chemicals Supplier 040</t>
        </is>
      </c>
      <c r="C393" t="inlineStr">
        <is>
          <t>Chemicals</t>
        </is>
      </c>
      <c r="D393" t="n">
        <v>2016</v>
      </c>
      <c r="E393" t="n">
        <v>13190016.41</v>
      </c>
      <c r="F393" t="n">
        <v>16231509.7</v>
      </c>
      <c r="G393" t="n">
        <v>13241.8661</v>
      </c>
      <c r="H393" t="n">
        <v>2464.3975</v>
      </c>
      <c r="I393" t="n">
        <v>1831.6121</v>
      </c>
      <c r="J393" t="n">
        <v>8606.4121</v>
      </c>
      <c r="K393" t="n">
        <v>2021</v>
      </c>
      <c r="L393" t="n">
        <v>2030</v>
      </c>
      <c r="M393" t="n">
        <v>0.5251</v>
      </c>
      <c r="N393" t="n">
        <v>0.198</v>
      </c>
      <c r="O393" t="n">
        <v>2019</v>
      </c>
      <c r="P393" t="n">
        <v>2035</v>
      </c>
      <c r="Q393" t="n">
        <v>0.5229</v>
      </c>
      <c r="R393" t="n">
        <v>506.3191</v>
      </c>
      <c r="S393" t="n">
        <v>0.00100149</v>
      </c>
      <c r="T393" t="n">
        <v>0.00047124</v>
      </c>
      <c r="U393" t="n">
        <v>13241.8661</v>
      </c>
      <c r="V393" t="inlineStr">
        <is>
          <t>Provided Total Emissions</t>
        </is>
      </c>
      <c r="W393" t="b">
        <v>1</v>
      </c>
      <c r="X393" t="n">
        <v>13209.6695</v>
      </c>
      <c r="Y393" t="n">
        <v>7648.9366</v>
      </c>
      <c r="Z393" t="n">
        <v>-32.1966</v>
      </c>
      <c r="AA393" t="n">
        <v>-5592.9295</v>
      </c>
      <c r="AB393" t="n">
        <v>-0.002431</v>
      </c>
      <c r="AC393" t="n">
        <v>-0.422367</v>
      </c>
      <c r="AD393" t="inlineStr">
        <is>
          <t>High</t>
        </is>
      </c>
      <c r="AE393" t="inlineStr">
        <is>
          <t>None</t>
        </is>
      </c>
      <c r="AF393" t="n">
        <v>0.95</v>
      </c>
      <c r="AG393" t="inlineStr">
        <is>
          <t>Valid</t>
        </is>
      </c>
    </row>
    <row r="394">
      <c r="A394" t="inlineStr">
        <is>
          <t>SUP-0040</t>
        </is>
      </c>
      <c r="B394" t="inlineStr">
        <is>
          <t>Chemicals Supplier 040</t>
        </is>
      </c>
      <c r="C394" t="inlineStr">
        <is>
          <t>Chemicals</t>
        </is>
      </c>
      <c r="D394" t="n">
        <v>2017</v>
      </c>
      <c r="E394" t="n">
        <v>15787871.57</v>
      </c>
      <c r="F394" t="n">
        <v>19234824.66</v>
      </c>
      <c r="G394" t="n">
        <v>14987.5645</v>
      </c>
      <c r="H394" t="n">
        <v>2829.9778</v>
      </c>
      <c r="I394" t="n">
        <v>2625.2758</v>
      </c>
      <c r="J394" t="n">
        <v>9523.513199999999</v>
      </c>
      <c r="K394" t="n">
        <v>2021</v>
      </c>
      <c r="L394" t="n">
        <v>2030</v>
      </c>
      <c r="M394" t="n">
        <v>0.5251</v>
      </c>
      <c r="N394" t="n">
        <v>0.198</v>
      </c>
      <c r="O394" t="n">
        <v>2019</v>
      </c>
      <c r="P394" t="n">
        <v>2035</v>
      </c>
      <c r="Q394" t="n">
        <v>0.5229</v>
      </c>
      <c r="R394" t="n">
        <v>506.3191</v>
      </c>
      <c r="S394" t="n">
        <v>0.00100149</v>
      </c>
      <c r="T394" t="n">
        <v>0.00047124</v>
      </c>
      <c r="U394" t="n">
        <v>14987.5645</v>
      </c>
      <c r="V394" t="inlineStr">
        <is>
          <t>Provided Total Emissions</t>
        </is>
      </c>
      <c r="W394" t="b">
        <v>1</v>
      </c>
      <c r="X394" t="n">
        <v>15811.3955</v>
      </c>
      <c r="Y394" t="n">
        <v>9064.218800000001</v>
      </c>
      <c r="Z394" t="n">
        <v>823.831</v>
      </c>
      <c r="AA394" t="n">
        <v>-5923.3457</v>
      </c>
      <c r="AB394" t="n">
        <v>0.054968</v>
      </c>
      <c r="AC394" t="n">
        <v>-0.395217</v>
      </c>
      <c r="AD394" t="inlineStr">
        <is>
          <t>High</t>
        </is>
      </c>
      <c r="AE394" t="inlineStr">
        <is>
          <t>None</t>
        </is>
      </c>
      <c r="AF394" t="n">
        <v>0.95</v>
      </c>
      <c r="AG394" t="inlineStr">
        <is>
          <t>Valid</t>
        </is>
      </c>
    </row>
    <row r="395">
      <c r="A395" t="inlineStr">
        <is>
          <t>SUP-0040</t>
        </is>
      </c>
      <c r="B395" t="inlineStr">
        <is>
          <t>Chemicals Supplier 040</t>
        </is>
      </c>
      <c r="C395" t="inlineStr">
        <is>
          <t>Chemicals</t>
        </is>
      </c>
      <c r="D395" t="n">
        <v>2018</v>
      </c>
      <c r="E395" t="n">
        <v>14746032.18</v>
      </c>
      <c r="F395" t="n">
        <v>21785847.7</v>
      </c>
      <c r="G395" t="n">
        <v>13528.4989</v>
      </c>
      <c r="H395" t="n">
        <v>3332.1144</v>
      </c>
      <c r="I395" t="n">
        <v>1990.7531</v>
      </c>
      <c r="J395" t="n">
        <v>7999.6083</v>
      </c>
      <c r="K395" t="n">
        <v>2021</v>
      </c>
      <c r="L395" t="n">
        <v>2030</v>
      </c>
      <c r="M395" t="n">
        <v>0.5251</v>
      </c>
      <c r="N395" t="n">
        <v>0.198</v>
      </c>
      <c r="O395" t="n">
        <v>2019</v>
      </c>
      <c r="P395" t="n">
        <v>2035</v>
      </c>
      <c r="Q395" t="n">
        <v>0.5229</v>
      </c>
      <c r="R395" t="n">
        <v>506.3191</v>
      </c>
      <c r="S395" t="n">
        <v>0.00100149</v>
      </c>
      <c r="T395" t="n">
        <v>0.00047124</v>
      </c>
      <c r="U395" t="n">
        <v>13528.4989</v>
      </c>
      <c r="V395" t="inlineStr">
        <is>
          <t>Provided Total Emissions</t>
        </is>
      </c>
      <c r="W395" t="b">
        <v>1</v>
      </c>
      <c r="X395" t="n">
        <v>14768.0038</v>
      </c>
      <c r="Y395" t="n">
        <v>10266.3629</v>
      </c>
      <c r="Z395" t="n">
        <v>1239.5049</v>
      </c>
      <c r="AA395" t="n">
        <v>-3262.136</v>
      </c>
      <c r="AB395" t="n">
        <v>0.091622</v>
      </c>
      <c r="AC395" t="n">
        <v>-0.241131</v>
      </c>
      <c r="AD395" t="inlineStr">
        <is>
          <t>High</t>
        </is>
      </c>
      <c r="AE395" t="inlineStr">
        <is>
          <t>None</t>
        </is>
      </c>
      <c r="AF395" t="n">
        <v>0.95</v>
      </c>
      <c r="AG395" t="inlineStr">
        <is>
          <t>Valid</t>
        </is>
      </c>
    </row>
    <row r="396">
      <c r="A396" t="inlineStr">
        <is>
          <t>SUP-0040</t>
        </is>
      </c>
      <c r="B396" t="inlineStr">
        <is>
          <t>Chemicals Supplier 040</t>
        </is>
      </c>
      <c r="C396" t="inlineStr">
        <is>
          <t>Chemicals</t>
        </is>
      </c>
      <c r="D396" t="n">
        <v>2019</v>
      </c>
      <c r="E396" t="n">
        <v>17490787.51</v>
      </c>
      <c r="F396" t="n">
        <v>22700073.16</v>
      </c>
      <c r="G396" t="n">
        <v>9662.1486</v>
      </c>
      <c r="H396" t="n">
        <v>1076.8015</v>
      </c>
      <c r="I396" t="n">
        <v>1978.3181</v>
      </c>
      <c r="J396" t="n">
        <v>6964.0702</v>
      </c>
      <c r="K396" t="n">
        <v>2021</v>
      </c>
      <c r="L396" t="n">
        <v>2030</v>
      </c>
      <c r="M396" t="n">
        <v>0.5251</v>
      </c>
      <c r="N396" t="n">
        <v>0.198</v>
      </c>
      <c r="O396" t="n">
        <v>2019</v>
      </c>
      <c r="P396" t="n">
        <v>2035</v>
      </c>
      <c r="Q396" t="n">
        <v>0.5229</v>
      </c>
      <c r="R396" t="n">
        <v>506.3191</v>
      </c>
      <c r="S396" t="n">
        <v>0.00100149</v>
      </c>
      <c r="T396" t="n">
        <v>0.00047124</v>
      </c>
      <c r="U396" t="n">
        <v>9662.1486</v>
      </c>
      <c r="V396" t="inlineStr">
        <is>
          <t>Provided Total Emissions</t>
        </is>
      </c>
      <c r="W396" t="b">
        <v>1</v>
      </c>
      <c r="X396" t="n">
        <v>17516.8488</v>
      </c>
      <c r="Y396" t="n">
        <v>10697.1825</v>
      </c>
      <c r="Z396" t="n">
        <v>7854.7002</v>
      </c>
      <c r="AA396" t="n">
        <v>1035.0339</v>
      </c>
      <c r="AB396" t="n">
        <v>0.812935</v>
      </c>
      <c r="AC396" t="n">
        <v>0.107123</v>
      </c>
      <c r="AD396" t="inlineStr">
        <is>
          <t>High</t>
        </is>
      </c>
      <c r="AE396" t="inlineStr">
        <is>
          <t>None</t>
        </is>
      </c>
      <c r="AF396" t="n">
        <v>0.95</v>
      </c>
      <c r="AG396" t="inlineStr">
        <is>
          <t>Valid</t>
        </is>
      </c>
    </row>
    <row r="397">
      <c r="A397" t="inlineStr">
        <is>
          <t>SUP-0040</t>
        </is>
      </c>
      <c r="B397" t="inlineStr">
        <is>
          <t>Chemicals Supplier 040</t>
        </is>
      </c>
      <c r="C397" t="inlineStr">
        <is>
          <t>Chemicals</t>
        </is>
      </c>
      <c r="D397" t="n">
        <v>2020</v>
      </c>
      <c r="E397" t="n">
        <v>19026902.13</v>
      </c>
      <c r="F397" t="n">
        <v>22092739.25</v>
      </c>
      <c r="G397" t="n">
        <v>14936.3589</v>
      </c>
      <c r="H397" t="n">
        <v>3380.917</v>
      </c>
      <c r="I397" t="n">
        <v>1406.0565</v>
      </c>
      <c r="J397" t="n">
        <v>10369.7662</v>
      </c>
      <c r="K397" t="n">
        <v>2021</v>
      </c>
      <c r="L397" t="n">
        <v>2030</v>
      </c>
      <c r="M397" t="n">
        <v>0.5251</v>
      </c>
      <c r="N397" t="n">
        <v>0.198</v>
      </c>
      <c r="O397" t="n">
        <v>2019</v>
      </c>
      <c r="P397" t="n">
        <v>2035</v>
      </c>
      <c r="Q397" t="n">
        <v>0.5229</v>
      </c>
      <c r="R397" t="n">
        <v>506.3191</v>
      </c>
      <c r="S397" t="n">
        <v>0.00100149</v>
      </c>
      <c r="T397" t="n">
        <v>0.00047124</v>
      </c>
      <c r="U397" t="n">
        <v>14936.3589</v>
      </c>
      <c r="V397" t="inlineStr">
        <is>
          <t>Provided Total Emissions</t>
        </is>
      </c>
      <c r="W397" t="b">
        <v>1</v>
      </c>
      <c r="X397" t="n">
        <v>19055.2522</v>
      </c>
      <c r="Y397" t="n">
        <v>10410.9824</v>
      </c>
      <c r="Z397" t="n">
        <v>4118.8933</v>
      </c>
      <c r="AA397" t="n">
        <v>-4525.3765</v>
      </c>
      <c r="AB397" t="n">
        <v>0.275763</v>
      </c>
      <c r="AC397" t="n">
        <v>-0.302977</v>
      </c>
      <c r="AD397" t="inlineStr">
        <is>
          <t>High</t>
        </is>
      </c>
      <c r="AE397" t="inlineStr">
        <is>
          <t>None</t>
        </is>
      </c>
      <c r="AF397" t="n">
        <v>0.95</v>
      </c>
      <c r="AG397" t="inlineStr">
        <is>
          <t>Valid</t>
        </is>
      </c>
    </row>
    <row r="398">
      <c r="A398" t="inlineStr">
        <is>
          <t>SUP-0040</t>
        </is>
      </c>
      <c r="B398" t="inlineStr">
        <is>
          <t>Chemicals Supplier 040</t>
        </is>
      </c>
      <c r="C398" t="inlineStr">
        <is>
          <t>Chemicals</t>
        </is>
      </c>
      <c r="D398" t="n">
        <v>2021</v>
      </c>
      <c r="E398" t="n">
        <v>21423382.26</v>
      </c>
      <c r="F398" t="n">
        <v>29552904.18</v>
      </c>
      <c r="G398" t="n">
        <v>17446.7882</v>
      </c>
      <c r="H398" t="n">
        <v>2293.5919</v>
      </c>
      <c r="I398" t="n">
        <v>2372.2836</v>
      </c>
      <c r="J398" t="n">
        <v>12344.5689</v>
      </c>
      <c r="K398" t="n">
        <v>2021</v>
      </c>
      <c r="L398" t="n">
        <v>2030</v>
      </c>
      <c r="M398" t="n">
        <v>0.5251</v>
      </c>
      <c r="N398" t="n">
        <v>0.198</v>
      </c>
      <c r="O398" t="n">
        <v>2019</v>
      </c>
      <c r="P398" t="n">
        <v>2035</v>
      </c>
      <c r="Q398" t="n">
        <v>0.5229</v>
      </c>
      <c r="R398" t="n">
        <v>506.3191</v>
      </c>
      <c r="S398" t="n">
        <v>0.00100149</v>
      </c>
      <c r="T398" t="n">
        <v>0.00047124</v>
      </c>
      <c r="U398" t="n">
        <v>17446.7882</v>
      </c>
      <c r="V398" t="inlineStr">
        <is>
          <t>Provided Total Emissions</t>
        </is>
      </c>
      <c r="W398" t="b">
        <v>1</v>
      </c>
      <c r="X398" t="n">
        <v>21455.3031</v>
      </c>
      <c r="Y398" t="n">
        <v>13926.5106</v>
      </c>
      <c r="Z398" t="n">
        <v>4008.5149</v>
      </c>
      <c r="AA398" t="n">
        <v>-3520.2776</v>
      </c>
      <c r="AB398" t="n">
        <v>0.229757</v>
      </c>
      <c r="AC398" t="n">
        <v>-0.201772</v>
      </c>
      <c r="AD398" t="inlineStr">
        <is>
          <t>High</t>
        </is>
      </c>
      <c r="AE398" t="inlineStr">
        <is>
          <t>None</t>
        </is>
      </c>
      <c r="AF398" t="n">
        <v>0.95</v>
      </c>
      <c r="AG398" t="inlineStr">
        <is>
          <t>Valid</t>
        </is>
      </c>
    </row>
    <row r="399">
      <c r="A399" t="inlineStr">
        <is>
          <t>SUP-0040</t>
        </is>
      </c>
      <c r="B399" t="inlineStr">
        <is>
          <t>Chemicals Supplier 040</t>
        </is>
      </c>
      <c r="C399" t="inlineStr">
        <is>
          <t>Chemicals</t>
        </is>
      </c>
      <c r="D399" t="n">
        <v>2022</v>
      </c>
      <c r="E399" t="n">
        <v>19983519.06</v>
      </c>
      <c r="F399" t="n">
        <v>21165542.09</v>
      </c>
      <c r="G399" t="n">
        <v>17956.435</v>
      </c>
      <c r="H399" t="n">
        <v>3534.9444</v>
      </c>
      <c r="I399" t="n">
        <v>2430.6324</v>
      </c>
      <c r="J399" t="n">
        <v>11619.8125</v>
      </c>
      <c r="K399" t="n">
        <v>2021</v>
      </c>
      <c r="L399" t="n">
        <v>2030</v>
      </c>
      <c r="M399" t="n">
        <v>0.5251</v>
      </c>
      <c r="N399" t="n">
        <v>0.198</v>
      </c>
      <c r="O399" t="n">
        <v>2019</v>
      </c>
      <c r="P399" t="n">
        <v>2035</v>
      </c>
      <c r="Q399" t="n">
        <v>0.5229</v>
      </c>
      <c r="R399" t="n">
        <v>506.3191</v>
      </c>
      <c r="S399" t="n">
        <v>0.00100149</v>
      </c>
      <c r="T399" t="n">
        <v>0.00047124</v>
      </c>
      <c r="U399" t="n">
        <v>17956.435</v>
      </c>
      <c r="V399" t="inlineStr">
        <is>
          <t>Provided Total Emissions</t>
        </is>
      </c>
      <c r="W399" t="b">
        <v>1</v>
      </c>
      <c r="X399" t="n">
        <v>20013.2945</v>
      </c>
      <c r="Y399" t="n">
        <v>9974.0501</v>
      </c>
      <c r="Z399" t="n">
        <v>2056.8595</v>
      </c>
      <c r="AA399" t="n">
        <v>-7982.3849</v>
      </c>
      <c r="AB399" t="n">
        <v>0.114547</v>
      </c>
      <c r="AC399" t="n">
        <v>-0.444542</v>
      </c>
      <c r="AD399" t="inlineStr">
        <is>
          <t>High</t>
        </is>
      </c>
      <c r="AE399" t="inlineStr">
        <is>
          <t>None</t>
        </is>
      </c>
      <c r="AF399" t="n">
        <v>0.95</v>
      </c>
      <c r="AG399" t="inlineStr">
        <is>
          <t>Valid</t>
        </is>
      </c>
    </row>
    <row r="400">
      <c r="A400" t="inlineStr">
        <is>
          <t>SUP-0040</t>
        </is>
      </c>
      <c r="B400" t="inlineStr">
        <is>
          <t>Chemicals Supplier 040</t>
        </is>
      </c>
      <c r="C400" t="inlineStr">
        <is>
          <t>Chemicals</t>
        </is>
      </c>
      <c r="D400" t="n">
        <v>2023</v>
      </c>
      <c r="E400" t="n">
        <v>21795603.47</v>
      </c>
      <c r="F400" t="n">
        <v>34126814.4</v>
      </c>
      <c r="G400" t="n">
        <v>17106.3288</v>
      </c>
      <c r="H400" t="n">
        <v>2850.698</v>
      </c>
      <c r="I400" t="n">
        <v>1549.4607</v>
      </c>
      <c r="J400" t="n">
        <v>13746.1698</v>
      </c>
      <c r="K400" t="n">
        <v>2021</v>
      </c>
      <c r="L400" t="n">
        <v>2030</v>
      </c>
      <c r="M400" t="n">
        <v>0.5251</v>
      </c>
      <c r="N400" t="n">
        <v>0.198</v>
      </c>
      <c r="O400" t="n">
        <v>2019</v>
      </c>
      <c r="P400" t="n">
        <v>2035</v>
      </c>
      <c r="Q400" t="n">
        <v>0.5229</v>
      </c>
      <c r="R400" t="n">
        <v>506.3191</v>
      </c>
      <c r="S400" t="n">
        <v>0.00100149</v>
      </c>
      <c r="T400" t="n">
        <v>0.00047124</v>
      </c>
      <c r="U400" t="n">
        <v>17106.3288</v>
      </c>
      <c r="V400" t="inlineStr">
        <is>
          <t>Provided Total Emissions</t>
        </is>
      </c>
      <c r="W400" t="b">
        <v>1</v>
      </c>
      <c r="X400" t="n">
        <v>21828.0789</v>
      </c>
      <c r="Y400" t="n">
        <v>16081.92</v>
      </c>
      <c r="Z400" t="n">
        <v>4721.7501</v>
      </c>
      <c r="AA400" t="n">
        <v>-1024.4088</v>
      </c>
      <c r="AB400" t="n">
        <v>0.276024</v>
      </c>
      <c r="AC400" t="n">
        <v>-0.059885</v>
      </c>
      <c r="AD400" t="inlineStr">
        <is>
          <t>High</t>
        </is>
      </c>
      <c r="AE400" t="inlineStr">
        <is>
          <t>None</t>
        </is>
      </c>
      <c r="AF400" t="n">
        <v>0.95</v>
      </c>
      <c r="AG400" t="inlineStr">
        <is>
          <t>Valid</t>
        </is>
      </c>
    </row>
    <row r="401">
      <c r="A401" t="inlineStr">
        <is>
          <t>SUP-0040</t>
        </is>
      </c>
      <c r="B401" t="inlineStr">
        <is>
          <t>Chemicals Supplier 040</t>
        </is>
      </c>
      <c r="C401" t="inlineStr">
        <is>
          <t>Chemicals</t>
        </is>
      </c>
      <c r="D401" t="n">
        <v>2024</v>
      </c>
      <c r="E401" t="n">
        <v>22590970.07</v>
      </c>
      <c r="F401" t="n">
        <v>47688275.49</v>
      </c>
      <c r="G401" t="n">
        <v>18835.0754</v>
      </c>
      <c r="H401" t="n">
        <v>5073.7738</v>
      </c>
      <c r="I401" t="n">
        <v>1792.4488</v>
      </c>
      <c r="J401" t="n">
        <v>11346.0114</v>
      </c>
      <c r="K401" t="n">
        <v>2021</v>
      </c>
      <c r="L401" t="n">
        <v>2030</v>
      </c>
      <c r="M401" t="n">
        <v>0.5251</v>
      </c>
      <c r="N401" t="n">
        <v>0.198</v>
      </c>
      <c r="O401" t="n">
        <v>2019</v>
      </c>
      <c r="P401" t="n">
        <v>2035</v>
      </c>
      <c r="Q401" t="n">
        <v>0.5229</v>
      </c>
      <c r="R401" t="n">
        <v>506.3191</v>
      </c>
      <c r="S401" t="n">
        <v>0.00100149</v>
      </c>
      <c r="T401" t="n">
        <v>0.00047124</v>
      </c>
      <c r="U401" t="n">
        <v>18835.0754</v>
      </c>
      <c r="V401" t="inlineStr">
        <is>
          <t>Provided Total Emissions</t>
        </is>
      </c>
      <c r="W401" t="b">
        <v>1</v>
      </c>
      <c r="X401" t="n">
        <v>22624.6306</v>
      </c>
      <c r="Y401" t="n">
        <v>22472.6229</v>
      </c>
      <c r="Z401" t="n">
        <v>3789.5552</v>
      </c>
      <c r="AA401" t="n">
        <v>3637.5475</v>
      </c>
      <c r="AB401" t="n">
        <v>0.201197</v>
      </c>
      <c r="AC401" t="n">
        <v>0.193126</v>
      </c>
      <c r="AD401" t="inlineStr">
        <is>
          <t>High</t>
        </is>
      </c>
      <c r="AE401" t="inlineStr">
        <is>
          <t>None</t>
        </is>
      </c>
      <c r="AF401" t="n">
        <v>0.95</v>
      </c>
      <c r="AG401" t="inlineStr">
        <is>
          <t>Valid</t>
        </is>
      </c>
    </row>
    <row r="402">
      <c r="A402" t="inlineStr">
        <is>
          <t>SUP-0041</t>
        </is>
      </c>
      <c r="B402" t="inlineStr">
        <is>
          <t>Logistics Supplier 041</t>
        </is>
      </c>
      <c r="C402" t="inlineStr">
        <is>
          <t>Logistics</t>
        </is>
      </c>
      <c r="D402" t="n">
        <v>2015</v>
      </c>
      <c r="E402" t="n">
        <v>11277527.31</v>
      </c>
      <c r="F402" t="n">
        <v>33719350.22</v>
      </c>
      <c r="G402" t="n">
        <v>2495.9222</v>
      </c>
      <c r="H402" t="n">
        <v>595.4793</v>
      </c>
      <c r="I402" t="n">
        <v>430.4402</v>
      </c>
      <c r="J402" t="n">
        <v>1708.6045</v>
      </c>
      <c r="K402" t="inlineStr"/>
      <c r="L402" t="inlineStr"/>
      <c r="M402" t="inlineStr"/>
      <c r="N402" t="inlineStr"/>
      <c r="O402" t="n">
        <v>2019</v>
      </c>
      <c r="P402" t="n">
        <v>2040</v>
      </c>
      <c r="Q402" t="n">
        <v>0.4616</v>
      </c>
      <c r="R402" t="n">
        <v>591.6386</v>
      </c>
      <c r="S402" t="n">
        <v>0.00022349</v>
      </c>
      <c r="T402" t="n">
        <v>0.00047787</v>
      </c>
      <c r="U402" t="n">
        <v>2495.9222</v>
      </c>
      <c r="V402" t="inlineStr">
        <is>
          <t>Provided Total Emissions</t>
        </is>
      </c>
      <c r="W402" t="b">
        <v>1</v>
      </c>
      <c r="X402" t="n">
        <v>2520.4146</v>
      </c>
      <c r="Y402" t="n">
        <v>16113.4659</v>
      </c>
      <c r="Z402" t="n">
        <v>24.4924</v>
      </c>
      <c r="AA402" t="n">
        <v>13617.5437</v>
      </c>
      <c r="AB402" t="n">
        <v>0.009813000000000001</v>
      </c>
      <c r="AC402" t="n">
        <v>5.455917</v>
      </c>
      <c r="AD402" t="inlineStr">
        <is>
          <t>High</t>
        </is>
      </c>
      <c r="AE402" t="inlineStr">
        <is>
          <t>None</t>
        </is>
      </c>
      <c r="AF402" t="n">
        <v>0.95</v>
      </c>
      <c r="AG402" t="inlineStr">
        <is>
          <t>Valid</t>
        </is>
      </c>
    </row>
    <row r="403">
      <c r="A403" t="inlineStr">
        <is>
          <t>SUP-0041</t>
        </is>
      </c>
      <c r="B403" t="inlineStr">
        <is>
          <t>Logistics Supplier 041</t>
        </is>
      </c>
      <c r="C403" t="inlineStr">
        <is>
          <t>Logistics</t>
        </is>
      </c>
      <c r="D403" t="n">
        <v>2016</v>
      </c>
      <c r="E403" t="n">
        <v>13792155.25</v>
      </c>
      <c r="F403" t="n">
        <v>33211946.35</v>
      </c>
      <c r="G403" t="n">
        <v>3547.7566</v>
      </c>
      <c r="H403" t="n">
        <v>526.2093</v>
      </c>
      <c r="I403" t="n">
        <v>665.6977000000001</v>
      </c>
      <c r="J403" t="n">
        <v>2326.1188</v>
      </c>
      <c r="K403" t="inlineStr"/>
      <c r="L403" t="inlineStr"/>
      <c r="M403" t="inlineStr"/>
      <c r="N403" t="inlineStr"/>
      <c r="O403" t="n">
        <v>2019</v>
      </c>
      <c r="P403" t="n">
        <v>2040</v>
      </c>
      <c r="Q403" t="n">
        <v>0.4616</v>
      </c>
      <c r="R403" t="n">
        <v>591.6386</v>
      </c>
      <c r="S403" t="n">
        <v>0.00022349</v>
      </c>
      <c r="T403" t="n">
        <v>0.00047787</v>
      </c>
      <c r="U403" t="n">
        <v>3547.7566</v>
      </c>
      <c r="V403" t="inlineStr">
        <is>
          <t>Provided Total Emissions</t>
        </is>
      </c>
      <c r="W403" t="b">
        <v>1</v>
      </c>
      <c r="X403" t="n">
        <v>3082.4088</v>
      </c>
      <c r="Y403" t="n">
        <v>15870.9928</v>
      </c>
      <c r="Z403" t="n">
        <v>-465.3478</v>
      </c>
      <c r="AA403" t="n">
        <v>12323.2362</v>
      </c>
      <c r="AB403" t="n">
        <v>-0.131167</v>
      </c>
      <c r="AC403" t="n">
        <v>3.473529</v>
      </c>
      <c r="AD403" t="inlineStr">
        <is>
          <t>High</t>
        </is>
      </c>
      <c r="AE403" t="inlineStr">
        <is>
          <t>None</t>
        </is>
      </c>
      <c r="AF403" t="n">
        <v>0.95</v>
      </c>
      <c r="AG403" t="inlineStr">
        <is>
          <t>Valid</t>
        </is>
      </c>
    </row>
    <row r="404">
      <c r="A404" t="inlineStr">
        <is>
          <t>SUP-0041</t>
        </is>
      </c>
      <c r="B404" t="inlineStr">
        <is>
          <t>Logistics Supplier 041</t>
        </is>
      </c>
      <c r="C404" t="inlineStr">
        <is>
          <t>Logistics</t>
        </is>
      </c>
      <c r="D404" t="n">
        <v>2017</v>
      </c>
      <c r="E404" t="n">
        <v>14010710.24</v>
      </c>
      <c r="F404" t="n">
        <v>42740341.28</v>
      </c>
      <c r="G404" t="n">
        <v>2874.6782</v>
      </c>
      <c r="H404" t="n">
        <v>346.8674</v>
      </c>
      <c r="I404" t="n">
        <v>387.7503</v>
      </c>
      <c r="J404" t="n">
        <v>2115.0376</v>
      </c>
      <c r="K404" t="inlineStr"/>
      <c r="L404" t="inlineStr"/>
      <c r="M404" t="inlineStr"/>
      <c r="N404" t="inlineStr"/>
      <c r="O404" t="n">
        <v>2019</v>
      </c>
      <c r="P404" t="n">
        <v>2040</v>
      </c>
      <c r="Q404" t="n">
        <v>0.4616</v>
      </c>
      <c r="R404" t="n">
        <v>591.6386</v>
      </c>
      <c r="S404" t="n">
        <v>0.00022349</v>
      </c>
      <c r="T404" t="n">
        <v>0.00047787</v>
      </c>
      <c r="U404" t="n">
        <v>2874.6782</v>
      </c>
      <c r="V404" t="inlineStr">
        <is>
          <t>Provided Total Emissions</t>
        </is>
      </c>
      <c r="W404" t="b">
        <v>1</v>
      </c>
      <c r="X404" t="n">
        <v>3131.2536</v>
      </c>
      <c r="Y404" t="n">
        <v>20424.3269</v>
      </c>
      <c r="Z404" t="n">
        <v>256.5754</v>
      </c>
      <c r="AA404" t="n">
        <v>17549.6487</v>
      </c>
      <c r="AB404" t="n">
        <v>0.089254</v>
      </c>
      <c r="AC404" t="n">
        <v>6.104909</v>
      </c>
      <c r="AD404" t="inlineStr">
        <is>
          <t>High</t>
        </is>
      </c>
      <c r="AE404" t="inlineStr">
        <is>
          <t>None</t>
        </is>
      </c>
      <c r="AF404" t="n">
        <v>0.95</v>
      </c>
      <c r="AG404" t="inlineStr">
        <is>
          <t>Valid</t>
        </is>
      </c>
    </row>
    <row r="405">
      <c r="A405" t="inlineStr">
        <is>
          <t>SUP-0041</t>
        </is>
      </c>
      <c r="B405" t="inlineStr">
        <is>
          <t>Logistics Supplier 041</t>
        </is>
      </c>
      <c r="C405" t="inlineStr">
        <is>
          <t>Logistics</t>
        </is>
      </c>
      <c r="D405" t="n">
        <v>2018</v>
      </c>
      <c r="E405" t="n">
        <v>15080949.51</v>
      </c>
      <c r="F405" t="n">
        <v>40421428.59</v>
      </c>
      <c r="G405" t="n">
        <v>3136.9314</v>
      </c>
      <c r="H405" t="n">
        <v>486.2391</v>
      </c>
      <c r="I405" t="n">
        <v>572.1697</v>
      </c>
      <c r="J405" t="n">
        <v>2057.6565</v>
      </c>
      <c r="K405" t="inlineStr"/>
      <c r="L405" t="inlineStr"/>
      <c r="M405" t="inlineStr"/>
      <c r="N405" t="inlineStr"/>
      <c r="O405" t="n">
        <v>2019</v>
      </c>
      <c r="P405" t="n">
        <v>2040</v>
      </c>
      <c r="Q405" t="n">
        <v>0.4616</v>
      </c>
      <c r="R405" t="n">
        <v>591.6386</v>
      </c>
      <c r="S405" t="n">
        <v>0.00022349</v>
      </c>
      <c r="T405" t="n">
        <v>0.00047787</v>
      </c>
      <c r="U405" t="n">
        <v>3136.9314</v>
      </c>
      <c r="V405" t="inlineStr">
        <is>
          <t>Provided Total Emissions</t>
        </is>
      </c>
      <c r="W405" t="b">
        <v>1</v>
      </c>
      <c r="X405" t="n">
        <v>3370.4414</v>
      </c>
      <c r="Y405" t="n">
        <v>19316.1881</v>
      </c>
      <c r="Z405" t="n">
        <v>233.51</v>
      </c>
      <c r="AA405" t="n">
        <v>16179.2567</v>
      </c>
      <c r="AB405" t="n">
        <v>0.07443900000000001</v>
      </c>
      <c r="AC405" t="n">
        <v>5.15767</v>
      </c>
      <c r="AD405" t="inlineStr">
        <is>
          <t>High</t>
        </is>
      </c>
      <c r="AE405" t="inlineStr">
        <is>
          <t>None</t>
        </is>
      </c>
      <c r="AF405" t="n">
        <v>0.95</v>
      </c>
      <c r="AG405" t="inlineStr">
        <is>
          <t>Valid</t>
        </is>
      </c>
    </row>
    <row r="406">
      <c r="A406" t="inlineStr">
        <is>
          <t>SUP-0041</t>
        </is>
      </c>
      <c r="B406" t="inlineStr">
        <is>
          <t>Logistics Supplier 041</t>
        </is>
      </c>
      <c r="C406" t="inlineStr">
        <is>
          <t>Logistics</t>
        </is>
      </c>
      <c r="D406" t="n">
        <v>2019</v>
      </c>
      <c r="E406" t="n">
        <v>18171425.7</v>
      </c>
      <c r="F406" t="n">
        <v>40279028.71</v>
      </c>
      <c r="G406" t="n">
        <v>3737.9405</v>
      </c>
      <c r="H406" t="n">
        <v>779.5288</v>
      </c>
      <c r="I406" t="n">
        <v>759.2517</v>
      </c>
      <c r="J406" t="n">
        <v>2291.4522</v>
      </c>
      <c r="K406" t="inlineStr"/>
      <c r="L406" t="inlineStr"/>
      <c r="M406" t="inlineStr"/>
      <c r="N406" t="inlineStr"/>
      <c r="O406" t="n">
        <v>2019</v>
      </c>
      <c r="P406" t="n">
        <v>2040</v>
      </c>
      <c r="Q406" t="n">
        <v>0.4616</v>
      </c>
      <c r="R406" t="n">
        <v>591.6386</v>
      </c>
      <c r="S406" t="n">
        <v>0.00022349</v>
      </c>
      <c r="T406" t="n">
        <v>0.00047787</v>
      </c>
      <c r="U406" t="n">
        <v>3737.9405</v>
      </c>
      <c r="V406" t="inlineStr">
        <is>
          <t>Provided Total Emissions</t>
        </is>
      </c>
      <c r="W406" t="b">
        <v>1</v>
      </c>
      <c r="X406" t="n">
        <v>4061.1319</v>
      </c>
      <c r="Y406" t="n">
        <v>19248.1394</v>
      </c>
      <c r="Z406" t="n">
        <v>323.1914</v>
      </c>
      <c r="AA406" t="n">
        <v>15510.1989</v>
      </c>
      <c r="AB406" t="n">
        <v>0.086462</v>
      </c>
      <c r="AC406" t="n">
        <v>4.149397</v>
      </c>
      <c r="AD406" t="inlineStr">
        <is>
          <t>High</t>
        </is>
      </c>
      <c r="AE406" t="inlineStr">
        <is>
          <t>None</t>
        </is>
      </c>
      <c r="AF406" t="n">
        <v>0.95</v>
      </c>
      <c r="AG406" t="inlineStr">
        <is>
          <t>Valid</t>
        </is>
      </c>
    </row>
    <row r="407">
      <c r="A407" t="inlineStr">
        <is>
          <t>SUP-0041</t>
        </is>
      </c>
      <c r="B407" t="inlineStr">
        <is>
          <t>Logistics Supplier 041</t>
        </is>
      </c>
      <c r="C407" t="inlineStr">
        <is>
          <t>Logistics</t>
        </is>
      </c>
      <c r="D407" t="n">
        <v>2020</v>
      </c>
      <c r="E407" t="n">
        <v>15982998.8</v>
      </c>
      <c r="F407" t="n">
        <v>37725677.98</v>
      </c>
      <c r="G407" t="n">
        <v>2476.727</v>
      </c>
      <c r="H407" t="n">
        <v>599.9384</v>
      </c>
      <c r="I407" t="n">
        <v>251.824</v>
      </c>
      <c r="J407" t="n">
        <v>1615.7135</v>
      </c>
      <c r="K407" t="inlineStr"/>
      <c r="L407" t="inlineStr"/>
      <c r="M407" t="inlineStr"/>
      <c r="N407" t="inlineStr"/>
      <c r="O407" t="n">
        <v>2019</v>
      </c>
      <c r="P407" t="n">
        <v>2040</v>
      </c>
      <c r="Q407" t="n">
        <v>0.4616</v>
      </c>
      <c r="R407" t="n">
        <v>591.6386</v>
      </c>
      <c r="S407" t="n">
        <v>0.00022349</v>
      </c>
      <c r="T407" t="n">
        <v>0.00047787</v>
      </c>
      <c r="U407" t="n">
        <v>2476.727</v>
      </c>
      <c r="V407" t="inlineStr">
        <is>
          <t>Provided Total Emissions</t>
        </is>
      </c>
      <c r="W407" t="b">
        <v>1</v>
      </c>
      <c r="X407" t="n">
        <v>3572.0404</v>
      </c>
      <c r="Y407" t="n">
        <v>18027.9697</v>
      </c>
      <c r="Z407" t="n">
        <v>1095.3134</v>
      </c>
      <c r="AA407" t="n">
        <v>15551.2427</v>
      </c>
      <c r="AB407" t="n">
        <v>0.442242</v>
      </c>
      <c r="AC407" t="n">
        <v>6.278949</v>
      </c>
      <c r="AD407" t="inlineStr">
        <is>
          <t>High</t>
        </is>
      </c>
      <c r="AE407" t="inlineStr">
        <is>
          <t>None</t>
        </is>
      </c>
      <c r="AF407" t="n">
        <v>0.95</v>
      </c>
      <c r="AG407" t="inlineStr">
        <is>
          <t>Valid</t>
        </is>
      </c>
    </row>
    <row r="408">
      <c r="A408" t="inlineStr">
        <is>
          <t>SUP-0041</t>
        </is>
      </c>
      <c r="B408" t="inlineStr">
        <is>
          <t>Logistics Supplier 041</t>
        </is>
      </c>
      <c r="C408" t="inlineStr">
        <is>
          <t>Logistics</t>
        </is>
      </c>
      <c r="D408" t="n">
        <v>2021</v>
      </c>
      <c r="E408" t="n">
        <v>16531779.01</v>
      </c>
      <c r="F408" t="n">
        <v>41941439.59</v>
      </c>
      <c r="G408" t="n">
        <v>2968.465</v>
      </c>
      <c r="H408" t="n">
        <v>472.1326</v>
      </c>
      <c r="I408" t="n">
        <v>326.1694</v>
      </c>
      <c r="J408" t="n">
        <v>2211.8291</v>
      </c>
      <c r="K408" t="inlineStr"/>
      <c r="L408" t="inlineStr"/>
      <c r="M408" t="inlineStr"/>
      <c r="N408" t="inlineStr"/>
      <c r="O408" t="n">
        <v>2019</v>
      </c>
      <c r="P408" t="n">
        <v>2040</v>
      </c>
      <c r="Q408" t="n">
        <v>0.4616</v>
      </c>
      <c r="R408" t="n">
        <v>591.6386</v>
      </c>
      <c r="S408" t="n">
        <v>0.00022349</v>
      </c>
      <c r="T408" t="n">
        <v>0.00047787</v>
      </c>
      <c r="U408" t="n">
        <v>2968.465</v>
      </c>
      <c r="V408" t="inlineStr">
        <is>
          <t>Provided Total Emissions</t>
        </is>
      </c>
      <c r="W408" t="b">
        <v>1</v>
      </c>
      <c r="X408" t="n">
        <v>3694.6873</v>
      </c>
      <c r="Y408" t="n">
        <v>20042.5557</v>
      </c>
      <c r="Z408" t="n">
        <v>726.2223</v>
      </c>
      <c r="AA408" t="n">
        <v>17074.0907</v>
      </c>
      <c r="AB408" t="n">
        <v>0.244646</v>
      </c>
      <c r="AC408" t="n">
        <v>5.751825</v>
      </c>
      <c r="AD408" t="inlineStr">
        <is>
          <t>High</t>
        </is>
      </c>
      <c r="AE408" t="inlineStr">
        <is>
          <t>None</t>
        </is>
      </c>
      <c r="AF408" t="n">
        <v>0.95</v>
      </c>
      <c r="AG408" t="inlineStr">
        <is>
          <t>Valid</t>
        </is>
      </c>
    </row>
    <row r="409">
      <c r="A409" t="inlineStr">
        <is>
          <t>SUP-0041</t>
        </is>
      </c>
      <c r="B409" t="inlineStr">
        <is>
          <t>Logistics Supplier 041</t>
        </is>
      </c>
      <c r="C409" t="inlineStr">
        <is>
          <t>Logistics</t>
        </is>
      </c>
      <c r="D409" t="n">
        <v>2022</v>
      </c>
      <c r="E409" t="n">
        <v>23599832.14</v>
      </c>
      <c r="F409" t="n">
        <v>45575736.53</v>
      </c>
      <c r="G409" t="n">
        <v>3762.9818</v>
      </c>
      <c r="H409" t="n">
        <v>682.039</v>
      </c>
      <c r="I409" t="n">
        <v>369.1733</v>
      </c>
      <c r="J409" t="n">
        <v>2929.2337</v>
      </c>
      <c r="K409" t="inlineStr"/>
      <c r="L409" t="inlineStr"/>
      <c r="M409" t="inlineStr"/>
      <c r="N409" t="inlineStr"/>
      <c r="O409" t="n">
        <v>2019</v>
      </c>
      <c r="P409" t="n">
        <v>2040</v>
      </c>
      <c r="Q409" t="n">
        <v>0.4616</v>
      </c>
      <c r="R409" t="n">
        <v>591.6386</v>
      </c>
      <c r="S409" t="n">
        <v>0.00022349</v>
      </c>
      <c r="T409" t="n">
        <v>0.00047787</v>
      </c>
      <c r="U409" t="n">
        <v>3762.9818</v>
      </c>
      <c r="V409" t="inlineStr">
        <is>
          <t>Provided Total Emissions</t>
        </is>
      </c>
      <c r="W409" t="b">
        <v>1</v>
      </c>
      <c r="X409" t="n">
        <v>5274.3265</v>
      </c>
      <c r="Y409" t="n">
        <v>21779.2772</v>
      </c>
      <c r="Z409" t="n">
        <v>1511.3447</v>
      </c>
      <c r="AA409" t="n">
        <v>18016.2954</v>
      </c>
      <c r="AB409" t="n">
        <v>0.401635</v>
      </c>
      <c r="AC409" t="n">
        <v>4.787771</v>
      </c>
      <c r="AD409" t="inlineStr">
        <is>
          <t>High</t>
        </is>
      </c>
      <c r="AE409" t="inlineStr">
        <is>
          <t>None</t>
        </is>
      </c>
      <c r="AF409" t="n">
        <v>0.95</v>
      </c>
      <c r="AG409" t="inlineStr">
        <is>
          <t>Valid</t>
        </is>
      </c>
    </row>
    <row r="410">
      <c r="A410" t="inlineStr">
        <is>
          <t>SUP-0041</t>
        </is>
      </c>
      <c r="B410" t="inlineStr">
        <is>
          <t>Logistics Supplier 041</t>
        </is>
      </c>
      <c r="C410" t="inlineStr">
        <is>
          <t>Logistics</t>
        </is>
      </c>
      <c r="D410" t="n">
        <v>2023</v>
      </c>
      <c r="E410" t="n">
        <v>23012828.57</v>
      </c>
      <c r="F410" t="n">
        <v>69659424.63</v>
      </c>
      <c r="G410" t="n">
        <v>3297.5734</v>
      </c>
      <c r="H410" t="n">
        <v>708.1897</v>
      </c>
      <c r="I410" t="n">
        <v>332.9773</v>
      </c>
      <c r="J410" t="n">
        <v>2440.9124</v>
      </c>
      <c r="K410" t="inlineStr"/>
      <c r="L410" t="inlineStr"/>
      <c r="M410" t="inlineStr"/>
      <c r="N410" t="inlineStr"/>
      <c r="O410" t="n">
        <v>2019</v>
      </c>
      <c r="P410" t="n">
        <v>2040</v>
      </c>
      <c r="Q410" t="n">
        <v>0.4616</v>
      </c>
      <c r="R410" t="n">
        <v>591.6386</v>
      </c>
      <c r="S410" t="n">
        <v>0.00022349</v>
      </c>
      <c r="T410" t="n">
        <v>0.00047787</v>
      </c>
      <c r="U410" t="n">
        <v>3297.5734</v>
      </c>
      <c r="V410" t="inlineStr">
        <is>
          <t>Provided Total Emissions</t>
        </is>
      </c>
      <c r="W410" t="b">
        <v>1</v>
      </c>
      <c r="X410" t="n">
        <v>5143.1371</v>
      </c>
      <c r="Y410" t="n">
        <v>33288.1492</v>
      </c>
      <c r="Z410" t="n">
        <v>1845.5637</v>
      </c>
      <c r="AA410" t="n">
        <v>29990.5758</v>
      </c>
      <c r="AB410" t="n">
        <v>0.559673</v>
      </c>
      <c r="AC410" t="n">
        <v>9.094741000000001</v>
      </c>
      <c r="AD410" t="inlineStr">
        <is>
          <t>High</t>
        </is>
      </c>
      <c r="AE410" t="inlineStr">
        <is>
          <t>None</t>
        </is>
      </c>
      <c r="AF410" t="n">
        <v>0.95</v>
      </c>
      <c r="AG410" t="inlineStr">
        <is>
          <t>Valid</t>
        </is>
      </c>
    </row>
    <row r="411">
      <c r="A411" t="inlineStr">
        <is>
          <t>SUP-0041</t>
        </is>
      </c>
      <c r="B411" t="inlineStr">
        <is>
          <t>Logistics Supplier 041</t>
        </is>
      </c>
      <c r="C411" t="inlineStr">
        <is>
          <t>Logistics</t>
        </is>
      </c>
      <c r="D411" t="n">
        <v>2024</v>
      </c>
      <c r="E411" t="n">
        <v>20979153.39</v>
      </c>
      <c r="F411" t="n">
        <v>59913976.27</v>
      </c>
      <c r="G411" t="n">
        <v>2891.8692</v>
      </c>
      <c r="H411" t="n">
        <v>341.8479</v>
      </c>
      <c r="I411" t="n">
        <v>406.456</v>
      </c>
      <c r="J411" t="n">
        <v>2146.4991</v>
      </c>
      <c r="K411" t="inlineStr"/>
      <c r="L411" t="inlineStr"/>
      <c r="M411" t="inlineStr"/>
      <c r="N411" t="inlineStr"/>
      <c r="O411" t="n">
        <v>2019</v>
      </c>
      <c r="P411" t="n">
        <v>2040</v>
      </c>
      <c r="Q411" t="n">
        <v>0.4616</v>
      </c>
      <c r="R411" t="n">
        <v>591.6386</v>
      </c>
      <c r="S411" t="n">
        <v>0.00022349</v>
      </c>
      <c r="T411" t="n">
        <v>0.00047787</v>
      </c>
      <c r="U411" t="n">
        <v>2891.8692</v>
      </c>
      <c r="V411" t="inlineStr">
        <is>
          <t>Provided Total Emissions</t>
        </is>
      </c>
      <c r="W411" t="b">
        <v>1</v>
      </c>
      <c r="X411" t="n">
        <v>4688.631</v>
      </c>
      <c r="Y411" t="n">
        <v>28631.0918</v>
      </c>
      <c r="Z411" t="n">
        <v>1796.7618</v>
      </c>
      <c r="AA411" t="n">
        <v>25739.2226</v>
      </c>
      <c r="AB411" t="n">
        <v>0.621315</v>
      </c>
      <c r="AC411" t="n">
        <v>8.900549</v>
      </c>
      <c r="AD411" t="inlineStr">
        <is>
          <t>High</t>
        </is>
      </c>
      <c r="AE411" t="inlineStr">
        <is>
          <t>None</t>
        </is>
      </c>
      <c r="AF411" t="n">
        <v>0.95</v>
      </c>
      <c r="AG411" t="inlineStr">
        <is>
          <t>Valid</t>
        </is>
      </c>
    </row>
    <row r="412">
      <c r="A412" t="inlineStr">
        <is>
          <t>SUP-0042</t>
        </is>
      </c>
      <c r="B412" t="inlineStr">
        <is>
          <t>Chemicals Supplier 042</t>
        </is>
      </c>
      <c r="C412" t="inlineStr">
        <is>
          <t>Chemicals</t>
        </is>
      </c>
      <c r="D412" t="n">
        <v>2015</v>
      </c>
      <c r="E412" t="n">
        <v>21653769.03</v>
      </c>
      <c r="F412" t="n">
        <v>44041080.72</v>
      </c>
      <c r="G412" t="n">
        <v>16898.105</v>
      </c>
      <c r="H412" t="n">
        <v>3055.9754</v>
      </c>
      <c r="I412" t="n">
        <v>1532.7919</v>
      </c>
      <c r="J412" t="n">
        <v>11913.2183</v>
      </c>
      <c r="K412" t="inlineStr"/>
      <c r="L412" t="inlineStr"/>
      <c r="M412" t="inlineStr"/>
      <c r="N412" t="inlineStr"/>
      <c r="O412" t="n">
        <v>2019</v>
      </c>
      <c r="P412" t="n">
        <v>2035</v>
      </c>
      <c r="Q412" t="n">
        <v>0.5229</v>
      </c>
      <c r="R412" t="n">
        <v>506.3191</v>
      </c>
      <c r="S412" t="n">
        <v>0.00100149</v>
      </c>
      <c r="T412" t="n">
        <v>0.00047124</v>
      </c>
      <c r="U412" t="n">
        <v>16898.105</v>
      </c>
      <c r="V412" t="inlineStr">
        <is>
          <t>Provided Total Emissions</t>
        </is>
      </c>
      <c r="W412" t="b">
        <v>1</v>
      </c>
      <c r="X412" t="n">
        <v>21686.0331</v>
      </c>
      <c r="Y412" t="n">
        <v>20753.9189</v>
      </c>
      <c r="Z412" t="n">
        <v>4787.9281</v>
      </c>
      <c r="AA412" t="n">
        <v>3855.8139</v>
      </c>
      <c r="AB412" t="n">
        <v>0.283341</v>
      </c>
      <c r="AC412" t="n">
        <v>0.22818</v>
      </c>
      <c r="AD412" t="inlineStr">
        <is>
          <t>High</t>
        </is>
      </c>
      <c r="AE412" t="inlineStr">
        <is>
          <t>None</t>
        </is>
      </c>
      <c r="AF412" t="n">
        <v>0.95</v>
      </c>
      <c r="AG412" t="inlineStr">
        <is>
          <t>Valid</t>
        </is>
      </c>
    </row>
    <row r="413">
      <c r="A413" t="inlineStr">
        <is>
          <t>SUP-0042</t>
        </is>
      </c>
      <c r="B413" t="inlineStr">
        <is>
          <t>Chemicals Supplier 042</t>
        </is>
      </c>
      <c r="C413" t="inlineStr">
        <is>
          <t>Chemicals</t>
        </is>
      </c>
      <c r="D413" t="n">
        <v>2016</v>
      </c>
      <c r="E413" t="n">
        <v>21615919.12</v>
      </c>
      <c r="F413" t="n">
        <v>47985076.7</v>
      </c>
      <c r="G413" t="n">
        <v>14140.3076</v>
      </c>
      <c r="H413" t="n">
        <v>3343.408</v>
      </c>
      <c r="I413" t="n">
        <v>2718.0585</v>
      </c>
      <c r="J413" t="n">
        <v>7897.0747</v>
      </c>
      <c r="K413" t="inlineStr"/>
      <c r="L413" t="inlineStr"/>
      <c r="M413" t="inlineStr"/>
      <c r="N413" t="inlineStr"/>
      <c r="O413" t="n">
        <v>2019</v>
      </c>
      <c r="P413" t="n">
        <v>2035</v>
      </c>
      <c r="Q413" t="n">
        <v>0.5229</v>
      </c>
      <c r="R413" t="n">
        <v>506.3191</v>
      </c>
      <c r="S413" t="n">
        <v>0.00100149</v>
      </c>
      <c r="T413" t="n">
        <v>0.00047124</v>
      </c>
      <c r="U413" t="n">
        <v>14140.3076</v>
      </c>
      <c r="V413" t="inlineStr">
        <is>
          <t>Provided Total Emissions</t>
        </is>
      </c>
      <c r="W413" t="b">
        <v>1</v>
      </c>
      <c r="X413" t="n">
        <v>21648.1268</v>
      </c>
      <c r="Y413" t="n">
        <v>22612.4875</v>
      </c>
      <c r="Z413" t="n">
        <v>7507.8192</v>
      </c>
      <c r="AA413" t="n">
        <v>8472.179899999999</v>
      </c>
      <c r="AB413" t="n">
        <v>0.530952</v>
      </c>
      <c r="AC413" t="n">
        <v>0.599151</v>
      </c>
      <c r="AD413" t="inlineStr">
        <is>
          <t>High</t>
        </is>
      </c>
      <c r="AE413" t="inlineStr">
        <is>
          <t>None</t>
        </is>
      </c>
      <c r="AF413" t="n">
        <v>0.95</v>
      </c>
      <c r="AG413" t="inlineStr">
        <is>
          <t>Valid</t>
        </is>
      </c>
    </row>
    <row r="414">
      <c r="A414" t="inlineStr">
        <is>
          <t>SUP-0042</t>
        </is>
      </c>
      <c r="B414" t="inlineStr">
        <is>
          <t>Chemicals Supplier 042</t>
        </is>
      </c>
      <c r="C414" t="inlineStr">
        <is>
          <t>Chemicals</t>
        </is>
      </c>
      <c r="D414" t="n">
        <v>2017</v>
      </c>
      <c r="E414" t="n">
        <v>18544086.13</v>
      </c>
      <c r="F414" t="n">
        <v>46147953.08</v>
      </c>
      <c r="G414" t="n">
        <v>11632.1648</v>
      </c>
      <c r="H414" t="n">
        <v>2931.0438</v>
      </c>
      <c r="I414" t="n">
        <v>755.6316</v>
      </c>
      <c r="J414" t="n">
        <v>8187.4031</v>
      </c>
      <c r="K414" t="inlineStr"/>
      <c r="L414" t="inlineStr"/>
      <c r="M414" t="inlineStr"/>
      <c r="N414" t="inlineStr"/>
      <c r="O414" t="n">
        <v>2019</v>
      </c>
      <c r="P414" t="n">
        <v>2035</v>
      </c>
      <c r="Q414" t="n">
        <v>0.5229</v>
      </c>
      <c r="R414" t="n">
        <v>506.3191</v>
      </c>
      <c r="S414" t="n">
        <v>0.00100149</v>
      </c>
      <c r="T414" t="n">
        <v>0.00047124</v>
      </c>
      <c r="U414" t="n">
        <v>11632.1648</v>
      </c>
      <c r="V414" t="inlineStr">
        <is>
          <t>Provided Total Emissions</t>
        </is>
      </c>
      <c r="W414" t="b">
        <v>1</v>
      </c>
      <c r="X414" t="n">
        <v>18571.7168</v>
      </c>
      <c r="Y414" t="n">
        <v>21746.7614</v>
      </c>
      <c r="Z414" t="n">
        <v>6939.552</v>
      </c>
      <c r="AA414" t="n">
        <v>10114.5966</v>
      </c>
      <c r="AB414" t="n">
        <v>0.596583</v>
      </c>
      <c r="AC414" t="n">
        <v>0.869537</v>
      </c>
      <c r="AD414" t="inlineStr">
        <is>
          <t>High</t>
        </is>
      </c>
      <c r="AE414" t="inlineStr">
        <is>
          <t>None</t>
        </is>
      </c>
      <c r="AF414" t="n">
        <v>0.95</v>
      </c>
      <c r="AG414" t="inlineStr">
        <is>
          <t>Valid</t>
        </is>
      </c>
    </row>
    <row r="415">
      <c r="A415" t="inlineStr">
        <is>
          <t>SUP-0042</t>
        </is>
      </c>
      <c r="B415" t="inlineStr">
        <is>
          <t>Chemicals Supplier 042</t>
        </is>
      </c>
      <c r="C415" t="inlineStr">
        <is>
          <t>Chemicals</t>
        </is>
      </c>
      <c r="D415" t="n">
        <v>2018</v>
      </c>
      <c r="E415" t="n">
        <v>20463032.99</v>
      </c>
      <c r="F415" t="n">
        <v>45606723.6</v>
      </c>
      <c r="G415" t="n">
        <v>14480.3407</v>
      </c>
      <c r="H415" t="n">
        <v>1535.0212</v>
      </c>
      <c r="I415" t="n">
        <v>1472.1991</v>
      </c>
      <c r="J415" t="n">
        <v>10340.4931</v>
      </c>
      <c r="K415" t="inlineStr"/>
      <c r="L415" t="inlineStr"/>
      <c r="M415" t="inlineStr"/>
      <c r="N415" t="inlineStr"/>
      <c r="O415" t="n">
        <v>2019</v>
      </c>
      <c r="P415" t="n">
        <v>2035</v>
      </c>
      <c r="Q415" t="n">
        <v>0.5229</v>
      </c>
      <c r="R415" t="n">
        <v>506.3191</v>
      </c>
      <c r="S415" t="n">
        <v>0.00100149</v>
      </c>
      <c r="T415" t="n">
        <v>0.00047124</v>
      </c>
      <c r="U415" t="n">
        <v>14480.3407</v>
      </c>
      <c r="V415" t="inlineStr">
        <is>
          <t>Provided Total Emissions</t>
        </is>
      </c>
      <c r="W415" t="b">
        <v>1</v>
      </c>
      <c r="X415" t="n">
        <v>20493.5229</v>
      </c>
      <c r="Y415" t="n">
        <v>21491.7124</v>
      </c>
      <c r="Z415" t="n">
        <v>6013.1822</v>
      </c>
      <c r="AA415" t="n">
        <v>7011.3717</v>
      </c>
      <c r="AB415" t="n">
        <v>0.415265</v>
      </c>
      <c r="AC415" t="n">
        <v>0.484199</v>
      </c>
      <c r="AD415" t="inlineStr">
        <is>
          <t>High</t>
        </is>
      </c>
      <c r="AE415" t="inlineStr">
        <is>
          <t>None</t>
        </is>
      </c>
      <c r="AF415" t="n">
        <v>0.95</v>
      </c>
      <c r="AG415" t="inlineStr">
        <is>
          <t>Valid</t>
        </is>
      </c>
    </row>
    <row r="416">
      <c r="A416" t="inlineStr">
        <is>
          <t>SUP-0042</t>
        </is>
      </c>
      <c r="B416" t="inlineStr">
        <is>
          <t>Chemicals Supplier 042</t>
        </is>
      </c>
      <c r="C416" t="inlineStr">
        <is>
          <t>Chemicals</t>
        </is>
      </c>
      <c r="D416" t="n">
        <v>2019</v>
      </c>
      <c r="E416" t="n">
        <v>21557766.35</v>
      </c>
      <c r="F416" t="n">
        <v>62443157.58</v>
      </c>
      <c r="G416" t="n">
        <v>13759.2291</v>
      </c>
      <c r="H416" t="n">
        <v>2443.9398</v>
      </c>
      <c r="I416" t="n">
        <v>2145.6407</v>
      </c>
      <c r="J416" t="n">
        <v>9589.892400000001</v>
      </c>
      <c r="K416" t="inlineStr"/>
      <c r="L416" t="inlineStr"/>
      <c r="M416" t="inlineStr"/>
      <c r="N416" t="inlineStr"/>
      <c r="O416" t="n">
        <v>2019</v>
      </c>
      <c r="P416" t="n">
        <v>2035</v>
      </c>
      <c r="Q416" t="n">
        <v>0.5229</v>
      </c>
      <c r="R416" t="n">
        <v>506.3191</v>
      </c>
      <c r="S416" t="n">
        <v>0.00100149</v>
      </c>
      <c r="T416" t="n">
        <v>0.00047124</v>
      </c>
      <c r="U416" t="n">
        <v>13759.2291</v>
      </c>
      <c r="V416" t="inlineStr">
        <is>
          <t>Provided Total Emissions</t>
        </is>
      </c>
      <c r="W416" t="b">
        <v>1</v>
      </c>
      <c r="X416" t="n">
        <v>21589.8874</v>
      </c>
      <c r="Y416" t="n">
        <v>29425.7136</v>
      </c>
      <c r="Z416" t="n">
        <v>7830.6583</v>
      </c>
      <c r="AA416" t="n">
        <v>15666.4845</v>
      </c>
      <c r="AB416" t="n">
        <v>0.56912</v>
      </c>
      <c r="AC416" t="n">
        <v>1.138616</v>
      </c>
      <c r="AD416" t="inlineStr">
        <is>
          <t>High</t>
        </is>
      </c>
      <c r="AE416" t="inlineStr">
        <is>
          <t>None</t>
        </is>
      </c>
      <c r="AF416" t="n">
        <v>0.95</v>
      </c>
      <c r="AG416" t="inlineStr">
        <is>
          <t>Valid</t>
        </is>
      </c>
    </row>
    <row r="417">
      <c r="A417" t="inlineStr">
        <is>
          <t>SUP-0042</t>
        </is>
      </c>
      <c r="B417" t="inlineStr">
        <is>
          <t>Chemicals Supplier 042</t>
        </is>
      </c>
      <c r="C417" t="inlineStr">
        <is>
          <t>Chemicals</t>
        </is>
      </c>
      <c r="D417" t="n">
        <v>2020</v>
      </c>
      <c r="E417" t="n">
        <v>18619708.21</v>
      </c>
      <c r="F417" t="n">
        <v>56226290.16</v>
      </c>
      <c r="G417" t="n">
        <v>9905.5977</v>
      </c>
      <c r="H417" t="n">
        <v>1025.4695</v>
      </c>
      <c r="I417" t="n">
        <v>975.0033</v>
      </c>
      <c r="J417" t="n">
        <v>7143.5349</v>
      </c>
      <c r="K417" t="inlineStr"/>
      <c r="L417" t="inlineStr"/>
      <c r="M417" t="inlineStr"/>
      <c r="N417" t="inlineStr"/>
      <c r="O417" t="n">
        <v>2019</v>
      </c>
      <c r="P417" t="n">
        <v>2035</v>
      </c>
      <c r="Q417" t="n">
        <v>0.5229</v>
      </c>
      <c r="R417" t="n">
        <v>506.3191</v>
      </c>
      <c r="S417" t="n">
        <v>0.00100149</v>
      </c>
      <c r="T417" t="n">
        <v>0.00047124</v>
      </c>
      <c r="U417" t="n">
        <v>9905.5977</v>
      </c>
      <c r="V417" t="inlineStr">
        <is>
          <t>Provided Total Emissions</t>
        </is>
      </c>
      <c r="W417" t="b">
        <v>1</v>
      </c>
      <c r="X417" t="n">
        <v>18647.4516</v>
      </c>
      <c r="Y417" t="n">
        <v>26496.077</v>
      </c>
      <c r="Z417" t="n">
        <v>8741.8539</v>
      </c>
      <c r="AA417" t="n">
        <v>16590.4793</v>
      </c>
      <c r="AB417" t="n">
        <v>0.882517</v>
      </c>
      <c r="AC417" t="n">
        <v>1.674859</v>
      </c>
      <c r="AD417" t="inlineStr">
        <is>
          <t>High</t>
        </is>
      </c>
      <c r="AE417" t="inlineStr">
        <is>
          <t>None</t>
        </is>
      </c>
      <c r="AF417" t="n">
        <v>0.95</v>
      </c>
      <c r="AG417" t="inlineStr">
        <is>
          <t>Valid</t>
        </is>
      </c>
    </row>
    <row r="418">
      <c r="A418" t="inlineStr">
        <is>
          <t>SUP-0042</t>
        </is>
      </c>
      <c r="B418" t="inlineStr">
        <is>
          <t>Chemicals Supplier 042</t>
        </is>
      </c>
      <c r="C418" t="inlineStr">
        <is>
          <t>Chemicals</t>
        </is>
      </c>
      <c r="D418" t="n">
        <v>2021</v>
      </c>
      <c r="E418" t="n">
        <v>22605340.78</v>
      </c>
      <c r="F418" t="n">
        <v>60823129.34</v>
      </c>
      <c r="G418" t="n">
        <v>14446.426</v>
      </c>
      <c r="H418" t="n">
        <v>1980.0588</v>
      </c>
      <c r="I418" t="n">
        <v>1670.7068</v>
      </c>
      <c r="J418" t="n">
        <v>9915.399299999999</v>
      </c>
      <c r="K418" t="inlineStr"/>
      <c r="L418" t="inlineStr"/>
      <c r="M418" t="inlineStr"/>
      <c r="N418" t="inlineStr"/>
      <c r="O418" t="n">
        <v>2019</v>
      </c>
      <c r="P418" t="n">
        <v>2035</v>
      </c>
      <c r="Q418" t="n">
        <v>0.5229</v>
      </c>
      <c r="R418" t="n">
        <v>506.3191</v>
      </c>
      <c r="S418" t="n">
        <v>0.00100149</v>
      </c>
      <c r="T418" t="n">
        <v>0.00047124</v>
      </c>
      <c r="U418" t="n">
        <v>14446.426</v>
      </c>
      <c r="V418" t="inlineStr">
        <is>
          <t>Provided Total Emissions</t>
        </is>
      </c>
      <c r="W418" t="b">
        <v>1</v>
      </c>
      <c r="X418" t="n">
        <v>22639.0227</v>
      </c>
      <c r="Y418" t="n">
        <v>28662.2915</v>
      </c>
      <c r="Z418" t="n">
        <v>8192.5967</v>
      </c>
      <c r="AA418" t="n">
        <v>14215.8655</v>
      </c>
      <c r="AB418" t="n">
        <v>0.567102</v>
      </c>
      <c r="AC418" t="n">
        <v>0.98404</v>
      </c>
      <c r="AD418" t="inlineStr">
        <is>
          <t>High</t>
        </is>
      </c>
      <c r="AE418" t="inlineStr">
        <is>
          <t>None</t>
        </is>
      </c>
      <c r="AF418" t="n">
        <v>0.95</v>
      </c>
      <c r="AG418" t="inlineStr">
        <is>
          <t>Valid</t>
        </is>
      </c>
    </row>
    <row r="419">
      <c r="A419" t="inlineStr">
        <is>
          <t>SUP-0042</t>
        </is>
      </c>
      <c r="B419" t="inlineStr">
        <is>
          <t>Chemicals Supplier 042</t>
        </is>
      </c>
      <c r="C419" t="inlineStr">
        <is>
          <t>Chemicals</t>
        </is>
      </c>
      <c r="D419" t="n">
        <v>2022</v>
      </c>
      <c r="E419" t="n">
        <v>18660099.56</v>
      </c>
      <c r="F419" t="n">
        <v>58147530.89</v>
      </c>
      <c r="G419" t="n">
        <v>8600.511500000001</v>
      </c>
      <c r="H419" t="n">
        <v>1692.3969</v>
      </c>
      <c r="I419" t="n">
        <v>1068.1161</v>
      </c>
      <c r="J419" t="n">
        <v>5680.9662</v>
      </c>
      <c r="K419" t="inlineStr"/>
      <c r="L419" t="inlineStr"/>
      <c r="M419" t="inlineStr"/>
      <c r="N419" t="inlineStr"/>
      <c r="O419" t="n">
        <v>2019</v>
      </c>
      <c r="P419" t="n">
        <v>2035</v>
      </c>
      <c r="Q419" t="n">
        <v>0.5229</v>
      </c>
      <c r="R419" t="n">
        <v>506.3191</v>
      </c>
      <c r="S419" t="n">
        <v>0.00100149</v>
      </c>
      <c r="T419" t="n">
        <v>0.00047124</v>
      </c>
      <c r="U419" t="n">
        <v>8600.511500000001</v>
      </c>
      <c r="V419" t="inlineStr">
        <is>
          <t>Provided Total Emissions</t>
        </is>
      </c>
      <c r="W419" t="b">
        <v>1</v>
      </c>
      <c r="X419" t="n">
        <v>18687.9031</v>
      </c>
      <c r="Y419" t="n">
        <v>27401.4425</v>
      </c>
      <c r="Z419" t="n">
        <v>10087.3916</v>
      </c>
      <c r="AA419" t="n">
        <v>18800.931</v>
      </c>
      <c r="AB419" t="n">
        <v>1.172883</v>
      </c>
      <c r="AC419" t="n">
        <v>2.186025</v>
      </c>
      <c r="AD419" t="inlineStr">
        <is>
          <t>High</t>
        </is>
      </c>
      <c r="AE419" t="inlineStr">
        <is>
          <t>None</t>
        </is>
      </c>
      <c r="AF419" t="n">
        <v>0.95</v>
      </c>
      <c r="AG419" t="inlineStr">
        <is>
          <t>Valid</t>
        </is>
      </c>
    </row>
    <row r="420">
      <c r="A420" t="inlineStr">
        <is>
          <t>SUP-0042</t>
        </is>
      </c>
      <c r="B420" t="inlineStr">
        <is>
          <t>Chemicals Supplier 042</t>
        </is>
      </c>
      <c r="C420" t="inlineStr">
        <is>
          <t>Chemicals</t>
        </is>
      </c>
      <c r="D420" t="n">
        <v>2023</v>
      </c>
      <c r="E420" t="n">
        <v>20953123.85</v>
      </c>
      <c r="F420" t="n">
        <v>50908907.99</v>
      </c>
      <c r="G420" t="n">
        <v>10498.3251</v>
      </c>
      <c r="H420" t="n">
        <v>2569.1608</v>
      </c>
      <c r="I420" t="n">
        <v>1136.1683</v>
      </c>
      <c r="J420" t="n">
        <v>6938.2186</v>
      </c>
      <c r="K420" t="inlineStr"/>
      <c r="L420" t="inlineStr"/>
      <c r="M420" t="inlineStr"/>
      <c r="N420" t="inlineStr"/>
      <c r="O420" t="n">
        <v>2019</v>
      </c>
      <c r="P420" t="n">
        <v>2035</v>
      </c>
      <c r="Q420" t="n">
        <v>0.5229</v>
      </c>
      <c r="R420" t="n">
        <v>506.3191</v>
      </c>
      <c r="S420" t="n">
        <v>0.00100149</v>
      </c>
      <c r="T420" t="n">
        <v>0.00047124</v>
      </c>
      <c r="U420" t="n">
        <v>10498.3251</v>
      </c>
      <c r="V420" t="inlineStr">
        <is>
          <t>Provided Total Emissions</t>
        </is>
      </c>
      <c r="W420" t="b">
        <v>1</v>
      </c>
      <c r="X420" t="n">
        <v>20984.344</v>
      </c>
      <c r="Y420" t="n">
        <v>23990.3138</v>
      </c>
      <c r="Z420" t="n">
        <v>10486.0189</v>
      </c>
      <c r="AA420" t="n">
        <v>13491.9887</v>
      </c>
      <c r="AB420" t="n">
        <v>0.998828</v>
      </c>
      <c r="AC420" t="n">
        <v>1.285156</v>
      </c>
      <c r="AD420" t="inlineStr">
        <is>
          <t>High</t>
        </is>
      </c>
      <c r="AE420" t="inlineStr">
        <is>
          <t>None</t>
        </is>
      </c>
      <c r="AF420" t="n">
        <v>0.95</v>
      </c>
      <c r="AG420" t="inlineStr">
        <is>
          <t>Valid</t>
        </is>
      </c>
    </row>
    <row r="421">
      <c r="A421" t="inlineStr">
        <is>
          <t>SUP-0042</t>
        </is>
      </c>
      <c r="B421" t="inlineStr">
        <is>
          <t>Chemicals Supplier 042</t>
        </is>
      </c>
      <c r="C421" t="inlineStr">
        <is>
          <t>Chemicals</t>
        </is>
      </c>
      <c r="D421" t="n">
        <v>2024</v>
      </c>
      <c r="E421" t="n">
        <v>24573334.82</v>
      </c>
      <c r="F421" t="n">
        <v>65294304.22</v>
      </c>
      <c r="G421" t="n">
        <v>10825.417</v>
      </c>
      <c r="H421" t="n">
        <v>1403.0164</v>
      </c>
      <c r="I421" t="n">
        <v>716.2825</v>
      </c>
      <c r="J421" t="n">
        <v>8123.7014</v>
      </c>
      <c r="K421" t="inlineStr"/>
      <c r="L421" t="inlineStr"/>
      <c r="M421" t="inlineStr"/>
      <c r="N421" t="inlineStr"/>
      <c r="O421" t="n">
        <v>2019</v>
      </c>
      <c r="P421" t="n">
        <v>2035</v>
      </c>
      <c r="Q421" t="n">
        <v>0.5229</v>
      </c>
      <c r="R421" t="n">
        <v>506.3191</v>
      </c>
      <c r="S421" t="n">
        <v>0.00100149</v>
      </c>
      <c r="T421" t="n">
        <v>0.00047124</v>
      </c>
      <c r="U421" t="n">
        <v>10825.417</v>
      </c>
      <c r="V421" t="inlineStr">
        <is>
          <t>Provided Total Emissions</t>
        </is>
      </c>
      <c r="W421" t="b">
        <v>1</v>
      </c>
      <c r="X421" t="n">
        <v>24609.9491</v>
      </c>
      <c r="Y421" t="n">
        <v>30769.2879</v>
      </c>
      <c r="Z421" t="n">
        <v>13784.5321</v>
      </c>
      <c r="AA421" t="n">
        <v>19943.8709</v>
      </c>
      <c r="AB421" t="n">
        <v>1.273349</v>
      </c>
      <c r="AC421" t="n">
        <v>1.842319</v>
      </c>
      <c r="AD421" t="inlineStr">
        <is>
          <t>High</t>
        </is>
      </c>
      <c r="AE421" t="inlineStr">
        <is>
          <t>None</t>
        </is>
      </c>
      <c r="AF421" t="n">
        <v>0.95</v>
      </c>
      <c r="AG421" t="inlineStr">
        <is>
          <t>Valid</t>
        </is>
      </c>
    </row>
    <row r="422">
      <c r="A422" t="inlineStr">
        <is>
          <t>SUP-0043</t>
        </is>
      </c>
      <c r="B422" t="inlineStr">
        <is>
          <t>Logistics Supplier 043</t>
        </is>
      </c>
      <c r="C422" t="inlineStr">
        <is>
          <t>Logistics</t>
        </is>
      </c>
      <c r="D422" t="n">
        <v>2015</v>
      </c>
      <c r="E422" t="n">
        <v>6979137.95</v>
      </c>
      <c r="F422" t="n">
        <v>31806367.62</v>
      </c>
      <c r="G422" t="n">
        <v>2141.4227</v>
      </c>
      <c r="H422" t="n">
        <v>443.5348</v>
      </c>
      <c r="I422" t="n">
        <v>395.8466</v>
      </c>
      <c r="J422" t="n">
        <v>1299.3501</v>
      </c>
      <c r="K422" t="n">
        <v>2018</v>
      </c>
      <c r="L422" t="n">
        <v>2035</v>
      </c>
      <c r="M422" t="n">
        <v>0.543</v>
      </c>
      <c r="N422" t="n">
        <v>0.1921</v>
      </c>
      <c r="O422" t="n">
        <v>2019</v>
      </c>
      <c r="P422" t="n">
        <v>2040</v>
      </c>
      <c r="Q422" t="n">
        <v>0.4616</v>
      </c>
      <c r="R422" t="n">
        <v>591.6386</v>
      </c>
      <c r="S422" t="n">
        <v>0.00022349</v>
      </c>
      <c r="T422" t="n">
        <v>0.00047787</v>
      </c>
      <c r="U422" t="n">
        <v>2141.4227</v>
      </c>
      <c r="V422" t="inlineStr">
        <is>
          <t>Provided Total Emissions</t>
        </is>
      </c>
      <c r="W422" t="b">
        <v>1</v>
      </c>
      <c r="X422" t="n">
        <v>1559.7675</v>
      </c>
      <c r="Y422" t="n">
        <v>15199.3089</v>
      </c>
      <c r="Z422" t="n">
        <v>-581.6552</v>
      </c>
      <c r="AA422" t="n">
        <v>13057.8862</v>
      </c>
      <c r="AB422" t="n">
        <v>-0.271621</v>
      </c>
      <c r="AC422" t="n">
        <v>6.097762</v>
      </c>
      <c r="AD422" t="inlineStr">
        <is>
          <t>High</t>
        </is>
      </c>
      <c r="AE422" t="inlineStr">
        <is>
          <t>None</t>
        </is>
      </c>
      <c r="AF422" t="n">
        <v>0.95</v>
      </c>
      <c r="AG422" t="inlineStr">
        <is>
          <t>Valid</t>
        </is>
      </c>
    </row>
    <row r="423">
      <c r="A423" t="inlineStr">
        <is>
          <t>SUP-0043</t>
        </is>
      </c>
      <c r="B423" t="inlineStr">
        <is>
          <t>Logistics Supplier 043</t>
        </is>
      </c>
      <c r="C423" t="inlineStr">
        <is>
          <t>Logistics</t>
        </is>
      </c>
      <c r="D423" t="n">
        <v>2016</v>
      </c>
      <c r="E423" t="n">
        <v>6836695.02</v>
      </c>
      <c r="F423" t="n">
        <v>35230997.21</v>
      </c>
      <c r="G423" t="n">
        <v>2073.7041</v>
      </c>
      <c r="H423" t="n">
        <v>341.9225</v>
      </c>
      <c r="I423" t="n">
        <v>184.8141</v>
      </c>
      <c r="J423" t="n">
        <v>1497.266</v>
      </c>
      <c r="K423" t="n">
        <v>2018</v>
      </c>
      <c r="L423" t="n">
        <v>2035</v>
      </c>
      <c r="M423" t="n">
        <v>0.543</v>
      </c>
      <c r="N423" t="n">
        <v>0.1921</v>
      </c>
      <c r="O423" t="n">
        <v>2019</v>
      </c>
      <c r="P423" t="n">
        <v>2040</v>
      </c>
      <c r="Q423" t="n">
        <v>0.4616</v>
      </c>
      <c r="R423" t="n">
        <v>591.6386</v>
      </c>
      <c r="S423" t="n">
        <v>0.00022349</v>
      </c>
      <c r="T423" t="n">
        <v>0.00047787</v>
      </c>
      <c r="U423" t="n">
        <v>2073.7041</v>
      </c>
      <c r="V423" t="inlineStr">
        <is>
          <t>Provided Total Emissions</t>
        </is>
      </c>
      <c r="W423" t="b">
        <v>1</v>
      </c>
      <c r="X423" t="n">
        <v>1527.933</v>
      </c>
      <c r="Y423" t="n">
        <v>16835.8366</v>
      </c>
      <c r="Z423" t="n">
        <v>-545.7711</v>
      </c>
      <c r="AA423" t="n">
        <v>14762.1325</v>
      </c>
      <c r="AB423" t="n">
        <v>-0.263187</v>
      </c>
      <c r="AC423" t="n">
        <v>7.118727</v>
      </c>
      <c r="AD423" t="inlineStr">
        <is>
          <t>High</t>
        </is>
      </c>
      <c r="AE423" t="inlineStr">
        <is>
          <t>None</t>
        </is>
      </c>
      <c r="AF423" t="n">
        <v>0.95</v>
      </c>
      <c r="AG423" t="inlineStr">
        <is>
          <t>Valid</t>
        </is>
      </c>
    </row>
    <row r="424">
      <c r="A424" t="inlineStr">
        <is>
          <t>SUP-0043</t>
        </is>
      </c>
      <c r="B424" t="inlineStr">
        <is>
          <t>Logistics Supplier 043</t>
        </is>
      </c>
      <c r="C424" t="inlineStr">
        <is>
          <t>Logistics</t>
        </is>
      </c>
      <c r="D424" t="n">
        <v>2017</v>
      </c>
      <c r="E424" t="n">
        <v>6362319.89</v>
      </c>
      <c r="F424" t="n">
        <v>37687342.87</v>
      </c>
      <c r="G424" t="n">
        <v>1783.2094</v>
      </c>
      <c r="H424" t="n">
        <v>159.4329</v>
      </c>
      <c r="I424" t="n">
        <v>171.046</v>
      </c>
      <c r="J424" t="n">
        <v>1540.8793</v>
      </c>
      <c r="K424" t="n">
        <v>2018</v>
      </c>
      <c r="L424" t="n">
        <v>2035</v>
      </c>
      <c r="M424" t="n">
        <v>0.543</v>
      </c>
      <c r="N424" t="n">
        <v>0.1921</v>
      </c>
      <c r="O424" t="n">
        <v>2019</v>
      </c>
      <c r="P424" t="n">
        <v>2040</v>
      </c>
      <c r="Q424" t="n">
        <v>0.4616</v>
      </c>
      <c r="R424" t="n">
        <v>591.6386</v>
      </c>
      <c r="S424" t="n">
        <v>0.00022349</v>
      </c>
      <c r="T424" t="n">
        <v>0.00047787</v>
      </c>
      <c r="U424" t="n">
        <v>1783.2094</v>
      </c>
      <c r="V424" t="inlineStr">
        <is>
          <t>Provided Total Emissions</t>
        </is>
      </c>
      <c r="W424" t="b">
        <v>1</v>
      </c>
      <c r="X424" t="n">
        <v>1421.9149</v>
      </c>
      <c r="Y424" t="n">
        <v>18009.6505</v>
      </c>
      <c r="Z424" t="n">
        <v>-361.2945</v>
      </c>
      <c r="AA424" t="n">
        <v>16226.4411</v>
      </c>
      <c r="AB424" t="n">
        <v>-0.202609</v>
      </c>
      <c r="AC424" t="n">
        <v>9.099570999999999</v>
      </c>
      <c r="AD424" t="inlineStr">
        <is>
          <t>High</t>
        </is>
      </c>
      <c r="AE424" t="inlineStr">
        <is>
          <t>None</t>
        </is>
      </c>
      <c r="AF424" t="n">
        <v>0.95</v>
      </c>
      <c r="AG424" t="inlineStr">
        <is>
          <t>Valid</t>
        </is>
      </c>
    </row>
    <row r="425">
      <c r="A425" t="inlineStr">
        <is>
          <t>SUP-0043</t>
        </is>
      </c>
      <c r="B425" t="inlineStr">
        <is>
          <t>Logistics Supplier 043</t>
        </is>
      </c>
      <c r="C425" t="inlineStr">
        <is>
          <t>Logistics</t>
        </is>
      </c>
      <c r="D425" t="n">
        <v>2018</v>
      </c>
      <c r="E425" t="n">
        <v>6877171.09</v>
      </c>
      <c r="F425" t="n">
        <v>31981094.54</v>
      </c>
      <c r="G425" t="n">
        <v>1838.8543</v>
      </c>
      <c r="H425" t="n">
        <v>308.8531</v>
      </c>
      <c r="I425" t="n">
        <v>365.6906</v>
      </c>
      <c r="J425" t="n">
        <v>1028.215</v>
      </c>
      <c r="K425" t="n">
        <v>2018</v>
      </c>
      <c r="L425" t="n">
        <v>2035</v>
      </c>
      <c r="M425" t="n">
        <v>0.543</v>
      </c>
      <c r="N425" t="n">
        <v>0.1921</v>
      </c>
      <c r="O425" t="n">
        <v>2019</v>
      </c>
      <c r="P425" t="n">
        <v>2040</v>
      </c>
      <c r="Q425" t="n">
        <v>0.4616</v>
      </c>
      <c r="R425" t="n">
        <v>591.6386</v>
      </c>
      <c r="S425" t="n">
        <v>0.00022349</v>
      </c>
      <c r="T425" t="n">
        <v>0.00047787</v>
      </c>
      <c r="U425" t="n">
        <v>1838.8543</v>
      </c>
      <c r="V425" t="inlineStr">
        <is>
          <t>Provided Total Emissions</t>
        </is>
      </c>
      <c r="W425" t="b">
        <v>1</v>
      </c>
      <c r="X425" t="n">
        <v>1536.979</v>
      </c>
      <c r="Y425" t="n">
        <v>15282.8056</v>
      </c>
      <c r="Z425" t="n">
        <v>-301.8753</v>
      </c>
      <c r="AA425" t="n">
        <v>13443.9513</v>
      </c>
      <c r="AB425" t="n">
        <v>-0.164165</v>
      </c>
      <c r="AC425" t="n">
        <v>7.311048</v>
      </c>
      <c r="AD425" t="inlineStr">
        <is>
          <t>High</t>
        </is>
      </c>
      <c r="AE425" t="inlineStr">
        <is>
          <t>None</t>
        </is>
      </c>
      <c r="AF425" t="n">
        <v>0.95</v>
      </c>
      <c r="AG425" t="inlineStr">
        <is>
          <t>Valid</t>
        </is>
      </c>
    </row>
    <row r="426">
      <c r="A426" t="inlineStr">
        <is>
          <t>SUP-0043</t>
        </is>
      </c>
      <c r="B426" t="inlineStr">
        <is>
          <t>Logistics Supplier 043</t>
        </is>
      </c>
      <c r="C426" t="inlineStr">
        <is>
          <t>Logistics</t>
        </is>
      </c>
      <c r="D426" t="n">
        <v>2019</v>
      </c>
      <c r="E426" t="n">
        <v>7743140.6</v>
      </c>
      <c r="F426" t="n">
        <v>35368571.44</v>
      </c>
      <c r="G426" t="n">
        <v>2269.6418</v>
      </c>
      <c r="H426" t="n">
        <v>438.6873</v>
      </c>
      <c r="I426" t="n">
        <v>286.4922</v>
      </c>
      <c r="J426" t="n">
        <v>1467.4228</v>
      </c>
      <c r="K426" t="n">
        <v>2018</v>
      </c>
      <c r="L426" t="n">
        <v>2035</v>
      </c>
      <c r="M426" t="n">
        <v>0.543</v>
      </c>
      <c r="N426" t="n">
        <v>0.1921</v>
      </c>
      <c r="O426" t="n">
        <v>2019</v>
      </c>
      <c r="P426" t="n">
        <v>2040</v>
      </c>
      <c r="Q426" t="n">
        <v>0.4616</v>
      </c>
      <c r="R426" t="n">
        <v>591.6386</v>
      </c>
      <c r="S426" t="n">
        <v>0.00022349</v>
      </c>
      <c r="T426" t="n">
        <v>0.00047787</v>
      </c>
      <c r="U426" t="n">
        <v>2269.6418</v>
      </c>
      <c r="V426" t="inlineStr">
        <is>
          <t>Provided Total Emissions</t>
        </is>
      </c>
      <c r="W426" t="b">
        <v>1</v>
      </c>
      <c r="X426" t="n">
        <v>1730.5145</v>
      </c>
      <c r="Y426" t="n">
        <v>16901.5792</v>
      </c>
      <c r="Z426" t="n">
        <v>-539.1273</v>
      </c>
      <c r="AA426" t="n">
        <v>14631.9374</v>
      </c>
      <c r="AB426" t="n">
        <v>-0.237538</v>
      </c>
      <c r="AC426" t="n">
        <v>6.446805</v>
      </c>
      <c r="AD426" t="inlineStr">
        <is>
          <t>High</t>
        </is>
      </c>
      <c r="AE426" t="inlineStr">
        <is>
          <t>None</t>
        </is>
      </c>
      <c r="AF426" t="n">
        <v>0.95</v>
      </c>
      <c r="AG426" t="inlineStr">
        <is>
          <t>Valid</t>
        </is>
      </c>
    </row>
    <row r="427">
      <c r="A427" t="inlineStr">
        <is>
          <t>SUP-0043</t>
        </is>
      </c>
      <c r="B427" t="inlineStr">
        <is>
          <t>Logistics Supplier 043</t>
        </is>
      </c>
      <c r="C427" t="inlineStr">
        <is>
          <t>Logistics</t>
        </is>
      </c>
      <c r="D427" t="n">
        <v>2020</v>
      </c>
      <c r="E427" t="n">
        <v>7181848.3</v>
      </c>
      <c r="F427" t="n">
        <v>25362502.82</v>
      </c>
      <c r="G427" t="n">
        <v>1411.0765</v>
      </c>
      <c r="H427" t="n">
        <v>301.4112</v>
      </c>
      <c r="I427" t="n">
        <v>104.8701</v>
      </c>
      <c r="J427" t="n">
        <v>936.6015</v>
      </c>
      <c r="K427" t="n">
        <v>2018</v>
      </c>
      <c r="L427" t="n">
        <v>2035</v>
      </c>
      <c r="M427" t="n">
        <v>0.543</v>
      </c>
      <c r="N427" t="n">
        <v>0.1921</v>
      </c>
      <c r="O427" t="n">
        <v>2019</v>
      </c>
      <c r="P427" t="n">
        <v>2040</v>
      </c>
      <c r="Q427" t="n">
        <v>0.4616</v>
      </c>
      <c r="R427" t="n">
        <v>591.6386</v>
      </c>
      <c r="S427" t="n">
        <v>0.00022349</v>
      </c>
      <c r="T427" t="n">
        <v>0.00047787</v>
      </c>
      <c r="U427" t="n">
        <v>1411.0765</v>
      </c>
      <c r="V427" t="inlineStr">
        <is>
          <t>Provided Total Emissions</t>
        </is>
      </c>
      <c r="W427" t="b">
        <v>1</v>
      </c>
      <c r="X427" t="n">
        <v>1605.0713</v>
      </c>
      <c r="Y427" t="n">
        <v>12119.9792</v>
      </c>
      <c r="Z427" t="n">
        <v>193.9948</v>
      </c>
      <c r="AA427" t="n">
        <v>10708.9027</v>
      </c>
      <c r="AB427" t="n">
        <v>0.13748</v>
      </c>
      <c r="AC427" t="n">
        <v>7.589172</v>
      </c>
      <c r="AD427" t="inlineStr">
        <is>
          <t>High</t>
        </is>
      </c>
      <c r="AE427" t="inlineStr">
        <is>
          <t>None</t>
        </is>
      </c>
      <c r="AF427" t="n">
        <v>0.95</v>
      </c>
      <c r="AG427" t="inlineStr">
        <is>
          <t>Valid</t>
        </is>
      </c>
    </row>
    <row r="428">
      <c r="A428" t="inlineStr">
        <is>
          <t>SUP-0043</t>
        </is>
      </c>
      <c r="B428" t="inlineStr">
        <is>
          <t>Logistics Supplier 043</t>
        </is>
      </c>
      <c r="C428" t="inlineStr">
        <is>
          <t>Logistics</t>
        </is>
      </c>
      <c r="D428" t="n">
        <v>2021</v>
      </c>
      <c r="E428" t="n">
        <v>6988519.31</v>
      </c>
      <c r="F428" t="n">
        <v>38575932.01</v>
      </c>
      <c r="G428" t="n">
        <v>1570.1411</v>
      </c>
      <c r="H428" t="n">
        <v>125.7443</v>
      </c>
      <c r="I428" t="n">
        <v>217.9945</v>
      </c>
      <c r="J428" t="n">
        <v>1223.2958</v>
      </c>
      <c r="K428" t="n">
        <v>2018</v>
      </c>
      <c r="L428" t="n">
        <v>2035</v>
      </c>
      <c r="M428" t="n">
        <v>0.543</v>
      </c>
      <c r="N428" t="n">
        <v>0.1921</v>
      </c>
      <c r="O428" t="n">
        <v>2019</v>
      </c>
      <c r="P428" t="n">
        <v>2040</v>
      </c>
      <c r="Q428" t="n">
        <v>0.4616</v>
      </c>
      <c r="R428" t="n">
        <v>591.6386</v>
      </c>
      <c r="S428" t="n">
        <v>0.00022349</v>
      </c>
      <c r="T428" t="n">
        <v>0.00047787</v>
      </c>
      <c r="U428" t="n">
        <v>1570.1411</v>
      </c>
      <c r="V428" t="inlineStr">
        <is>
          <t>Provided Total Emissions</t>
        </is>
      </c>
      <c r="W428" t="b">
        <v>1</v>
      </c>
      <c r="X428" t="n">
        <v>1561.8642</v>
      </c>
      <c r="Y428" t="n">
        <v>18434.2806</v>
      </c>
      <c r="Z428" t="n">
        <v>-8.276899999999999</v>
      </c>
      <c r="AA428" t="n">
        <v>16864.1395</v>
      </c>
      <c r="AB428" t="n">
        <v>-0.005271</v>
      </c>
      <c r="AC428" t="n">
        <v>10.740525</v>
      </c>
      <c r="AD428" t="inlineStr">
        <is>
          <t>High</t>
        </is>
      </c>
      <c r="AE428" t="inlineStr">
        <is>
          <t>None</t>
        </is>
      </c>
      <c r="AF428" t="n">
        <v>0.95</v>
      </c>
      <c r="AG428" t="inlineStr">
        <is>
          <t>Valid</t>
        </is>
      </c>
    </row>
    <row r="429">
      <c r="A429" t="inlineStr">
        <is>
          <t>SUP-0043</t>
        </is>
      </c>
      <c r="B429" t="inlineStr">
        <is>
          <t>Logistics Supplier 043</t>
        </is>
      </c>
      <c r="C429" t="inlineStr">
        <is>
          <t>Logistics</t>
        </is>
      </c>
      <c r="D429" t="n">
        <v>2022</v>
      </c>
      <c r="E429" t="n">
        <v>7280627.4</v>
      </c>
      <c r="F429" t="n">
        <v>26109678.44</v>
      </c>
      <c r="G429" t="n">
        <v>1774.2446</v>
      </c>
      <c r="H429" t="n">
        <v>294.8017</v>
      </c>
      <c r="I429" t="n">
        <v>352.9167</v>
      </c>
      <c r="J429" t="n">
        <v>1012.1643</v>
      </c>
      <c r="K429" t="n">
        <v>2018</v>
      </c>
      <c r="L429" t="n">
        <v>2035</v>
      </c>
      <c r="M429" t="n">
        <v>0.543</v>
      </c>
      <c r="N429" t="n">
        <v>0.1921</v>
      </c>
      <c r="O429" t="n">
        <v>2019</v>
      </c>
      <c r="P429" t="n">
        <v>2040</v>
      </c>
      <c r="Q429" t="n">
        <v>0.4616</v>
      </c>
      <c r="R429" t="n">
        <v>591.6386</v>
      </c>
      <c r="S429" t="n">
        <v>0.00022349</v>
      </c>
      <c r="T429" t="n">
        <v>0.00047787</v>
      </c>
      <c r="U429" t="n">
        <v>1774.2446</v>
      </c>
      <c r="V429" t="inlineStr">
        <is>
          <t>Provided Total Emissions</t>
        </is>
      </c>
      <c r="W429" t="b">
        <v>1</v>
      </c>
      <c r="X429" t="n">
        <v>1627.1474</v>
      </c>
      <c r="Y429" t="n">
        <v>12477.032</v>
      </c>
      <c r="Z429" t="n">
        <v>-147.0972</v>
      </c>
      <c r="AA429" t="n">
        <v>10702.7874</v>
      </c>
      <c r="AB429" t="n">
        <v>-0.08290699999999999</v>
      </c>
      <c r="AC429" t="n">
        <v>6.032307</v>
      </c>
      <c r="AD429" t="inlineStr">
        <is>
          <t>High</t>
        </is>
      </c>
      <c r="AE429" t="inlineStr">
        <is>
          <t>None</t>
        </is>
      </c>
      <c r="AF429" t="n">
        <v>0.95</v>
      </c>
      <c r="AG429" t="inlineStr">
        <is>
          <t>Valid</t>
        </is>
      </c>
    </row>
    <row r="430">
      <c r="A430" t="inlineStr">
        <is>
          <t>SUP-0043</t>
        </is>
      </c>
      <c r="B430" t="inlineStr">
        <is>
          <t>Logistics Supplier 043</t>
        </is>
      </c>
      <c r="C430" t="inlineStr">
        <is>
          <t>Logistics</t>
        </is>
      </c>
      <c r="D430" t="n">
        <v>2023</v>
      </c>
      <c r="E430" t="n">
        <v>6751046.32</v>
      </c>
      <c r="F430" t="n">
        <v>36607602.47</v>
      </c>
      <c r="G430" t="n">
        <v>1469.3987</v>
      </c>
      <c r="H430" t="n">
        <v>227.7673</v>
      </c>
      <c r="I430" t="n">
        <v>273.3214</v>
      </c>
      <c r="J430" t="n">
        <v>1038.884</v>
      </c>
      <c r="K430" t="n">
        <v>2018</v>
      </c>
      <c r="L430" t="n">
        <v>2035</v>
      </c>
      <c r="M430" t="n">
        <v>0.543</v>
      </c>
      <c r="N430" t="n">
        <v>0.1921</v>
      </c>
      <c r="O430" t="n">
        <v>2019</v>
      </c>
      <c r="P430" t="n">
        <v>2040</v>
      </c>
      <c r="Q430" t="n">
        <v>0.4616</v>
      </c>
      <c r="R430" t="n">
        <v>591.6386</v>
      </c>
      <c r="S430" t="n">
        <v>0.00022349</v>
      </c>
      <c r="T430" t="n">
        <v>0.00047787</v>
      </c>
      <c r="U430" t="n">
        <v>1469.3987</v>
      </c>
      <c r="V430" t="inlineStr">
        <is>
          <t>Provided Total Emissions</t>
        </is>
      </c>
      <c r="W430" t="b">
        <v>1</v>
      </c>
      <c r="X430" t="n">
        <v>1508.7913</v>
      </c>
      <c r="Y430" t="n">
        <v>17493.675</v>
      </c>
      <c r="Z430" t="n">
        <v>39.3926</v>
      </c>
      <c r="AA430" t="n">
        <v>16024.2763</v>
      </c>
      <c r="AB430" t="n">
        <v>0.026809</v>
      </c>
      <c r="AC430" t="n">
        <v>10.905329</v>
      </c>
      <c r="AD430" t="inlineStr">
        <is>
          <t>High</t>
        </is>
      </c>
      <c r="AE430" t="inlineStr">
        <is>
          <t>None</t>
        </is>
      </c>
      <c r="AF430" t="n">
        <v>0.95</v>
      </c>
      <c r="AG430" t="inlineStr">
        <is>
          <t>Valid</t>
        </is>
      </c>
    </row>
    <row r="431">
      <c r="A431" t="inlineStr">
        <is>
          <t>SUP-0043</t>
        </is>
      </c>
      <c r="B431" t="inlineStr">
        <is>
          <t>Logistics Supplier 043</t>
        </is>
      </c>
      <c r="C431" t="inlineStr">
        <is>
          <t>Logistics</t>
        </is>
      </c>
      <c r="D431" t="n">
        <v>2024</v>
      </c>
      <c r="E431" t="n">
        <v>6370904.51</v>
      </c>
      <c r="F431" t="n">
        <v>28178717.84</v>
      </c>
      <c r="G431" t="n">
        <v>1506.1183</v>
      </c>
      <c r="H431" t="n">
        <v>359.6559</v>
      </c>
      <c r="I431" t="n">
        <v>97.64239999999999</v>
      </c>
      <c r="J431" t="n">
        <v>882.8898</v>
      </c>
      <c r="K431" t="n">
        <v>2018</v>
      </c>
      <c r="L431" t="n">
        <v>2035</v>
      </c>
      <c r="M431" t="n">
        <v>0.543</v>
      </c>
      <c r="N431" t="n">
        <v>0.1921</v>
      </c>
      <c r="O431" t="n">
        <v>2019</v>
      </c>
      <c r="P431" t="n">
        <v>2040</v>
      </c>
      <c r="Q431" t="n">
        <v>0.4616</v>
      </c>
      <c r="R431" t="n">
        <v>591.6386</v>
      </c>
      <c r="S431" t="n">
        <v>0.00022349</v>
      </c>
      <c r="T431" t="n">
        <v>0.00047787</v>
      </c>
      <c r="U431" t="n">
        <v>1506.1183</v>
      </c>
      <c r="V431" t="inlineStr">
        <is>
          <t>Provided Total Emissions</t>
        </is>
      </c>
      <c r="W431" t="b">
        <v>1</v>
      </c>
      <c r="X431" t="n">
        <v>1423.8334</v>
      </c>
      <c r="Y431" t="n">
        <v>13465.7639</v>
      </c>
      <c r="Z431" t="n">
        <v>-82.28489999999999</v>
      </c>
      <c r="AA431" t="n">
        <v>11959.6456</v>
      </c>
      <c r="AB431" t="n">
        <v>-0.054634</v>
      </c>
      <c r="AC431" t="n">
        <v>7.940708</v>
      </c>
      <c r="AD431" t="inlineStr">
        <is>
          <t>High</t>
        </is>
      </c>
      <c r="AE431" t="inlineStr">
        <is>
          <t>None</t>
        </is>
      </c>
      <c r="AF431" t="n">
        <v>0.95</v>
      </c>
      <c r="AG431" t="inlineStr">
        <is>
          <t>Valid</t>
        </is>
      </c>
    </row>
    <row r="432">
      <c r="A432" t="inlineStr">
        <is>
          <t>SUP-0044</t>
        </is>
      </c>
      <c r="B432" t="inlineStr">
        <is>
          <t>Chemicals Supplier 044</t>
        </is>
      </c>
      <c r="C432" t="inlineStr">
        <is>
          <t>Chemicals</t>
        </is>
      </c>
      <c r="D432" t="n">
        <v>2015</v>
      </c>
      <c r="E432" t="n">
        <v>24749052.33</v>
      </c>
      <c r="F432" t="n">
        <v>110885225.08</v>
      </c>
      <c r="G432" t="n">
        <v>22198.8814</v>
      </c>
      <c r="H432" t="n">
        <v>2317.7182</v>
      </c>
      <c r="I432" t="n">
        <v>1748.053</v>
      </c>
      <c r="J432" t="n">
        <v>18186.0038</v>
      </c>
      <c r="K432" t="inlineStr"/>
      <c r="L432" t="inlineStr"/>
      <c r="M432" t="inlineStr"/>
      <c r="N432" t="inlineStr"/>
      <c r="O432" t="n">
        <v>2019</v>
      </c>
      <c r="P432" t="n">
        <v>2035</v>
      </c>
      <c r="Q432" t="n">
        <v>0.5229</v>
      </c>
      <c r="R432" t="n">
        <v>506.3191</v>
      </c>
      <c r="S432" t="n">
        <v>0.00100149</v>
      </c>
      <c r="T432" t="n">
        <v>0.00047124</v>
      </c>
      <c r="U432" t="n">
        <v>22198.8814</v>
      </c>
      <c r="V432" t="inlineStr">
        <is>
          <t>Provided Total Emissions</t>
        </is>
      </c>
      <c r="W432" t="b">
        <v>1</v>
      </c>
      <c r="X432" t="n">
        <v>24785.9284</v>
      </c>
      <c r="Y432" t="n">
        <v>52253.5535</v>
      </c>
      <c r="Z432" t="n">
        <v>2587.047</v>
      </c>
      <c r="AA432" t="n">
        <v>30054.6721</v>
      </c>
      <c r="AB432" t="n">
        <v>0.11654</v>
      </c>
      <c r="AC432" t="n">
        <v>1.353882</v>
      </c>
      <c r="AD432" t="inlineStr">
        <is>
          <t>High</t>
        </is>
      </c>
      <c r="AE432" t="inlineStr">
        <is>
          <t>None</t>
        </is>
      </c>
      <c r="AF432" t="n">
        <v>0.95</v>
      </c>
      <c r="AG432" t="inlineStr">
        <is>
          <t>Valid</t>
        </is>
      </c>
    </row>
    <row r="433">
      <c r="A433" t="inlineStr">
        <is>
          <t>SUP-0044</t>
        </is>
      </c>
      <c r="B433" t="inlineStr">
        <is>
          <t>Chemicals Supplier 044</t>
        </is>
      </c>
      <c r="C433" t="inlineStr">
        <is>
          <t>Chemicals</t>
        </is>
      </c>
      <c r="D433" t="n">
        <v>2016</v>
      </c>
      <c r="E433" t="n">
        <v>24777044.3</v>
      </c>
      <c r="F433" t="n">
        <v>87102990.88</v>
      </c>
      <c r="G433" t="n">
        <v>26047.9002</v>
      </c>
      <c r="H433" t="n">
        <v>3911.4301</v>
      </c>
      <c r="I433" t="n">
        <v>3050.9837</v>
      </c>
      <c r="J433" t="n">
        <v>17865.5298</v>
      </c>
      <c r="K433" t="inlineStr"/>
      <c r="L433" t="inlineStr"/>
      <c r="M433" t="inlineStr"/>
      <c r="N433" t="inlineStr"/>
      <c r="O433" t="n">
        <v>2019</v>
      </c>
      <c r="P433" t="n">
        <v>2035</v>
      </c>
      <c r="Q433" t="n">
        <v>0.5229</v>
      </c>
      <c r="R433" t="n">
        <v>506.3191</v>
      </c>
      <c r="S433" t="n">
        <v>0.00100149</v>
      </c>
      <c r="T433" t="n">
        <v>0.00047124</v>
      </c>
      <c r="U433" t="n">
        <v>26047.9002</v>
      </c>
      <c r="V433" t="inlineStr">
        <is>
          <t>Provided Total Emissions</t>
        </is>
      </c>
      <c r="W433" t="b">
        <v>1</v>
      </c>
      <c r="X433" t="n">
        <v>24813.9621</v>
      </c>
      <c r="Y433" t="n">
        <v>41046.4134</v>
      </c>
      <c r="Z433" t="n">
        <v>-1233.9381</v>
      </c>
      <c r="AA433" t="n">
        <v>14998.5132</v>
      </c>
      <c r="AB433" t="n">
        <v>-0.047372</v>
      </c>
      <c r="AC433" t="n">
        <v>0.575805</v>
      </c>
      <c r="AD433" t="inlineStr">
        <is>
          <t>High</t>
        </is>
      </c>
      <c r="AE433" t="inlineStr">
        <is>
          <t>None</t>
        </is>
      </c>
      <c r="AF433" t="n">
        <v>0.95</v>
      </c>
      <c r="AG433" t="inlineStr">
        <is>
          <t>Valid</t>
        </is>
      </c>
    </row>
    <row r="434">
      <c r="A434" t="inlineStr">
        <is>
          <t>SUP-0044</t>
        </is>
      </c>
      <c r="B434" t="inlineStr">
        <is>
          <t>Chemicals Supplier 044</t>
        </is>
      </c>
      <c r="C434" t="inlineStr">
        <is>
          <t>Chemicals</t>
        </is>
      </c>
      <c r="D434" t="n">
        <v>2017</v>
      </c>
      <c r="E434" t="n">
        <v>24986174.37</v>
      </c>
      <c r="F434" t="n">
        <v>93739735.89</v>
      </c>
      <c r="G434" t="n">
        <v>22974.5445</v>
      </c>
      <c r="H434" t="n">
        <v>3170.0312</v>
      </c>
      <c r="I434" t="n">
        <v>2364.2391</v>
      </c>
      <c r="J434" t="n">
        <v>17710.175</v>
      </c>
      <c r="K434" t="inlineStr"/>
      <c r="L434" t="inlineStr"/>
      <c r="M434" t="inlineStr"/>
      <c r="N434" t="inlineStr"/>
      <c r="O434" t="n">
        <v>2019</v>
      </c>
      <c r="P434" t="n">
        <v>2035</v>
      </c>
      <c r="Q434" t="n">
        <v>0.5229</v>
      </c>
      <c r="R434" t="n">
        <v>506.3191</v>
      </c>
      <c r="S434" t="n">
        <v>0.00100149</v>
      </c>
      <c r="T434" t="n">
        <v>0.00047124</v>
      </c>
      <c r="U434" t="n">
        <v>22974.5445</v>
      </c>
      <c r="V434" t="inlineStr">
        <is>
          <t>Provided Total Emissions</t>
        </is>
      </c>
      <c r="W434" t="b">
        <v>1</v>
      </c>
      <c r="X434" t="n">
        <v>25023.4038</v>
      </c>
      <c r="Y434" t="n">
        <v>44173.9131</v>
      </c>
      <c r="Z434" t="n">
        <v>2048.8593</v>
      </c>
      <c r="AA434" t="n">
        <v>21199.3686</v>
      </c>
      <c r="AB434" t="n">
        <v>0.08918</v>
      </c>
      <c r="AC434" t="n">
        <v>0.922733</v>
      </c>
      <c r="AD434" t="inlineStr">
        <is>
          <t>High</t>
        </is>
      </c>
      <c r="AE434" t="inlineStr">
        <is>
          <t>None</t>
        </is>
      </c>
      <c r="AF434" t="n">
        <v>0.95</v>
      </c>
      <c r="AG434" t="inlineStr">
        <is>
          <t>Valid</t>
        </is>
      </c>
    </row>
    <row r="435">
      <c r="A435" t="inlineStr">
        <is>
          <t>SUP-0044</t>
        </is>
      </c>
      <c r="B435" t="inlineStr">
        <is>
          <t>Chemicals Supplier 044</t>
        </is>
      </c>
      <c r="C435" t="inlineStr">
        <is>
          <t>Chemicals</t>
        </is>
      </c>
      <c r="D435" t="n">
        <v>2018</v>
      </c>
      <c r="E435" t="n">
        <v>24744637.84</v>
      </c>
      <c r="F435" t="n">
        <v>117457459.06</v>
      </c>
      <c r="G435" t="n">
        <v>25813.0038</v>
      </c>
      <c r="H435" t="n">
        <v>3473.803</v>
      </c>
      <c r="I435" t="n">
        <v>4978.8608</v>
      </c>
      <c r="J435" t="n">
        <v>17197.4031</v>
      </c>
      <c r="K435" t="inlineStr"/>
      <c r="L435" t="inlineStr"/>
      <c r="M435" t="inlineStr"/>
      <c r="N435" t="inlineStr"/>
      <c r="O435" t="n">
        <v>2019</v>
      </c>
      <c r="P435" t="n">
        <v>2035</v>
      </c>
      <c r="Q435" t="n">
        <v>0.5229</v>
      </c>
      <c r="R435" t="n">
        <v>506.3191</v>
      </c>
      <c r="S435" t="n">
        <v>0.00100149</v>
      </c>
      <c r="T435" t="n">
        <v>0.00047124</v>
      </c>
      <c r="U435" t="n">
        <v>25813.0038</v>
      </c>
      <c r="V435" t="inlineStr">
        <is>
          <t>Provided Total Emissions</t>
        </is>
      </c>
      <c r="W435" t="b">
        <v>1</v>
      </c>
      <c r="X435" t="n">
        <v>24781.5074</v>
      </c>
      <c r="Y435" t="n">
        <v>55350.653</v>
      </c>
      <c r="Z435" t="n">
        <v>-1031.4964</v>
      </c>
      <c r="AA435" t="n">
        <v>29537.6492</v>
      </c>
      <c r="AB435" t="n">
        <v>-0.03996</v>
      </c>
      <c r="AC435" t="n">
        <v>1.144293</v>
      </c>
      <c r="AD435" t="inlineStr">
        <is>
          <t>High</t>
        </is>
      </c>
      <c r="AE435" t="inlineStr">
        <is>
          <t>None</t>
        </is>
      </c>
      <c r="AF435" t="n">
        <v>0.95</v>
      </c>
      <c r="AG435" t="inlineStr">
        <is>
          <t>Valid</t>
        </is>
      </c>
    </row>
    <row r="436">
      <c r="A436" t="inlineStr">
        <is>
          <t>SUP-0044</t>
        </is>
      </c>
      <c r="B436" t="inlineStr">
        <is>
          <t>Chemicals Supplier 044</t>
        </is>
      </c>
      <c r="C436" t="inlineStr">
        <is>
          <t>Chemicals</t>
        </is>
      </c>
      <c r="D436" t="n">
        <v>2019</v>
      </c>
      <c r="E436" t="n">
        <v>24987738.46</v>
      </c>
      <c r="F436" t="n">
        <v>99683633.98999999</v>
      </c>
      <c r="G436" t="n">
        <v>22576.4717</v>
      </c>
      <c r="H436" t="n">
        <v>2454.834</v>
      </c>
      <c r="I436" t="n">
        <v>4811.2581</v>
      </c>
      <c r="J436" t="n">
        <v>17174.9722</v>
      </c>
      <c r="K436" t="inlineStr"/>
      <c r="L436" t="inlineStr"/>
      <c r="M436" t="inlineStr"/>
      <c r="N436" t="inlineStr"/>
      <c r="O436" t="n">
        <v>2019</v>
      </c>
      <c r="P436" t="n">
        <v>2035</v>
      </c>
      <c r="Q436" t="n">
        <v>0.5229</v>
      </c>
      <c r="R436" t="n">
        <v>506.3191</v>
      </c>
      <c r="S436" t="n">
        <v>0.00100149</v>
      </c>
      <c r="T436" t="n">
        <v>0.00047124</v>
      </c>
      <c r="U436" t="n">
        <v>22576.4717</v>
      </c>
      <c r="V436" t="inlineStr">
        <is>
          <t>Provided Total Emissions</t>
        </is>
      </c>
      <c r="W436" t="b">
        <v>1</v>
      </c>
      <c r="X436" t="n">
        <v>25024.9702</v>
      </c>
      <c r="Y436" t="n">
        <v>46974.9157</v>
      </c>
      <c r="Z436" t="n">
        <v>2448.4985</v>
      </c>
      <c r="AA436" t="n">
        <v>24398.444</v>
      </c>
      <c r="AB436" t="n">
        <v>0.108454</v>
      </c>
      <c r="AC436" t="n">
        <v>1.080702</v>
      </c>
      <c r="AD436" t="inlineStr">
        <is>
          <t>High</t>
        </is>
      </c>
      <c r="AE436" t="inlineStr">
        <is>
          <t>None</t>
        </is>
      </c>
      <c r="AF436" t="n">
        <v>0.95</v>
      </c>
      <c r="AG436" t="inlineStr">
        <is>
          <t>Valid</t>
        </is>
      </c>
    </row>
    <row r="437">
      <c r="A437" t="inlineStr">
        <is>
          <t>SUP-0044</t>
        </is>
      </c>
      <c r="B437" t="inlineStr">
        <is>
          <t>Chemicals Supplier 044</t>
        </is>
      </c>
      <c r="C437" t="inlineStr">
        <is>
          <t>Chemicals</t>
        </is>
      </c>
      <c r="D437" t="n">
        <v>2020</v>
      </c>
      <c r="E437" t="n">
        <v>27664349.08</v>
      </c>
      <c r="F437" t="n">
        <v>92797885.11</v>
      </c>
      <c r="G437" t="n">
        <v>29799.8593</v>
      </c>
      <c r="H437" t="n">
        <v>7096.3223</v>
      </c>
      <c r="I437" t="n">
        <v>5743.3408</v>
      </c>
      <c r="J437" t="n">
        <v>16839.7499</v>
      </c>
      <c r="K437" t="inlineStr"/>
      <c r="L437" t="inlineStr"/>
      <c r="M437" t="inlineStr"/>
      <c r="N437" t="inlineStr"/>
      <c r="O437" t="n">
        <v>2019</v>
      </c>
      <c r="P437" t="n">
        <v>2035</v>
      </c>
      <c r="Q437" t="n">
        <v>0.5229</v>
      </c>
      <c r="R437" t="n">
        <v>506.3191</v>
      </c>
      <c r="S437" t="n">
        <v>0.00100149</v>
      </c>
      <c r="T437" t="n">
        <v>0.00047124</v>
      </c>
      <c r="U437" t="n">
        <v>29799.8593</v>
      </c>
      <c r="V437" t="inlineStr">
        <is>
          <t>Provided Total Emissions</t>
        </is>
      </c>
      <c r="W437" t="b">
        <v>1</v>
      </c>
      <c r="X437" t="n">
        <v>27705.569</v>
      </c>
      <c r="Y437" t="n">
        <v>43730.0754</v>
      </c>
      <c r="Z437" t="n">
        <v>-2094.2903</v>
      </c>
      <c r="AA437" t="n">
        <v>13930.2161</v>
      </c>
      <c r="AB437" t="n">
        <v>-0.07027899999999999</v>
      </c>
      <c r="AC437" t="n">
        <v>0.467459</v>
      </c>
      <c r="AD437" t="inlineStr">
        <is>
          <t>High</t>
        </is>
      </c>
      <c r="AE437" t="inlineStr">
        <is>
          <t>None</t>
        </is>
      </c>
      <c r="AF437" t="n">
        <v>0.95</v>
      </c>
      <c r="AG437" t="inlineStr">
        <is>
          <t>Valid</t>
        </is>
      </c>
    </row>
    <row r="438">
      <c r="A438" t="inlineStr">
        <is>
          <t>SUP-0044</t>
        </is>
      </c>
      <c r="B438" t="inlineStr">
        <is>
          <t>Chemicals Supplier 044</t>
        </is>
      </c>
      <c r="C438" t="inlineStr">
        <is>
          <t>Chemicals</t>
        </is>
      </c>
      <c r="D438" t="n">
        <v>2021</v>
      </c>
      <c r="E438" t="n">
        <v>23629010.18</v>
      </c>
      <c r="F438" t="n">
        <v>96958904.06</v>
      </c>
      <c r="G438" t="n">
        <v>22270.1115</v>
      </c>
      <c r="H438" t="n">
        <v>6121.4688</v>
      </c>
      <c r="I438" t="n">
        <v>2920.3443</v>
      </c>
      <c r="J438" t="n">
        <v>13989.317</v>
      </c>
      <c r="K438" t="inlineStr"/>
      <c r="L438" t="inlineStr"/>
      <c r="M438" t="inlineStr"/>
      <c r="N438" t="inlineStr"/>
      <c r="O438" t="n">
        <v>2019</v>
      </c>
      <c r="P438" t="n">
        <v>2035</v>
      </c>
      <c r="Q438" t="n">
        <v>0.5229</v>
      </c>
      <c r="R438" t="n">
        <v>506.3191</v>
      </c>
      <c r="S438" t="n">
        <v>0.00100149</v>
      </c>
      <c r="T438" t="n">
        <v>0.00047124</v>
      </c>
      <c r="U438" t="n">
        <v>22270.1115</v>
      </c>
      <c r="V438" t="inlineStr">
        <is>
          <t>Provided Total Emissions</t>
        </is>
      </c>
      <c r="W438" t="b">
        <v>1</v>
      </c>
      <c r="X438" t="n">
        <v>23664.2174</v>
      </c>
      <c r="Y438" t="n">
        <v>45690.9139</v>
      </c>
      <c r="Z438" t="n">
        <v>1394.1059</v>
      </c>
      <c r="AA438" t="n">
        <v>23420.8024</v>
      </c>
      <c r="AB438" t="n">
        <v>0.0626</v>
      </c>
      <c r="AC438" t="n">
        <v>1.05167</v>
      </c>
      <c r="AD438" t="inlineStr">
        <is>
          <t>High</t>
        </is>
      </c>
      <c r="AE438" t="inlineStr">
        <is>
          <t>None</t>
        </is>
      </c>
      <c r="AF438" t="n">
        <v>0.95</v>
      </c>
      <c r="AG438" t="inlineStr">
        <is>
          <t>Valid</t>
        </is>
      </c>
    </row>
    <row r="439">
      <c r="A439" t="inlineStr">
        <is>
          <t>SUP-0044</t>
        </is>
      </c>
      <c r="B439" t="inlineStr">
        <is>
          <t>Chemicals Supplier 044</t>
        </is>
      </c>
      <c r="C439" t="inlineStr">
        <is>
          <t>Chemicals</t>
        </is>
      </c>
      <c r="D439" t="n">
        <v>2022</v>
      </c>
      <c r="E439" t="n">
        <v>21470361.04</v>
      </c>
      <c r="F439" t="n">
        <v>84429917.16</v>
      </c>
      <c r="G439" t="n">
        <v>27769.2314</v>
      </c>
      <c r="H439" t="n">
        <v>6460.9563</v>
      </c>
      <c r="I439" t="n">
        <v>4226.5764</v>
      </c>
      <c r="J439" t="n">
        <v>14467.1514</v>
      </c>
      <c r="K439" t="inlineStr"/>
      <c r="L439" t="inlineStr"/>
      <c r="M439" t="inlineStr"/>
      <c r="N439" t="inlineStr"/>
      <c r="O439" t="n">
        <v>2019</v>
      </c>
      <c r="P439" t="n">
        <v>2035</v>
      </c>
      <c r="Q439" t="n">
        <v>0.5229</v>
      </c>
      <c r="R439" t="n">
        <v>506.3191</v>
      </c>
      <c r="S439" t="n">
        <v>0.00100149</v>
      </c>
      <c r="T439" t="n">
        <v>0.00047124</v>
      </c>
      <c r="U439" t="n">
        <v>27769.2314</v>
      </c>
      <c r="V439" t="inlineStr">
        <is>
          <t>Provided Total Emissions</t>
        </is>
      </c>
      <c r="W439" t="b">
        <v>1</v>
      </c>
      <c r="X439" t="n">
        <v>21502.3519</v>
      </c>
      <c r="Y439" t="n">
        <v>39786.7542</v>
      </c>
      <c r="Z439" t="n">
        <v>-6266.8795</v>
      </c>
      <c r="AA439" t="n">
        <v>12017.5228</v>
      </c>
      <c r="AB439" t="n">
        <v>-0.225677</v>
      </c>
      <c r="AC439" t="n">
        <v>0.432764</v>
      </c>
      <c r="AD439" t="inlineStr">
        <is>
          <t>High</t>
        </is>
      </c>
      <c r="AE439" t="inlineStr">
        <is>
          <t>None</t>
        </is>
      </c>
      <c r="AF439" t="n">
        <v>0.95</v>
      </c>
      <c r="AG439" t="inlineStr">
        <is>
          <t>Valid</t>
        </is>
      </c>
    </row>
    <row r="440">
      <c r="A440" t="inlineStr">
        <is>
          <t>SUP-0044</t>
        </is>
      </c>
      <c r="B440" t="inlineStr">
        <is>
          <t>Chemicals Supplier 044</t>
        </is>
      </c>
      <c r="C440" t="inlineStr">
        <is>
          <t>Chemicals</t>
        </is>
      </c>
      <c r="D440" t="n">
        <v>2023</v>
      </c>
      <c r="E440" t="n">
        <v>30018481.46</v>
      </c>
      <c r="F440" t="n">
        <v>117075227.4</v>
      </c>
      <c r="G440" t="n">
        <v>24384.8085</v>
      </c>
      <c r="H440" t="n">
        <v>5724.794</v>
      </c>
      <c r="I440" t="n">
        <v>2891.4276</v>
      </c>
      <c r="J440" t="n">
        <v>18362.0186</v>
      </c>
      <c r="K440" t="inlineStr"/>
      <c r="L440" t="inlineStr"/>
      <c r="M440" t="inlineStr"/>
      <c r="N440" t="inlineStr"/>
      <c r="O440" t="n">
        <v>2019</v>
      </c>
      <c r="P440" t="n">
        <v>2035</v>
      </c>
      <c r="Q440" t="n">
        <v>0.5229</v>
      </c>
      <c r="R440" t="n">
        <v>506.3191</v>
      </c>
      <c r="S440" t="n">
        <v>0.00100149</v>
      </c>
      <c r="T440" t="n">
        <v>0.00047124</v>
      </c>
      <c r="U440" t="n">
        <v>24384.8085</v>
      </c>
      <c r="V440" t="inlineStr">
        <is>
          <t>Provided Total Emissions</t>
        </is>
      </c>
      <c r="W440" t="b">
        <v>1</v>
      </c>
      <c r="X440" t="n">
        <v>30063.209</v>
      </c>
      <c r="Y440" t="n">
        <v>55170.5302</v>
      </c>
      <c r="Z440" t="n">
        <v>5678.4005</v>
      </c>
      <c r="AA440" t="n">
        <v>30785.7217</v>
      </c>
      <c r="AB440" t="n">
        <v>0.232866</v>
      </c>
      <c r="AC440" t="n">
        <v>1.262496</v>
      </c>
      <c r="AD440" t="inlineStr">
        <is>
          <t>High</t>
        </is>
      </c>
      <c r="AE440" t="inlineStr">
        <is>
          <t>None</t>
        </is>
      </c>
      <c r="AF440" t="n">
        <v>0.95</v>
      </c>
      <c r="AG440" t="inlineStr">
        <is>
          <t>Valid</t>
        </is>
      </c>
    </row>
    <row r="441">
      <c r="A441" t="inlineStr">
        <is>
          <t>SUP-0044</t>
        </is>
      </c>
      <c r="B441" t="inlineStr">
        <is>
          <t>Chemicals Supplier 044</t>
        </is>
      </c>
      <c r="C441" t="inlineStr">
        <is>
          <t>Chemicals</t>
        </is>
      </c>
      <c r="D441" t="n">
        <v>2024</v>
      </c>
      <c r="E441" t="n">
        <v>27343951.9</v>
      </c>
      <c r="F441" t="n">
        <v>111608688.08</v>
      </c>
      <c r="G441" t="n">
        <v>31646.3834</v>
      </c>
      <c r="H441" t="n">
        <v>4531.7686</v>
      </c>
      <c r="I441" t="n">
        <v>3731.7091</v>
      </c>
      <c r="J441" t="n">
        <v>22168.0061</v>
      </c>
      <c r="K441" t="inlineStr"/>
      <c r="L441" t="inlineStr"/>
      <c r="M441" t="inlineStr"/>
      <c r="N441" t="inlineStr"/>
      <c r="O441" t="n">
        <v>2019</v>
      </c>
      <c r="P441" t="n">
        <v>2035</v>
      </c>
      <c r="Q441" t="n">
        <v>0.5229</v>
      </c>
      <c r="R441" t="n">
        <v>506.3191</v>
      </c>
      <c r="S441" t="n">
        <v>0.00100149</v>
      </c>
      <c r="T441" t="n">
        <v>0.00047124</v>
      </c>
      <c r="U441" t="n">
        <v>31646.3834</v>
      </c>
      <c r="V441" t="inlineStr">
        <is>
          <t>Provided Total Emissions</t>
        </is>
      </c>
      <c r="W441" t="b">
        <v>1</v>
      </c>
      <c r="X441" t="n">
        <v>27384.6944</v>
      </c>
      <c r="Y441" t="n">
        <v>52594.4782</v>
      </c>
      <c r="Z441" t="n">
        <v>-4261.689</v>
      </c>
      <c r="AA441" t="n">
        <v>20948.0948</v>
      </c>
      <c r="AB441" t="n">
        <v>-0.134666</v>
      </c>
      <c r="AC441" t="n">
        <v>0.6619429999999999</v>
      </c>
      <c r="AD441" t="inlineStr">
        <is>
          <t>High</t>
        </is>
      </c>
      <c r="AE441" t="inlineStr">
        <is>
          <t>None</t>
        </is>
      </c>
      <c r="AF441" t="n">
        <v>0.95</v>
      </c>
      <c r="AG441" t="inlineStr">
        <is>
          <t>Valid</t>
        </is>
      </c>
    </row>
    <row r="442">
      <c r="A442" t="inlineStr">
        <is>
          <t>SUP-0045</t>
        </is>
      </c>
      <c r="B442" t="inlineStr">
        <is>
          <t>Logistics Supplier 045</t>
        </is>
      </c>
      <c r="C442" t="inlineStr">
        <is>
          <t>Logistics</t>
        </is>
      </c>
      <c r="D442" t="n">
        <v>2015</v>
      </c>
      <c r="E442" t="n">
        <v>2211152.25</v>
      </c>
      <c r="F442" t="n">
        <v>11487908.72</v>
      </c>
      <c r="G442" t="n">
        <v>537.8563</v>
      </c>
      <c r="H442" t="n">
        <v>80.8023</v>
      </c>
      <c r="I442" t="n">
        <v>100.6066</v>
      </c>
      <c r="J442" t="n">
        <v>375.481</v>
      </c>
      <c r="K442" t="n">
        <v>2019</v>
      </c>
      <c r="L442" t="n">
        <v>2035</v>
      </c>
      <c r="M442" t="n">
        <v>0.5906</v>
      </c>
      <c r="N442" t="n">
        <v>0.2263</v>
      </c>
      <c r="O442" t="n">
        <v>2019</v>
      </c>
      <c r="P442" t="n">
        <v>2040</v>
      </c>
      <c r="Q442" t="n">
        <v>0.4616</v>
      </c>
      <c r="R442" t="n">
        <v>591.6386</v>
      </c>
      <c r="S442" t="n">
        <v>0.00022349</v>
      </c>
      <c r="T442" t="n">
        <v>0.00047787</v>
      </c>
      <c r="U442" t="n">
        <v>537.8563</v>
      </c>
      <c r="V442" t="inlineStr">
        <is>
          <t>Provided Total Emissions</t>
        </is>
      </c>
      <c r="W442" t="b">
        <v>1</v>
      </c>
      <c r="X442" t="n">
        <v>494.1704</v>
      </c>
      <c r="Y442" t="n">
        <v>5489.7269</v>
      </c>
      <c r="Z442" t="n">
        <v>-43.6859</v>
      </c>
      <c r="AA442" t="n">
        <v>4951.8706</v>
      </c>
      <c r="AB442" t="n">
        <v>-0.081222</v>
      </c>
      <c r="AC442" t="n">
        <v>9.20668</v>
      </c>
      <c r="AD442" t="inlineStr">
        <is>
          <t>High</t>
        </is>
      </c>
      <c r="AE442" t="inlineStr">
        <is>
          <t>None</t>
        </is>
      </c>
      <c r="AF442" t="n">
        <v>0.95</v>
      </c>
      <c r="AG442" t="inlineStr">
        <is>
          <t>Valid</t>
        </is>
      </c>
    </row>
    <row r="443">
      <c r="A443" t="inlineStr">
        <is>
          <t>SUP-0045</t>
        </is>
      </c>
      <c r="B443" t="inlineStr">
        <is>
          <t>Logistics Supplier 045</t>
        </is>
      </c>
      <c r="C443" t="inlineStr">
        <is>
          <t>Logistics</t>
        </is>
      </c>
      <c r="D443" t="n">
        <v>2016</v>
      </c>
      <c r="E443" t="n">
        <v>2374249.83</v>
      </c>
      <c r="F443" t="n">
        <v>11819091.65</v>
      </c>
      <c r="G443" t="n">
        <v>690.8856</v>
      </c>
      <c r="H443" t="n">
        <v>89.22</v>
      </c>
      <c r="I443" t="n">
        <v>79.9152</v>
      </c>
      <c r="J443" t="n">
        <v>519.5663</v>
      </c>
      <c r="K443" t="n">
        <v>2019</v>
      </c>
      <c r="L443" t="n">
        <v>2035</v>
      </c>
      <c r="M443" t="n">
        <v>0.5906</v>
      </c>
      <c r="N443" t="n">
        <v>0.2263</v>
      </c>
      <c r="O443" t="n">
        <v>2019</v>
      </c>
      <c r="P443" t="n">
        <v>2040</v>
      </c>
      <c r="Q443" t="n">
        <v>0.4616</v>
      </c>
      <c r="R443" t="n">
        <v>591.6386</v>
      </c>
      <c r="S443" t="n">
        <v>0.00022349</v>
      </c>
      <c r="T443" t="n">
        <v>0.00047787</v>
      </c>
      <c r="U443" t="n">
        <v>690.8856</v>
      </c>
      <c r="V443" t="inlineStr">
        <is>
          <t>Provided Total Emissions</t>
        </is>
      </c>
      <c r="W443" t="b">
        <v>1</v>
      </c>
      <c r="X443" t="n">
        <v>530.6211</v>
      </c>
      <c r="Y443" t="n">
        <v>5647.9893</v>
      </c>
      <c r="Z443" t="n">
        <v>-160.2645</v>
      </c>
      <c r="AA443" t="n">
        <v>4957.1037</v>
      </c>
      <c r="AB443" t="n">
        <v>-0.23197</v>
      </c>
      <c r="AC443" t="n">
        <v>7.174999</v>
      </c>
      <c r="AD443" t="inlineStr">
        <is>
          <t>High</t>
        </is>
      </c>
      <c r="AE443" t="inlineStr">
        <is>
          <t>None</t>
        </is>
      </c>
      <c r="AF443" t="n">
        <v>0.95</v>
      </c>
      <c r="AG443" t="inlineStr">
        <is>
          <t>Valid</t>
        </is>
      </c>
    </row>
    <row r="444">
      <c r="A444" t="inlineStr">
        <is>
          <t>SUP-0045</t>
        </is>
      </c>
      <c r="B444" t="inlineStr">
        <is>
          <t>Logistics Supplier 045</t>
        </is>
      </c>
      <c r="C444" t="inlineStr">
        <is>
          <t>Logistics</t>
        </is>
      </c>
      <c r="D444" t="n">
        <v>2017</v>
      </c>
      <c r="E444" t="n">
        <v>1839654.85</v>
      </c>
      <c r="F444" t="n">
        <v>14291988.23</v>
      </c>
      <c r="G444" t="n">
        <v>570.7465</v>
      </c>
      <c r="H444" t="n">
        <v>69.8939</v>
      </c>
      <c r="I444" t="n">
        <v>118.1408</v>
      </c>
      <c r="J444" t="n">
        <v>393.3224</v>
      </c>
      <c r="K444" t="n">
        <v>2019</v>
      </c>
      <c r="L444" t="n">
        <v>2035</v>
      </c>
      <c r="M444" t="n">
        <v>0.5906</v>
      </c>
      <c r="N444" t="n">
        <v>0.2263</v>
      </c>
      <c r="O444" t="n">
        <v>2019</v>
      </c>
      <c r="P444" t="n">
        <v>2040</v>
      </c>
      <c r="Q444" t="n">
        <v>0.4616</v>
      </c>
      <c r="R444" t="n">
        <v>591.6386</v>
      </c>
      <c r="S444" t="n">
        <v>0.00022349</v>
      </c>
      <c r="T444" t="n">
        <v>0.00047787</v>
      </c>
      <c r="U444" t="n">
        <v>570.7465</v>
      </c>
      <c r="V444" t="inlineStr">
        <is>
          <t>Provided Total Emissions</t>
        </is>
      </c>
      <c r="W444" t="b">
        <v>1</v>
      </c>
      <c r="X444" t="n">
        <v>411.1445</v>
      </c>
      <c r="Y444" t="n">
        <v>6829.7124</v>
      </c>
      <c r="Z444" t="n">
        <v>-159.602</v>
      </c>
      <c r="AA444" t="n">
        <v>6258.9659</v>
      </c>
      <c r="AB444" t="n">
        <v>-0.279637</v>
      </c>
      <c r="AC444" t="n">
        <v>10.96628</v>
      </c>
      <c r="AD444" t="inlineStr">
        <is>
          <t>High</t>
        </is>
      </c>
      <c r="AE444" t="inlineStr">
        <is>
          <t>None</t>
        </is>
      </c>
      <c r="AF444" t="n">
        <v>0.95</v>
      </c>
      <c r="AG444" t="inlineStr">
        <is>
          <t>Valid</t>
        </is>
      </c>
    </row>
    <row r="445">
      <c r="A445" t="inlineStr">
        <is>
          <t>SUP-0045</t>
        </is>
      </c>
      <c r="B445" t="inlineStr">
        <is>
          <t>Logistics Supplier 045</t>
        </is>
      </c>
      <c r="C445" t="inlineStr">
        <is>
          <t>Logistics</t>
        </is>
      </c>
      <c r="D445" t="n">
        <v>2018</v>
      </c>
      <c r="E445" t="n">
        <v>1860163.98</v>
      </c>
      <c r="F445" t="n">
        <v>11828497.96</v>
      </c>
      <c r="G445" t="n">
        <v>690.3167999999999</v>
      </c>
      <c r="H445" t="n">
        <v>165.0793</v>
      </c>
      <c r="I445" t="n">
        <v>114.6016</v>
      </c>
      <c r="J445" t="n">
        <v>403.3426</v>
      </c>
      <c r="K445" t="n">
        <v>2019</v>
      </c>
      <c r="L445" t="n">
        <v>2035</v>
      </c>
      <c r="M445" t="n">
        <v>0.5906</v>
      </c>
      <c r="N445" t="n">
        <v>0.2263</v>
      </c>
      <c r="O445" t="n">
        <v>2019</v>
      </c>
      <c r="P445" t="n">
        <v>2040</v>
      </c>
      <c r="Q445" t="n">
        <v>0.4616</v>
      </c>
      <c r="R445" t="n">
        <v>591.6386</v>
      </c>
      <c r="S445" t="n">
        <v>0.00022349</v>
      </c>
      <c r="T445" t="n">
        <v>0.00047787</v>
      </c>
      <c r="U445" t="n">
        <v>690.3167999999999</v>
      </c>
      <c r="V445" t="inlineStr">
        <is>
          <t>Provided Total Emissions</t>
        </is>
      </c>
      <c r="W445" t="b">
        <v>1</v>
      </c>
      <c r="X445" t="n">
        <v>415.728</v>
      </c>
      <c r="Y445" t="n">
        <v>5652.4843</v>
      </c>
      <c r="Z445" t="n">
        <v>-274.5888</v>
      </c>
      <c r="AA445" t="n">
        <v>4962.1675</v>
      </c>
      <c r="AB445" t="n">
        <v>-0.397772</v>
      </c>
      <c r="AC445" t="n">
        <v>7.188247</v>
      </c>
      <c r="AD445" t="inlineStr">
        <is>
          <t>High</t>
        </is>
      </c>
      <c r="AE445" t="inlineStr">
        <is>
          <t>None</t>
        </is>
      </c>
      <c r="AF445" t="n">
        <v>0.95</v>
      </c>
      <c r="AG445" t="inlineStr">
        <is>
          <t>Valid</t>
        </is>
      </c>
    </row>
    <row r="446">
      <c r="A446" t="inlineStr">
        <is>
          <t>SUP-0045</t>
        </is>
      </c>
      <c r="B446" t="inlineStr">
        <is>
          <t>Logistics Supplier 045</t>
        </is>
      </c>
      <c r="C446" t="inlineStr">
        <is>
          <t>Logistics</t>
        </is>
      </c>
      <c r="D446" t="n">
        <v>2019</v>
      </c>
      <c r="E446" t="n">
        <v>1961056.65</v>
      </c>
      <c r="F446" t="n">
        <v>13413641.41</v>
      </c>
      <c r="G446" t="n">
        <v>624.5126</v>
      </c>
      <c r="H446" t="n">
        <v>101.646</v>
      </c>
      <c r="I446" t="n">
        <v>55.5856</v>
      </c>
      <c r="J446" t="n">
        <v>505.5487</v>
      </c>
      <c r="K446" t="n">
        <v>2019</v>
      </c>
      <c r="L446" t="n">
        <v>2035</v>
      </c>
      <c r="M446" t="n">
        <v>0.5906</v>
      </c>
      <c r="N446" t="n">
        <v>0.2263</v>
      </c>
      <c r="O446" t="n">
        <v>2019</v>
      </c>
      <c r="P446" t="n">
        <v>2040</v>
      </c>
      <c r="Q446" t="n">
        <v>0.4616</v>
      </c>
      <c r="R446" t="n">
        <v>591.6386</v>
      </c>
      <c r="S446" t="n">
        <v>0.00022349</v>
      </c>
      <c r="T446" t="n">
        <v>0.00047787</v>
      </c>
      <c r="U446" t="n">
        <v>624.5126</v>
      </c>
      <c r="V446" t="inlineStr">
        <is>
          <t>Provided Total Emissions</t>
        </is>
      </c>
      <c r="W446" t="b">
        <v>1</v>
      </c>
      <c r="X446" t="n">
        <v>438.2766</v>
      </c>
      <c r="Y446" t="n">
        <v>6409.9768</v>
      </c>
      <c r="Z446" t="n">
        <v>-186.236</v>
      </c>
      <c r="AA446" t="n">
        <v>5785.4642</v>
      </c>
      <c r="AB446" t="n">
        <v>-0.29821</v>
      </c>
      <c r="AC446" t="n">
        <v>9.263966999999999</v>
      </c>
      <c r="AD446" t="inlineStr">
        <is>
          <t>High</t>
        </is>
      </c>
      <c r="AE446" t="inlineStr">
        <is>
          <t>None</t>
        </is>
      </c>
      <c r="AF446" t="n">
        <v>0.95</v>
      </c>
      <c r="AG446" t="inlineStr">
        <is>
          <t>Valid</t>
        </is>
      </c>
    </row>
    <row r="447">
      <c r="A447" t="inlineStr">
        <is>
          <t>SUP-0045</t>
        </is>
      </c>
      <c r="B447" t="inlineStr">
        <is>
          <t>Logistics Supplier 045</t>
        </is>
      </c>
      <c r="C447" t="inlineStr">
        <is>
          <t>Logistics</t>
        </is>
      </c>
      <c r="D447" t="n">
        <v>2020</v>
      </c>
      <c r="E447" t="n">
        <v>2256193.68</v>
      </c>
      <c r="F447" t="n">
        <v>13291284.49</v>
      </c>
      <c r="G447" t="n">
        <v>806.03</v>
      </c>
      <c r="H447" t="n">
        <v>100.3044</v>
      </c>
      <c r="I447" t="n">
        <v>131.8041</v>
      </c>
      <c r="J447" t="n">
        <v>537.5231</v>
      </c>
      <c r="K447" t="n">
        <v>2019</v>
      </c>
      <c r="L447" t="n">
        <v>2035</v>
      </c>
      <c r="M447" t="n">
        <v>0.5906</v>
      </c>
      <c r="N447" t="n">
        <v>0.2263</v>
      </c>
      <c r="O447" t="n">
        <v>2019</v>
      </c>
      <c r="P447" t="n">
        <v>2040</v>
      </c>
      <c r="Q447" t="n">
        <v>0.4616</v>
      </c>
      <c r="R447" t="n">
        <v>591.6386</v>
      </c>
      <c r="S447" t="n">
        <v>0.00022349</v>
      </c>
      <c r="T447" t="n">
        <v>0.00047787</v>
      </c>
      <c r="U447" t="n">
        <v>806.03</v>
      </c>
      <c r="V447" t="inlineStr">
        <is>
          <t>Provided Total Emissions</t>
        </is>
      </c>
      <c r="W447" t="b">
        <v>1</v>
      </c>
      <c r="X447" t="n">
        <v>504.2367</v>
      </c>
      <c r="Y447" t="n">
        <v>6351.5061</v>
      </c>
      <c r="Z447" t="n">
        <v>-301.7933</v>
      </c>
      <c r="AA447" t="n">
        <v>5545.4761</v>
      </c>
      <c r="AB447" t="n">
        <v>-0.374419</v>
      </c>
      <c r="AC447" t="n">
        <v>6.879987</v>
      </c>
      <c r="AD447" t="inlineStr">
        <is>
          <t>High</t>
        </is>
      </c>
      <c r="AE447" t="inlineStr">
        <is>
          <t>None</t>
        </is>
      </c>
      <c r="AF447" t="n">
        <v>0.95</v>
      </c>
      <c r="AG447" t="inlineStr">
        <is>
          <t>Valid</t>
        </is>
      </c>
    </row>
    <row r="448">
      <c r="A448" t="inlineStr">
        <is>
          <t>SUP-0045</t>
        </is>
      </c>
      <c r="B448" t="inlineStr">
        <is>
          <t>Logistics Supplier 045</t>
        </is>
      </c>
      <c r="C448" t="inlineStr">
        <is>
          <t>Logistics</t>
        </is>
      </c>
      <c r="D448" t="n">
        <v>2021</v>
      </c>
      <c r="E448" t="n">
        <v>2117050.4</v>
      </c>
      <c r="F448" t="n">
        <v>12476552.92</v>
      </c>
      <c r="G448" t="n">
        <v>656.8422</v>
      </c>
      <c r="H448" t="n">
        <v>124.3946</v>
      </c>
      <c r="I448" t="n">
        <v>77.67610000000001</v>
      </c>
      <c r="J448" t="n">
        <v>474.6327</v>
      </c>
      <c r="K448" t="n">
        <v>2019</v>
      </c>
      <c r="L448" t="n">
        <v>2035</v>
      </c>
      <c r="M448" t="n">
        <v>0.5906</v>
      </c>
      <c r="N448" t="n">
        <v>0.2263</v>
      </c>
      <c r="O448" t="n">
        <v>2019</v>
      </c>
      <c r="P448" t="n">
        <v>2040</v>
      </c>
      <c r="Q448" t="n">
        <v>0.4616</v>
      </c>
      <c r="R448" t="n">
        <v>591.6386</v>
      </c>
      <c r="S448" t="n">
        <v>0.00022349</v>
      </c>
      <c r="T448" t="n">
        <v>0.00047787</v>
      </c>
      <c r="U448" t="n">
        <v>656.8422</v>
      </c>
      <c r="V448" t="inlineStr">
        <is>
          <t>Provided Total Emissions</t>
        </is>
      </c>
      <c r="W448" t="b">
        <v>1</v>
      </c>
      <c r="X448" t="n">
        <v>473.1396</v>
      </c>
      <c r="Y448" t="n">
        <v>5962.1703</v>
      </c>
      <c r="Z448" t="n">
        <v>-183.7026</v>
      </c>
      <c r="AA448" t="n">
        <v>5305.3281</v>
      </c>
      <c r="AB448" t="n">
        <v>-0.279675</v>
      </c>
      <c r="AC448" t="n">
        <v>8.077021</v>
      </c>
      <c r="AD448" t="inlineStr">
        <is>
          <t>High</t>
        </is>
      </c>
      <c r="AE448" t="inlineStr">
        <is>
          <t>None</t>
        </is>
      </c>
      <c r="AF448" t="n">
        <v>0.95</v>
      </c>
      <c r="AG448" t="inlineStr">
        <is>
          <t>Valid</t>
        </is>
      </c>
    </row>
    <row r="449">
      <c r="A449" t="inlineStr">
        <is>
          <t>SUP-0045</t>
        </is>
      </c>
      <c r="B449" t="inlineStr">
        <is>
          <t>Logistics Supplier 045</t>
        </is>
      </c>
      <c r="C449" t="inlineStr">
        <is>
          <t>Logistics</t>
        </is>
      </c>
      <c r="D449" t="n">
        <v>2022</v>
      </c>
      <c r="E449" t="n">
        <v>2095557.22</v>
      </c>
      <c r="F449" t="n">
        <v>11531062.98</v>
      </c>
      <c r="G449" t="n">
        <v>728.5343</v>
      </c>
      <c r="H449" t="n">
        <v>146.6258</v>
      </c>
      <c r="I449" t="n">
        <v>61.3679</v>
      </c>
      <c r="J449" t="n">
        <v>460.6891</v>
      </c>
      <c r="K449" t="n">
        <v>2019</v>
      </c>
      <c r="L449" t="n">
        <v>2035</v>
      </c>
      <c r="M449" t="n">
        <v>0.5906</v>
      </c>
      <c r="N449" t="n">
        <v>0.2263</v>
      </c>
      <c r="O449" t="n">
        <v>2019</v>
      </c>
      <c r="P449" t="n">
        <v>2040</v>
      </c>
      <c r="Q449" t="n">
        <v>0.4616</v>
      </c>
      <c r="R449" t="n">
        <v>591.6386</v>
      </c>
      <c r="S449" t="n">
        <v>0.00022349</v>
      </c>
      <c r="T449" t="n">
        <v>0.00047787</v>
      </c>
      <c r="U449" t="n">
        <v>728.5343</v>
      </c>
      <c r="V449" t="inlineStr">
        <is>
          <t>Provided Total Emissions</t>
        </is>
      </c>
      <c r="W449" t="b">
        <v>1</v>
      </c>
      <c r="X449" t="n">
        <v>468.3361</v>
      </c>
      <c r="Y449" t="n">
        <v>5510.3491</v>
      </c>
      <c r="Z449" t="n">
        <v>-260.1982</v>
      </c>
      <c r="AA449" t="n">
        <v>4781.8148</v>
      </c>
      <c r="AB449" t="n">
        <v>-0.357153</v>
      </c>
      <c r="AC449" t="n">
        <v>6.56361</v>
      </c>
      <c r="AD449" t="inlineStr">
        <is>
          <t>High</t>
        </is>
      </c>
      <c r="AE449" t="inlineStr">
        <is>
          <t>None</t>
        </is>
      </c>
      <c r="AF449" t="n">
        <v>0.95</v>
      </c>
      <c r="AG449" t="inlineStr">
        <is>
          <t>Valid</t>
        </is>
      </c>
    </row>
    <row r="450">
      <c r="A450" t="inlineStr">
        <is>
          <t>SUP-0045</t>
        </is>
      </c>
      <c r="B450" t="inlineStr">
        <is>
          <t>Logistics Supplier 045</t>
        </is>
      </c>
      <c r="C450" t="inlineStr">
        <is>
          <t>Logistics</t>
        </is>
      </c>
      <c r="D450" t="n">
        <v>2023</v>
      </c>
      <c r="E450" t="n">
        <v>1934122.43</v>
      </c>
      <c r="F450" t="n">
        <v>7730766.31</v>
      </c>
      <c r="G450" t="n">
        <v>691.4733</v>
      </c>
      <c r="H450" t="n">
        <v>83.78060000000001</v>
      </c>
      <c r="I450" t="n">
        <v>116.0563</v>
      </c>
      <c r="J450" t="n">
        <v>452.9853</v>
      </c>
      <c r="K450" t="n">
        <v>2019</v>
      </c>
      <c r="L450" t="n">
        <v>2035</v>
      </c>
      <c r="M450" t="n">
        <v>0.5906</v>
      </c>
      <c r="N450" t="n">
        <v>0.2263</v>
      </c>
      <c r="O450" t="n">
        <v>2019</v>
      </c>
      <c r="P450" t="n">
        <v>2040</v>
      </c>
      <c r="Q450" t="n">
        <v>0.4616</v>
      </c>
      <c r="R450" t="n">
        <v>591.6386</v>
      </c>
      <c r="S450" t="n">
        <v>0.00022349</v>
      </c>
      <c r="T450" t="n">
        <v>0.00047787</v>
      </c>
      <c r="U450" t="n">
        <v>691.4733</v>
      </c>
      <c r="V450" t="inlineStr">
        <is>
          <t>Provided Total Emissions</t>
        </is>
      </c>
      <c r="W450" t="b">
        <v>1</v>
      </c>
      <c r="X450" t="n">
        <v>432.257</v>
      </c>
      <c r="Y450" t="n">
        <v>3694.3013</v>
      </c>
      <c r="Z450" t="n">
        <v>-259.2163</v>
      </c>
      <c r="AA450" t="n">
        <v>3002.828</v>
      </c>
      <c r="AB450" t="n">
        <v>-0.374875</v>
      </c>
      <c r="AC450" t="n">
        <v>4.342652</v>
      </c>
      <c r="AD450" t="inlineStr">
        <is>
          <t>High</t>
        </is>
      </c>
      <c r="AE450" t="inlineStr">
        <is>
          <t>None</t>
        </is>
      </c>
      <c r="AF450" t="n">
        <v>0.95</v>
      </c>
      <c r="AG450" t="inlineStr">
        <is>
          <t>Valid</t>
        </is>
      </c>
    </row>
    <row r="451">
      <c r="A451" t="inlineStr">
        <is>
          <t>SUP-0045</t>
        </is>
      </c>
      <c r="B451" t="inlineStr">
        <is>
          <t>Logistics Supplier 045</t>
        </is>
      </c>
      <c r="C451" t="inlineStr">
        <is>
          <t>Logistics</t>
        </is>
      </c>
      <c r="D451" t="n">
        <v>2024</v>
      </c>
      <c r="E451" t="n">
        <v>1698255.43</v>
      </c>
      <c r="F451" t="n">
        <v>11816970.36</v>
      </c>
      <c r="G451" t="n">
        <v>671.0594</v>
      </c>
      <c r="H451" t="n">
        <v>101.3782</v>
      </c>
      <c r="I451" t="n">
        <v>91.246</v>
      </c>
      <c r="J451" t="n">
        <v>474.1713</v>
      </c>
      <c r="K451" t="n">
        <v>2019</v>
      </c>
      <c r="L451" t="n">
        <v>2035</v>
      </c>
      <c r="M451" t="n">
        <v>0.5906</v>
      </c>
      <c r="N451" t="n">
        <v>0.2263</v>
      </c>
      <c r="O451" t="n">
        <v>2019</v>
      </c>
      <c r="P451" t="n">
        <v>2040</v>
      </c>
      <c r="Q451" t="n">
        <v>0.4616</v>
      </c>
      <c r="R451" t="n">
        <v>591.6386</v>
      </c>
      <c r="S451" t="n">
        <v>0.00022349</v>
      </c>
      <c r="T451" t="n">
        <v>0.00047787</v>
      </c>
      <c r="U451" t="n">
        <v>671.0594</v>
      </c>
      <c r="V451" t="inlineStr">
        <is>
          <t>Provided Total Emissions</t>
        </is>
      </c>
      <c r="W451" t="b">
        <v>1</v>
      </c>
      <c r="X451" t="n">
        <v>379.5431</v>
      </c>
      <c r="Y451" t="n">
        <v>5646.9756</v>
      </c>
      <c r="Z451" t="n">
        <v>-291.5163</v>
      </c>
      <c r="AA451" t="n">
        <v>4975.9162</v>
      </c>
      <c r="AB451" t="n">
        <v>-0.434412</v>
      </c>
      <c r="AC451" t="n">
        <v>7.415016</v>
      </c>
      <c r="AD451" t="inlineStr">
        <is>
          <t>High</t>
        </is>
      </c>
      <c r="AE451" t="inlineStr">
        <is>
          <t>None</t>
        </is>
      </c>
      <c r="AF451" t="n">
        <v>0.95</v>
      </c>
      <c r="AG451" t="inlineStr">
        <is>
          <t>Valid</t>
        </is>
      </c>
    </row>
    <row r="452">
      <c r="A452" t="inlineStr">
        <is>
          <t>SUP-0046</t>
        </is>
      </c>
      <c r="B452" t="inlineStr">
        <is>
          <t>Textiles Supplier 046</t>
        </is>
      </c>
      <c r="C452" t="inlineStr">
        <is>
          <t>Textiles</t>
        </is>
      </c>
      <c r="D452" t="n">
        <v>2015</v>
      </c>
      <c r="E452" t="n">
        <v>24029656</v>
      </c>
      <c r="F452" t="n">
        <v>155668093.29</v>
      </c>
      <c r="G452" t="n">
        <v>11348.9965</v>
      </c>
      <c r="H452" t="n">
        <v>1082.9227</v>
      </c>
      <c r="I452" t="n">
        <v>2222.7033</v>
      </c>
      <c r="J452" t="n">
        <v>8010.2236</v>
      </c>
      <c r="K452" t="inlineStr"/>
      <c r="L452" t="inlineStr"/>
      <c r="M452" t="inlineStr"/>
      <c r="N452" t="inlineStr"/>
      <c r="O452" t="n">
        <v>2019</v>
      </c>
      <c r="P452" t="n">
        <v>2030</v>
      </c>
      <c r="Q452" t="n">
        <v>0.3171</v>
      </c>
      <c r="R452" t="n">
        <v>401.7335</v>
      </c>
      <c r="S452" t="n">
        <v>0.00029221</v>
      </c>
      <c r="T452" t="n">
        <v>0.00017343</v>
      </c>
      <c r="U452" t="n">
        <v>11348.9965</v>
      </c>
      <c r="V452" t="inlineStr">
        <is>
          <t>Provided Total Emissions</t>
        </is>
      </c>
      <c r="W452" t="b">
        <v>1</v>
      </c>
      <c r="X452" t="n">
        <v>7021.7058</v>
      </c>
      <c r="Y452" t="n">
        <v>26997.5174</v>
      </c>
      <c r="Z452" t="n">
        <v>-4327.2907</v>
      </c>
      <c r="AA452" t="n">
        <v>15648.5209</v>
      </c>
      <c r="AB452" t="n">
        <v>-0.381293</v>
      </c>
      <c r="AC452" t="n">
        <v>1.378846</v>
      </c>
      <c r="AD452" t="inlineStr">
        <is>
          <t>High</t>
        </is>
      </c>
      <c r="AE452" t="inlineStr">
        <is>
          <t>None</t>
        </is>
      </c>
      <c r="AF452" t="n">
        <v>0.95</v>
      </c>
      <c r="AG452" t="inlineStr">
        <is>
          <t>Valid</t>
        </is>
      </c>
    </row>
    <row r="453">
      <c r="A453" t="inlineStr">
        <is>
          <t>SUP-0046</t>
        </is>
      </c>
      <c r="B453" t="inlineStr">
        <is>
          <t>Textiles Supplier 046</t>
        </is>
      </c>
      <c r="C453" t="inlineStr">
        <is>
          <t>Textiles</t>
        </is>
      </c>
      <c r="D453" t="n">
        <v>2016</v>
      </c>
      <c r="E453" t="n">
        <v>26279381.17</v>
      </c>
      <c r="F453" t="n">
        <v>194126677.39</v>
      </c>
      <c r="G453" t="n">
        <v>8111.7001</v>
      </c>
      <c r="H453" t="n">
        <v>1037.1225</v>
      </c>
      <c r="I453" t="n">
        <v>1527.6194</v>
      </c>
      <c r="J453" t="n">
        <v>5321.8724</v>
      </c>
      <c r="K453" t="inlineStr"/>
      <c r="L453" t="inlineStr"/>
      <c r="M453" t="inlineStr"/>
      <c r="N453" t="inlineStr"/>
      <c r="O453" t="n">
        <v>2019</v>
      </c>
      <c r="P453" t="n">
        <v>2030</v>
      </c>
      <c r="Q453" t="n">
        <v>0.3171</v>
      </c>
      <c r="R453" t="n">
        <v>401.7335</v>
      </c>
      <c r="S453" t="n">
        <v>0.00029221</v>
      </c>
      <c r="T453" t="n">
        <v>0.00017343</v>
      </c>
      <c r="U453" t="n">
        <v>8111.7001</v>
      </c>
      <c r="V453" t="inlineStr">
        <is>
          <t>Provided Total Emissions</t>
        </is>
      </c>
      <c r="W453" t="b">
        <v>1</v>
      </c>
      <c r="X453" t="n">
        <v>7679.098</v>
      </c>
      <c r="Y453" t="n">
        <v>33667.3897</v>
      </c>
      <c r="Z453" t="n">
        <v>-432.6021</v>
      </c>
      <c r="AA453" t="n">
        <v>25555.6896</v>
      </c>
      <c r="AB453" t="n">
        <v>-0.053331</v>
      </c>
      <c r="AC453" t="n">
        <v>3.150473</v>
      </c>
      <c r="AD453" t="inlineStr">
        <is>
          <t>High</t>
        </is>
      </c>
      <c r="AE453" t="inlineStr">
        <is>
          <t>None</t>
        </is>
      </c>
      <c r="AF453" t="n">
        <v>0.95</v>
      </c>
      <c r="AG453" t="inlineStr">
        <is>
          <t>Valid</t>
        </is>
      </c>
    </row>
    <row r="454">
      <c r="A454" t="inlineStr">
        <is>
          <t>SUP-0046</t>
        </is>
      </c>
      <c r="B454" t="inlineStr">
        <is>
          <t>Textiles Supplier 046</t>
        </is>
      </c>
      <c r="C454" t="inlineStr">
        <is>
          <t>Textiles</t>
        </is>
      </c>
      <c r="D454" t="n">
        <v>2017</v>
      </c>
      <c r="E454" t="n">
        <v>29996111.83</v>
      </c>
      <c r="F454" t="n">
        <v>171004328.6</v>
      </c>
      <c r="G454" t="n">
        <v>13190.7967</v>
      </c>
      <c r="H454" t="n">
        <v>2379.0104</v>
      </c>
      <c r="I454" t="n">
        <v>1128.5148</v>
      </c>
      <c r="J454" t="n">
        <v>9628.443300000001</v>
      </c>
      <c r="K454" t="inlineStr"/>
      <c r="L454" t="inlineStr"/>
      <c r="M454" t="inlineStr"/>
      <c r="N454" t="inlineStr"/>
      <c r="O454" t="n">
        <v>2019</v>
      </c>
      <c r="P454" t="n">
        <v>2030</v>
      </c>
      <c r="Q454" t="n">
        <v>0.3171</v>
      </c>
      <c r="R454" t="n">
        <v>401.7335</v>
      </c>
      <c r="S454" t="n">
        <v>0.00029221</v>
      </c>
      <c r="T454" t="n">
        <v>0.00017343</v>
      </c>
      <c r="U454" t="n">
        <v>13190.7967</v>
      </c>
      <c r="V454" t="inlineStr">
        <is>
          <t>Provided Total Emissions</t>
        </is>
      </c>
      <c r="W454" t="b">
        <v>1</v>
      </c>
      <c r="X454" t="n">
        <v>8765.1638</v>
      </c>
      <c r="Y454" t="n">
        <v>29657.2807</v>
      </c>
      <c r="Z454" t="n">
        <v>-4425.6329</v>
      </c>
      <c r="AA454" t="n">
        <v>16466.484</v>
      </c>
      <c r="AB454" t="n">
        <v>-0.335509</v>
      </c>
      <c r="AC454" t="n">
        <v>1.248331</v>
      </c>
      <c r="AD454" t="inlineStr">
        <is>
          <t>High</t>
        </is>
      </c>
      <c r="AE454" t="inlineStr">
        <is>
          <t>None</t>
        </is>
      </c>
      <c r="AF454" t="n">
        <v>0.95</v>
      </c>
      <c r="AG454" t="inlineStr">
        <is>
          <t>Valid</t>
        </is>
      </c>
    </row>
    <row r="455">
      <c r="A455" t="inlineStr">
        <is>
          <t>SUP-0046</t>
        </is>
      </c>
      <c r="B455" t="inlineStr">
        <is>
          <t>Textiles Supplier 046</t>
        </is>
      </c>
      <c r="C455" t="inlineStr">
        <is>
          <t>Textiles</t>
        </is>
      </c>
      <c r="D455" t="n">
        <v>2018</v>
      </c>
      <c r="E455" t="n">
        <v>28618743.31</v>
      </c>
      <c r="F455" t="n">
        <v>190142286.79</v>
      </c>
      <c r="G455" t="n">
        <v>11572.7532</v>
      </c>
      <c r="H455" t="n">
        <v>2826</v>
      </c>
      <c r="I455" t="n">
        <v>2183.4558</v>
      </c>
      <c r="J455" t="n">
        <v>6224.2889</v>
      </c>
      <c r="K455" t="inlineStr"/>
      <c r="L455" t="inlineStr"/>
      <c r="M455" t="inlineStr"/>
      <c r="N455" t="inlineStr"/>
      <c r="O455" t="n">
        <v>2019</v>
      </c>
      <c r="P455" t="n">
        <v>2030</v>
      </c>
      <c r="Q455" t="n">
        <v>0.3171</v>
      </c>
      <c r="R455" t="n">
        <v>401.7335</v>
      </c>
      <c r="S455" t="n">
        <v>0.00029221</v>
      </c>
      <c r="T455" t="n">
        <v>0.00017343</v>
      </c>
      <c r="U455" t="n">
        <v>11572.7532</v>
      </c>
      <c r="V455" t="inlineStr">
        <is>
          <t>Provided Total Emissions</t>
        </is>
      </c>
      <c r="W455" t="b">
        <v>1</v>
      </c>
      <c r="X455" t="n">
        <v>8362.683000000001</v>
      </c>
      <c r="Y455" t="n">
        <v>32976.3768</v>
      </c>
      <c r="Z455" t="n">
        <v>-3210.0702</v>
      </c>
      <c r="AA455" t="n">
        <v>21403.6236</v>
      </c>
      <c r="AB455" t="n">
        <v>-0.277382</v>
      </c>
      <c r="AC455" t="n">
        <v>1.849484</v>
      </c>
      <c r="AD455" t="inlineStr">
        <is>
          <t>High</t>
        </is>
      </c>
      <c r="AE455" t="inlineStr">
        <is>
          <t>None</t>
        </is>
      </c>
      <c r="AF455" t="n">
        <v>0.95</v>
      </c>
      <c r="AG455" t="inlineStr">
        <is>
          <t>Valid</t>
        </is>
      </c>
    </row>
    <row r="456">
      <c r="A456" t="inlineStr">
        <is>
          <t>SUP-0046</t>
        </is>
      </c>
      <c r="B456" t="inlineStr">
        <is>
          <t>Textiles Supplier 046</t>
        </is>
      </c>
      <c r="C456" t="inlineStr">
        <is>
          <t>Textiles</t>
        </is>
      </c>
      <c r="D456" t="n">
        <v>2019</v>
      </c>
      <c r="E456" t="n">
        <v>25377883.54</v>
      </c>
      <c r="F456" t="n">
        <v>210883949.18</v>
      </c>
      <c r="G456" t="n">
        <v>10379.4734</v>
      </c>
      <c r="H456" t="n">
        <v>1106.6352</v>
      </c>
      <c r="I456" t="n">
        <v>999.9177</v>
      </c>
      <c r="J456" t="n">
        <v>8107.3024</v>
      </c>
      <c r="K456" t="inlineStr"/>
      <c r="L456" t="inlineStr"/>
      <c r="M456" t="inlineStr"/>
      <c r="N456" t="inlineStr"/>
      <c r="O456" t="n">
        <v>2019</v>
      </c>
      <c r="P456" t="n">
        <v>2030</v>
      </c>
      <c r="Q456" t="n">
        <v>0.3171</v>
      </c>
      <c r="R456" t="n">
        <v>401.7335</v>
      </c>
      <c r="S456" t="n">
        <v>0.00029221</v>
      </c>
      <c r="T456" t="n">
        <v>0.00017343</v>
      </c>
      <c r="U456" t="n">
        <v>10379.4734</v>
      </c>
      <c r="V456" t="inlineStr">
        <is>
          <t>Provided Total Emissions</t>
        </is>
      </c>
      <c r="W456" t="b">
        <v>1</v>
      </c>
      <c r="X456" t="n">
        <v>7415.6713</v>
      </c>
      <c r="Y456" t="n">
        <v>36573.6033</v>
      </c>
      <c r="Z456" t="n">
        <v>-2963.8021</v>
      </c>
      <c r="AA456" t="n">
        <v>26194.1299</v>
      </c>
      <c r="AB456" t="n">
        <v>-0.285545</v>
      </c>
      <c r="AC456" t="n">
        <v>2.523647</v>
      </c>
      <c r="AD456" t="inlineStr">
        <is>
          <t>High</t>
        </is>
      </c>
      <c r="AE456" t="inlineStr">
        <is>
          <t>None</t>
        </is>
      </c>
      <c r="AF456" t="n">
        <v>0.95</v>
      </c>
      <c r="AG456" t="inlineStr">
        <is>
          <t>Valid</t>
        </is>
      </c>
    </row>
    <row r="457">
      <c r="A457" t="inlineStr">
        <is>
          <t>SUP-0046</t>
        </is>
      </c>
      <c r="B457" t="inlineStr">
        <is>
          <t>Textiles Supplier 046</t>
        </is>
      </c>
      <c r="C457" t="inlineStr">
        <is>
          <t>Textiles</t>
        </is>
      </c>
      <c r="D457" t="n">
        <v>2020</v>
      </c>
      <c r="E457" t="n">
        <v>24694630.16</v>
      </c>
      <c r="F457" t="n">
        <v>216554903.9</v>
      </c>
      <c r="G457" t="n">
        <v>9019.457899999999</v>
      </c>
      <c r="H457" t="n">
        <v>2292.7129</v>
      </c>
      <c r="I457" t="n">
        <v>781.8221</v>
      </c>
      <c r="J457" t="n">
        <v>5835.7112</v>
      </c>
      <c r="K457" t="inlineStr"/>
      <c r="L457" t="inlineStr"/>
      <c r="M457" t="inlineStr"/>
      <c r="N457" t="inlineStr"/>
      <c r="O457" t="n">
        <v>2019</v>
      </c>
      <c r="P457" t="n">
        <v>2030</v>
      </c>
      <c r="Q457" t="n">
        <v>0.3171</v>
      </c>
      <c r="R457" t="n">
        <v>401.7335</v>
      </c>
      <c r="S457" t="n">
        <v>0.00029221</v>
      </c>
      <c r="T457" t="n">
        <v>0.00017343</v>
      </c>
      <c r="U457" t="n">
        <v>9019.457899999999</v>
      </c>
      <c r="V457" t="inlineStr">
        <is>
          <t>Provided Total Emissions</t>
        </is>
      </c>
      <c r="W457" t="b">
        <v>1</v>
      </c>
      <c r="X457" t="n">
        <v>7216.0179</v>
      </c>
      <c r="Y457" t="n">
        <v>37557.117</v>
      </c>
      <c r="Z457" t="n">
        <v>-1803.44</v>
      </c>
      <c r="AA457" t="n">
        <v>28537.6591</v>
      </c>
      <c r="AB457" t="n">
        <v>-0.19995</v>
      </c>
      <c r="AC457" t="n">
        <v>3.16401</v>
      </c>
      <c r="AD457" t="inlineStr">
        <is>
          <t>High</t>
        </is>
      </c>
      <c r="AE457" t="inlineStr">
        <is>
          <t>None</t>
        </is>
      </c>
      <c r="AF457" t="n">
        <v>0.95</v>
      </c>
      <c r="AG457" t="inlineStr">
        <is>
          <t>Valid</t>
        </is>
      </c>
    </row>
    <row r="458">
      <c r="A458" t="inlineStr">
        <is>
          <t>SUP-0046</t>
        </is>
      </c>
      <c r="B458" t="inlineStr">
        <is>
          <t>Textiles Supplier 046</t>
        </is>
      </c>
      <c r="C458" t="inlineStr">
        <is>
          <t>Textiles</t>
        </is>
      </c>
      <c r="D458" t="n">
        <v>2021</v>
      </c>
      <c r="E458" t="n">
        <v>29111144.35</v>
      </c>
      <c r="F458" t="n">
        <v>306325725.59</v>
      </c>
      <c r="G458" t="n">
        <v>10974.344</v>
      </c>
      <c r="H458" t="n">
        <v>3012.9673</v>
      </c>
      <c r="I458" t="n">
        <v>1190.2566</v>
      </c>
      <c r="J458" t="n">
        <v>6636.4941</v>
      </c>
      <c r="K458" t="inlineStr"/>
      <c r="L458" t="inlineStr"/>
      <c r="M458" t="inlineStr"/>
      <c r="N458" t="inlineStr"/>
      <c r="O458" t="n">
        <v>2019</v>
      </c>
      <c r="P458" t="n">
        <v>2030</v>
      </c>
      <c r="Q458" t="n">
        <v>0.3171</v>
      </c>
      <c r="R458" t="n">
        <v>401.7335</v>
      </c>
      <c r="S458" t="n">
        <v>0.00029221</v>
      </c>
      <c r="T458" t="n">
        <v>0.00017343</v>
      </c>
      <c r="U458" t="n">
        <v>10974.344</v>
      </c>
      <c r="V458" t="inlineStr">
        <is>
          <t>Provided Total Emissions</t>
        </is>
      </c>
      <c r="W458" t="b">
        <v>1</v>
      </c>
      <c r="X458" t="n">
        <v>8506.567499999999</v>
      </c>
      <c r="Y458" t="n">
        <v>53126.0706</v>
      </c>
      <c r="Z458" t="n">
        <v>-2467.7765</v>
      </c>
      <c r="AA458" t="n">
        <v>42151.7266</v>
      </c>
      <c r="AB458" t="n">
        <v>-0.224868</v>
      </c>
      <c r="AC458" t="n">
        <v>3.840934</v>
      </c>
      <c r="AD458" t="inlineStr">
        <is>
          <t>High</t>
        </is>
      </c>
      <c r="AE458" t="inlineStr">
        <is>
          <t>None</t>
        </is>
      </c>
      <c r="AF458" t="n">
        <v>0.95</v>
      </c>
      <c r="AG458" t="inlineStr">
        <is>
          <t>Valid</t>
        </is>
      </c>
    </row>
    <row r="459">
      <c r="A459" t="inlineStr">
        <is>
          <t>SUP-0046</t>
        </is>
      </c>
      <c r="B459" t="inlineStr">
        <is>
          <t>Textiles Supplier 046</t>
        </is>
      </c>
      <c r="C459" t="inlineStr">
        <is>
          <t>Textiles</t>
        </is>
      </c>
      <c r="D459" t="n">
        <v>2022</v>
      </c>
      <c r="E459" t="n">
        <v>31700340.94</v>
      </c>
      <c r="F459" t="n">
        <v>239038969.82</v>
      </c>
      <c r="G459" t="n">
        <v>12091.9374</v>
      </c>
      <c r="H459" t="n">
        <v>2648.8736</v>
      </c>
      <c r="I459" t="n">
        <v>1726.855</v>
      </c>
      <c r="J459" t="n">
        <v>7009.3499</v>
      </c>
      <c r="K459" t="inlineStr"/>
      <c r="L459" t="inlineStr"/>
      <c r="M459" t="inlineStr"/>
      <c r="N459" t="inlineStr"/>
      <c r="O459" t="n">
        <v>2019</v>
      </c>
      <c r="P459" t="n">
        <v>2030</v>
      </c>
      <c r="Q459" t="n">
        <v>0.3171</v>
      </c>
      <c r="R459" t="n">
        <v>401.7335</v>
      </c>
      <c r="S459" t="n">
        <v>0.00029221</v>
      </c>
      <c r="T459" t="n">
        <v>0.00017343</v>
      </c>
      <c r="U459" t="n">
        <v>12091.9374</v>
      </c>
      <c r="V459" t="inlineStr">
        <is>
          <t>Provided Total Emissions</t>
        </is>
      </c>
      <c r="W459" t="b">
        <v>1</v>
      </c>
      <c r="X459" t="n">
        <v>9263.1566</v>
      </c>
      <c r="Y459" t="n">
        <v>41456.5285</v>
      </c>
      <c r="Z459" t="n">
        <v>-2828.7808</v>
      </c>
      <c r="AA459" t="n">
        <v>29364.5911</v>
      </c>
      <c r="AB459" t="n">
        <v>-0.233939</v>
      </c>
      <c r="AC459" t="n">
        <v>2.428444</v>
      </c>
      <c r="AD459" t="inlineStr">
        <is>
          <t>High</t>
        </is>
      </c>
      <c r="AE459" t="inlineStr">
        <is>
          <t>None</t>
        </is>
      </c>
      <c r="AF459" t="n">
        <v>0.95</v>
      </c>
      <c r="AG459" t="inlineStr">
        <is>
          <t>Valid</t>
        </is>
      </c>
    </row>
    <row r="460">
      <c r="A460" t="inlineStr">
        <is>
          <t>SUP-0046</t>
        </is>
      </c>
      <c r="B460" t="inlineStr">
        <is>
          <t>Textiles Supplier 046</t>
        </is>
      </c>
      <c r="C460" t="inlineStr">
        <is>
          <t>Textiles</t>
        </is>
      </c>
      <c r="D460" t="n">
        <v>2023</v>
      </c>
      <c r="E460" t="n">
        <v>29758324.09</v>
      </c>
      <c r="F460" t="n">
        <v>264275277.69</v>
      </c>
      <c r="G460" t="n">
        <v>9779.3001</v>
      </c>
      <c r="H460" t="n">
        <v>1009.9358</v>
      </c>
      <c r="I460" t="n">
        <v>1391.1191</v>
      </c>
      <c r="J460" t="n">
        <v>6973.3488</v>
      </c>
      <c r="K460" t="inlineStr"/>
      <c r="L460" t="inlineStr"/>
      <c r="M460" t="inlineStr"/>
      <c r="N460" t="inlineStr"/>
      <c r="O460" t="n">
        <v>2019</v>
      </c>
      <c r="P460" t="n">
        <v>2030</v>
      </c>
      <c r="Q460" t="n">
        <v>0.3171</v>
      </c>
      <c r="R460" t="n">
        <v>401.7335</v>
      </c>
      <c r="S460" t="n">
        <v>0.00029221</v>
      </c>
      <c r="T460" t="n">
        <v>0.00017343</v>
      </c>
      <c r="U460" t="n">
        <v>9779.3001</v>
      </c>
      <c r="V460" t="inlineStr">
        <is>
          <t>Provided Total Emissions</t>
        </is>
      </c>
      <c r="W460" t="b">
        <v>1</v>
      </c>
      <c r="X460" t="n">
        <v>8695.679899999999</v>
      </c>
      <c r="Y460" t="n">
        <v>45833.2614</v>
      </c>
      <c r="Z460" t="n">
        <v>-1083.6202</v>
      </c>
      <c r="AA460" t="n">
        <v>36053.9613</v>
      </c>
      <c r="AB460" t="n">
        <v>-0.110808</v>
      </c>
      <c r="AC460" t="n">
        <v>3.686763</v>
      </c>
      <c r="AD460" t="inlineStr">
        <is>
          <t>High</t>
        </is>
      </c>
      <c r="AE460" t="inlineStr">
        <is>
          <t>None</t>
        </is>
      </c>
      <c r="AF460" t="n">
        <v>0.95</v>
      </c>
      <c r="AG460" t="inlineStr">
        <is>
          <t>Valid</t>
        </is>
      </c>
    </row>
    <row r="461">
      <c r="A461" t="inlineStr">
        <is>
          <t>SUP-0046</t>
        </is>
      </c>
      <c r="B461" t="inlineStr">
        <is>
          <t>Textiles Supplier 046</t>
        </is>
      </c>
      <c r="C461" t="inlineStr">
        <is>
          <t>Textiles</t>
        </is>
      </c>
      <c r="D461" t="n">
        <v>2024</v>
      </c>
      <c r="E461" t="n">
        <v>35669239.14</v>
      </c>
      <c r="F461" t="n">
        <v>298991933.66</v>
      </c>
      <c r="G461" t="n">
        <v>10245.2754</v>
      </c>
      <c r="H461" t="n">
        <v>2575.2464</v>
      </c>
      <c r="I461" t="n">
        <v>1393.8351</v>
      </c>
      <c r="J461" t="n">
        <v>6178.8654</v>
      </c>
      <c r="K461" t="inlineStr"/>
      <c r="L461" t="inlineStr"/>
      <c r="M461" t="inlineStr"/>
      <c r="N461" t="inlineStr"/>
      <c r="O461" t="n">
        <v>2019</v>
      </c>
      <c r="P461" t="n">
        <v>2030</v>
      </c>
      <c r="Q461" t="n">
        <v>0.3171</v>
      </c>
      <c r="R461" t="n">
        <v>401.7335</v>
      </c>
      <c r="S461" t="n">
        <v>0.00029221</v>
      </c>
      <c r="T461" t="n">
        <v>0.00017343</v>
      </c>
      <c r="U461" t="n">
        <v>10245.2754</v>
      </c>
      <c r="V461" t="inlineStr">
        <is>
          <t>Provided Total Emissions</t>
        </is>
      </c>
      <c r="W461" t="b">
        <v>1</v>
      </c>
      <c r="X461" t="n">
        <v>10422.9084</v>
      </c>
      <c r="Y461" t="n">
        <v>51854.1711</v>
      </c>
      <c r="Z461" t="n">
        <v>177.633</v>
      </c>
      <c r="AA461" t="n">
        <v>41608.8957</v>
      </c>
      <c r="AB461" t="n">
        <v>0.017338</v>
      </c>
      <c r="AC461" t="n">
        <v>4.061276</v>
      </c>
      <c r="AD461" t="inlineStr">
        <is>
          <t>High</t>
        </is>
      </c>
      <c r="AE461" t="inlineStr">
        <is>
          <t>None</t>
        </is>
      </c>
      <c r="AF461" t="n">
        <v>0.95</v>
      </c>
      <c r="AG461" t="inlineStr">
        <is>
          <t>Valid</t>
        </is>
      </c>
    </row>
    <row r="462">
      <c r="A462" t="inlineStr">
        <is>
          <t>SUP-0047</t>
        </is>
      </c>
      <c r="B462" t="inlineStr">
        <is>
          <t>Packaging Supplier 047</t>
        </is>
      </c>
      <c r="C462" t="inlineStr">
        <is>
          <t>Packaging</t>
        </is>
      </c>
      <c r="D462" t="n">
        <v>2015</v>
      </c>
      <c r="E462" t="n">
        <v>16793833.43</v>
      </c>
      <c r="F462" t="n">
        <v>53492736.11</v>
      </c>
      <c r="G462" t="n">
        <v>12486.143</v>
      </c>
      <c r="H462" t="n">
        <v>3665.588</v>
      </c>
      <c r="I462" t="n">
        <v>2152.6369</v>
      </c>
      <c r="J462" t="n">
        <v>7372.0366</v>
      </c>
      <c r="K462" t="n">
        <v>2018</v>
      </c>
      <c r="L462" t="n">
        <v>2040</v>
      </c>
      <c r="M462" t="n">
        <v>0.3939</v>
      </c>
      <c r="N462" t="n">
        <v>0.2136</v>
      </c>
      <c r="O462" t="n">
        <v>2018</v>
      </c>
      <c r="P462" t="n">
        <v>2040</v>
      </c>
      <c r="Q462" t="n">
        <v>0.3112</v>
      </c>
      <c r="R462" t="n">
        <v>702.4188</v>
      </c>
      <c r="S462" t="n">
        <v>0.0010803</v>
      </c>
      <c r="T462" t="n">
        <v>0.00078946</v>
      </c>
      <c r="U462" t="n">
        <v>12486.143</v>
      </c>
      <c r="V462" t="inlineStr">
        <is>
          <t>Provided Total Emissions</t>
        </is>
      </c>
      <c r="W462" t="b">
        <v>1</v>
      </c>
      <c r="X462" t="n">
        <v>18142.3783</v>
      </c>
      <c r="Y462" t="n">
        <v>42230.3754</v>
      </c>
      <c r="Z462" t="n">
        <v>5656.2353</v>
      </c>
      <c r="AA462" t="n">
        <v>29744.2324</v>
      </c>
      <c r="AB462" t="n">
        <v>0.453001</v>
      </c>
      <c r="AC462" t="n">
        <v>2.382179</v>
      </c>
      <c r="AD462" t="inlineStr">
        <is>
          <t>High</t>
        </is>
      </c>
      <c r="AE462" t="inlineStr">
        <is>
          <t>None</t>
        </is>
      </c>
      <c r="AF462" t="n">
        <v>0.95</v>
      </c>
      <c r="AG462" t="inlineStr">
        <is>
          <t>Valid</t>
        </is>
      </c>
    </row>
    <row r="463">
      <c r="A463" t="inlineStr">
        <is>
          <t>SUP-0047</t>
        </is>
      </c>
      <c r="B463" t="inlineStr">
        <is>
          <t>Packaging Supplier 047</t>
        </is>
      </c>
      <c r="C463" t="inlineStr">
        <is>
          <t>Packaging</t>
        </is>
      </c>
      <c r="D463" t="n">
        <v>2016</v>
      </c>
      <c r="E463" t="n">
        <v>14940633.02</v>
      </c>
      <c r="F463" t="n">
        <v>61469681.33</v>
      </c>
      <c r="G463" t="n">
        <v>11117.2313</v>
      </c>
      <c r="H463" t="n">
        <v>1402.1528</v>
      </c>
      <c r="I463" t="n">
        <v>1157.0224</v>
      </c>
      <c r="J463" t="n">
        <v>7829.6058</v>
      </c>
      <c r="K463" t="n">
        <v>2018</v>
      </c>
      <c r="L463" t="n">
        <v>2040</v>
      </c>
      <c r="M463" t="n">
        <v>0.3939</v>
      </c>
      <c r="N463" t="n">
        <v>0.2136</v>
      </c>
      <c r="O463" t="n">
        <v>2018</v>
      </c>
      <c r="P463" t="n">
        <v>2040</v>
      </c>
      <c r="Q463" t="n">
        <v>0.3112</v>
      </c>
      <c r="R463" t="n">
        <v>702.4188</v>
      </c>
      <c r="S463" t="n">
        <v>0.0010803</v>
      </c>
      <c r="T463" t="n">
        <v>0.00078946</v>
      </c>
      <c r="U463" t="n">
        <v>11117.2313</v>
      </c>
      <c r="V463" t="inlineStr">
        <is>
          <t>Provided Total Emissions</t>
        </is>
      </c>
      <c r="W463" t="b">
        <v>1</v>
      </c>
      <c r="X463" t="n">
        <v>16140.3659</v>
      </c>
      <c r="Y463" t="n">
        <v>48527.8546</v>
      </c>
      <c r="Z463" t="n">
        <v>5023.1346</v>
      </c>
      <c r="AA463" t="n">
        <v>37410.6233</v>
      </c>
      <c r="AB463" t="n">
        <v>0.451833</v>
      </c>
      <c r="AC463" t="n">
        <v>3.365103</v>
      </c>
      <c r="AD463" t="inlineStr">
        <is>
          <t>High</t>
        </is>
      </c>
      <c r="AE463" t="inlineStr">
        <is>
          <t>None</t>
        </is>
      </c>
      <c r="AF463" t="n">
        <v>0.95</v>
      </c>
      <c r="AG463" t="inlineStr">
        <is>
          <t>Valid</t>
        </is>
      </c>
    </row>
    <row r="464">
      <c r="A464" t="inlineStr">
        <is>
          <t>SUP-0047</t>
        </is>
      </c>
      <c r="B464" t="inlineStr">
        <is>
          <t>Packaging Supplier 047</t>
        </is>
      </c>
      <c r="C464" t="inlineStr">
        <is>
          <t>Packaging</t>
        </is>
      </c>
      <c r="D464" t="n">
        <v>2017</v>
      </c>
      <c r="E464" t="n">
        <v>18390725.16</v>
      </c>
      <c r="F464" t="n">
        <v>56953449.62</v>
      </c>
      <c r="G464" t="n">
        <v>14040.9276</v>
      </c>
      <c r="H464" t="n">
        <v>2874.6935</v>
      </c>
      <c r="I464" t="n">
        <v>1167.9628</v>
      </c>
      <c r="J464" t="n">
        <v>9771.184300000001</v>
      </c>
      <c r="K464" t="n">
        <v>2018</v>
      </c>
      <c r="L464" t="n">
        <v>2040</v>
      </c>
      <c r="M464" t="n">
        <v>0.3939</v>
      </c>
      <c r="N464" t="n">
        <v>0.2136</v>
      </c>
      <c r="O464" t="n">
        <v>2018</v>
      </c>
      <c r="P464" t="n">
        <v>2040</v>
      </c>
      <c r="Q464" t="n">
        <v>0.3112</v>
      </c>
      <c r="R464" t="n">
        <v>702.4188</v>
      </c>
      <c r="S464" t="n">
        <v>0.0010803</v>
      </c>
      <c r="T464" t="n">
        <v>0.00078946</v>
      </c>
      <c r="U464" t="n">
        <v>14040.9276</v>
      </c>
      <c r="V464" t="inlineStr">
        <is>
          <t>Provided Total Emissions</t>
        </is>
      </c>
      <c r="W464" t="b">
        <v>1</v>
      </c>
      <c r="X464" t="n">
        <v>19867.5004</v>
      </c>
      <c r="Y464" t="n">
        <v>44962.4703</v>
      </c>
      <c r="Z464" t="n">
        <v>5826.5728</v>
      </c>
      <c r="AA464" t="n">
        <v>30921.5427</v>
      </c>
      <c r="AB464" t="n">
        <v>0.414971</v>
      </c>
      <c r="AC464" t="n">
        <v>2.202244</v>
      </c>
      <c r="AD464" t="inlineStr">
        <is>
          <t>High</t>
        </is>
      </c>
      <c r="AE464" t="inlineStr">
        <is>
          <t>None</t>
        </is>
      </c>
      <c r="AF464" t="n">
        <v>0.95</v>
      </c>
      <c r="AG464" t="inlineStr">
        <is>
          <t>Valid</t>
        </is>
      </c>
    </row>
    <row r="465">
      <c r="A465" t="inlineStr">
        <is>
          <t>SUP-0047</t>
        </is>
      </c>
      <c r="B465" t="inlineStr">
        <is>
          <t>Packaging Supplier 047</t>
        </is>
      </c>
      <c r="C465" t="inlineStr">
        <is>
          <t>Packaging</t>
        </is>
      </c>
      <c r="D465" t="n">
        <v>2018</v>
      </c>
      <c r="E465" t="n">
        <v>17398949.92</v>
      </c>
      <c r="F465" t="n">
        <v>78585153.59</v>
      </c>
      <c r="G465" t="n">
        <v>11313.691</v>
      </c>
      <c r="H465" t="n">
        <v>2958.2428</v>
      </c>
      <c r="I465" t="n">
        <v>1889.7384</v>
      </c>
      <c r="J465" t="n">
        <v>6484.7143</v>
      </c>
      <c r="K465" t="n">
        <v>2018</v>
      </c>
      <c r="L465" t="n">
        <v>2040</v>
      </c>
      <c r="M465" t="n">
        <v>0.3939</v>
      </c>
      <c r="N465" t="n">
        <v>0.2136</v>
      </c>
      <c r="O465" t="n">
        <v>2018</v>
      </c>
      <c r="P465" t="n">
        <v>2040</v>
      </c>
      <c r="Q465" t="n">
        <v>0.3112</v>
      </c>
      <c r="R465" t="n">
        <v>702.4188</v>
      </c>
      <c r="S465" t="n">
        <v>0.0010803</v>
      </c>
      <c r="T465" t="n">
        <v>0.00078946</v>
      </c>
      <c r="U465" t="n">
        <v>11313.691</v>
      </c>
      <c r="V465" t="inlineStr">
        <is>
          <t>Provided Total Emissions</t>
        </is>
      </c>
      <c r="W465" t="b">
        <v>1</v>
      </c>
      <c r="X465" t="n">
        <v>18796.0856</v>
      </c>
      <c r="Y465" t="n">
        <v>62039.8354</v>
      </c>
      <c r="Z465" t="n">
        <v>7482.3946</v>
      </c>
      <c r="AA465" t="n">
        <v>50726.1444</v>
      </c>
      <c r="AB465" t="n">
        <v>0.661358</v>
      </c>
      <c r="AC465" t="n">
        <v>4.483607</v>
      </c>
      <c r="AD465" t="inlineStr">
        <is>
          <t>High</t>
        </is>
      </c>
      <c r="AE465" t="inlineStr">
        <is>
          <t>None</t>
        </is>
      </c>
      <c r="AF465" t="n">
        <v>0.95</v>
      </c>
      <c r="AG465" t="inlineStr">
        <is>
          <t>Valid</t>
        </is>
      </c>
    </row>
    <row r="466">
      <c r="A466" t="inlineStr">
        <is>
          <t>SUP-0047</t>
        </is>
      </c>
      <c r="B466" t="inlineStr">
        <is>
          <t>Packaging Supplier 047</t>
        </is>
      </c>
      <c r="C466" t="inlineStr">
        <is>
          <t>Packaging</t>
        </is>
      </c>
      <c r="D466" t="n">
        <v>2019</v>
      </c>
      <c r="E466" t="n">
        <v>19662075.48</v>
      </c>
      <c r="F466" t="n">
        <v>92712221.79000001</v>
      </c>
      <c r="G466" t="n">
        <v>11309.5815</v>
      </c>
      <c r="H466" t="n">
        <v>1997.1922</v>
      </c>
      <c r="I466" t="n">
        <v>1214.3548</v>
      </c>
      <c r="J466" t="n">
        <v>7775.245</v>
      </c>
      <c r="K466" t="n">
        <v>2018</v>
      </c>
      <c r="L466" t="n">
        <v>2040</v>
      </c>
      <c r="M466" t="n">
        <v>0.3939</v>
      </c>
      <c r="N466" t="n">
        <v>0.2136</v>
      </c>
      <c r="O466" t="n">
        <v>2018</v>
      </c>
      <c r="P466" t="n">
        <v>2040</v>
      </c>
      <c r="Q466" t="n">
        <v>0.3112</v>
      </c>
      <c r="R466" t="n">
        <v>702.4188</v>
      </c>
      <c r="S466" t="n">
        <v>0.0010803</v>
      </c>
      <c r="T466" t="n">
        <v>0.00078946</v>
      </c>
      <c r="U466" t="n">
        <v>11309.5815</v>
      </c>
      <c r="V466" t="inlineStr">
        <is>
          <t>Provided Total Emissions</t>
        </is>
      </c>
      <c r="W466" t="b">
        <v>1</v>
      </c>
      <c r="X466" t="n">
        <v>21240.9401</v>
      </c>
      <c r="Y466" t="n">
        <v>73192.5906</v>
      </c>
      <c r="Z466" t="n">
        <v>9931.3586</v>
      </c>
      <c r="AA466" t="n">
        <v>61883.0091</v>
      </c>
      <c r="AB466" t="n">
        <v>0.8781369999999999</v>
      </c>
      <c r="AC466" t="n">
        <v>5.471733</v>
      </c>
      <c r="AD466" t="inlineStr">
        <is>
          <t>High</t>
        </is>
      </c>
      <c r="AE466" t="inlineStr">
        <is>
          <t>None</t>
        </is>
      </c>
      <c r="AF466" t="n">
        <v>0.95</v>
      </c>
      <c r="AG466" t="inlineStr">
        <is>
          <t>Valid</t>
        </is>
      </c>
    </row>
    <row r="467">
      <c r="A467" t="inlineStr">
        <is>
          <t>SUP-0047</t>
        </is>
      </c>
      <c r="B467" t="inlineStr">
        <is>
          <t>Packaging Supplier 047</t>
        </is>
      </c>
      <c r="C467" t="inlineStr">
        <is>
          <t>Packaging</t>
        </is>
      </c>
      <c r="D467" t="n">
        <v>2020</v>
      </c>
      <c r="E467" t="n">
        <v>22643064.03</v>
      </c>
      <c r="F467" t="n">
        <v>81515325.38</v>
      </c>
      <c r="G467" t="n">
        <v>14248.534</v>
      </c>
      <c r="H467" t="n">
        <v>3701.9178</v>
      </c>
      <c r="I467" t="n">
        <v>1810.7953</v>
      </c>
      <c r="J467" t="n">
        <v>8485.560299999999</v>
      </c>
      <c r="K467" t="n">
        <v>2018</v>
      </c>
      <c r="L467" t="n">
        <v>2040</v>
      </c>
      <c r="M467" t="n">
        <v>0.3939</v>
      </c>
      <c r="N467" t="n">
        <v>0.2136</v>
      </c>
      <c r="O467" t="n">
        <v>2018</v>
      </c>
      <c r="P467" t="n">
        <v>2040</v>
      </c>
      <c r="Q467" t="n">
        <v>0.3112</v>
      </c>
      <c r="R467" t="n">
        <v>702.4188</v>
      </c>
      <c r="S467" t="n">
        <v>0.0010803</v>
      </c>
      <c r="T467" t="n">
        <v>0.00078946</v>
      </c>
      <c r="U467" t="n">
        <v>14248.534</v>
      </c>
      <c r="V467" t="inlineStr">
        <is>
          <t>Provided Total Emissions</t>
        </is>
      </c>
      <c r="W467" t="b">
        <v>1</v>
      </c>
      <c r="X467" t="n">
        <v>24461.3021</v>
      </c>
      <c r="Y467" t="n">
        <v>64353.0888</v>
      </c>
      <c r="Z467" t="n">
        <v>10212.7681</v>
      </c>
      <c r="AA467" t="n">
        <v>50104.5548</v>
      </c>
      <c r="AB467" t="n">
        <v>0.716759</v>
      </c>
      <c r="AC467" t="n">
        <v>3.516471</v>
      </c>
      <c r="AD467" t="inlineStr">
        <is>
          <t>High</t>
        </is>
      </c>
      <c r="AE467" t="inlineStr">
        <is>
          <t>None</t>
        </is>
      </c>
      <c r="AF467" t="n">
        <v>0.95</v>
      </c>
      <c r="AG467" t="inlineStr">
        <is>
          <t>Valid</t>
        </is>
      </c>
    </row>
    <row r="468">
      <c r="A468" t="inlineStr">
        <is>
          <t>SUP-0047</t>
        </is>
      </c>
      <c r="B468" t="inlineStr">
        <is>
          <t>Packaging Supplier 047</t>
        </is>
      </c>
      <c r="C468" t="inlineStr">
        <is>
          <t>Packaging</t>
        </is>
      </c>
      <c r="D468" t="n">
        <v>2021</v>
      </c>
      <c r="E468" t="n">
        <v>23945464.44</v>
      </c>
      <c r="F468" t="n">
        <v>96609387.23999999</v>
      </c>
      <c r="G468" t="n">
        <v>13189.7769</v>
      </c>
      <c r="H468" t="n">
        <v>1223.3192</v>
      </c>
      <c r="I468" t="n">
        <v>2178.3025</v>
      </c>
      <c r="J468" t="n">
        <v>10612.0074</v>
      </c>
      <c r="K468" t="n">
        <v>2018</v>
      </c>
      <c r="L468" t="n">
        <v>2040</v>
      </c>
      <c r="M468" t="n">
        <v>0.3939</v>
      </c>
      <c r="N468" t="n">
        <v>0.2136</v>
      </c>
      <c r="O468" t="n">
        <v>2018</v>
      </c>
      <c r="P468" t="n">
        <v>2040</v>
      </c>
      <c r="Q468" t="n">
        <v>0.3112</v>
      </c>
      <c r="R468" t="n">
        <v>702.4188</v>
      </c>
      <c r="S468" t="n">
        <v>0.0010803</v>
      </c>
      <c r="T468" t="n">
        <v>0.00078946</v>
      </c>
      <c r="U468" t="n">
        <v>13189.7769</v>
      </c>
      <c r="V468" t="inlineStr">
        <is>
          <t>Provided Total Emissions</t>
        </is>
      </c>
      <c r="W468" t="b">
        <v>1</v>
      </c>
      <c r="X468" t="n">
        <v>25868.2852</v>
      </c>
      <c r="Y468" t="n">
        <v>76269.2469</v>
      </c>
      <c r="Z468" t="n">
        <v>12678.5083</v>
      </c>
      <c r="AA468" t="n">
        <v>63079.47</v>
      </c>
      <c r="AB468" t="n">
        <v>0.961238</v>
      </c>
      <c r="AC468" t="n">
        <v>4.782452</v>
      </c>
      <c r="AD468" t="inlineStr">
        <is>
          <t>High</t>
        </is>
      </c>
      <c r="AE468" t="inlineStr">
        <is>
          <t>None</t>
        </is>
      </c>
      <c r="AF468" t="n">
        <v>0.95</v>
      </c>
      <c r="AG468" t="inlineStr">
        <is>
          <t>Valid</t>
        </is>
      </c>
    </row>
    <row r="469">
      <c r="A469" t="inlineStr">
        <is>
          <t>SUP-0047</t>
        </is>
      </c>
      <c r="B469" t="inlineStr">
        <is>
          <t>Packaging Supplier 047</t>
        </is>
      </c>
      <c r="C469" t="inlineStr">
        <is>
          <t>Packaging</t>
        </is>
      </c>
      <c r="D469" t="n">
        <v>2022</v>
      </c>
      <c r="E469" t="n">
        <v>25873096.69</v>
      </c>
      <c r="F469" t="n">
        <v>112075703.34</v>
      </c>
      <c r="G469" t="n">
        <v>17222.8554</v>
      </c>
      <c r="H469" t="n">
        <v>3151.816</v>
      </c>
      <c r="I469" t="n">
        <v>3362.7772</v>
      </c>
      <c r="J469" t="n">
        <v>10983.9424</v>
      </c>
      <c r="K469" t="n">
        <v>2018</v>
      </c>
      <c r="L469" t="n">
        <v>2040</v>
      </c>
      <c r="M469" t="n">
        <v>0.3939</v>
      </c>
      <c r="N469" t="n">
        <v>0.2136</v>
      </c>
      <c r="O469" t="n">
        <v>2018</v>
      </c>
      <c r="P469" t="n">
        <v>2040</v>
      </c>
      <c r="Q469" t="n">
        <v>0.3112</v>
      </c>
      <c r="R469" t="n">
        <v>702.4188</v>
      </c>
      <c r="S469" t="n">
        <v>0.0010803</v>
      </c>
      <c r="T469" t="n">
        <v>0.00078946</v>
      </c>
      <c r="U469" t="n">
        <v>17222.8554</v>
      </c>
      <c r="V469" t="inlineStr">
        <is>
          <t>Provided Total Emissions</t>
        </is>
      </c>
      <c r="W469" t="b">
        <v>1</v>
      </c>
      <c r="X469" t="n">
        <v>27950.7064</v>
      </c>
      <c r="Y469" t="n">
        <v>88479.28479999999</v>
      </c>
      <c r="Z469" t="n">
        <v>10727.851</v>
      </c>
      <c r="AA469" t="n">
        <v>71256.42939999999</v>
      </c>
      <c r="AB469" t="n">
        <v>0.622885</v>
      </c>
      <c r="AC469" t="n">
        <v>4.137318</v>
      </c>
      <c r="AD469" t="inlineStr">
        <is>
          <t>High</t>
        </is>
      </c>
      <c r="AE469" t="inlineStr">
        <is>
          <t>None</t>
        </is>
      </c>
      <c r="AF469" t="n">
        <v>0.95</v>
      </c>
      <c r="AG469" t="inlineStr">
        <is>
          <t>Valid</t>
        </is>
      </c>
    </row>
    <row r="470">
      <c r="A470" t="inlineStr">
        <is>
          <t>SUP-0047</t>
        </is>
      </c>
      <c r="B470" t="inlineStr">
        <is>
          <t>Packaging Supplier 047</t>
        </is>
      </c>
      <c r="C470" t="inlineStr">
        <is>
          <t>Packaging</t>
        </is>
      </c>
      <c r="D470" t="n">
        <v>2023</v>
      </c>
      <c r="E470" t="n">
        <v>23807938.47</v>
      </c>
      <c r="F470" t="n">
        <v>106952017.66</v>
      </c>
      <c r="G470" t="n">
        <v>12310.6203</v>
      </c>
      <c r="H470" t="n">
        <v>2830.8121</v>
      </c>
      <c r="I470" t="n">
        <v>2365.3927</v>
      </c>
      <c r="J470" t="n">
        <v>7656.6617</v>
      </c>
      <c r="K470" t="n">
        <v>2018</v>
      </c>
      <c r="L470" t="n">
        <v>2040</v>
      </c>
      <c r="M470" t="n">
        <v>0.3939</v>
      </c>
      <c r="N470" t="n">
        <v>0.2136</v>
      </c>
      <c r="O470" t="n">
        <v>2018</v>
      </c>
      <c r="P470" t="n">
        <v>2040</v>
      </c>
      <c r="Q470" t="n">
        <v>0.3112</v>
      </c>
      <c r="R470" t="n">
        <v>702.4188</v>
      </c>
      <c r="S470" t="n">
        <v>0.0010803</v>
      </c>
      <c r="T470" t="n">
        <v>0.00078946</v>
      </c>
      <c r="U470" t="n">
        <v>12310.6203</v>
      </c>
      <c r="V470" t="inlineStr">
        <is>
          <t>Provided Total Emissions</t>
        </is>
      </c>
      <c r="W470" t="b">
        <v>1</v>
      </c>
      <c r="X470" t="n">
        <v>25719.7159</v>
      </c>
      <c r="Y470" t="n">
        <v>84434.33990000001</v>
      </c>
      <c r="Z470" t="n">
        <v>13409.0956</v>
      </c>
      <c r="AA470" t="n">
        <v>72123.7196</v>
      </c>
      <c r="AB470" t="n">
        <v>1.08923</v>
      </c>
      <c r="AC470" t="n">
        <v>5.858658</v>
      </c>
      <c r="AD470" t="inlineStr">
        <is>
          <t>High</t>
        </is>
      </c>
      <c r="AE470" t="inlineStr">
        <is>
          <t>None</t>
        </is>
      </c>
      <c r="AF470" t="n">
        <v>0.95</v>
      </c>
      <c r="AG470" t="inlineStr">
        <is>
          <t>Valid</t>
        </is>
      </c>
    </row>
    <row r="471">
      <c r="A471" t="inlineStr">
        <is>
          <t>SUP-0047</t>
        </is>
      </c>
      <c r="B471" t="inlineStr">
        <is>
          <t>Packaging Supplier 047</t>
        </is>
      </c>
      <c r="C471" t="inlineStr">
        <is>
          <t>Packaging</t>
        </is>
      </c>
      <c r="D471" t="n">
        <v>2024</v>
      </c>
      <c r="E471" t="n">
        <v>26170616.74</v>
      </c>
      <c r="F471" t="n">
        <v>101956949.16</v>
      </c>
      <c r="G471" t="n">
        <v>13482.4768</v>
      </c>
      <c r="H471" t="n">
        <v>1729.6497</v>
      </c>
      <c r="I471" t="n">
        <v>2219.6431</v>
      </c>
      <c r="J471" t="n">
        <v>9242.878500000001</v>
      </c>
      <c r="K471" t="n">
        <v>2018</v>
      </c>
      <c r="L471" t="n">
        <v>2040</v>
      </c>
      <c r="M471" t="n">
        <v>0.3939</v>
      </c>
      <c r="N471" t="n">
        <v>0.2136</v>
      </c>
      <c r="O471" t="n">
        <v>2018</v>
      </c>
      <c r="P471" t="n">
        <v>2040</v>
      </c>
      <c r="Q471" t="n">
        <v>0.3112</v>
      </c>
      <c r="R471" t="n">
        <v>702.4188</v>
      </c>
      <c r="S471" t="n">
        <v>0.0010803</v>
      </c>
      <c r="T471" t="n">
        <v>0.00078946</v>
      </c>
      <c r="U471" t="n">
        <v>13482.4768</v>
      </c>
      <c r="V471" t="inlineStr">
        <is>
          <t>Provided Total Emissions</t>
        </is>
      </c>
      <c r="W471" t="b">
        <v>1</v>
      </c>
      <c r="X471" t="n">
        <v>28272.1173</v>
      </c>
      <c r="Y471" t="n">
        <v>80490.93309999999</v>
      </c>
      <c r="Z471" t="n">
        <v>14789.6405</v>
      </c>
      <c r="AA471" t="n">
        <v>67008.45630000001</v>
      </c>
      <c r="AB471" t="n">
        <v>1.096953</v>
      </c>
      <c r="AC471" t="n">
        <v>4.970041</v>
      </c>
      <c r="AD471" t="inlineStr">
        <is>
          <t>High</t>
        </is>
      </c>
      <c r="AE471" t="inlineStr">
        <is>
          <t>None</t>
        </is>
      </c>
      <c r="AF471" t="n">
        <v>0.95</v>
      </c>
      <c r="AG471" t="inlineStr">
        <is>
          <t>Valid</t>
        </is>
      </c>
    </row>
    <row r="472">
      <c r="A472" t="inlineStr">
        <is>
          <t>SUP-0048</t>
        </is>
      </c>
      <c r="B472" t="inlineStr">
        <is>
          <t>Logistics Supplier 048</t>
        </is>
      </c>
      <c r="C472" t="inlineStr">
        <is>
          <t>Logistics</t>
        </is>
      </c>
      <c r="D472" t="n">
        <v>2015</v>
      </c>
      <c r="E472" t="n">
        <v>18991523.37</v>
      </c>
      <c r="F472" t="n">
        <v>70719744.2</v>
      </c>
      <c r="G472" t="n">
        <v>4758.622</v>
      </c>
      <c r="H472" t="n">
        <v>806.2873</v>
      </c>
      <c r="I472" t="n">
        <v>775.2829</v>
      </c>
      <c r="J472" t="n">
        <v>3390.3402</v>
      </c>
      <c r="K472" t="inlineStr"/>
      <c r="L472" t="inlineStr"/>
      <c r="M472" t="inlineStr"/>
      <c r="N472" t="inlineStr"/>
      <c r="O472" t="n">
        <v>2019</v>
      </c>
      <c r="P472" t="n">
        <v>2040</v>
      </c>
      <c r="Q472" t="n">
        <v>0.4616</v>
      </c>
      <c r="R472" t="n">
        <v>591.6386</v>
      </c>
      <c r="S472" t="n">
        <v>0.00022349</v>
      </c>
      <c r="T472" t="n">
        <v>0.00047787</v>
      </c>
      <c r="U472" t="n">
        <v>4758.622</v>
      </c>
      <c r="V472" t="inlineStr">
        <is>
          <t>Provided Total Emissions</t>
        </is>
      </c>
      <c r="W472" t="b">
        <v>1</v>
      </c>
      <c r="X472" t="n">
        <v>4244.4156</v>
      </c>
      <c r="Y472" t="n">
        <v>33794.8442</v>
      </c>
      <c r="Z472" t="n">
        <v>-514.2064</v>
      </c>
      <c r="AA472" t="n">
        <v>29036.2222</v>
      </c>
      <c r="AB472" t="n">
        <v>-0.108058</v>
      </c>
      <c r="AC472" t="n">
        <v>6.101813</v>
      </c>
      <c r="AD472" t="inlineStr">
        <is>
          <t>High</t>
        </is>
      </c>
      <c r="AE472" t="inlineStr">
        <is>
          <t>None</t>
        </is>
      </c>
      <c r="AF472" t="n">
        <v>0.95</v>
      </c>
      <c r="AG472" t="inlineStr">
        <is>
          <t>Valid</t>
        </is>
      </c>
    </row>
    <row r="473">
      <c r="A473" t="inlineStr">
        <is>
          <t>SUP-0048</t>
        </is>
      </c>
      <c r="B473" t="inlineStr">
        <is>
          <t>Logistics Supplier 048</t>
        </is>
      </c>
      <c r="C473" t="inlineStr">
        <is>
          <t>Logistics</t>
        </is>
      </c>
      <c r="D473" t="n">
        <v>2016</v>
      </c>
      <c r="E473" t="n">
        <v>19327115.41</v>
      </c>
      <c r="F473" t="n">
        <v>64414694.97</v>
      </c>
      <c r="G473" t="n">
        <v>5076.4788</v>
      </c>
      <c r="H473" t="n">
        <v>422.0101</v>
      </c>
      <c r="I473" t="n">
        <v>719.1691</v>
      </c>
      <c r="J473" t="n">
        <v>3999.7012</v>
      </c>
      <c r="K473" t="inlineStr"/>
      <c r="L473" t="inlineStr"/>
      <c r="M473" t="inlineStr"/>
      <c r="N473" t="inlineStr"/>
      <c r="O473" t="n">
        <v>2019</v>
      </c>
      <c r="P473" t="n">
        <v>2040</v>
      </c>
      <c r="Q473" t="n">
        <v>0.4616</v>
      </c>
      <c r="R473" t="n">
        <v>591.6386</v>
      </c>
      <c r="S473" t="n">
        <v>0.00022349</v>
      </c>
      <c r="T473" t="n">
        <v>0.00047787</v>
      </c>
      <c r="U473" t="n">
        <v>5076.4788</v>
      </c>
      <c r="V473" t="inlineStr">
        <is>
          <t>Provided Total Emissions</t>
        </is>
      </c>
      <c r="W473" t="b">
        <v>1</v>
      </c>
      <c r="X473" t="n">
        <v>4319.417</v>
      </c>
      <c r="Y473" t="n">
        <v>30781.8503</v>
      </c>
      <c r="Z473" t="n">
        <v>-757.0617999999999</v>
      </c>
      <c r="AA473" t="n">
        <v>25705.3715</v>
      </c>
      <c r="AB473" t="n">
        <v>-0.149131</v>
      </c>
      <c r="AC473" t="n">
        <v>5.063622</v>
      </c>
      <c r="AD473" t="inlineStr">
        <is>
          <t>High</t>
        </is>
      </c>
      <c r="AE473" t="inlineStr">
        <is>
          <t>None</t>
        </is>
      </c>
      <c r="AF473" t="n">
        <v>0.95</v>
      </c>
      <c r="AG473" t="inlineStr">
        <is>
          <t>Valid</t>
        </is>
      </c>
    </row>
    <row r="474">
      <c r="A474" t="inlineStr">
        <is>
          <t>SUP-0048</t>
        </is>
      </c>
      <c r="B474" t="inlineStr">
        <is>
          <t>Logistics Supplier 048</t>
        </is>
      </c>
      <c r="C474" t="inlineStr">
        <is>
          <t>Logistics</t>
        </is>
      </c>
      <c r="D474" t="n">
        <v>2017</v>
      </c>
      <c r="E474" t="n">
        <v>20083432.76</v>
      </c>
      <c r="F474" t="n">
        <v>65876387.87</v>
      </c>
      <c r="G474" t="n">
        <v>4453.6723</v>
      </c>
      <c r="H474" t="n">
        <v>1063.4829</v>
      </c>
      <c r="I474" t="n">
        <v>514.6403</v>
      </c>
      <c r="J474" t="n">
        <v>2763.0843</v>
      </c>
      <c r="K474" t="inlineStr"/>
      <c r="L474" t="inlineStr"/>
      <c r="M474" t="inlineStr"/>
      <c r="N474" t="inlineStr"/>
      <c r="O474" t="n">
        <v>2019</v>
      </c>
      <c r="P474" t="n">
        <v>2040</v>
      </c>
      <c r="Q474" t="n">
        <v>0.4616</v>
      </c>
      <c r="R474" t="n">
        <v>591.6386</v>
      </c>
      <c r="S474" t="n">
        <v>0.00022349</v>
      </c>
      <c r="T474" t="n">
        <v>0.00047787</v>
      </c>
      <c r="U474" t="n">
        <v>4453.6723</v>
      </c>
      <c r="V474" t="inlineStr">
        <is>
          <t>Provided Total Emissions</t>
        </is>
      </c>
      <c r="W474" t="b">
        <v>1</v>
      </c>
      <c r="X474" t="n">
        <v>4488.4464</v>
      </c>
      <c r="Y474" t="n">
        <v>31480.3495</v>
      </c>
      <c r="Z474" t="n">
        <v>34.7741</v>
      </c>
      <c r="AA474" t="n">
        <v>27026.6772</v>
      </c>
      <c r="AB474" t="n">
        <v>0.007808</v>
      </c>
      <c r="AC474" t="n">
        <v>6.068403</v>
      </c>
      <c r="AD474" t="inlineStr">
        <is>
          <t>High</t>
        </is>
      </c>
      <c r="AE474" t="inlineStr">
        <is>
          <t>None</t>
        </is>
      </c>
      <c r="AF474" t="n">
        <v>0.95</v>
      </c>
      <c r="AG474" t="inlineStr">
        <is>
          <t>Valid</t>
        </is>
      </c>
    </row>
    <row r="475">
      <c r="A475" t="inlineStr">
        <is>
          <t>SUP-0048</t>
        </is>
      </c>
      <c r="B475" t="inlineStr">
        <is>
          <t>Logistics Supplier 048</t>
        </is>
      </c>
      <c r="C475" t="inlineStr">
        <is>
          <t>Logistics</t>
        </is>
      </c>
      <c r="D475" t="n">
        <v>2018</v>
      </c>
      <c r="E475" t="n">
        <v>19371445.38</v>
      </c>
      <c r="F475" t="n">
        <v>81099858.7</v>
      </c>
      <c r="G475" t="n">
        <v>5632.0652</v>
      </c>
      <c r="H475" t="n">
        <v>825.9596</v>
      </c>
      <c r="I475" t="n">
        <v>493.6809</v>
      </c>
      <c r="J475" t="n">
        <v>4153.8697</v>
      </c>
      <c r="K475" t="inlineStr"/>
      <c r="L475" t="inlineStr"/>
      <c r="M475" t="inlineStr"/>
      <c r="N475" t="inlineStr"/>
      <c r="O475" t="n">
        <v>2019</v>
      </c>
      <c r="P475" t="n">
        <v>2040</v>
      </c>
      <c r="Q475" t="n">
        <v>0.4616</v>
      </c>
      <c r="R475" t="n">
        <v>591.6386</v>
      </c>
      <c r="S475" t="n">
        <v>0.00022349</v>
      </c>
      <c r="T475" t="n">
        <v>0.00047787</v>
      </c>
      <c r="U475" t="n">
        <v>5632.0652</v>
      </c>
      <c r="V475" t="inlineStr">
        <is>
          <t>Provided Total Emissions</t>
        </is>
      </c>
      <c r="W475" t="b">
        <v>1</v>
      </c>
      <c r="X475" t="n">
        <v>4329.3243</v>
      </c>
      <c r="Y475" t="n">
        <v>38755.1895</v>
      </c>
      <c r="Z475" t="n">
        <v>-1302.7409</v>
      </c>
      <c r="AA475" t="n">
        <v>33123.1243</v>
      </c>
      <c r="AB475" t="n">
        <v>-0.231308</v>
      </c>
      <c r="AC475" t="n">
        <v>5.881168</v>
      </c>
      <c r="AD475" t="inlineStr">
        <is>
          <t>High</t>
        </is>
      </c>
      <c r="AE475" t="inlineStr">
        <is>
          <t>None</t>
        </is>
      </c>
      <c r="AF475" t="n">
        <v>0.95</v>
      </c>
      <c r="AG475" t="inlineStr">
        <is>
          <t>Valid</t>
        </is>
      </c>
    </row>
    <row r="476">
      <c r="A476" t="inlineStr">
        <is>
          <t>SUP-0048</t>
        </is>
      </c>
      <c r="B476" t="inlineStr">
        <is>
          <t>Logistics Supplier 048</t>
        </is>
      </c>
      <c r="C476" t="inlineStr">
        <is>
          <t>Logistics</t>
        </is>
      </c>
      <c r="D476" t="n">
        <v>2019</v>
      </c>
      <c r="E476" t="n">
        <v>19151818.03</v>
      </c>
      <c r="F476" t="n">
        <v>72216187.37</v>
      </c>
      <c r="G476" t="n">
        <v>4602.3673</v>
      </c>
      <c r="H476" t="n">
        <v>438.754</v>
      </c>
      <c r="I476" t="n">
        <v>689.9709</v>
      </c>
      <c r="J476" t="n">
        <v>3660.7472</v>
      </c>
      <c r="K476" t="inlineStr"/>
      <c r="L476" t="inlineStr"/>
      <c r="M476" t="inlineStr"/>
      <c r="N476" t="inlineStr"/>
      <c r="O476" t="n">
        <v>2019</v>
      </c>
      <c r="P476" t="n">
        <v>2040</v>
      </c>
      <c r="Q476" t="n">
        <v>0.4616</v>
      </c>
      <c r="R476" t="n">
        <v>591.6386</v>
      </c>
      <c r="S476" t="n">
        <v>0.00022349</v>
      </c>
      <c r="T476" t="n">
        <v>0.00047787</v>
      </c>
      <c r="U476" t="n">
        <v>4602.3673</v>
      </c>
      <c r="V476" t="inlineStr">
        <is>
          <t>Provided Total Emissions</t>
        </is>
      </c>
      <c r="W476" t="b">
        <v>1</v>
      </c>
      <c r="X476" t="n">
        <v>4280.2398</v>
      </c>
      <c r="Y476" t="n">
        <v>34509.9495</v>
      </c>
      <c r="Z476" t="n">
        <v>-322.1275</v>
      </c>
      <c r="AA476" t="n">
        <v>29907.5822</v>
      </c>
      <c r="AB476" t="n">
        <v>-0.069992</v>
      </c>
      <c r="AC476" t="n">
        <v>6.498304</v>
      </c>
      <c r="AD476" t="inlineStr">
        <is>
          <t>High</t>
        </is>
      </c>
      <c r="AE476" t="inlineStr">
        <is>
          <t>None</t>
        </is>
      </c>
      <c r="AF476" t="n">
        <v>0.95</v>
      </c>
      <c r="AG476" t="inlineStr">
        <is>
          <t>Valid</t>
        </is>
      </c>
    </row>
    <row r="477">
      <c r="A477" t="inlineStr">
        <is>
          <t>SUP-0048</t>
        </is>
      </c>
      <c r="B477" t="inlineStr">
        <is>
          <t>Logistics Supplier 048</t>
        </is>
      </c>
      <c r="C477" t="inlineStr">
        <is>
          <t>Logistics</t>
        </is>
      </c>
      <c r="D477" t="n">
        <v>2020</v>
      </c>
      <c r="E477" t="n">
        <v>18170142.2</v>
      </c>
      <c r="F477" t="n">
        <v>69459438.14</v>
      </c>
      <c r="G477" t="n">
        <v>4408.7943</v>
      </c>
      <c r="H477" t="n">
        <v>438.3239</v>
      </c>
      <c r="I477" t="n">
        <v>875.1327</v>
      </c>
      <c r="J477" t="n">
        <v>3379.0135</v>
      </c>
      <c r="K477" t="inlineStr"/>
      <c r="L477" t="inlineStr"/>
      <c r="M477" t="inlineStr"/>
      <c r="N477" t="inlineStr"/>
      <c r="O477" t="n">
        <v>2019</v>
      </c>
      <c r="P477" t="n">
        <v>2040</v>
      </c>
      <c r="Q477" t="n">
        <v>0.4616</v>
      </c>
      <c r="R477" t="n">
        <v>591.6386</v>
      </c>
      <c r="S477" t="n">
        <v>0.00022349</v>
      </c>
      <c r="T477" t="n">
        <v>0.00047787</v>
      </c>
      <c r="U477" t="n">
        <v>4408.7943</v>
      </c>
      <c r="V477" t="inlineStr">
        <is>
          <t>Provided Total Emissions</t>
        </is>
      </c>
      <c r="W477" t="b">
        <v>1</v>
      </c>
      <c r="X477" t="n">
        <v>4060.8451</v>
      </c>
      <c r="Y477" t="n">
        <v>33192.5817</v>
      </c>
      <c r="Z477" t="n">
        <v>-347.9492</v>
      </c>
      <c r="AA477" t="n">
        <v>28783.7874</v>
      </c>
      <c r="AB477" t="n">
        <v>-0.07892200000000001</v>
      </c>
      <c r="AC477" t="n">
        <v>6.528721</v>
      </c>
      <c r="AD477" t="inlineStr">
        <is>
          <t>High</t>
        </is>
      </c>
      <c r="AE477" t="inlineStr">
        <is>
          <t>None</t>
        </is>
      </c>
      <c r="AF477" t="n">
        <v>0.95</v>
      </c>
      <c r="AG477" t="inlineStr">
        <is>
          <t>Valid</t>
        </is>
      </c>
    </row>
    <row r="478">
      <c r="A478" t="inlineStr">
        <is>
          <t>SUP-0048</t>
        </is>
      </c>
      <c r="B478" t="inlineStr">
        <is>
          <t>Logistics Supplier 048</t>
        </is>
      </c>
      <c r="C478" t="inlineStr">
        <is>
          <t>Logistics</t>
        </is>
      </c>
      <c r="D478" t="n">
        <v>2021</v>
      </c>
      <c r="E478" t="n">
        <v>21054115.78</v>
      </c>
      <c r="F478" t="n">
        <v>79200318.70999999</v>
      </c>
      <c r="G478" t="n">
        <v>5073.351</v>
      </c>
      <c r="H478" t="n">
        <v>1364.5192</v>
      </c>
      <c r="I478" t="n">
        <v>821.9184</v>
      </c>
      <c r="J478" t="n">
        <v>2688.5456</v>
      </c>
      <c r="K478" t="inlineStr"/>
      <c r="L478" t="inlineStr"/>
      <c r="M478" t="inlineStr"/>
      <c r="N478" t="inlineStr"/>
      <c r="O478" t="n">
        <v>2019</v>
      </c>
      <c r="P478" t="n">
        <v>2040</v>
      </c>
      <c r="Q478" t="n">
        <v>0.4616</v>
      </c>
      <c r="R478" t="n">
        <v>591.6386</v>
      </c>
      <c r="S478" t="n">
        <v>0.00022349</v>
      </c>
      <c r="T478" t="n">
        <v>0.00047787</v>
      </c>
      <c r="U478" t="n">
        <v>5073.351</v>
      </c>
      <c r="V478" t="inlineStr">
        <is>
          <t>Provided Total Emissions</t>
        </is>
      </c>
      <c r="W478" t="b">
        <v>1</v>
      </c>
      <c r="X478" t="n">
        <v>4705.3843</v>
      </c>
      <c r="Y478" t="n">
        <v>37847.4563</v>
      </c>
      <c r="Z478" t="n">
        <v>-367.9667</v>
      </c>
      <c r="AA478" t="n">
        <v>32774.1053</v>
      </c>
      <c r="AB478" t="n">
        <v>-0.072529</v>
      </c>
      <c r="AC478" t="n">
        <v>6.460051</v>
      </c>
      <c r="AD478" t="inlineStr">
        <is>
          <t>High</t>
        </is>
      </c>
      <c r="AE478" t="inlineStr">
        <is>
          <t>None</t>
        </is>
      </c>
      <c r="AF478" t="n">
        <v>0.95</v>
      </c>
      <c r="AG478" t="inlineStr">
        <is>
          <t>Valid</t>
        </is>
      </c>
    </row>
    <row r="479">
      <c r="A479" t="inlineStr">
        <is>
          <t>SUP-0048</t>
        </is>
      </c>
      <c r="B479" t="inlineStr">
        <is>
          <t>Logistics Supplier 048</t>
        </is>
      </c>
      <c r="C479" t="inlineStr">
        <is>
          <t>Logistics</t>
        </is>
      </c>
      <c r="D479" t="n">
        <v>2022</v>
      </c>
      <c r="E479" t="n">
        <v>18413215.31</v>
      </c>
      <c r="F479" t="n">
        <v>66540185.06</v>
      </c>
      <c r="G479" t="n">
        <v>3753.2035</v>
      </c>
      <c r="H479" t="n">
        <v>328.949</v>
      </c>
      <c r="I479" t="n">
        <v>733.0291999999999</v>
      </c>
      <c r="J479" t="n">
        <v>2560.3257</v>
      </c>
      <c r="K479" t="inlineStr"/>
      <c r="L479" t="inlineStr"/>
      <c r="M479" t="inlineStr"/>
      <c r="N479" t="inlineStr"/>
      <c r="O479" t="n">
        <v>2019</v>
      </c>
      <c r="P479" t="n">
        <v>2040</v>
      </c>
      <c r="Q479" t="n">
        <v>0.4616</v>
      </c>
      <c r="R479" t="n">
        <v>591.6386</v>
      </c>
      <c r="S479" t="n">
        <v>0.00022349</v>
      </c>
      <c r="T479" t="n">
        <v>0.00047787</v>
      </c>
      <c r="U479" t="n">
        <v>3753.2035</v>
      </c>
      <c r="V479" t="inlineStr">
        <is>
          <t>Provided Total Emissions</t>
        </is>
      </c>
      <c r="W479" t="b">
        <v>1</v>
      </c>
      <c r="X479" t="n">
        <v>4115.1695</v>
      </c>
      <c r="Y479" t="n">
        <v>31797.5582</v>
      </c>
      <c r="Z479" t="n">
        <v>361.966</v>
      </c>
      <c r="AA479" t="n">
        <v>28044.3547</v>
      </c>
      <c r="AB479" t="n">
        <v>0.096442</v>
      </c>
      <c r="AC479" t="n">
        <v>7.472111</v>
      </c>
      <c r="AD479" t="inlineStr">
        <is>
          <t>High</t>
        </is>
      </c>
      <c r="AE479" t="inlineStr">
        <is>
          <t>None</t>
        </is>
      </c>
      <c r="AF479" t="n">
        <v>0.95</v>
      </c>
      <c r="AG479" t="inlineStr">
        <is>
          <t>Valid</t>
        </is>
      </c>
    </row>
    <row r="480">
      <c r="A480" t="inlineStr">
        <is>
          <t>SUP-0048</t>
        </is>
      </c>
      <c r="B480" t="inlineStr">
        <is>
          <t>Logistics Supplier 048</t>
        </is>
      </c>
      <c r="C480" t="inlineStr">
        <is>
          <t>Logistics</t>
        </is>
      </c>
      <c r="D480" t="n">
        <v>2023</v>
      </c>
      <c r="E480" t="n">
        <v>19920817.69</v>
      </c>
      <c r="F480" t="n">
        <v>81951394.42</v>
      </c>
      <c r="G480" t="n">
        <v>4090.8603</v>
      </c>
      <c r="H480" t="n">
        <v>853.8475</v>
      </c>
      <c r="I480" t="n">
        <v>852.2911</v>
      </c>
      <c r="J480" t="n">
        <v>2409.4907</v>
      </c>
      <c r="K480" t="inlineStr"/>
      <c r="L480" t="inlineStr"/>
      <c r="M480" t="inlineStr"/>
      <c r="N480" t="inlineStr"/>
      <c r="O480" t="n">
        <v>2019</v>
      </c>
      <c r="P480" t="n">
        <v>2040</v>
      </c>
      <c r="Q480" t="n">
        <v>0.4616</v>
      </c>
      <c r="R480" t="n">
        <v>591.6386</v>
      </c>
      <c r="S480" t="n">
        <v>0.00022349</v>
      </c>
      <c r="T480" t="n">
        <v>0.00047787</v>
      </c>
      <c r="U480" t="n">
        <v>4090.8603</v>
      </c>
      <c r="V480" t="inlineStr">
        <is>
          <t>Provided Total Emissions</t>
        </is>
      </c>
      <c r="W480" t="b">
        <v>1</v>
      </c>
      <c r="X480" t="n">
        <v>4452.1035</v>
      </c>
      <c r="Y480" t="n">
        <v>39162.1129</v>
      </c>
      <c r="Z480" t="n">
        <v>361.2432</v>
      </c>
      <c r="AA480" t="n">
        <v>35071.2526</v>
      </c>
      <c r="AB480" t="n">
        <v>0.08830499999999999</v>
      </c>
      <c r="AC480" t="n">
        <v>8.573074999999999</v>
      </c>
      <c r="AD480" t="inlineStr">
        <is>
          <t>High</t>
        </is>
      </c>
      <c r="AE480" t="inlineStr">
        <is>
          <t>None</t>
        </is>
      </c>
      <c r="AF480" t="n">
        <v>0.95</v>
      </c>
      <c r="AG480" t="inlineStr">
        <is>
          <t>Valid</t>
        </is>
      </c>
    </row>
    <row r="481">
      <c r="A481" t="inlineStr">
        <is>
          <t>SUP-0048</t>
        </is>
      </c>
      <c r="B481" t="inlineStr">
        <is>
          <t>Logistics Supplier 048</t>
        </is>
      </c>
      <c r="C481" t="inlineStr">
        <is>
          <t>Logistics</t>
        </is>
      </c>
      <c r="D481" t="n">
        <v>2024</v>
      </c>
      <c r="E481" t="n">
        <v>19025466.64</v>
      </c>
      <c r="F481" t="n">
        <v>69879977.98</v>
      </c>
      <c r="G481" t="n">
        <v>3591.2892</v>
      </c>
      <c r="H481" t="n">
        <v>889.4317</v>
      </c>
      <c r="I481" t="n">
        <v>772.1653</v>
      </c>
      <c r="J481" t="n">
        <v>2020.8447</v>
      </c>
      <c r="K481" t="inlineStr"/>
      <c r="L481" t="inlineStr"/>
      <c r="M481" t="inlineStr"/>
      <c r="N481" t="inlineStr"/>
      <c r="O481" t="n">
        <v>2019</v>
      </c>
      <c r="P481" t="n">
        <v>2040</v>
      </c>
      <c r="Q481" t="n">
        <v>0.4616</v>
      </c>
      <c r="R481" t="n">
        <v>591.6386</v>
      </c>
      <c r="S481" t="n">
        <v>0.00022349</v>
      </c>
      <c r="T481" t="n">
        <v>0.00047787</v>
      </c>
      <c r="U481" t="n">
        <v>3591.2892</v>
      </c>
      <c r="V481" t="inlineStr">
        <is>
          <t>Provided Total Emissions</t>
        </is>
      </c>
      <c r="W481" t="b">
        <v>1</v>
      </c>
      <c r="X481" t="n">
        <v>4252.0015</v>
      </c>
      <c r="Y481" t="n">
        <v>33393.5451</v>
      </c>
      <c r="Z481" t="n">
        <v>660.7123</v>
      </c>
      <c r="AA481" t="n">
        <v>29802.2559</v>
      </c>
      <c r="AB481" t="n">
        <v>0.183976</v>
      </c>
      <c r="AC481" t="n">
        <v>8.298484</v>
      </c>
      <c r="AD481" t="inlineStr">
        <is>
          <t>High</t>
        </is>
      </c>
      <c r="AE481" t="inlineStr">
        <is>
          <t>None</t>
        </is>
      </c>
      <c r="AF481" t="n">
        <v>0.95</v>
      </c>
      <c r="AG481" t="inlineStr">
        <is>
          <t>Valid</t>
        </is>
      </c>
    </row>
    <row r="482">
      <c r="A482" t="inlineStr">
        <is>
          <t>SUP-0049</t>
        </is>
      </c>
      <c r="B482" t="inlineStr">
        <is>
          <t>Logistics Supplier 049</t>
        </is>
      </c>
      <c r="C482" t="inlineStr">
        <is>
          <t>Logistics</t>
        </is>
      </c>
      <c r="D482" t="n">
        <v>2015</v>
      </c>
      <c r="E482" t="n">
        <v>25136871.49</v>
      </c>
      <c r="F482" t="n">
        <v>236160019.89</v>
      </c>
      <c r="G482" t="n">
        <v>3218.5116</v>
      </c>
      <c r="H482" t="n">
        <v>687.2545</v>
      </c>
      <c r="I482" t="n">
        <v>398.1012</v>
      </c>
      <c r="J482" t="n">
        <v>2856.6177</v>
      </c>
      <c r="K482" t="n">
        <v>2019</v>
      </c>
      <c r="L482" t="n">
        <v>2030</v>
      </c>
      <c r="M482" t="n">
        <v>0.236</v>
      </c>
      <c r="N482" t="n">
        <v>0.1422</v>
      </c>
      <c r="O482" t="n">
        <v>2019</v>
      </c>
      <c r="P482" t="n">
        <v>2040</v>
      </c>
      <c r="Q482" t="n">
        <v>0.4616</v>
      </c>
      <c r="R482" t="n">
        <v>591.6386</v>
      </c>
      <c r="S482" t="n">
        <v>0.00022349</v>
      </c>
      <c r="T482" t="n">
        <v>0.00047787</v>
      </c>
      <c r="U482" t="n">
        <v>3218.5116</v>
      </c>
      <c r="V482" t="inlineStr">
        <is>
          <t>Provided Total Emissions</t>
        </is>
      </c>
      <c r="W482" t="b">
        <v>1</v>
      </c>
      <c r="X482" t="n">
        <v>5617.8394</v>
      </c>
      <c r="Y482" t="n">
        <v>112853.7887</v>
      </c>
      <c r="Z482" t="n">
        <v>2399.3278</v>
      </c>
      <c r="AA482" t="n">
        <v>109635.2771</v>
      </c>
      <c r="AB482" t="n">
        <v>0.7454769999999999</v>
      </c>
      <c r="AC482" t="n">
        <v>34.063968</v>
      </c>
      <c r="AD482" t="inlineStr">
        <is>
          <t>High</t>
        </is>
      </c>
      <c r="AE482" t="inlineStr">
        <is>
          <t>None</t>
        </is>
      </c>
      <c r="AF482" t="n">
        <v>0.95</v>
      </c>
      <c r="AG482" t="inlineStr">
        <is>
          <t>Valid</t>
        </is>
      </c>
    </row>
    <row r="483">
      <c r="A483" t="inlineStr">
        <is>
          <t>SUP-0049</t>
        </is>
      </c>
      <c r="B483" t="inlineStr">
        <is>
          <t>Logistics Supplier 049</t>
        </is>
      </c>
      <c r="C483" t="inlineStr">
        <is>
          <t>Logistics</t>
        </is>
      </c>
      <c r="D483" t="n">
        <v>2016</v>
      </c>
      <c r="E483" t="n">
        <v>28381783.98</v>
      </c>
      <c r="F483" t="n">
        <v>155777855.01</v>
      </c>
      <c r="G483" t="n">
        <v>5120.1638</v>
      </c>
      <c r="H483" t="n">
        <v>1121.8729</v>
      </c>
      <c r="I483" t="n">
        <v>856.3129</v>
      </c>
      <c r="J483" t="n">
        <v>2889.5754</v>
      </c>
      <c r="K483" t="n">
        <v>2019</v>
      </c>
      <c r="L483" t="n">
        <v>2030</v>
      </c>
      <c r="M483" t="n">
        <v>0.236</v>
      </c>
      <c r="N483" t="n">
        <v>0.1422</v>
      </c>
      <c r="O483" t="n">
        <v>2019</v>
      </c>
      <c r="P483" t="n">
        <v>2040</v>
      </c>
      <c r="Q483" t="n">
        <v>0.4616</v>
      </c>
      <c r="R483" t="n">
        <v>591.6386</v>
      </c>
      <c r="S483" t="n">
        <v>0.00022349</v>
      </c>
      <c r="T483" t="n">
        <v>0.00047787</v>
      </c>
      <c r="U483" t="n">
        <v>5120.1638</v>
      </c>
      <c r="V483" t="inlineStr">
        <is>
          <t>Provided Total Emissions</t>
        </is>
      </c>
      <c r="W483" t="b">
        <v>1</v>
      </c>
      <c r="X483" t="n">
        <v>6343.0449</v>
      </c>
      <c r="Y483" t="n">
        <v>74441.56359999999</v>
      </c>
      <c r="Z483" t="n">
        <v>1222.8811</v>
      </c>
      <c r="AA483" t="n">
        <v>69321.3998</v>
      </c>
      <c r="AB483" t="n">
        <v>0.238836</v>
      </c>
      <c r="AC483" t="n">
        <v>13.538903</v>
      </c>
      <c r="AD483" t="inlineStr">
        <is>
          <t>High</t>
        </is>
      </c>
      <c r="AE483" t="inlineStr">
        <is>
          <t>None</t>
        </is>
      </c>
      <c r="AF483" t="n">
        <v>0.95</v>
      </c>
      <c r="AG483" t="inlineStr">
        <is>
          <t>Valid</t>
        </is>
      </c>
    </row>
    <row r="484">
      <c r="A484" t="inlineStr">
        <is>
          <t>SUP-0049</t>
        </is>
      </c>
      <c r="B484" t="inlineStr">
        <is>
          <t>Logistics Supplier 049</t>
        </is>
      </c>
      <c r="C484" t="inlineStr">
        <is>
          <t>Logistics</t>
        </is>
      </c>
      <c r="D484" t="n">
        <v>2017</v>
      </c>
      <c r="E484" t="n">
        <v>26166523.43</v>
      </c>
      <c r="F484" t="n">
        <v>190695784.05</v>
      </c>
      <c r="G484" t="n">
        <v>2751.2175</v>
      </c>
      <c r="H484" t="n">
        <v>287.1195</v>
      </c>
      <c r="I484" t="n">
        <v>587.1898</v>
      </c>
      <c r="J484" t="n">
        <v>1857.0248</v>
      </c>
      <c r="K484" t="n">
        <v>2019</v>
      </c>
      <c r="L484" t="n">
        <v>2030</v>
      </c>
      <c r="M484" t="n">
        <v>0.236</v>
      </c>
      <c r="N484" t="n">
        <v>0.1422</v>
      </c>
      <c r="O484" t="n">
        <v>2019</v>
      </c>
      <c r="P484" t="n">
        <v>2040</v>
      </c>
      <c r="Q484" t="n">
        <v>0.4616</v>
      </c>
      <c r="R484" t="n">
        <v>591.6386</v>
      </c>
      <c r="S484" t="n">
        <v>0.00022349</v>
      </c>
      <c r="T484" t="n">
        <v>0.00047787</v>
      </c>
      <c r="U484" t="n">
        <v>2751.2175</v>
      </c>
      <c r="V484" t="inlineStr">
        <is>
          <t>Provided Total Emissions</t>
        </is>
      </c>
      <c r="W484" t="b">
        <v>1</v>
      </c>
      <c r="X484" t="n">
        <v>5847.9563</v>
      </c>
      <c r="Y484" t="n">
        <v>91127.79429999999</v>
      </c>
      <c r="Z484" t="n">
        <v>3096.7388</v>
      </c>
      <c r="AA484" t="n">
        <v>88376.5768</v>
      </c>
      <c r="AB484" t="n">
        <v>1.125589</v>
      </c>
      <c r="AC484" t="n">
        <v>32.122715</v>
      </c>
      <c r="AD484" t="inlineStr">
        <is>
          <t>High</t>
        </is>
      </c>
      <c r="AE484" t="inlineStr">
        <is>
          <t>None</t>
        </is>
      </c>
      <c r="AF484" t="n">
        <v>0.95</v>
      </c>
      <c r="AG484" t="inlineStr">
        <is>
          <t>Valid</t>
        </is>
      </c>
    </row>
    <row r="485">
      <c r="A485" t="inlineStr">
        <is>
          <t>SUP-0049</t>
        </is>
      </c>
      <c r="B485" t="inlineStr">
        <is>
          <t>Logistics Supplier 049</t>
        </is>
      </c>
      <c r="C485" t="inlineStr">
        <is>
          <t>Logistics</t>
        </is>
      </c>
      <c r="D485" t="n">
        <v>2018</v>
      </c>
      <c r="E485" t="n">
        <v>25484078.87</v>
      </c>
      <c r="F485" t="n">
        <v>191277908.29</v>
      </c>
      <c r="G485" t="n">
        <v>2803.8057</v>
      </c>
      <c r="H485" t="n">
        <v>482.4047</v>
      </c>
      <c r="I485" t="n">
        <v>540.492</v>
      </c>
      <c r="J485" t="n">
        <v>1702.0519</v>
      </c>
      <c r="K485" t="n">
        <v>2019</v>
      </c>
      <c r="L485" t="n">
        <v>2030</v>
      </c>
      <c r="M485" t="n">
        <v>0.236</v>
      </c>
      <c r="N485" t="n">
        <v>0.1422</v>
      </c>
      <c r="O485" t="n">
        <v>2019</v>
      </c>
      <c r="P485" t="n">
        <v>2040</v>
      </c>
      <c r="Q485" t="n">
        <v>0.4616</v>
      </c>
      <c r="R485" t="n">
        <v>591.6386</v>
      </c>
      <c r="S485" t="n">
        <v>0.00022349</v>
      </c>
      <c r="T485" t="n">
        <v>0.00047787</v>
      </c>
      <c r="U485" t="n">
        <v>2803.8057</v>
      </c>
      <c r="V485" t="inlineStr">
        <is>
          <t>Provided Total Emissions</t>
        </is>
      </c>
      <c r="W485" t="b">
        <v>1</v>
      </c>
      <c r="X485" t="n">
        <v>5695.4368</v>
      </c>
      <c r="Y485" t="n">
        <v>91405.974</v>
      </c>
      <c r="Z485" t="n">
        <v>2891.6311</v>
      </c>
      <c r="AA485" t="n">
        <v>88602.1683</v>
      </c>
      <c r="AB485" t="n">
        <v>1.031324</v>
      </c>
      <c r="AC485" t="n">
        <v>31.600681</v>
      </c>
      <c r="AD485" t="inlineStr">
        <is>
          <t>High</t>
        </is>
      </c>
      <c r="AE485" t="inlineStr">
        <is>
          <t>None</t>
        </is>
      </c>
      <c r="AF485" t="n">
        <v>0.95</v>
      </c>
      <c r="AG485" t="inlineStr">
        <is>
          <t>Valid</t>
        </is>
      </c>
    </row>
    <row r="486">
      <c r="A486" t="inlineStr">
        <is>
          <t>SUP-0049</t>
        </is>
      </c>
      <c r="B486" t="inlineStr">
        <is>
          <t>Logistics Supplier 049</t>
        </is>
      </c>
      <c r="C486" t="inlineStr">
        <is>
          <t>Logistics</t>
        </is>
      </c>
      <c r="D486" t="n">
        <v>2019</v>
      </c>
      <c r="E486" t="n">
        <v>26146183.5</v>
      </c>
      <c r="F486" t="n">
        <v>212510828.33</v>
      </c>
      <c r="G486" t="n">
        <v>3454.0256</v>
      </c>
      <c r="H486" t="n">
        <v>570.7655999999999</v>
      </c>
      <c r="I486" t="n">
        <v>438.0112</v>
      </c>
      <c r="J486" t="n">
        <v>2510.2535</v>
      </c>
      <c r="K486" t="n">
        <v>2019</v>
      </c>
      <c r="L486" t="n">
        <v>2030</v>
      </c>
      <c r="M486" t="n">
        <v>0.236</v>
      </c>
      <c r="N486" t="n">
        <v>0.1422</v>
      </c>
      <c r="O486" t="n">
        <v>2019</v>
      </c>
      <c r="P486" t="n">
        <v>2040</v>
      </c>
      <c r="Q486" t="n">
        <v>0.4616</v>
      </c>
      <c r="R486" t="n">
        <v>591.6386</v>
      </c>
      <c r="S486" t="n">
        <v>0.00022349</v>
      </c>
      <c r="T486" t="n">
        <v>0.00047787</v>
      </c>
      <c r="U486" t="n">
        <v>3454.0256</v>
      </c>
      <c r="V486" t="inlineStr">
        <is>
          <t>Provided Total Emissions</t>
        </is>
      </c>
      <c r="W486" t="b">
        <v>1</v>
      </c>
      <c r="X486" t="n">
        <v>5843.4106</v>
      </c>
      <c r="Y486" t="n">
        <v>101552.5495</v>
      </c>
      <c r="Z486" t="n">
        <v>2389.385</v>
      </c>
      <c r="AA486" t="n">
        <v>98098.5239</v>
      </c>
      <c r="AB486" t="n">
        <v>0.691768</v>
      </c>
      <c r="AC486" t="n">
        <v>28.401215</v>
      </c>
      <c r="AD486" t="inlineStr">
        <is>
          <t>High</t>
        </is>
      </c>
      <c r="AE486" t="inlineStr">
        <is>
          <t>None</t>
        </is>
      </c>
      <c r="AF486" t="n">
        <v>0.95</v>
      </c>
      <c r="AG486" t="inlineStr">
        <is>
          <t>Valid</t>
        </is>
      </c>
    </row>
    <row r="487">
      <c r="A487" t="inlineStr">
        <is>
          <t>SUP-0049</t>
        </is>
      </c>
      <c r="B487" t="inlineStr">
        <is>
          <t>Logistics Supplier 049</t>
        </is>
      </c>
      <c r="C487" t="inlineStr">
        <is>
          <t>Logistics</t>
        </is>
      </c>
      <c r="D487" t="n">
        <v>2020</v>
      </c>
      <c r="E487" t="n">
        <v>27304231.05</v>
      </c>
      <c r="F487" t="n">
        <v>186325464.96</v>
      </c>
      <c r="G487" t="n">
        <v>3603.0712</v>
      </c>
      <c r="H487" t="n">
        <v>811.6507</v>
      </c>
      <c r="I487" t="n">
        <v>496.9414</v>
      </c>
      <c r="J487" t="n">
        <v>2114.5396</v>
      </c>
      <c r="K487" t="n">
        <v>2019</v>
      </c>
      <c r="L487" t="n">
        <v>2030</v>
      </c>
      <c r="M487" t="n">
        <v>0.236</v>
      </c>
      <c r="N487" t="n">
        <v>0.1422</v>
      </c>
      <c r="O487" t="n">
        <v>2019</v>
      </c>
      <c r="P487" t="n">
        <v>2040</v>
      </c>
      <c r="Q487" t="n">
        <v>0.4616</v>
      </c>
      <c r="R487" t="n">
        <v>591.6386</v>
      </c>
      <c r="S487" t="n">
        <v>0.00022349</v>
      </c>
      <c r="T487" t="n">
        <v>0.00047787</v>
      </c>
      <c r="U487" t="n">
        <v>3603.0712</v>
      </c>
      <c r="V487" t="inlineStr">
        <is>
          <t>Provided Total Emissions</t>
        </is>
      </c>
      <c r="W487" t="b">
        <v>1</v>
      </c>
      <c r="X487" t="n">
        <v>6102.2226</v>
      </c>
      <c r="Y487" t="n">
        <v>89039.3499</v>
      </c>
      <c r="Z487" t="n">
        <v>2499.1514</v>
      </c>
      <c r="AA487" t="n">
        <v>85436.2787</v>
      </c>
      <c r="AB487" t="n">
        <v>0.693617</v>
      </c>
      <c r="AC487" t="n">
        <v>23.712071</v>
      </c>
      <c r="AD487" t="inlineStr">
        <is>
          <t>High</t>
        </is>
      </c>
      <c r="AE487" t="inlineStr">
        <is>
          <t>None</t>
        </is>
      </c>
      <c r="AF487" t="n">
        <v>0.95</v>
      </c>
      <c r="AG487" t="inlineStr">
        <is>
          <t>Valid</t>
        </is>
      </c>
    </row>
    <row r="488">
      <c r="A488" t="inlineStr">
        <is>
          <t>SUP-0049</t>
        </is>
      </c>
      <c r="B488" t="inlineStr">
        <is>
          <t>Logistics Supplier 049</t>
        </is>
      </c>
      <c r="C488" t="inlineStr">
        <is>
          <t>Logistics</t>
        </is>
      </c>
      <c r="D488" t="n">
        <v>2021</v>
      </c>
      <c r="E488" t="n">
        <v>28434249.01</v>
      </c>
      <c r="F488" t="n">
        <v>206949935.98</v>
      </c>
      <c r="G488" t="n">
        <v>4392.9269</v>
      </c>
      <c r="H488" t="n">
        <v>654.5833</v>
      </c>
      <c r="I488" t="n">
        <v>676.4708000000001</v>
      </c>
      <c r="J488" t="n">
        <v>2903.8948</v>
      </c>
      <c r="K488" t="n">
        <v>2019</v>
      </c>
      <c r="L488" t="n">
        <v>2030</v>
      </c>
      <c r="M488" t="n">
        <v>0.236</v>
      </c>
      <c r="N488" t="n">
        <v>0.1422</v>
      </c>
      <c r="O488" t="n">
        <v>2019</v>
      </c>
      <c r="P488" t="n">
        <v>2040</v>
      </c>
      <c r="Q488" t="n">
        <v>0.4616</v>
      </c>
      <c r="R488" t="n">
        <v>591.6386</v>
      </c>
      <c r="S488" t="n">
        <v>0.00022349</v>
      </c>
      <c r="T488" t="n">
        <v>0.00047787</v>
      </c>
      <c r="U488" t="n">
        <v>4392.9269</v>
      </c>
      <c r="V488" t="inlineStr">
        <is>
          <t>Provided Total Emissions</t>
        </is>
      </c>
      <c r="W488" t="b">
        <v>1</v>
      </c>
      <c r="X488" t="n">
        <v>6354.7703</v>
      </c>
      <c r="Y488" t="n">
        <v>98895.16590000001</v>
      </c>
      <c r="Z488" t="n">
        <v>1961.8434</v>
      </c>
      <c r="AA488" t="n">
        <v>94502.239</v>
      </c>
      <c r="AB488" t="n">
        <v>0.446591</v>
      </c>
      <c r="AC488" t="n">
        <v>21.512363</v>
      </c>
      <c r="AD488" t="inlineStr">
        <is>
          <t>High</t>
        </is>
      </c>
      <c r="AE488" t="inlineStr">
        <is>
          <t>None</t>
        </is>
      </c>
      <c r="AF488" t="n">
        <v>0.95</v>
      </c>
      <c r="AG488" t="inlineStr">
        <is>
          <t>Valid</t>
        </is>
      </c>
    </row>
    <row r="489">
      <c r="A489" t="inlineStr">
        <is>
          <t>SUP-0049</t>
        </is>
      </c>
      <c r="B489" t="inlineStr">
        <is>
          <t>Logistics Supplier 049</t>
        </is>
      </c>
      <c r="C489" t="inlineStr">
        <is>
          <t>Logistics</t>
        </is>
      </c>
      <c r="D489" t="n">
        <v>2022</v>
      </c>
      <c r="E489" t="n">
        <v>25108682.31</v>
      </c>
      <c r="F489" t="n">
        <v>276868795.36</v>
      </c>
      <c r="G489" t="n">
        <v>2712.7996</v>
      </c>
      <c r="H489" t="n">
        <v>670.0629</v>
      </c>
      <c r="I489" t="n">
        <v>491.776</v>
      </c>
      <c r="J489" t="n">
        <v>1650.4128</v>
      </c>
      <c r="K489" t="n">
        <v>2019</v>
      </c>
      <c r="L489" t="n">
        <v>2030</v>
      </c>
      <c r="M489" t="n">
        <v>0.236</v>
      </c>
      <c r="N489" t="n">
        <v>0.1422</v>
      </c>
      <c r="O489" t="n">
        <v>2019</v>
      </c>
      <c r="P489" t="n">
        <v>2040</v>
      </c>
      <c r="Q489" t="n">
        <v>0.4616</v>
      </c>
      <c r="R489" t="n">
        <v>591.6386</v>
      </c>
      <c r="S489" t="n">
        <v>0.00022349</v>
      </c>
      <c r="T489" t="n">
        <v>0.00047787</v>
      </c>
      <c r="U489" t="n">
        <v>2712.7996</v>
      </c>
      <c r="V489" t="inlineStr">
        <is>
          <t>Provided Total Emissions</t>
        </is>
      </c>
      <c r="W489" t="b">
        <v>1</v>
      </c>
      <c r="X489" t="n">
        <v>5611.5394</v>
      </c>
      <c r="Y489" t="n">
        <v>132307.2912</v>
      </c>
      <c r="Z489" t="n">
        <v>2898.7398</v>
      </c>
      <c r="AA489" t="n">
        <v>129594.4916</v>
      </c>
      <c r="AB489" t="n">
        <v>1.068542</v>
      </c>
      <c r="AC489" t="n">
        <v>47.771495</v>
      </c>
      <c r="AD489" t="inlineStr">
        <is>
          <t>High</t>
        </is>
      </c>
      <c r="AE489" t="inlineStr">
        <is>
          <t>None</t>
        </is>
      </c>
      <c r="AF489" t="n">
        <v>0.95</v>
      </c>
      <c r="AG489" t="inlineStr">
        <is>
          <t>Valid</t>
        </is>
      </c>
    </row>
    <row r="490">
      <c r="A490" t="inlineStr">
        <is>
          <t>SUP-0049</t>
        </is>
      </c>
      <c r="B490" t="inlineStr">
        <is>
          <t>Logistics Supplier 049</t>
        </is>
      </c>
      <c r="C490" t="inlineStr">
        <is>
          <t>Logistics</t>
        </is>
      </c>
      <c r="D490" t="n">
        <v>2023</v>
      </c>
      <c r="E490" t="n">
        <v>23417466.6</v>
      </c>
      <c r="F490" t="n">
        <v>198140798.34</v>
      </c>
      <c r="G490" t="n">
        <v>2983.1812</v>
      </c>
      <c r="H490" t="n">
        <v>340.5265</v>
      </c>
      <c r="I490" t="n">
        <v>355.2558</v>
      </c>
      <c r="J490" t="n">
        <v>2296.5185</v>
      </c>
      <c r="K490" t="n">
        <v>2019</v>
      </c>
      <c r="L490" t="n">
        <v>2030</v>
      </c>
      <c r="M490" t="n">
        <v>0.236</v>
      </c>
      <c r="N490" t="n">
        <v>0.1422</v>
      </c>
      <c r="O490" t="n">
        <v>2019</v>
      </c>
      <c r="P490" t="n">
        <v>2040</v>
      </c>
      <c r="Q490" t="n">
        <v>0.4616</v>
      </c>
      <c r="R490" t="n">
        <v>591.6386</v>
      </c>
      <c r="S490" t="n">
        <v>0.00022349</v>
      </c>
      <c r="T490" t="n">
        <v>0.00047787</v>
      </c>
      <c r="U490" t="n">
        <v>2983.1812</v>
      </c>
      <c r="V490" t="inlineStr">
        <is>
          <t>Provided Total Emissions</t>
        </is>
      </c>
      <c r="W490" t="b">
        <v>1</v>
      </c>
      <c r="X490" t="n">
        <v>5233.5696</v>
      </c>
      <c r="Y490" t="n">
        <v>94685.5433</v>
      </c>
      <c r="Z490" t="n">
        <v>2250.3884</v>
      </c>
      <c r="AA490" t="n">
        <v>91702.3621</v>
      </c>
      <c r="AB490" t="n">
        <v>0.754359</v>
      </c>
      <c r="AC490" t="n">
        <v>30.739789</v>
      </c>
      <c r="AD490" t="inlineStr">
        <is>
          <t>High</t>
        </is>
      </c>
      <c r="AE490" t="inlineStr">
        <is>
          <t>None</t>
        </is>
      </c>
      <c r="AF490" t="n">
        <v>0.95</v>
      </c>
      <c r="AG490" t="inlineStr">
        <is>
          <t>Valid</t>
        </is>
      </c>
    </row>
    <row r="491">
      <c r="A491" t="inlineStr">
        <is>
          <t>SUP-0049</t>
        </is>
      </c>
      <c r="B491" t="inlineStr">
        <is>
          <t>Logistics Supplier 049</t>
        </is>
      </c>
      <c r="C491" t="inlineStr">
        <is>
          <t>Logistics</t>
        </is>
      </c>
      <c r="D491" t="n">
        <v>2024</v>
      </c>
      <c r="E491" t="n">
        <v>26134542.66</v>
      </c>
      <c r="F491" t="n">
        <v>253220040.05</v>
      </c>
      <c r="G491" t="n">
        <v>1693.5044</v>
      </c>
      <c r="H491" t="n">
        <v>390.5338</v>
      </c>
      <c r="I491" t="n">
        <v>375.4377</v>
      </c>
      <c r="J491" t="n">
        <v>937.9883</v>
      </c>
      <c r="K491" t="n">
        <v>2019</v>
      </c>
      <c r="L491" t="n">
        <v>2030</v>
      </c>
      <c r="M491" t="n">
        <v>0.236</v>
      </c>
      <c r="N491" t="n">
        <v>0.1422</v>
      </c>
      <c r="O491" t="n">
        <v>2019</v>
      </c>
      <c r="P491" t="n">
        <v>2040</v>
      </c>
      <c r="Q491" t="n">
        <v>0.4616</v>
      </c>
      <c r="R491" t="n">
        <v>591.6386</v>
      </c>
      <c r="S491" t="n">
        <v>0.00022349</v>
      </c>
      <c r="T491" t="n">
        <v>0.00047787</v>
      </c>
      <c r="U491" t="n">
        <v>1693.5044</v>
      </c>
      <c r="V491" t="inlineStr">
        <is>
          <t>Provided Total Emissions</t>
        </is>
      </c>
      <c r="W491" t="b">
        <v>1</v>
      </c>
      <c r="X491" t="n">
        <v>5840.8089</v>
      </c>
      <c r="Y491" t="n">
        <v>121006.2605</v>
      </c>
      <c r="Z491" t="n">
        <v>4147.3045</v>
      </c>
      <c r="AA491" t="n">
        <v>119312.7561</v>
      </c>
      <c r="AB491" t="n">
        <v>2.448948</v>
      </c>
      <c r="AC491" t="n">
        <v>70.453172</v>
      </c>
      <c r="AD491" t="inlineStr">
        <is>
          <t>High</t>
        </is>
      </c>
      <c r="AE491" t="inlineStr">
        <is>
          <t>None</t>
        </is>
      </c>
      <c r="AF491" t="n">
        <v>0.95</v>
      </c>
      <c r="AG491" t="inlineStr">
        <is>
          <t>Valid</t>
        </is>
      </c>
    </row>
    <row r="492">
      <c r="A492" t="inlineStr">
        <is>
          <t>SUP-0050</t>
        </is>
      </c>
      <c r="B492" t="inlineStr">
        <is>
          <t>Electronics Supplier 050</t>
        </is>
      </c>
      <c r="C492" t="inlineStr">
        <is>
          <t>Electronics</t>
        </is>
      </c>
      <c r="D492" t="n">
        <v>2015</v>
      </c>
      <c r="E492" t="n">
        <v>20795137.9</v>
      </c>
      <c r="F492" t="n">
        <v>107954875.96</v>
      </c>
      <c r="G492" t="n">
        <v>15925.9302</v>
      </c>
      <c r="H492" t="n">
        <v>3110.3208</v>
      </c>
      <c r="I492" t="n">
        <v>1597.6165</v>
      </c>
      <c r="J492" t="n">
        <v>10159.6303</v>
      </c>
      <c r="K492" t="inlineStr"/>
      <c r="L492" t="inlineStr"/>
      <c r="M492" t="inlineStr"/>
      <c r="N492" t="inlineStr"/>
      <c r="O492" t="n">
        <v>2018</v>
      </c>
      <c r="P492" t="n">
        <v>2040</v>
      </c>
      <c r="Q492" t="n">
        <v>0.3424</v>
      </c>
      <c r="R492" t="n">
        <v>635.1588</v>
      </c>
      <c r="S492" t="n">
        <v>0.00086105</v>
      </c>
      <c r="T492" t="n">
        <v>0.00013947</v>
      </c>
      <c r="U492" t="n">
        <v>15925.9302</v>
      </c>
      <c r="V492" t="inlineStr">
        <is>
          <t>Provided Total Emissions</t>
        </is>
      </c>
      <c r="W492" t="b">
        <v>1</v>
      </c>
      <c r="X492" t="n">
        <v>17905.6535</v>
      </c>
      <c r="Y492" t="n">
        <v>15056.4666</v>
      </c>
      <c r="Z492" t="n">
        <v>1979.7233</v>
      </c>
      <c r="AA492" t="n">
        <v>-869.4636</v>
      </c>
      <c r="AB492" t="n">
        <v>0.124308</v>
      </c>
      <c r="AC492" t="n">
        <v>-0.054594</v>
      </c>
      <c r="AD492" t="inlineStr">
        <is>
          <t>High</t>
        </is>
      </c>
      <c r="AE492" t="inlineStr">
        <is>
          <t>None</t>
        </is>
      </c>
      <c r="AF492" t="n">
        <v>0.95</v>
      </c>
      <c r="AG492" t="inlineStr">
        <is>
          <t>Valid</t>
        </is>
      </c>
    </row>
    <row r="493">
      <c r="A493" t="inlineStr">
        <is>
          <t>SUP-0050</t>
        </is>
      </c>
      <c r="B493" t="inlineStr">
        <is>
          <t>Electronics Supplier 050</t>
        </is>
      </c>
      <c r="C493" t="inlineStr">
        <is>
          <t>Electronics</t>
        </is>
      </c>
      <c r="D493" t="n">
        <v>2016</v>
      </c>
      <c r="E493" t="n">
        <v>20724332.35</v>
      </c>
      <c r="F493" t="n">
        <v>89854433.56999999</v>
      </c>
      <c r="G493" t="n">
        <v>20295.228</v>
      </c>
      <c r="H493" t="n">
        <v>2319.8601</v>
      </c>
      <c r="I493" t="n">
        <v>2768.2121</v>
      </c>
      <c r="J493" t="n">
        <v>15388.3294</v>
      </c>
      <c r="K493" t="inlineStr"/>
      <c r="L493" t="inlineStr"/>
      <c r="M493" t="inlineStr"/>
      <c r="N493" t="inlineStr"/>
      <c r="O493" t="n">
        <v>2018</v>
      </c>
      <c r="P493" t="n">
        <v>2040</v>
      </c>
      <c r="Q493" t="n">
        <v>0.3424</v>
      </c>
      <c r="R493" t="n">
        <v>635.1588</v>
      </c>
      <c r="S493" t="n">
        <v>0.00086105</v>
      </c>
      <c r="T493" t="n">
        <v>0.00013947</v>
      </c>
      <c r="U493" t="n">
        <v>20295.228</v>
      </c>
      <c r="V493" t="inlineStr">
        <is>
          <t>Provided Total Emissions</t>
        </is>
      </c>
      <c r="W493" t="b">
        <v>1</v>
      </c>
      <c r="X493" t="n">
        <v>17844.6864</v>
      </c>
      <c r="Y493" t="n">
        <v>12531.9979</v>
      </c>
      <c r="Z493" t="n">
        <v>-2450.5416</v>
      </c>
      <c r="AA493" t="n">
        <v>-7763.2301</v>
      </c>
      <c r="AB493" t="n">
        <v>-0.120745</v>
      </c>
      <c r="AC493" t="n">
        <v>-0.382515</v>
      </c>
      <c r="AD493" t="inlineStr">
        <is>
          <t>High</t>
        </is>
      </c>
      <c r="AE493" t="inlineStr">
        <is>
          <t>None</t>
        </is>
      </c>
      <c r="AF493" t="n">
        <v>0.95</v>
      </c>
      <c r="AG493" t="inlineStr">
        <is>
          <t>Valid</t>
        </is>
      </c>
    </row>
    <row r="494">
      <c r="A494" t="inlineStr">
        <is>
          <t>SUP-0050</t>
        </is>
      </c>
      <c r="B494" t="inlineStr">
        <is>
          <t>Electronics Supplier 050</t>
        </is>
      </c>
      <c r="C494" t="inlineStr">
        <is>
          <t>Electronics</t>
        </is>
      </c>
      <c r="D494" t="n">
        <v>2017</v>
      </c>
      <c r="E494" t="n">
        <v>22994668.96</v>
      </c>
      <c r="F494" t="n">
        <v>127677953.89</v>
      </c>
      <c r="G494" t="n">
        <v>16936.6704</v>
      </c>
      <c r="H494" t="n">
        <v>2882.6136</v>
      </c>
      <c r="I494" t="n">
        <v>1094.3562</v>
      </c>
      <c r="J494" t="n">
        <v>12355.7846</v>
      </c>
      <c r="K494" t="inlineStr"/>
      <c r="L494" t="inlineStr"/>
      <c r="M494" t="inlineStr"/>
      <c r="N494" t="inlineStr"/>
      <c r="O494" t="n">
        <v>2018</v>
      </c>
      <c r="P494" t="n">
        <v>2040</v>
      </c>
      <c r="Q494" t="n">
        <v>0.3424</v>
      </c>
      <c r="R494" t="n">
        <v>635.1588</v>
      </c>
      <c r="S494" t="n">
        <v>0.00086105</v>
      </c>
      <c r="T494" t="n">
        <v>0.00013947</v>
      </c>
      <c r="U494" t="n">
        <v>16936.6704</v>
      </c>
      <c r="V494" t="inlineStr">
        <is>
          <t>Provided Total Emissions</t>
        </is>
      </c>
      <c r="W494" t="b">
        <v>1</v>
      </c>
      <c r="X494" t="n">
        <v>19799.5597</v>
      </c>
      <c r="Y494" t="n">
        <v>17807.2442</v>
      </c>
      <c r="Z494" t="n">
        <v>2862.8893</v>
      </c>
      <c r="AA494" t="n">
        <v>870.5738</v>
      </c>
      <c r="AB494" t="n">
        <v>0.169035</v>
      </c>
      <c r="AC494" t="n">
        <v>0.051402</v>
      </c>
      <c r="AD494" t="inlineStr">
        <is>
          <t>High</t>
        </is>
      </c>
      <c r="AE494" t="inlineStr">
        <is>
          <t>None</t>
        </is>
      </c>
      <c r="AF494" t="n">
        <v>0.95</v>
      </c>
      <c r="AG494" t="inlineStr">
        <is>
          <t>Valid</t>
        </is>
      </c>
    </row>
    <row r="495">
      <c r="A495" t="inlineStr">
        <is>
          <t>SUP-0050</t>
        </is>
      </c>
      <c r="B495" t="inlineStr">
        <is>
          <t>Electronics Supplier 050</t>
        </is>
      </c>
      <c r="C495" t="inlineStr">
        <is>
          <t>Electronics</t>
        </is>
      </c>
      <c r="D495" t="n">
        <v>2018</v>
      </c>
      <c r="E495" t="n">
        <v>21284640.41</v>
      </c>
      <c r="F495" t="n">
        <v>129930148.54</v>
      </c>
      <c r="G495" t="n">
        <v>16724.4073</v>
      </c>
      <c r="H495" t="n">
        <v>1315.1911</v>
      </c>
      <c r="I495" t="n">
        <v>3386.7716</v>
      </c>
      <c r="J495" t="n">
        <v>12721.8956</v>
      </c>
      <c r="K495" t="inlineStr"/>
      <c r="L495" t="inlineStr"/>
      <c r="M495" t="inlineStr"/>
      <c r="N495" t="inlineStr"/>
      <c r="O495" t="n">
        <v>2018</v>
      </c>
      <c r="P495" t="n">
        <v>2040</v>
      </c>
      <c r="Q495" t="n">
        <v>0.3424</v>
      </c>
      <c r="R495" t="n">
        <v>635.1588</v>
      </c>
      <c r="S495" t="n">
        <v>0.00086105</v>
      </c>
      <c r="T495" t="n">
        <v>0.00013947</v>
      </c>
      <c r="U495" t="n">
        <v>16724.4073</v>
      </c>
      <c r="V495" t="inlineStr">
        <is>
          <t>Provided Total Emissions</t>
        </is>
      </c>
      <c r="W495" t="b">
        <v>1</v>
      </c>
      <c r="X495" t="n">
        <v>18327.1396</v>
      </c>
      <c r="Y495" t="n">
        <v>18121.3578</v>
      </c>
      <c r="Z495" t="n">
        <v>1602.7323</v>
      </c>
      <c r="AA495" t="n">
        <v>1396.9505</v>
      </c>
      <c r="AB495" t="n">
        <v>0.095832</v>
      </c>
      <c r="AC495" t="n">
        <v>0.08352800000000001</v>
      </c>
      <c r="AD495" t="inlineStr">
        <is>
          <t>High</t>
        </is>
      </c>
      <c r="AE495" t="inlineStr">
        <is>
          <t>None</t>
        </is>
      </c>
      <c r="AF495" t="n">
        <v>0.95</v>
      </c>
      <c r="AG495" t="inlineStr">
        <is>
          <t>Valid</t>
        </is>
      </c>
    </row>
    <row r="496">
      <c r="A496" t="inlineStr">
        <is>
          <t>SUP-0050</t>
        </is>
      </c>
      <c r="B496" t="inlineStr">
        <is>
          <t>Electronics Supplier 050</t>
        </is>
      </c>
      <c r="C496" t="inlineStr">
        <is>
          <t>Electronics</t>
        </is>
      </c>
      <c r="D496" t="n">
        <v>2019</v>
      </c>
      <c r="E496" t="n">
        <v>23058301.52</v>
      </c>
      <c r="F496" t="n">
        <v>143937983.25</v>
      </c>
      <c r="G496" t="n">
        <v>19288.0011</v>
      </c>
      <c r="H496" t="n">
        <v>3358.5902</v>
      </c>
      <c r="I496" t="n">
        <v>4026.092</v>
      </c>
      <c r="J496" t="n">
        <v>12313.081</v>
      </c>
      <c r="K496" t="inlineStr"/>
      <c r="L496" t="inlineStr"/>
      <c r="M496" t="inlineStr"/>
      <c r="N496" t="inlineStr"/>
      <c r="O496" t="n">
        <v>2018</v>
      </c>
      <c r="P496" t="n">
        <v>2040</v>
      </c>
      <c r="Q496" t="n">
        <v>0.3424</v>
      </c>
      <c r="R496" t="n">
        <v>635.1588</v>
      </c>
      <c r="S496" t="n">
        <v>0.00086105</v>
      </c>
      <c r="T496" t="n">
        <v>0.00013947</v>
      </c>
      <c r="U496" t="n">
        <v>19288.0011</v>
      </c>
      <c r="V496" t="inlineStr">
        <is>
          <t>Provided Total Emissions</t>
        </is>
      </c>
      <c r="W496" t="b">
        <v>1</v>
      </c>
      <c r="X496" t="n">
        <v>19854.3505</v>
      </c>
      <c r="Y496" t="n">
        <v>20075.0305</v>
      </c>
      <c r="Z496" t="n">
        <v>566.3493999999999</v>
      </c>
      <c r="AA496" t="n">
        <v>787.0294</v>
      </c>
      <c r="AB496" t="n">
        <v>0.029363</v>
      </c>
      <c r="AC496" t="n">
        <v>0.040804</v>
      </c>
      <c r="AD496" t="inlineStr">
        <is>
          <t>High</t>
        </is>
      </c>
      <c r="AE496" t="inlineStr">
        <is>
          <t>None</t>
        </is>
      </c>
      <c r="AF496" t="n">
        <v>0.95</v>
      </c>
      <c r="AG496" t="inlineStr">
        <is>
          <t>Valid</t>
        </is>
      </c>
    </row>
    <row r="497">
      <c r="A497" t="inlineStr">
        <is>
          <t>SUP-0050</t>
        </is>
      </c>
      <c r="B497" t="inlineStr">
        <is>
          <t>Electronics Supplier 050</t>
        </is>
      </c>
      <c r="C497" t="inlineStr">
        <is>
          <t>Electronics</t>
        </is>
      </c>
      <c r="D497" t="n">
        <v>2020</v>
      </c>
      <c r="E497" t="n">
        <v>29576501.84</v>
      </c>
      <c r="F497" t="n">
        <v>147250481.16</v>
      </c>
      <c r="G497" t="n">
        <v>25275.0346</v>
      </c>
      <c r="H497" t="n">
        <v>3460.77</v>
      </c>
      <c r="I497" t="n">
        <v>4081.5543</v>
      </c>
      <c r="J497" t="n">
        <v>18020.0502</v>
      </c>
      <c r="K497" t="inlineStr"/>
      <c r="L497" t="inlineStr"/>
      <c r="M497" t="inlineStr"/>
      <c r="N497" t="inlineStr"/>
      <c r="O497" t="n">
        <v>2018</v>
      </c>
      <c r="P497" t="n">
        <v>2040</v>
      </c>
      <c r="Q497" t="n">
        <v>0.3424</v>
      </c>
      <c r="R497" t="n">
        <v>635.1588</v>
      </c>
      <c r="S497" t="n">
        <v>0.00086105</v>
      </c>
      <c r="T497" t="n">
        <v>0.00013947</v>
      </c>
      <c r="U497" t="n">
        <v>25275.0346</v>
      </c>
      <c r="V497" t="inlineStr">
        <is>
          <t>Provided Total Emissions</t>
        </is>
      </c>
      <c r="W497" t="b">
        <v>1</v>
      </c>
      <c r="X497" t="n">
        <v>25466.8469</v>
      </c>
      <c r="Y497" t="n">
        <v>20537.0246</v>
      </c>
      <c r="Z497" t="n">
        <v>191.8123</v>
      </c>
      <c r="AA497" t="n">
        <v>-4738.01</v>
      </c>
      <c r="AB497" t="n">
        <v>0.007589</v>
      </c>
      <c r="AC497" t="n">
        <v>-0.187458</v>
      </c>
      <c r="AD497" t="inlineStr">
        <is>
          <t>High</t>
        </is>
      </c>
      <c r="AE497" t="inlineStr">
        <is>
          <t>None</t>
        </is>
      </c>
      <c r="AF497" t="n">
        <v>0.95</v>
      </c>
      <c r="AG497" t="inlineStr">
        <is>
          <t>Valid</t>
        </is>
      </c>
    </row>
    <row r="498">
      <c r="A498" t="inlineStr">
        <is>
          <t>SUP-0050</t>
        </is>
      </c>
      <c r="B498" t="inlineStr">
        <is>
          <t>Electronics Supplier 050</t>
        </is>
      </c>
      <c r="C498" t="inlineStr">
        <is>
          <t>Electronics</t>
        </is>
      </c>
      <c r="D498" t="n">
        <v>2021</v>
      </c>
      <c r="E498" t="n">
        <v>25368133.72</v>
      </c>
      <c r="F498" t="n">
        <v>150731172.92</v>
      </c>
      <c r="G498" t="n">
        <v>23312.1615</v>
      </c>
      <c r="H498" t="n">
        <v>4751.8979</v>
      </c>
      <c r="I498" t="n">
        <v>2136.6492</v>
      </c>
      <c r="J498" t="n">
        <v>17116.2143</v>
      </c>
      <c r="K498" t="inlineStr"/>
      <c r="L498" t="inlineStr"/>
      <c r="M498" t="inlineStr"/>
      <c r="N498" t="inlineStr"/>
      <c r="O498" t="n">
        <v>2018</v>
      </c>
      <c r="P498" t="n">
        <v>2040</v>
      </c>
      <c r="Q498" t="n">
        <v>0.3424</v>
      </c>
      <c r="R498" t="n">
        <v>635.1588</v>
      </c>
      <c r="S498" t="n">
        <v>0.00086105</v>
      </c>
      <c r="T498" t="n">
        <v>0.00013947</v>
      </c>
      <c r="U498" t="n">
        <v>23312.1615</v>
      </c>
      <c r="V498" t="inlineStr">
        <is>
          <t>Provided Total Emissions</t>
        </is>
      </c>
      <c r="W498" t="b">
        <v>1</v>
      </c>
      <c r="X498" t="n">
        <v>21843.2315</v>
      </c>
      <c r="Y498" t="n">
        <v>21022.4767</v>
      </c>
      <c r="Z498" t="n">
        <v>-1468.93</v>
      </c>
      <c r="AA498" t="n">
        <v>-2289.6848</v>
      </c>
      <c r="AB498" t="n">
        <v>-0.063011</v>
      </c>
      <c r="AC498" t="n">
        <v>-0.098218</v>
      </c>
      <c r="AD498" t="inlineStr">
        <is>
          <t>High</t>
        </is>
      </c>
      <c r="AE498" t="inlineStr">
        <is>
          <t>None</t>
        </is>
      </c>
      <c r="AF498" t="n">
        <v>0.95</v>
      </c>
      <c r="AG498" t="inlineStr">
        <is>
          <t>Valid</t>
        </is>
      </c>
    </row>
    <row r="499">
      <c r="A499" t="inlineStr">
        <is>
          <t>SUP-0050</t>
        </is>
      </c>
      <c r="B499" t="inlineStr">
        <is>
          <t>Electronics Supplier 050</t>
        </is>
      </c>
      <c r="C499" t="inlineStr">
        <is>
          <t>Electronics</t>
        </is>
      </c>
      <c r="D499" t="n">
        <v>2022</v>
      </c>
      <c r="E499" t="n">
        <v>24314180.13</v>
      </c>
      <c r="F499" t="n">
        <v>167414534.24</v>
      </c>
      <c r="G499" t="n">
        <v>27783.6172</v>
      </c>
      <c r="H499" t="n">
        <v>5212.6755</v>
      </c>
      <c r="I499" t="n">
        <v>2621.0313</v>
      </c>
      <c r="J499" t="n">
        <v>18414.2135</v>
      </c>
      <c r="K499" t="inlineStr"/>
      <c r="L499" t="inlineStr"/>
      <c r="M499" t="inlineStr"/>
      <c r="N499" t="inlineStr"/>
      <c r="O499" t="n">
        <v>2018</v>
      </c>
      <c r="P499" t="n">
        <v>2040</v>
      </c>
      <c r="Q499" t="n">
        <v>0.3424</v>
      </c>
      <c r="R499" t="n">
        <v>635.1588</v>
      </c>
      <c r="S499" t="n">
        <v>0.00086105</v>
      </c>
      <c r="T499" t="n">
        <v>0.00013947</v>
      </c>
      <c r="U499" t="n">
        <v>27783.6172</v>
      </c>
      <c r="V499" t="inlineStr">
        <is>
          <t>Provided Total Emissions</t>
        </is>
      </c>
      <c r="W499" t="b">
        <v>1</v>
      </c>
      <c r="X499" t="n">
        <v>20935.7248</v>
      </c>
      <c r="Y499" t="n">
        <v>23349.3051</v>
      </c>
      <c r="Z499" t="n">
        <v>-6847.8924</v>
      </c>
      <c r="AA499" t="n">
        <v>-4434.3121</v>
      </c>
      <c r="AB499" t="n">
        <v>-0.246472</v>
      </c>
      <c r="AC499" t="n">
        <v>-0.159602</v>
      </c>
      <c r="AD499" t="inlineStr">
        <is>
          <t>High</t>
        </is>
      </c>
      <c r="AE499" t="inlineStr">
        <is>
          <t>None</t>
        </is>
      </c>
      <c r="AF499" t="n">
        <v>0.95</v>
      </c>
      <c r="AG499" t="inlineStr">
        <is>
          <t>Valid</t>
        </is>
      </c>
    </row>
    <row r="500">
      <c r="A500" t="inlineStr">
        <is>
          <t>SUP-0050</t>
        </is>
      </c>
      <c r="B500" t="inlineStr">
        <is>
          <t>Electronics Supplier 050</t>
        </is>
      </c>
      <c r="C500" t="inlineStr">
        <is>
          <t>Electronics</t>
        </is>
      </c>
      <c r="D500" t="n">
        <v>2023</v>
      </c>
      <c r="E500" t="n">
        <v>26697144.48</v>
      </c>
      <c r="F500" t="n">
        <v>164441018.28</v>
      </c>
      <c r="G500" t="n">
        <v>20962.4768</v>
      </c>
      <c r="H500" t="n">
        <v>2639.7217</v>
      </c>
      <c r="I500" t="n">
        <v>1497.1062</v>
      </c>
      <c r="J500" t="n">
        <v>16583.1625</v>
      </c>
      <c r="K500" t="inlineStr"/>
      <c r="L500" t="inlineStr"/>
      <c r="M500" t="inlineStr"/>
      <c r="N500" t="inlineStr"/>
      <c r="O500" t="n">
        <v>2018</v>
      </c>
      <c r="P500" t="n">
        <v>2040</v>
      </c>
      <c r="Q500" t="n">
        <v>0.3424</v>
      </c>
      <c r="R500" t="n">
        <v>635.1588</v>
      </c>
      <c r="S500" t="n">
        <v>0.00086105</v>
      </c>
      <c r="T500" t="n">
        <v>0.00013947</v>
      </c>
      <c r="U500" t="n">
        <v>20962.4768</v>
      </c>
      <c r="V500" t="inlineStr">
        <is>
          <t>Provided Total Emissions</t>
        </is>
      </c>
      <c r="W500" t="b">
        <v>1</v>
      </c>
      <c r="X500" t="n">
        <v>22987.5763</v>
      </c>
      <c r="Y500" t="n">
        <v>22934.5888</v>
      </c>
      <c r="Z500" t="n">
        <v>2025.0995</v>
      </c>
      <c r="AA500" t="n">
        <v>1972.112</v>
      </c>
      <c r="AB500" t="n">
        <v>0.096606</v>
      </c>
      <c r="AC500" t="n">
        <v>0.09407799999999999</v>
      </c>
      <c r="AD500" t="inlineStr">
        <is>
          <t>High</t>
        </is>
      </c>
      <c r="AE500" t="inlineStr">
        <is>
          <t>None</t>
        </is>
      </c>
      <c r="AF500" t="n">
        <v>0.95</v>
      </c>
      <c r="AG500" t="inlineStr">
        <is>
          <t>Valid</t>
        </is>
      </c>
    </row>
    <row r="501">
      <c r="A501" t="inlineStr">
        <is>
          <t>SUP-0050</t>
        </is>
      </c>
      <c r="B501" t="inlineStr">
        <is>
          <t>Electronics Supplier 050</t>
        </is>
      </c>
      <c r="C501" t="inlineStr">
        <is>
          <t>Electronics</t>
        </is>
      </c>
      <c r="D501" t="n">
        <v>2024</v>
      </c>
      <c r="E501" t="n">
        <v>30128796.93</v>
      </c>
      <c r="F501" t="n">
        <v>167804865.66</v>
      </c>
      <c r="G501" t="n">
        <v>26983.1476</v>
      </c>
      <c r="H501" t="n">
        <v>5642.8221</v>
      </c>
      <c r="I501" t="n">
        <v>3907.9537</v>
      </c>
      <c r="J501" t="n">
        <v>16597.9242</v>
      </c>
      <c r="K501" t="inlineStr"/>
      <c r="L501" t="inlineStr"/>
      <c r="M501" t="inlineStr"/>
      <c r="N501" t="inlineStr"/>
      <c r="O501" t="n">
        <v>2018</v>
      </c>
      <c r="P501" t="n">
        <v>2040</v>
      </c>
      <c r="Q501" t="n">
        <v>0.3424</v>
      </c>
      <c r="R501" t="n">
        <v>635.1588</v>
      </c>
      <c r="S501" t="n">
        <v>0.00086105</v>
      </c>
      <c r="T501" t="n">
        <v>0.00013947</v>
      </c>
      <c r="U501" t="n">
        <v>26983.1476</v>
      </c>
      <c r="V501" t="inlineStr">
        <is>
          <t>Provided Total Emissions</t>
        </is>
      </c>
      <c r="W501" t="b">
        <v>1</v>
      </c>
      <c r="X501" t="n">
        <v>25942.4006</v>
      </c>
      <c r="Y501" t="n">
        <v>23403.7446</v>
      </c>
      <c r="Z501" t="n">
        <v>-1040.747</v>
      </c>
      <c r="AA501" t="n">
        <v>-3579.403</v>
      </c>
      <c r="AB501" t="n">
        <v>-0.03857</v>
      </c>
      <c r="AC501" t="n">
        <v>-0.132653</v>
      </c>
      <c r="AD501" t="inlineStr">
        <is>
          <t>High</t>
        </is>
      </c>
      <c r="AE501" t="inlineStr">
        <is>
          <t>None</t>
        </is>
      </c>
      <c r="AF501" t="n">
        <v>0.95</v>
      </c>
      <c r="AG501" t="inlineStr">
        <is>
          <t>Valid</t>
        </is>
      </c>
    </row>
    <row r="502">
      <c r="A502" t="inlineStr">
        <is>
          <t>SUP-0051</t>
        </is>
      </c>
      <c r="B502" t="inlineStr">
        <is>
          <t>Textiles Supplier 051</t>
        </is>
      </c>
      <c r="C502" t="inlineStr">
        <is>
          <t>Textiles</t>
        </is>
      </c>
      <c r="D502" t="n">
        <v>2015</v>
      </c>
      <c r="E502" t="n">
        <v>3843448.55</v>
      </c>
      <c r="F502" t="n">
        <v>16367090.18</v>
      </c>
      <c r="G502" t="n">
        <v>1002.279</v>
      </c>
      <c r="H502" t="n">
        <v>161.6254</v>
      </c>
      <c r="I502" t="n">
        <v>65.6512</v>
      </c>
      <c r="J502" t="n">
        <v>824.1725</v>
      </c>
      <c r="K502" t="n">
        <v>2021</v>
      </c>
      <c r="L502" t="n">
        <v>2035</v>
      </c>
      <c r="M502" t="n">
        <v>0.4466</v>
      </c>
      <c r="N502" t="n">
        <v>0.1676</v>
      </c>
      <c r="O502" t="n">
        <v>2019</v>
      </c>
      <c r="P502" t="n">
        <v>2030</v>
      </c>
      <c r="Q502" t="n">
        <v>0.3171</v>
      </c>
      <c r="R502" t="n">
        <v>401.7335</v>
      </c>
      <c r="S502" t="n">
        <v>0.00029221</v>
      </c>
      <c r="T502" t="n">
        <v>0.00017343</v>
      </c>
      <c r="U502" t="n">
        <v>1002.279</v>
      </c>
      <c r="V502" t="inlineStr">
        <is>
          <t>Provided Total Emissions</t>
        </is>
      </c>
      <c r="W502" t="b">
        <v>1</v>
      </c>
      <c r="X502" t="n">
        <v>1123.0941</v>
      </c>
      <c r="Y502" t="n">
        <v>2838.5444</v>
      </c>
      <c r="Z502" t="n">
        <v>120.8151</v>
      </c>
      <c r="AA502" t="n">
        <v>1836.2654</v>
      </c>
      <c r="AB502" t="n">
        <v>0.12054</v>
      </c>
      <c r="AC502" t="n">
        <v>1.83209</v>
      </c>
      <c r="AD502" t="inlineStr">
        <is>
          <t>High</t>
        </is>
      </c>
      <c r="AE502" t="inlineStr">
        <is>
          <t>None</t>
        </is>
      </c>
      <c r="AF502" t="n">
        <v>0.95</v>
      </c>
      <c r="AG502" t="inlineStr">
        <is>
          <t>Valid</t>
        </is>
      </c>
    </row>
    <row r="503">
      <c r="A503" t="inlineStr">
        <is>
          <t>SUP-0051</t>
        </is>
      </c>
      <c r="B503" t="inlineStr">
        <is>
          <t>Textiles Supplier 051</t>
        </is>
      </c>
      <c r="C503" t="inlineStr">
        <is>
          <t>Textiles</t>
        </is>
      </c>
      <c r="D503" t="n">
        <v>2016</v>
      </c>
      <c r="E503" t="n">
        <v>3747858.91</v>
      </c>
      <c r="F503" t="n">
        <v>18337798.55</v>
      </c>
      <c r="G503" t="n">
        <v>1000.1226</v>
      </c>
      <c r="H503" t="n">
        <v>177.6966</v>
      </c>
      <c r="I503" t="n">
        <v>141.3352</v>
      </c>
      <c r="J503" t="n">
        <v>655.1781</v>
      </c>
      <c r="K503" t="n">
        <v>2021</v>
      </c>
      <c r="L503" t="n">
        <v>2035</v>
      </c>
      <c r="M503" t="n">
        <v>0.4466</v>
      </c>
      <c r="N503" t="n">
        <v>0.1676</v>
      </c>
      <c r="O503" t="n">
        <v>2019</v>
      </c>
      <c r="P503" t="n">
        <v>2030</v>
      </c>
      <c r="Q503" t="n">
        <v>0.3171</v>
      </c>
      <c r="R503" t="n">
        <v>401.7335</v>
      </c>
      <c r="S503" t="n">
        <v>0.00029221</v>
      </c>
      <c r="T503" t="n">
        <v>0.00017343</v>
      </c>
      <c r="U503" t="n">
        <v>1000.1226</v>
      </c>
      <c r="V503" t="inlineStr">
        <is>
          <t>Provided Total Emissions</t>
        </is>
      </c>
      <c r="W503" t="b">
        <v>1</v>
      </c>
      <c r="X503" t="n">
        <v>1095.1619</v>
      </c>
      <c r="Y503" t="n">
        <v>3180.3244</v>
      </c>
      <c r="Z503" t="n">
        <v>95.0393</v>
      </c>
      <c r="AA503" t="n">
        <v>2180.2018</v>
      </c>
      <c r="AB503" t="n">
        <v>0.095028</v>
      </c>
      <c r="AC503" t="n">
        <v>2.179935</v>
      </c>
      <c r="AD503" t="inlineStr">
        <is>
          <t>High</t>
        </is>
      </c>
      <c r="AE503" t="inlineStr">
        <is>
          <t>None</t>
        </is>
      </c>
      <c r="AF503" t="n">
        <v>0.95</v>
      </c>
      <c r="AG503" t="inlineStr">
        <is>
          <t>Valid</t>
        </is>
      </c>
    </row>
    <row r="504">
      <c r="A504" t="inlineStr">
        <is>
          <t>SUP-0051</t>
        </is>
      </c>
      <c r="B504" t="inlineStr">
        <is>
          <t>Textiles Supplier 051</t>
        </is>
      </c>
      <c r="C504" t="inlineStr">
        <is>
          <t>Textiles</t>
        </is>
      </c>
      <c r="D504" t="n">
        <v>2017</v>
      </c>
      <c r="E504" t="n">
        <v>4443257.64</v>
      </c>
      <c r="F504" t="n">
        <v>23142398.76</v>
      </c>
      <c r="G504" t="n">
        <v>1300.6021</v>
      </c>
      <c r="H504" t="n">
        <v>128.974</v>
      </c>
      <c r="I504" t="n">
        <v>219.5341</v>
      </c>
      <c r="J504" t="n">
        <v>970.2135</v>
      </c>
      <c r="K504" t="n">
        <v>2021</v>
      </c>
      <c r="L504" t="n">
        <v>2035</v>
      </c>
      <c r="M504" t="n">
        <v>0.4466</v>
      </c>
      <c r="N504" t="n">
        <v>0.1676</v>
      </c>
      <c r="O504" t="n">
        <v>2019</v>
      </c>
      <c r="P504" t="n">
        <v>2030</v>
      </c>
      <c r="Q504" t="n">
        <v>0.3171</v>
      </c>
      <c r="R504" t="n">
        <v>401.7335</v>
      </c>
      <c r="S504" t="n">
        <v>0.00029221</v>
      </c>
      <c r="T504" t="n">
        <v>0.00017343</v>
      </c>
      <c r="U504" t="n">
        <v>1300.6021</v>
      </c>
      <c r="V504" t="inlineStr">
        <is>
          <t>Provided Total Emissions</t>
        </is>
      </c>
      <c r="W504" t="b">
        <v>1</v>
      </c>
      <c r="X504" t="n">
        <v>1298.3643</v>
      </c>
      <c r="Y504" t="n">
        <v>4013.5862</v>
      </c>
      <c r="Z504" t="n">
        <v>-2.2378</v>
      </c>
      <c r="AA504" t="n">
        <v>2712.9841</v>
      </c>
      <c r="AB504" t="n">
        <v>-0.001721</v>
      </c>
      <c r="AC504" t="n">
        <v>2.085945</v>
      </c>
      <c r="AD504" t="inlineStr">
        <is>
          <t>High</t>
        </is>
      </c>
      <c r="AE504" t="inlineStr">
        <is>
          <t>None</t>
        </is>
      </c>
      <c r="AF504" t="n">
        <v>0.95</v>
      </c>
      <c r="AG504" t="inlineStr">
        <is>
          <t>Valid</t>
        </is>
      </c>
    </row>
    <row r="505">
      <c r="A505" t="inlineStr">
        <is>
          <t>SUP-0051</t>
        </is>
      </c>
      <c r="B505" t="inlineStr">
        <is>
          <t>Textiles Supplier 051</t>
        </is>
      </c>
      <c r="C505" t="inlineStr">
        <is>
          <t>Textiles</t>
        </is>
      </c>
      <c r="D505" t="n">
        <v>2018</v>
      </c>
      <c r="E505" t="n">
        <v>5187878.71</v>
      </c>
      <c r="F505" t="n">
        <v>25884366.25</v>
      </c>
      <c r="G505" t="n">
        <v>1431.4853</v>
      </c>
      <c r="H505" t="n">
        <v>258.5408</v>
      </c>
      <c r="I505" t="n">
        <v>122.8536</v>
      </c>
      <c r="J505" t="n">
        <v>1128.3149</v>
      </c>
      <c r="K505" t="n">
        <v>2021</v>
      </c>
      <c r="L505" t="n">
        <v>2035</v>
      </c>
      <c r="M505" t="n">
        <v>0.4466</v>
      </c>
      <c r="N505" t="n">
        <v>0.1676</v>
      </c>
      <c r="O505" t="n">
        <v>2019</v>
      </c>
      <c r="P505" t="n">
        <v>2030</v>
      </c>
      <c r="Q505" t="n">
        <v>0.3171</v>
      </c>
      <c r="R505" t="n">
        <v>401.7335</v>
      </c>
      <c r="S505" t="n">
        <v>0.00029221</v>
      </c>
      <c r="T505" t="n">
        <v>0.00017343</v>
      </c>
      <c r="U505" t="n">
        <v>1431.4853</v>
      </c>
      <c r="V505" t="inlineStr">
        <is>
          <t>Provided Total Emissions</t>
        </is>
      </c>
      <c r="W505" t="b">
        <v>1</v>
      </c>
      <c r="X505" t="n">
        <v>1515.95</v>
      </c>
      <c r="Y505" t="n">
        <v>4489.1256</v>
      </c>
      <c r="Z505" t="n">
        <v>84.46469999999999</v>
      </c>
      <c r="AA505" t="n">
        <v>3057.6403</v>
      </c>
      <c r="AB505" t="n">
        <v>0.059005</v>
      </c>
      <c r="AC505" t="n">
        <v>2.135991</v>
      </c>
      <c r="AD505" t="inlineStr">
        <is>
          <t>High</t>
        </is>
      </c>
      <c r="AE505" t="inlineStr">
        <is>
          <t>None</t>
        </is>
      </c>
      <c r="AF505" t="n">
        <v>0.95</v>
      </c>
      <c r="AG505" t="inlineStr">
        <is>
          <t>Valid</t>
        </is>
      </c>
    </row>
    <row r="506">
      <c r="A506" t="inlineStr">
        <is>
          <t>SUP-0051</t>
        </is>
      </c>
      <c r="B506" t="inlineStr">
        <is>
          <t>Textiles Supplier 051</t>
        </is>
      </c>
      <c r="C506" t="inlineStr">
        <is>
          <t>Textiles</t>
        </is>
      </c>
      <c r="D506" t="n">
        <v>2019</v>
      </c>
      <c r="E506" t="n">
        <v>5468285.13</v>
      </c>
      <c r="F506" t="n">
        <v>23690121.85</v>
      </c>
      <c r="G506" t="n">
        <v>1820.5137</v>
      </c>
      <c r="H506" t="n">
        <v>406.5727</v>
      </c>
      <c r="I506" t="n">
        <v>300.9163</v>
      </c>
      <c r="J506" t="n">
        <v>998.111</v>
      </c>
      <c r="K506" t="n">
        <v>2021</v>
      </c>
      <c r="L506" t="n">
        <v>2035</v>
      </c>
      <c r="M506" t="n">
        <v>0.4466</v>
      </c>
      <c r="N506" t="n">
        <v>0.1676</v>
      </c>
      <c r="O506" t="n">
        <v>2019</v>
      </c>
      <c r="P506" t="n">
        <v>2030</v>
      </c>
      <c r="Q506" t="n">
        <v>0.3171</v>
      </c>
      <c r="R506" t="n">
        <v>401.7335</v>
      </c>
      <c r="S506" t="n">
        <v>0.00029221</v>
      </c>
      <c r="T506" t="n">
        <v>0.00017343</v>
      </c>
      <c r="U506" t="n">
        <v>1820.5137</v>
      </c>
      <c r="V506" t="inlineStr">
        <is>
          <t>Provided Total Emissions</t>
        </is>
      </c>
      <c r="W506" t="b">
        <v>1</v>
      </c>
      <c r="X506" t="n">
        <v>1597.8876</v>
      </c>
      <c r="Y506" t="n">
        <v>4108.5778</v>
      </c>
      <c r="Z506" t="n">
        <v>-222.6261</v>
      </c>
      <c r="AA506" t="n">
        <v>2288.0641</v>
      </c>
      <c r="AB506" t="n">
        <v>-0.122288</v>
      </c>
      <c r="AC506" t="n">
        <v>1.256823</v>
      </c>
      <c r="AD506" t="inlineStr">
        <is>
          <t>High</t>
        </is>
      </c>
      <c r="AE506" t="inlineStr">
        <is>
          <t>None</t>
        </is>
      </c>
      <c r="AF506" t="n">
        <v>0.95</v>
      </c>
      <c r="AG506" t="inlineStr">
        <is>
          <t>Valid</t>
        </is>
      </c>
    </row>
    <row r="507">
      <c r="A507" t="inlineStr">
        <is>
          <t>SUP-0051</t>
        </is>
      </c>
      <c r="B507" t="inlineStr">
        <is>
          <t>Textiles Supplier 051</t>
        </is>
      </c>
      <c r="C507" t="inlineStr">
        <is>
          <t>Textiles</t>
        </is>
      </c>
      <c r="D507" t="n">
        <v>2020</v>
      </c>
      <c r="E507" t="n">
        <v>4938369.73</v>
      </c>
      <c r="F507" t="n">
        <v>26416229.92</v>
      </c>
      <c r="G507" t="n">
        <v>1524.4904</v>
      </c>
      <c r="H507" t="n">
        <v>395.2428</v>
      </c>
      <c r="I507" t="n">
        <v>290.7353</v>
      </c>
      <c r="J507" t="n">
        <v>765.755</v>
      </c>
      <c r="K507" t="n">
        <v>2021</v>
      </c>
      <c r="L507" t="n">
        <v>2035</v>
      </c>
      <c r="M507" t="n">
        <v>0.4466</v>
      </c>
      <c r="N507" t="n">
        <v>0.1676</v>
      </c>
      <c r="O507" t="n">
        <v>2019</v>
      </c>
      <c r="P507" t="n">
        <v>2030</v>
      </c>
      <c r="Q507" t="n">
        <v>0.3171</v>
      </c>
      <c r="R507" t="n">
        <v>401.7335</v>
      </c>
      <c r="S507" t="n">
        <v>0.00029221</v>
      </c>
      <c r="T507" t="n">
        <v>0.00017343</v>
      </c>
      <c r="U507" t="n">
        <v>1524.4904</v>
      </c>
      <c r="V507" t="inlineStr">
        <is>
          <t>Provided Total Emissions</t>
        </is>
      </c>
      <c r="W507" t="b">
        <v>1</v>
      </c>
      <c r="X507" t="n">
        <v>1443.041</v>
      </c>
      <c r="Y507" t="n">
        <v>4581.3668</v>
      </c>
      <c r="Z507" t="n">
        <v>-81.4494</v>
      </c>
      <c r="AA507" t="n">
        <v>3056.8764</v>
      </c>
      <c r="AB507" t="n">
        <v>-0.053427</v>
      </c>
      <c r="AC507" t="n">
        <v>2.005179</v>
      </c>
      <c r="AD507" t="inlineStr">
        <is>
          <t>High</t>
        </is>
      </c>
      <c r="AE507" t="inlineStr">
        <is>
          <t>None</t>
        </is>
      </c>
      <c r="AF507" t="n">
        <v>0.95</v>
      </c>
      <c r="AG507" t="inlineStr">
        <is>
          <t>Valid</t>
        </is>
      </c>
    </row>
    <row r="508">
      <c r="A508" t="inlineStr">
        <is>
          <t>SUP-0051</t>
        </is>
      </c>
      <c r="B508" t="inlineStr">
        <is>
          <t>Textiles Supplier 051</t>
        </is>
      </c>
      <c r="C508" t="inlineStr">
        <is>
          <t>Textiles</t>
        </is>
      </c>
      <c r="D508" t="n">
        <v>2021</v>
      </c>
      <c r="E508" t="n">
        <v>6352360.79</v>
      </c>
      <c r="F508" t="n">
        <v>29264276.99</v>
      </c>
      <c r="G508" t="n">
        <v>1552.8311</v>
      </c>
      <c r="H508" t="n">
        <v>255.2304</v>
      </c>
      <c r="I508" t="n">
        <v>215.6815</v>
      </c>
      <c r="J508" t="n">
        <v>1118.208</v>
      </c>
      <c r="K508" t="n">
        <v>2021</v>
      </c>
      <c r="L508" t="n">
        <v>2035</v>
      </c>
      <c r="M508" t="n">
        <v>0.4466</v>
      </c>
      <c r="N508" t="n">
        <v>0.1676</v>
      </c>
      <c r="O508" t="n">
        <v>2019</v>
      </c>
      <c r="P508" t="n">
        <v>2030</v>
      </c>
      <c r="Q508" t="n">
        <v>0.3171</v>
      </c>
      <c r="R508" t="n">
        <v>401.7335</v>
      </c>
      <c r="S508" t="n">
        <v>0.00029221</v>
      </c>
      <c r="T508" t="n">
        <v>0.00017343</v>
      </c>
      <c r="U508" t="n">
        <v>1552.8311</v>
      </c>
      <c r="V508" t="inlineStr">
        <is>
          <t>Provided Total Emissions</t>
        </is>
      </c>
      <c r="W508" t="b">
        <v>1</v>
      </c>
      <c r="X508" t="n">
        <v>1856.2233</v>
      </c>
      <c r="Y508" t="n">
        <v>5075.3036</v>
      </c>
      <c r="Z508" t="n">
        <v>303.3922</v>
      </c>
      <c r="AA508" t="n">
        <v>3522.4725</v>
      </c>
      <c r="AB508" t="n">
        <v>0.19538</v>
      </c>
      <c r="AC508" t="n">
        <v>2.26842</v>
      </c>
      <c r="AD508" t="inlineStr">
        <is>
          <t>High</t>
        </is>
      </c>
      <c r="AE508" t="inlineStr">
        <is>
          <t>None</t>
        </is>
      </c>
      <c r="AF508" t="n">
        <v>0.95</v>
      </c>
      <c r="AG508" t="inlineStr">
        <is>
          <t>Valid</t>
        </is>
      </c>
    </row>
    <row r="509">
      <c r="A509" t="inlineStr">
        <is>
          <t>SUP-0051</t>
        </is>
      </c>
      <c r="B509" t="inlineStr">
        <is>
          <t>Textiles Supplier 051</t>
        </is>
      </c>
      <c r="C509" t="inlineStr">
        <is>
          <t>Textiles</t>
        </is>
      </c>
      <c r="D509" t="n">
        <v>2022</v>
      </c>
      <c r="E509" t="n">
        <v>6552006.01</v>
      </c>
      <c r="F509" t="n">
        <v>30581564.64</v>
      </c>
      <c r="G509" t="n">
        <v>1726.5506</v>
      </c>
      <c r="H509" t="n">
        <v>140.7257</v>
      </c>
      <c r="I509" t="n">
        <v>323.2552</v>
      </c>
      <c r="J509" t="n">
        <v>1345.8754</v>
      </c>
      <c r="K509" t="n">
        <v>2021</v>
      </c>
      <c r="L509" t="n">
        <v>2035</v>
      </c>
      <c r="M509" t="n">
        <v>0.4466</v>
      </c>
      <c r="N509" t="n">
        <v>0.1676</v>
      </c>
      <c r="O509" t="n">
        <v>2019</v>
      </c>
      <c r="P509" t="n">
        <v>2030</v>
      </c>
      <c r="Q509" t="n">
        <v>0.3171</v>
      </c>
      <c r="R509" t="n">
        <v>401.7335</v>
      </c>
      <c r="S509" t="n">
        <v>0.00029221</v>
      </c>
      <c r="T509" t="n">
        <v>0.00017343</v>
      </c>
      <c r="U509" t="n">
        <v>1726.5506</v>
      </c>
      <c r="V509" t="inlineStr">
        <is>
          <t>Provided Total Emissions</t>
        </is>
      </c>
      <c r="W509" t="b">
        <v>1</v>
      </c>
      <c r="X509" t="n">
        <v>1914.5617</v>
      </c>
      <c r="Y509" t="n">
        <v>5303.7608</v>
      </c>
      <c r="Z509" t="n">
        <v>188.0111</v>
      </c>
      <c r="AA509" t="n">
        <v>3577.2102</v>
      </c>
      <c r="AB509" t="n">
        <v>0.108894</v>
      </c>
      <c r="AC509" t="n">
        <v>2.071883</v>
      </c>
      <c r="AD509" t="inlineStr">
        <is>
          <t>High</t>
        </is>
      </c>
      <c r="AE509" t="inlineStr">
        <is>
          <t>None</t>
        </is>
      </c>
      <c r="AF509" t="n">
        <v>0.95</v>
      </c>
      <c r="AG509" t="inlineStr">
        <is>
          <t>Valid</t>
        </is>
      </c>
    </row>
    <row r="510">
      <c r="A510" t="inlineStr">
        <is>
          <t>SUP-0051</t>
        </is>
      </c>
      <c r="B510" t="inlineStr">
        <is>
          <t>Textiles Supplier 051</t>
        </is>
      </c>
      <c r="C510" t="inlineStr">
        <is>
          <t>Textiles</t>
        </is>
      </c>
      <c r="D510" t="n">
        <v>2023</v>
      </c>
      <c r="E510" t="n">
        <v>5664971.37</v>
      </c>
      <c r="F510" t="n">
        <v>31272518.87</v>
      </c>
      <c r="G510" t="n">
        <v>1675.0922</v>
      </c>
      <c r="H510" t="n">
        <v>210.4342</v>
      </c>
      <c r="I510" t="n">
        <v>106.0905</v>
      </c>
      <c r="J510" t="n">
        <v>1362.1053</v>
      </c>
      <c r="K510" t="n">
        <v>2021</v>
      </c>
      <c r="L510" t="n">
        <v>2035</v>
      </c>
      <c r="M510" t="n">
        <v>0.4466</v>
      </c>
      <c r="N510" t="n">
        <v>0.1676</v>
      </c>
      <c r="O510" t="n">
        <v>2019</v>
      </c>
      <c r="P510" t="n">
        <v>2030</v>
      </c>
      <c r="Q510" t="n">
        <v>0.3171</v>
      </c>
      <c r="R510" t="n">
        <v>401.7335</v>
      </c>
      <c r="S510" t="n">
        <v>0.00029221</v>
      </c>
      <c r="T510" t="n">
        <v>0.00017343</v>
      </c>
      <c r="U510" t="n">
        <v>1675.0922</v>
      </c>
      <c r="V510" t="inlineStr">
        <is>
          <t>Provided Total Emissions</t>
        </is>
      </c>
      <c r="W510" t="b">
        <v>1</v>
      </c>
      <c r="X510" t="n">
        <v>1655.3613</v>
      </c>
      <c r="Y510" t="n">
        <v>5423.5929</v>
      </c>
      <c r="Z510" t="n">
        <v>-19.7309</v>
      </c>
      <c r="AA510" t="n">
        <v>3748.5007</v>
      </c>
      <c r="AB510" t="n">
        <v>-0.011779</v>
      </c>
      <c r="AC510" t="n">
        <v>2.237788</v>
      </c>
      <c r="AD510" t="inlineStr">
        <is>
          <t>High</t>
        </is>
      </c>
      <c r="AE510" t="inlineStr">
        <is>
          <t>None</t>
        </is>
      </c>
      <c r="AF510" t="n">
        <v>0.95</v>
      </c>
      <c r="AG510" t="inlineStr">
        <is>
          <t>Valid</t>
        </is>
      </c>
    </row>
    <row r="511">
      <c r="A511" t="inlineStr">
        <is>
          <t>SUP-0051</t>
        </is>
      </c>
      <c r="B511" t="inlineStr">
        <is>
          <t>Textiles Supplier 051</t>
        </is>
      </c>
      <c r="C511" t="inlineStr">
        <is>
          <t>Textiles</t>
        </is>
      </c>
      <c r="D511" t="n">
        <v>2024</v>
      </c>
      <c r="E511" t="n">
        <v>6481538.48</v>
      </c>
      <c r="F511" t="n">
        <v>32335832.86</v>
      </c>
      <c r="G511" t="n">
        <v>1500.1231</v>
      </c>
      <c r="H511" t="n">
        <v>270.3479</v>
      </c>
      <c r="I511" t="n">
        <v>170.1741</v>
      </c>
      <c r="J511" t="n">
        <v>1090.4532</v>
      </c>
      <c r="K511" t="n">
        <v>2021</v>
      </c>
      <c r="L511" t="n">
        <v>2035</v>
      </c>
      <c r="M511" t="n">
        <v>0.4466</v>
      </c>
      <c r="N511" t="n">
        <v>0.1676</v>
      </c>
      <c r="O511" t="n">
        <v>2019</v>
      </c>
      <c r="P511" t="n">
        <v>2030</v>
      </c>
      <c r="Q511" t="n">
        <v>0.3171</v>
      </c>
      <c r="R511" t="n">
        <v>401.7335</v>
      </c>
      <c r="S511" t="n">
        <v>0.00029221</v>
      </c>
      <c r="T511" t="n">
        <v>0.00017343</v>
      </c>
      <c r="U511" t="n">
        <v>1500.1231</v>
      </c>
      <c r="V511" t="inlineStr">
        <is>
          <t>Provided Total Emissions</t>
        </is>
      </c>
      <c r="W511" t="b">
        <v>1</v>
      </c>
      <c r="X511" t="n">
        <v>1893.9704</v>
      </c>
      <c r="Y511" t="n">
        <v>5608.0035</v>
      </c>
      <c r="Z511" t="n">
        <v>393.8473</v>
      </c>
      <c r="AA511" t="n">
        <v>4107.8804</v>
      </c>
      <c r="AB511" t="n">
        <v>0.262543</v>
      </c>
      <c r="AC511" t="n">
        <v>2.738362</v>
      </c>
      <c r="AD511" t="inlineStr">
        <is>
          <t>High</t>
        </is>
      </c>
      <c r="AE511" t="inlineStr">
        <is>
          <t>None</t>
        </is>
      </c>
      <c r="AF511" t="n">
        <v>0.95</v>
      </c>
      <c r="AG511" t="inlineStr">
        <is>
          <t>Valid</t>
        </is>
      </c>
    </row>
    <row r="512">
      <c r="A512" t="inlineStr">
        <is>
          <t>SUP-0052</t>
        </is>
      </c>
      <c r="B512" t="inlineStr">
        <is>
          <t>Electronics Supplier 052</t>
        </is>
      </c>
      <c r="C512" t="inlineStr">
        <is>
          <t>Electronics</t>
        </is>
      </c>
      <c r="D512" t="n">
        <v>2015</v>
      </c>
      <c r="E512" t="n">
        <v>3472122.95</v>
      </c>
      <c r="F512" t="n">
        <v>26316758.21</v>
      </c>
      <c r="G512" t="n">
        <v>1548.3883</v>
      </c>
      <c r="H512" t="n">
        <v>160.259</v>
      </c>
      <c r="I512" t="n">
        <v>331.6604</v>
      </c>
      <c r="J512" t="n">
        <v>1207.2059</v>
      </c>
      <c r="K512" t="inlineStr"/>
      <c r="L512" t="inlineStr"/>
      <c r="M512" t="inlineStr"/>
      <c r="N512" t="inlineStr"/>
      <c r="O512" t="n">
        <v>2018</v>
      </c>
      <c r="P512" t="n">
        <v>2040</v>
      </c>
      <c r="Q512" t="n">
        <v>0.3424</v>
      </c>
      <c r="R512" t="n">
        <v>635.1588</v>
      </c>
      <c r="S512" t="n">
        <v>0.00086105</v>
      </c>
      <c r="T512" t="n">
        <v>0.00013947</v>
      </c>
      <c r="U512" t="n">
        <v>1548.3883</v>
      </c>
      <c r="V512" t="inlineStr">
        <is>
          <t>Provided Total Emissions</t>
        </is>
      </c>
      <c r="W512" t="b">
        <v>1</v>
      </c>
      <c r="X512" t="n">
        <v>2989.6715</v>
      </c>
      <c r="Y512" t="n">
        <v>3670.3983</v>
      </c>
      <c r="Z512" t="n">
        <v>1441.2832</v>
      </c>
      <c r="AA512" t="n">
        <v>2122.01</v>
      </c>
      <c r="AB512" t="n">
        <v>0.930828</v>
      </c>
      <c r="AC512" t="n">
        <v>1.370464</v>
      </c>
      <c r="AD512" t="inlineStr">
        <is>
          <t>High</t>
        </is>
      </c>
      <c r="AE512" t="inlineStr">
        <is>
          <t>None</t>
        </is>
      </c>
      <c r="AF512" t="n">
        <v>0.95</v>
      </c>
      <c r="AG512" t="inlineStr">
        <is>
          <t>Valid</t>
        </is>
      </c>
    </row>
    <row r="513">
      <c r="A513" t="inlineStr">
        <is>
          <t>SUP-0052</t>
        </is>
      </c>
      <c r="B513" t="inlineStr">
        <is>
          <t>Electronics Supplier 052</t>
        </is>
      </c>
      <c r="C513" t="inlineStr">
        <is>
          <t>Electronics</t>
        </is>
      </c>
      <c r="D513" t="n">
        <v>2016</v>
      </c>
      <c r="E513" t="n">
        <v>3623047.78</v>
      </c>
      <c r="F513" t="n">
        <v>18087244.93</v>
      </c>
      <c r="G513" t="n">
        <v>2241.0289</v>
      </c>
      <c r="H513" t="n">
        <v>359.2606</v>
      </c>
      <c r="I513" t="n">
        <v>449.2499</v>
      </c>
      <c r="J513" t="n">
        <v>1820.3543</v>
      </c>
      <c r="K513" t="inlineStr"/>
      <c r="L513" t="inlineStr"/>
      <c r="M513" t="inlineStr"/>
      <c r="N513" t="inlineStr"/>
      <c r="O513" t="n">
        <v>2018</v>
      </c>
      <c r="P513" t="n">
        <v>2040</v>
      </c>
      <c r="Q513" t="n">
        <v>0.3424</v>
      </c>
      <c r="R513" t="n">
        <v>635.1588</v>
      </c>
      <c r="S513" t="n">
        <v>0.00086105</v>
      </c>
      <c r="T513" t="n">
        <v>0.00013947</v>
      </c>
      <c r="U513" t="n">
        <v>2241.0289</v>
      </c>
      <c r="V513" t="inlineStr">
        <is>
          <t>Provided Total Emissions</t>
        </is>
      </c>
      <c r="W513" t="b">
        <v>1</v>
      </c>
      <c r="X513" t="n">
        <v>3119.6253</v>
      </c>
      <c r="Y513" t="n">
        <v>2522.6281</v>
      </c>
      <c r="Z513" t="n">
        <v>878.5964</v>
      </c>
      <c r="AA513" t="n">
        <v>281.5992</v>
      </c>
      <c r="AB513" t="n">
        <v>0.39205</v>
      </c>
      <c r="AC513" t="n">
        <v>0.125656</v>
      </c>
      <c r="AD513" t="inlineStr">
        <is>
          <t>High</t>
        </is>
      </c>
      <c r="AE513" t="inlineStr">
        <is>
          <t>None</t>
        </is>
      </c>
      <c r="AF513" t="n">
        <v>0.95</v>
      </c>
      <c r="AG513" t="inlineStr">
        <is>
          <t>Valid</t>
        </is>
      </c>
    </row>
    <row r="514">
      <c r="A514" t="inlineStr">
        <is>
          <t>SUP-0052</t>
        </is>
      </c>
      <c r="B514" t="inlineStr">
        <is>
          <t>Electronics Supplier 052</t>
        </is>
      </c>
      <c r="C514" t="inlineStr">
        <is>
          <t>Electronics</t>
        </is>
      </c>
      <c r="D514" t="n">
        <v>2017</v>
      </c>
      <c r="E514" t="n">
        <v>2859076.61</v>
      </c>
      <c r="F514" t="n">
        <v>26896732.87</v>
      </c>
      <c r="G514" t="n">
        <v>1623.8663</v>
      </c>
      <c r="H514" t="n">
        <v>182.3371</v>
      </c>
      <c r="I514" t="n">
        <v>234.4386</v>
      </c>
      <c r="J514" t="n">
        <v>1273.3668</v>
      </c>
      <c r="K514" t="inlineStr"/>
      <c r="L514" t="inlineStr"/>
      <c r="M514" t="inlineStr"/>
      <c r="N514" t="inlineStr"/>
      <c r="O514" t="n">
        <v>2018</v>
      </c>
      <c r="P514" t="n">
        <v>2040</v>
      </c>
      <c r="Q514" t="n">
        <v>0.3424</v>
      </c>
      <c r="R514" t="n">
        <v>635.1588</v>
      </c>
      <c r="S514" t="n">
        <v>0.00086105</v>
      </c>
      <c r="T514" t="n">
        <v>0.00013947</v>
      </c>
      <c r="U514" t="n">
        <v>1623.8663</v>
      </c>
      <c r="V514" t="inlineStr">
        <is>
          <t>Provided Total Emissions</t>
        </is>
      </c>
      <c r="W514" t="b">
        <v>1</v>
      </c>
      <c r="X514" t="n">
        <v>2461.8079</v>
      </c>
      <c r="Y514" t="n">
        <v>3751.2873</v>
      </c>
      <c r="Z514" t="n">
        <v>837.9416</v>
      </c>
      <c r="AA514" t="n">
        <v>2127.421</v>
      </c>
      <c r="AB514" t="n">
        <v>0.516016</v>
      </c>
      <c r="AC514" t="n">
        <v>1.310096</v>
      </c>
      <c r="AD514" t="inlineStr">
        <is>
          <t>High</t>
        </is>
      </c>
      <c r="AE514" t="inlineStr">
        <is>
          <t>None</t>
        </is>
      </c>
      <c r="AF514" t="n">
        <v>0.95</v>
      </c>
      <c r="AG514" t="inlineStr">
        <is>
          <t>Valid</t>
        </is>
      </c>
    </row>
    <row r="515">
      <c r="A515" t="inlineStr">
        <is>
          <t>SUP-0052</t>
        </is>
      </c>
      <c r="B515" t="inlineStr">
        <is>
          <t>Electronics Supplier 052</t>
        </is>
      </c>
      <c r="C515" t="inlineStr">
        <is>
          <t>Electronics</t>
        </is>
      </c>
      <c r="D515" t="n">
        <v>2018</v>
      </c>
      <c r="E515" t="n">
        <v>3661828.19</v>
      </c>
      <c r="F515" t="n">
        <v>22548335.14</v>
      </c>
      <c r="G515" t="n">
        <v>2706.0524</v>
      </c>
      <c r="H515" t="n">
        <v>530.7162</v>
      </c>
      <c r="I515" t="n">
        <v>196.3814</v>
      </c>
      <c r="J515" t="n">
        <v>2020.2192</v>
      </c>
      <c r="K515" t="inlineStr"/>
      <c r="L515" t="inlineStr"/>
      <c r="M515" t="inlineStr"/>
      <c r="N515" t="inlineStr"/>
      <c r="O515" t="n">
        <v>2018</v>
      </c>
      <c r="P515" t="n">
        <v>2040</v>
      </c>
      <c r="Q515" t="n">
        <v>0.3424</v>
      </c>
      <c r="R515" t="n">
        <v>635.1588</v>
      </c>
      <c r="S515" t="n">
        <v>0.00086105</v>
      </c>
      <c r="T515" t="n">
        <v>0.00013947</v>
      </c>
      <c r="U515" t="n">
        <v>2706.0524</v>
      </c>
      <c r="V515" t="inlineStr">
        <is>
          <t>Provided Total Emissions</t>
        </is>
      </c>
      <c r="W515" t="b">
        <v>1</v>
      </c>
      <c r="X515" t="n">
        <v>3153.0172</v>
      </c>
      <c r="Y515" t="n">
        <v>3144.8163</v>
      </c>
      <c r="Z515" t="n">
        <v>446.9648</v>
      </c>
      <c r="AA515" t="n">
        <v>438.7639</v>
      </c>
      <c r="AB515" t="n">
        <v>0.165172</v>
      </c>
      <c r="AC515" t="n">
        <v>0.162142</v>
      </c>
      <c r="AD515" t="inlineStr">
        <is>
          <t>High</t>
        </is>
      </c>
      <c r="AE515" t="inlineStr">
        <is>
          <t>None</t>
        </is>
      </c>
      <c r="AF515" t="n">
        <v>0.95</v>
      </c>
      <c r="AG515" t="inlineStr">
        <is>
          <t>Valid</t>
        </is>
      </c>
    </row>
    <row r="516">
      <c r="A516" t="inlineStr">
        <is>
          <t>SUP-0052</t>
        </is>
      </c>
      <c r="B516" t="inlineStr">
        <is>
          <t>Electronics Supplier 052</t>
        </is>
      </c>
      <c r="C516" t="inlineStr">
        <is>
          <t>Electronics</t>
        </is>
      </c>
      <c r="D516" t="n">
        <v>2019</v>
      </c>
      <c r="E516" t="n">
        <v>3104599.42</v>
      </c>
      <c r="F516" t="n">
        <v>24171490.72</v>
      </c>
      <c r="G516" t="n">
        <v>2054.4385</v>
      </c>
      <c r="H516" t="n">
        <v>166.7449</v>
      </c>
      <c r="I516" t="n">
        <v>143.6119</v>
      </c>
      <c r="J516" t="n">
        <v>1726.5429</v>
      </c>
      <c r="K516" t="inlineStr"/>
      <c r="L516" t="inlineStr"/>
      <c r="M516" t="inlineStr"/>
      <c r="N516" t="inlineStr"/>
      <c r="O516" t="n">
        <v>2018</v>
      </c>
      <c r="P516" t="n">
        <v>2040</v>
      </c>
      <c r="Q516" t="n">
        <v>0.3424</v>
      </c>
      <c r="R516" t="n">
        <v>635.1588</v>
      </c>
      <c r="S516" t="n">
        <v>0.00086105</v>
      </c>
      <c r="T516" t="n">
        <v>0.00013947</v>
      </c>
      <c r="U516" t="n">
        <v>2054.4385</v>
      </c>
      <c r="V516" t="inlineStr">
        <is>
          <t>Provided Total Emissions</t>
        </is>
      </c>
      <c r="W516" t="b">
        <v>1</v>
      </c>
      <c r="X516" t="n">
        <v>2673.2153</v>
      </c>
      <c r="Y516" t="n">
        <v>3371.1978</v>
      </c>
      <c r="Z516" t="n">
        <v>618.7768</v>
      </c>
      <c r="AA516" t="n">
        <v>1316.7593</v>
      </c>
      <c r="AB516" t="n">
        <v>0.30119</v>
      </c>
      <c r="AC516" t="n">
        <v>0.640934</v>
      </c>
      <c r="AD516" t="inlineStr">
        <is>
          <t>High</t>
        </is>
      </c>
      <c r="AE516" t="inlineStr">
        <is>
          <t>None</t>
        </is>
      </c>
      <c r="AF516" t="n">
        <v>0.95</v>
      </c>
      <c r="AG516" t="inlineStr">
        <is>
          <t>Valid</t>
        </is>
      </c>
    </row>
    <row r="517">
      <c r="A517" t="inlineStr">
        <is>
          <t>SUP-0052</t>
        </is>
      </c>
      <c r="B517" t="inlineStr">
        <is>
          <t>Electronics Supplier 052</t>
        </is>
      </c>
      <c r="C517" t="inlineStr">
        <is>
          <t>Electronics</t>
        </is>
      </c>
      <c r="D517" t="n">
        <v>2020</v>
      </c>
      <c r="E517" t="n">
        <v>3014599.53</v>
      </c>
      <c r="F517" t="n">
        <v>28726586.91</v>
      </c>
      <c r="G517" t="n">
        <v>1140.9934</v>
      </c>
      <c r="H517" t="n">
        <v>168.9751</v>
      </c>
      <c r="I517" t="n">
        <v>203.8388</v>
      </c>
      <c r="J517" t="n">
        <v>859.7547</v>
      </c>
      <c r="K517" t="inlineStr"/>
      <c r="L517" t="inlineStr"/>
      <c r="M517" t="inlineStr"/>
      <c r="N517" t="inlineStr"/>
      <c r="O517" t="n">
        <v>2018</v>
      </c>
      <c r="P517" t="n">
        <v>2040</v>
      </c>
      <c r="Q517" t="n">
        <v>0.3424</v>
      </c>
      <c r="R517" t="n">
        <v>635.1588</v>
      </c>
      <c r="S517" t="n">
        <v>0.00086105</v>
      </c>
      <c r="T517" t="n">
        <v>0.00013947</v>
      </c>
      <c r="U517" t="n">
        <v>1140.9934</v>
      </c>
      <c r="V517" t="inlineStr">
        <is>
          <t>Provided Total Emissions</t>
        </is>
      </c>
      <c r="W517" t="b">
        <v>1</v>
      </c>
      <c r="X517" t="n">
        <v>2595.7209</v>
      </c>
      <c r="Y517" t="n">
        <v>4006.4971</v>
      </c>
      <c r="Z517" t="n">
        <v>1454.7275</v>
      </c>
      <c r="AA517" t="n">
        <v>2865.5037</v>
      </c>
      <c r="AB517" t="n">
        <v>1.274966</v>
      </c>
      <c r="AC517" t="n">
        <v>2.511411</v>
      </c>
      <c r="AD517" t="inlineStr">
        <is>
          <t>High</t>
        </is>
      </c>
      <c r="AE517" t="inlineStr">
        <is>
          <t>None</t>
        </is>
      </c>
      <c r="AF517" t="n">
        <v>0.95</v>
      </c>
      <c r="AG517" t="inlineStr">
        <is>
          <t>Valid</t>
        </is>
      </c>
    </row>
    <row r="518">
      <c r="A518" t="inlineStr">
        <is>
          <t>SUP-0052</t>
        </is>
      </c>
      <c r="B518" t="inlineStr">
        <is>
          <t>Electronics Supplier 052</t>
        </is>
      </c>
      <c r="C518" t="inlineStr">
        <is>
          <t>Electronics</t>
        </is>
      </c>
      <c r="D518" t="n">
        <v>2021</v>
      </c>
      <c r="E518" t="n">
        <v>3035926.46</v>
      </c>
      <c r="F518" t="n">
        <v>24508748.4</v>
      </c>
      <c r="G518" t="n">
        <v>1591.3873</v>
      </c>
      <c r="H518" t="n">
        <v>194.8867</v>
      </c>
      <c r="I518" t="n">
        <v>134.9942</v>
      </c>
      <c r="J518" t="n">
        <v>1204.9709</v>
      </c>
      <c r="K518" t="inlineStr"/>
      <c r="L518" t="inlineStr"/>
      <c r="M518" t="inlineStr"/>
      <c r="N518" t="inlineStr"/>
      <c r="O518" t="n">
        <v>2018</v>
      </c>
      <c r="P518" t="n">
        <v>2040</v>
      </c>
      <c r="Q518" t="n">
        <v>0.3424</v>
      </c>
      <c r="R518" t="n">
        <v>635.1588</v>
      </c>
      <c r="S518" t="n">
        <v>0.00086105</v>
      </c>
      <c r="T518" t="n">
        <v>0.00013947</v>
      </c>
      <c r="U518" t="n">
        <v>1591.3873</v>
      </c>
      <c r="V518" t="inlineStr">
        <is>
          <t>Provided Total Emissions</t>
        </is>
      </c>
      <c r="W518" t="b">
        <v>1</v>
      </c>
      <c r="X518" t="n">
        <v>2614.0845</v>
      </c>
      <c r="Y518" t="n">
        <v>3418.2351</v>
      </c>
      <c r="Z518" t="n">
        <v>1022.6972</v>
      </c>
      <c r="AA518" t="n">
        <v>1826.8478</v>
      </c>
      <c r="AB518" t="n">
        <v>0.642645</v>
      </c>
      <c r="AC518" t="n">
        <v>1.147959</v>
      </c>
      <c r="AD518" t="inlineStr">
        <is>
          <t>High</t>
        </is>
      </c>
      <c r="AE518" t="inlineStr">
        <is>
          <t>None</t>
        </is>
      </c>
      <c r="AF518" t="n">
        <v>0.95</v>
      </c>
      <c r="AG518" t="inlineStr">
        <is>
          <t>Valid</t>
        </is>
      </c>
    </row>
    <row r="519">
      <c r="A519" t="inlineStr">
        <is>
          <t>SUP-0052</t>
        </is>
      </c>
      <c r="B519" t="inlineStr">
        <is>
          <t>Electronics Supplier 052</t>
        </is>
      </c>
      <c r="C519" t="inlineStr">
        <is>
          <t>Electronics</t>
        </is>
      </c>
      <c r="D519" t="n">
        <v>2022</v>
      </c>
      <c r="E519" t="n">
        <v>3093272.85</v>
      </c>
      <c r="F519" t="n">
        <v>23525134.53</v>
      </c>
      <c r="G519" t="n">
        <v>1087.8217</v>
      </c>
      <c r="H519" t="n">
        <v>268.5471</v>
      </c>
      <c r="I519" t="n">
        <v>202.9979</v>
      </c>
      <c r="J519" t="n">
        <v>687.9441</v>
      </c>
      <c r="K519" t="inlineStr"/>
      <c r="L519" t="inlineStr"/>
      <c r="M519" t="inlineStr"/>
      <c r="N519" t="inlineStr"/>
      <c r="O519" t="n">
        <v>2018</v>
      </c>
      <c r="P519" t="n">
        <v>2040</v>
      </c>
      <c r="Q519" t="n">
        <v>0.3424</v>
      </c>
      <c r="R519" t="n">
        <v>635.1588</v>
      </c>
      <c r="S519" t="n">
        <v>0.00086105</v>
      </c>
      <c r="T519" t="n">
        <v>0.00013947</v>
      </c>
      <c r="U519" t="n">
        <v>1087.8217</v>
      </c>
      <c r="V519" t="inlineStr">
        <is>
          <t>Provided Total Emissions</t>
        </is>
      </c>
      <c r="W519" t="b">
        <v>1</v>
      </c>
      <c r="X519" t="n">
        <v>2663.4626</v>
      </c>
      <c r="Y519" t="n">
        <v>3281.0505</v>
      </c>
      <c r="Z519" t="n">
        <v>1575.6409</v>
      </c>
      <c r="AA519" t="n">
        <v>2193.2288</v>
      </c>
      <c r="AB519" t="n">
        <v>1.448437</v>
      </c>
      <c r="AC519" t="n">
        <v>2.016166</v>
      </c>
      <c r="AD519" t="inlineStr">
        <is>
          <t>High</t>
        </is>
      </c>
      <c r="AE519" t="inlineStr">
        <is>
          <t>None</t>
        </is>
      </c>
      <c r="AF519" t="n">
        <v>0.95</v>
      </c>
      <c r="AG519" t="inlineStr">
        <is>
          <t>Valid</t>
        </is>
      </c>
    </row>
    <row r="520">
      <c r="A520" t="inlineStr">
        <is>
          <t>SUP-0052</t>
        </is>
      </c>
      <c r="B520" t="inlineStr">
        <is>
          <t>Electronics Supplier 052</t>
        </is>
      </c>
      <c r="C520" t="inlineStr">
        <is>
          <t>Electronics</t>
        </is>
      </c>
      <c r="D520" t="n">
        <v>2023</v>
      </c>
      <c r="E520" t="n">
        <v>2982597.08</v>
      </c>
      <c r="F520" t="n">
        <v>24293955.4</v>
      </c>
      <c r="G520" t="n">
        <v>1558.2705</v>
      </c>
      <c r="H520" t="n">
        <v>325.3519</v>
      </c>
      <c r="I520" t="n">
        <v>241.9644</v>
      </c>
      <c r="J520" t="n">
        <v>984.0862</v>
      </c>
      <c r="K520" t="inlineStr"/>
      <c r="L520" t="inlineStr"/>
      <c r="M520" t="inlineStr"/>
      <c r="N520" t="inlineStr"/>
      <c r="O520" t="n">
        <v>2018</v>
      </c>
      <c r="P520" t="n">
        <v>2040</v>
      </c>
      <c r="Q520" t="n">
        <v>0.3424</v>
      </c>
      <c r="R520" t="n">
        <v>635.1588</v>
      </c>
      <c r="S520" t="n">
        <v>0.00086105</v>
      </c>
      <c r="T520" t="n">
        <v>0.00013947</v>
      </c>
      <c r="U520" t="n">
        <v>1558.2705</v>
      </c>
      <c r="V520" t="inlineStr">
        <is>
          <t>Provided Total Emissions</t>
        </is>
      </c>
      <c r="W520" t="b">
        <v>1</v>
      </c>
      <c r="X520" t="n">
        <v>2568.1652</v>
      </c>
      <c r="Y520" t="n">
        <v>3388.278</v>
      </c>
      <c r="Z520" t="n">
        <v>1009.8947</v>
      </c>
      <c r="AA520" t="n">
        <v>1830.0075</v>
      </c>
      <c r="AB520" t="n">
        <v>0.648087</v>
      </c>
      <c r="AC520" t="n">
        <v>1.174384</v>
      </c>
      <c r="AD520" t="inlineStr">
        <is>
          <t>High</t>
        </is>
      </c>
      <c r="AE520" t="inlineStr">
        <is>
          <t>None</t>
        </is>
      </c>
      <c r="AF520" t="n">
        <v>0.95</v>
      </c>
      <c r="AG520" t="inlineStr">
        <is>
          <t>Valid</t>
        </is>
      </c>
    </row>
    <row r="521">
      <c r="A521" t="inlineStr">
        <is>
          <t>SUP-0052</t>
        </is>
      </c>
      <c r="B521" t="inlineStr">
        <is>
          <t>Electronics Supplier 052</t>
        </is>
      </c>
      <c r="C521" t="inlineStr">
        <is>
          <t>Electronics</t>
        </is>
      </c>
      <c r="D521" t="n">
        <v>2024</v>
      </c>
      <c r="E521" t="n">
        <v>2698892</v>
      </c>
      <c r="F521" t="n">
        <v>16949044.66</v>
      </c>
      <c r="G521" t="n">
        <v>1342.4416</v>
      </c>
      <c r="H521" t="n">
        <v>214.191</v>
      </c>
      <c r="I521" t="n">
        <v>166.702</v>
      </c>
      <c r="J521" t="n">
        <v>880.8258</v>
      </c>
      <c r="K521" t="inlineStr"/>
      <c r="L521" t="inlineStr"/>
      <c r="M521" t="inlineStr"/>
      <c r="N521" t="inlineStr"/>
      <c r="O521" t="n">
        <v>2018</v>
      </c>
      <c r="P521" t="n">
        <v>2040</v>
      </c>
      <c r="Q521" t="n">
        <v>0.3424</v>
      </c>
      <c r="R521" t="n">
        <v>635.1588</v>
      </c>
      <c r="S521" t="n">
        <v>0.00086105</v>
      </c>
      <c r="T521" t="n">
        <v>0.00013947</v>
      </c>
      <c r="U521" t="n">
        <v>1342.4416</v>
      </c>
      <c r="V521" t="inlineStr">
        <is>
          <t>Provided Total Emissions</t>
        </is>
      </c>
      <c r="W521" t="b">
        <v>1</v>
      </c>
      <c r="X521" t="n">
        <v>2323.881</v>
      </c>
      <c r="Y521" t="n">
        <v>2363.8833</v>
      </c>
      <c r="Z521" t="n">
        <v>981.4394</v>
      </c>
      <c r="AA521" t="n">
        <v>1021.4417</v>
      </c>
      <c r="AB521" t="n">
        <v>0.731085</v>
      </c>
      <c r="AC521" t="n">
        <v>0.760883</v>
      </c>
      <c r="AD521" t="inlineStr">
        <is>
          <t>High</t>
        </is>
      </c>
      <c r="AE521" t="inlineStr">
        <is>
          <t>None</t>
        </is>
      </c>
      <c r="AF521" t="n">
        <v>0.95</v>
      </c>
      <c r="AG521" t="inlineStr">
        <is>
          <t>Valid</t>
        </is>
      </c>
    </row>
    <row r="522">
      <c r="A522" t="inlineStr">
        <is>
          <t>SUP-0053</t>
        </is>
      </c>
      <c r="B522" t="inlineStr">
        <is>
          <t>Electronics Supplier 053</t>
        </is>
      </c>
      <c r="C522" t="inlineStr">
        <is>
          <t>Electronics</t>
        </is>
      </c>
      <c r="D522" t="n">
        <v>2015</v>
      </c>
      <c r="E522" t="n">
        <v>9470569.539999999</v>
      </c>
      <c r="F522" t="n">
        <v>31088196.1</v>
      </c>
      <c r="G522" t="n">
        <v>8826.9665</v>
      </c>
      <c r="H522" t="n">
        <v>1901.1209</v>
      </c>
      <c r="I522" t="n">
        <v>866.1514</v>
      </c>
      <c r="J522" t="n">
        <v>6103.4856</v>
      </c>
      <c r="K522" t="n">
        <v>2021</v>
      </c>
      <c r="L522" t="n">
        <v>2030</v>
      </c>
      <c r="M522" t="n">
        <v>0.5843</v>
      </c>
      <c r="N522" t="n">
        <v>0.3539</v>
      </c>
      <c r="O522" t="n">
        <v>2018</v>
      </c>
      <c r="P522" t="n">
        <v>2040</v>
      </c>
      <c r="Q522" t="n">
        <v>0.3424</v>
      </c>
      <c r="R522" t="n">
        <v>635.1588</v>
      </c>
      <c r="S522" t="n">
        <v>0.00086105</v>
      </c>
      <c r="T522" t="n">
        <v>0.00013947</v>
      </c>
      <c r="U522" t="n">
        <v>8826.9665</v>
      </c>
      <c r="V522" t="inlineStr">
        <is>
          <t>Provided Total Emissions</t>
        </is>
      </c>
      <c r="W522" t="b">
        <v>1</v>
      </c>
      <c r="X522" t="n">
        <v>8154.6339</v>
      </c>
      <c r="Y522" t="n">
        <v>4335.8707</v>
      </c>
      <c r="Z522" t="n">
        <v>-672.3326</v>
      </c>
      <c r="AA522" t="n">
        <v>-4491.0958</v>
      </c>
      <c r="AB522" t="n">
        <v>-0.076168</v>
      </c>
      <c r="AC522" t="n">
        <v>-0.5087930000000001</v>
      </c>
      <c r="AD522" t="inlineStr">
        <is>
          <t>High</t>
        </is>
      </c>
      <c r="AE522" t="inlineStr">
        <is>
          <t>None</t>
        </is>
      </c>
      <c r="AF522" t="n">
        <v>0.95</v>
      </c>
      <c r="AG522" t="inlineStr">
        <is>
          <t>Valid</t>
        </is>
      </c>
    </row>
    <row r="523">
      <c r="A523" t="inlineStr">
        <is>
          <t>SUP-0053</t>
        </is>
      </c>
      <c r="B523" t="inlineStr">
        <is>
          <t>Electronics Supplier 053</t>
        </is>
      </c>
      <c r="C523" t="inlineStr">
        <is>
          <t>Electronics</t>
        </is>
      </c>
      <c r="D523" t="n">
        <v>2016</v>
      </c>
      <c r="E523" t="n">
        <v>8465911.18</v>
      </c>
      <c r="F523" t="n">
        <v>36450925.09</v>
      </c>
      <c r="G523" t="n">
        <v>7118.7694</v>
      </c>
      <c r="H523" t="n">
        <v>1589.9879</v>
      </c>
      <c r="I523" t="n">
        <v>616.226</v>
      </c>
      <c r="J523" t="n">
        <v>4695.5056</v>
      </c>
      <c r="K523" t="n">
        <v>2021</v>
      </c>
      <c r="L523" t="n">
        <v>2030</v>
      </c>
      <c r="M523" t="n">
        <v>0.5843</v>
      </c>
      <c r="N523" t="n">
        <v>0.3539</v>
      </c>
      <c r="O523" t="n">
        <v>2018</v>
      </c>
      <c r="P523" t="n">
        <v>2040</v>
      </c>
      <c r="Q523" t="n">
        <v>0.3424</v>
      </c>
      <c r="R523" t="n">
        <v>635.1588</v>
      </c>
      <c r="S523" t="n">
        <v>0.00086105</v>
      </c>
      <c r="T523" t="n">
        <v>0.00013947</v>
      </c>
      <c r="U523" t="n">
        <v>7118.7694</v>
      </c>
      <c r="V523" t="inlineStr">
        <is>
          <t>Provided Total Emissions</t>
        </is>
      </c>
      <c r="W523" t="b">
        <v>1</v>
      </c>
      <c r="X523" t="n">
        <v>7289.5728</v>
      </c>
      <c r="Y523" t="n">
        <v>5083.8105</v>
      </c>
      <c r="Z523" t="n">
        <v>170.8034</v>
      </c>
      <c r="AA523" t="n">
        <v>-2034.9589</v>
      </c>
      <c r="AB523" t="n">
        <v>0.023993</v>
      </c>
      <c r="AC523" t="n">
        <v>-0.285858</v>
      </c>
      <c r="AD523" t="inlineStr">
        <is>
          <t>High</t>
        </is>
      </c>
      <c r="AE523" t="inlineStr">
        <is>
          <t>None</t>
        </is>
      </c>
      <c r="AF523" t="n">
        <v>0.95</v>
      </c>
      <c r="AG523" t="inlineStr">
        <is>
          <t>Valid</t>
        </is>
      </c>
    </row>
    <row r="524">
      <c r="A524" t="inlineStr">
        <is>
          <t>SUP-0053</t>
        </is>
      </c>
      <c r="B524" t="inlineStr">
        <is>
          <t>Electronics Supplier 053</t>
        </is>
      </c>
      <c r="C524" t="inlineStr">
        <is>
          <t>Electronics</t>
        </is>
      </c>
      <c r="D524" t="n">
        <v>2017</v>
      </c>
      <c r="E524" t="n">
        <v>7891935.07</v>
      </c>
      <c r="F524" t="n">
        <v>31058756.39</v>
      </c>
      <c r="G524" t="n">
        <v>7387.6392</v>
      </c>
      <c r="H524" t="n">
        <v>631.4311</v>
      </c>
      <c r="I524" t="n">
        <v>1444.4768</v>
      </c>
      <c r="J524" t="n">
        <v>5490.7971</v>
      </c>
      <c r="K524" t="n">
        <v>2021</v>
      </c>
      <c r="L524" t="n">
        <v>2030</v>
      </c>
      <c r="M524" t="n">
        <v>0.5843</v>
      </c>
      <c r="N524" t="n">
        <v>0.3539</v>
      </c>
      <c r="O524" t="n">
        <v>2018</v>
      </c>
      <c r="P524" t="n">
        <v>2040</v>
      </c>
      <c r="Q524" t="n">
        <v>0.3424</v>
      </c>
      <c r="R524" t="n">
        <v>635.1588</v>
      </c>
      <c r="S524" t="n">
        <v>0.00086105</v>
      </c>
      <c r="T524" t="n">
        <v>0.00013947</v>
      </c>
      <c r="U524" t="n">
        <v>7387.6392</v>
      </c>
      <c r="V524" t="inlineStr">
        <is>
          <t>Provided Total Emissions</t>
        </is>
      </c>
      <c r="W524" t="b">
        <v>1</v>
      </c>
      <c r="X524" t="n">
        <v>6795.3507</v>
      </c>
      <c r="Y524" t="n">
        <v>4331.7648</v>
      </c>
      <c r="Z524" t="n">
        <v>-592.2885</v>
      </c>
      <c r="AA524" t="n">
        <v>-3055.8744</v>
      </c>
      <c r="AB524" t="n">
        <v>-0.08017299999999999</v>
      </c>
      <c r="AC524" t="n">
        <v>-0.413647</v>
      </c>
      <c r="AD524" t="inlineStr">
        <is>
          <t>High</t>
        </is>
      </c>
      <c r="AE524" t="inlineStr">
        <is>
          <t>None</t>
        </is>
      </c>
      <c r="AF524" t="n">
        <v>0.95</v>
      </c>
      <c r="AG524" t="inlineStr">
        <is>
          <t>Valid</t>
        </is>
      </c>
    </row>
    <row r="525">
      <c r="A525" t="inlineStr">
        <is>
          <t>SUP-0053</t>
        </is>
      </c>
      <c r="B525" t="inlineStr">
        <is>
          <t>Electronics Supplier 053</t>
        </is>
      </c>
      <c r="C525" t="inlineStr">
        <is>
          <t>Electronics</t>
        </is>
      </c>
      <c r="D525" t="n">
        <v>2018</v>
      </c>
      <c r="E525" t="n">
        <v>8879704.220000001</v>
      </c>
      <c r="F525" t="n">
        <v>29118064.72</v>
      </c>
      <c r="G525" t="n">
        <v>5599.2244</v>
      </c>
      <c r="H525" t="n">
        <v>1080.5135</v>
      </c>
      <c r="I525" t="n">
        <v>595.8452</v>
      </c>
      <c r="J525" t="n">
        <v>4612.0415</v>
      </c>
      <c r="K525" t="n">
        <v>2021</v>
      </c>
      <c r="L525" t="n">
        <v>2030</v>
      </c>
      <c r="M525" t="n">
        <v>0.5843</v>
      </c>
      <c r="N525" t="n">
        <v>0.3539</v>
      </c>
      <c r="O525" t="n">
        <v>2018</v>
      </c>
      <c r="P525" t="n">
        <v>2040</v>
      </c>
      <c r="Q525" t="n">
        <v>0.3424</v>
      </c>
      <c r="R525" t="n">
        <v>635.1588</v>
      </c>
      <c r="S525" t="n">
        <v>0.00086105</v>
      </c>
      <c r="T525" t="n">
        <v>0.00013947</v>
      </c>
      <c r="U525" t="n">
        <v>5599.2244</v>
      </c>
      <c r="V525" t="inlineStr">
        <is>
          <t>Provided Total Emissions</t>
        </is>
      </c>
      <c r="W525" t="b">
        <v>1</v>
      </c>
      <c r="X525" t="n">
        <v>7645.8693</v>
      </c>
      <c r="Y525" t="n">
        <v>4061.0965</v>
      </c>
      <c r="Z525" t="n">
        <v>2046.6449</v>
      </c>
      <c r="AA525" t="n">
        <v>-1538.1279</v>
      </c>
      <c r="AB525" t="n">
        <v>0.365523</v>
      </c>
      <c r="AC525" t="n">
        <v>-0.274704</v>
      </c>
      <c r="AD525" t="inlineStr">
        <is>
          <t>High</t>
        </is>
      </c>
      <c r="AE525" t="inlineStr">
        <is>
          <t>None</t>
        </is>
      </c>
      <c r="AF525" t="n">
        <v>0.95</v>
      </c>
      <c r="AG525" t="inlineStr">
        <is>
          <t>Valid</t>
        </is>
      </c>
    </row>
    <row r="526">
      <c r="A526" t="inlineStr">
        <is>
          <t>SUP-0053</t>
        </is>
      </c>
      <c r="B526" t="inlineStr">
        <is>
          <t>Electronics Supplier 053</t>
        </is>
      </c>
      <c r="C526" t="inlineStr">
        <is>
          <t>Electronics</t>
        </is>
      </c>
      <c r="D526" t="n">
        <v>2019</v>
      </c>
      <c r="E526" t="n">
        <v>7596314.77</v>
      </c>
      <c r="F526" t="n">
        <v>43497840.55</v>
      </c>
      <c r="G526" t="n">
        <v>4603.1214</v>
      </c>
      <c r="H526" t="n">
        <v>1287.9028</v>
      </c>
      <c r="I526" t="n">
        <v>651.7608</v>
      </c>
      <c r="J526" t="n">
        <v>2828.3518</v>
      </c>
      <c r="K526" t="n">
        <v>2021</v>
      </c>
      <c r="L526" t="n">
        <v>2030</v>
      </c>
      <c r="M526" t="n">
        <v>0.5843</v>
      </c>
      <c r="N526" t="n">
        <v>0.3539</v>
      </c>
      <c r="O526" t="n">
        <v>2018</v>
      </c>
      <c r="P526" t="n">
        <v>2040</v>
      </c>
      <c r="Q526" t="n">
        <v>0.3424</v>
      </c>
      <c r="R526" t="n">
        <v>635.1588</v>
      </c>
      <c r="S526" t="n">
        <v>0.00086105</v>
      </c>
      <c r="T526" t="n">
        <v>0.00013947</v>
      </c>
      <c r="U526" t="n">
        <v>4603.1214</v>
      </c>
      <c r="V526" t="inlineStr">
        <is>
          <t>Provided Total Emissions</t>
        </is>
      </c>
      <c r="W526" t="b">
        <v>1</v>
      </c>
      <c r="X526" t="n">
        <v>6540.8068</v>
      </c>
      <c r="Y526" t="n">
        <v>6066.6438</v>
      </c>
      <c r="Z526" t="n">
        <v>1937.6854</v>
      </c>
      <c r="AA526" t="n">
        <v>1463.5224</v>
      </c>
      <c r="AB526" t="n">
        <v>0.42095</v>
      </c>
      <c r="AC526" t="n">
        <v>0.317941</v>
      </c>
      <c r="AD526" t="inlineStr">
        <is>
          <t>High</t>
        </is>
      </c>
      <c r="AE526" t="inlineStr">
        <is>
          <t>None</t>
        </is>
      </c>
      <c r="AF526" t="n">
        <v>0.95</v>
      </c>
      <c r="AG526" t="inlineStr">
        <is>
          <t>Valid</t>
        </is>
      </c>
    </row>
    <row r="527">
      <c r="A527" t="inlineStr">
        <is>
          <t>SUP-0053</t>
        </is>
      </c>
      <c r="B527" t="inlineStr">
        <is>
          <t>Electronics Supplier 053</t>
        </is>
      </c>
      <c r="C527" t="inlineStr">
        <is>
          <t>Electronics</t>
        </is>
      </c>
      <c r="D527" t="n">
        <v>2020</v>
      </c>
      <c r="E527" t="n">
        <v>8425995.23</v>
      </c>
      <c r="F527" t="n">
        <v>38644754.4</v>
      </c>
      <c r="G527" t="n">
        <v>6094.0147</v>
      </c>
      <c r="H527" t="n">
        <v>1205.8474</v>
      </c>
      <c r="I527" t="n">
        <v>509.3801</v>
      </c>
      <c r="J527" t="n">
        <v>4177.6809</v>
      </c>
      <c r="K527" t="n">
        <v>2021</v>
      </c>
      <c r="L527" t="n">
        <v>2030</v>
      </c>
      <c r="M527" t="n">
        <v>0.5843</v>
      </c>
      <c r="N527" t="n">
        <v>0.3539</v>
      </c>
      <c r="O527" t="n">
        <v>2018</v>
      </c>
      <c r="P527" t="n">
        <v>2040</v>
      </c>
      <c r="Q527" t="n">
        <v>0.3424</v>
      </c>
      <c r="R527" t="n">
        <v>635.1588</v>
      </c>
      <c r="S527" t="n">
        <v>0.00086105</v>
      </c>
      <c r="T527" t="n">
        <v>0.00013947</v>
      </c>
      <c r="U527" t="n">
        <v>6094.0147</v>
      </c>
      <c r="V527" t="inlineStr">
        <is>
          <t>Provided Total Emissions</t>
        </is>
      </c>
      <c r="W527" t="b">
        <v>1</v>
      </c>
      <c r="X527" t="n">
        <v>7255.2032</v>
      </c>
      <c r="Y527" t="n">
        <v>5389.7839</v>
      </c>
      <c r="Z527" t="n">
        <v>1161.1885</v>
      </c>
      <c r="AA527" t="n">
        <v>-704.2308</v>
      </c>
      <c r="AB527" t="n">
        <v>0.190546</v>
      </c>
      <c r="AC527" t="n">
        <v>-0.115561</v>
      </c>
      <c r="AD527" t="inlineStr">
        <is>
          <t>High</t>
        </is>
      </c>
      <c r="AE527" t="inlineStr">
        <is>
          <t>None</t>
        </is>
      </c>
      <c r="AF527" t="n">
        <v>0.95</v>
      </c>
      <c r="AG527" t="inlineStr">
        <is>
          <t>Valid</t>
        </is>
      </c>
    </row>
    <row r="528">
      <c r="A528" t="inlineStr">
        <is>
          <t>SUP-0053</t>
        </is>
      </c>
      <c r="B528" t="inlineStr">
        <is>
          <t>Electronics Supplier 053</t>
        </is>
      </c>
      <c r="C528" t="inlineStr">
        <is>
          <t>Electronics</t>
        </is>
      </c>
      <c r="D528" t="n">
        <v>2021</v>
      </c>
      <c r="E528" t="n">
        <v>7244422.57</v>
      </c>
      <c r="F528" t="n">
        <v>36584093.37</v>
      </c>
      <c r="G528" t="n">
        <v>5361.5757</v>
      </c>
      <c r="H528" t="n">
        <v>1291.189</v>
      </c>
      <c r="I528" t="n">
        <v>519.6786</v>
      </c>
      <c r="J528" t="n">
        <v>3549.7114</v>
      </c>
      <c r="K528" t="n">
        <v>2021</v>
      </c>
      <c r="L528" t="n">
        <v>2030</v>
      </c>
      <c r="M528" t="n">
        <v>0.5843</v>
      </c>
      <c r="N528" t="n">
        <v>0.3539</v>
      </c>
      <c r="O528" t="n">
        <v>2018</v>
      </c>
      <c r="P528" t="n">
        <v>2040</v>
      </c>
      <c r="Q528" t="n">
        <v>0.3424</v>
      </c>
      <c r="R528" t="n">
        <v>635.1588</v>
      </c>
      <c r="S528" t="n">
        <v>0.00086105</v>
      </c>
      <c r="T528" t="n">
        <v>0.00013947</v>
      </c>
      <c r="U528" t="n">
        <v>5361.5757</v>
      </c>
      <c r="V528" t="inlineStr">
        <is>
          <t>Provided Total Emissions</t>
        </is>
      </c>
      <c r="W528" t="b">
        <v>1</v>
      </c>
      <c r="X528" t="n">
        <v>6237.8101</v>
      </c>
      <c r="Y528" t="n">
        <v>5102.3835</v>
      </c>
      <c r="Z528" t="n">
        <v>876.2344000000001</v>
      </c>
      <c r="AA528" t="n">
        <v>-259.1922</v>
      </c>
      <c r="AB528" t="n">
        <v>0.163429</v>
      </c>
      <c r="AC528" t="n">
        <v>-0.048343</v>
      </c>
      <c r="AD528" t="inlineStr">
        <is>
          <t>High</t>
        </is>
      </c>
      <c r="AE528" t="inlineStr">
        <is>
          <t>None</t>
        </is>
      </c>
      <c r="AF528" t="n">
        <v>0.95</v>
      </c>
      <c r="AG528" t="inlineStr">
        <is>
          <t>Valid</t>
        </is>
      </c>
    </row>
    <row r="529">
      <c r="A529" t="inlineStr">
        <is>
          <t>SUP-0053</t>
        </is>
      </c>
      <c r="B529" t="inlineStr">
        <is>
          <t>Electronics Supplier 053</t>
        </is>
      </c>
      <c r="C529" t="inlineStr">
        <is>
          <t>Electronics</t>
        </is>
      </c>
      <c r="D529" t="n">
        <v>2022</v>
      </c>
      <c r="E529" t="n">
        <v>9050530.800000001</v>
      </c>
      <c r="F529" t="n">
        <v>31949994.46</v>
      </c>
      <c r="G529" t="n">
        <v>6306.2578</v>
      </c>
      <c r="H529" t="n">
        <v>1538.3416</v>
      </c>
      <c r="I529" t="n">
        <v>479.2878</v>
      </c>
      <c r="J529" t="n">
        <v>3990.7026</v>
      </c>
      <c r="K529" t="n">
        <v>2021</v>
      </c>
      <c r="L529" t="n">
        <v>2030</v>
      </c>
      <c r="M529" t="n">
        <v>0.5843</v>
      </c>
      <c r="N529" t="n">
        <v>0.3539</v>
      </c>
      <c r="O529" t="n">
        <v>2018</v>
      </c>
      <c r="P529" t="n">
        <v>2040</v>
      </c>
      <c r="Q529" t="n">
        <v>0.3424</v>
      </c>
      <c r="R529" t="n">
        <v>635.1588</v>
      </c>
      <c r="S529" t="n">
        <v>0.00086105</v>
      </c>
      <c r="T529" t="n">
        <v>0.00013947</v>
      </c>
      <c r="U529" t="n">
        <v>6306.2578</v>
      </c>
      <c r="V529" t="inlineStr">
        <is>
          <t>Provided Total Emissions</t>
        </is>
      </c>
      <c r="W529" t="b">
        <v>1</v>
      </c>
      <c r="X529" t="n">
        <v>7792.9595</v>
      </c>
      <c r="Y529" t="n">
        <v>4456.0657</v>
      </c>
      <c r="Z529" t="n">
        <v>1486.7017</v>
      </c>
      <c r="AA529" t="n">
        <v>-1850.1921</v>
      </c>
      <c r="AB529" t="n">
        <v>0.23575</v>
      </c>
      <c r="AC529" t="n">
        <v>-0.29339</v>
      </c>
      <c r="AD529" t="inlineStr">
        <is>
          <t>High</t>
        </is>
      </c>
      <c r="AE529" t="inlineStr">
        <is>
          <t>None</t>
        </is>
      </c>
      <c r="AF529" t="n">
        <v>0.95</v>
      </c>
      <c r="AG529" t="inlineStr">
        <is>
          <t>Valid</t>
        </is>
      </c>
    </row>
    <row r="530">
      <c r="A530" t="inlineStr">
        <is>
          <t>SUP-0053</t>
        </is>
      </c>
      <c r="B530" t="inlineStr">
        <is>
          <t>Electronics Supplier 053</t>
        </is>
      </c>
      <c r="C530" t="inlineStr">
        <is>
          <t>Electronics</t>
        </is>
      </c>
      <c r="D530" t="n">
        <v>2023</v>
      </c>
      <c r="E530" t="n">
        <v>6709971.13</v>
      </c>
      <c r="F530" t="n">
        <v>22409594.03</v>
      </c>
      <c r="G530" t="n">
        <v>4212.6269</v>
      </c>
      <c r="H530" t="n">
        <v>792.2428</v>
      </c>
      <c r="I530" t="n">
        <v>423.3055</v>
      </c>
      <c r="J530" t="n">
        <v>3247.0881</v>
      </c>
      <c r="K530" t="n">
        <v>2021</v>
      </c>
      <c r="L530" t="n">
        <v>2030</v>
      </c>
      <c r="M530" t="n">
        <v>0.5843</v>
      </c>
      <c r="N530" t="n">
        <v>0.3539</v>
      </c>
      <c r="O530" t="n">
        <v>2018</v>
      </c>
      <c r="P530" t="n">
        <v>2040</v>
      </c>
      <c r="Q530" t="n">
        <v>0.3424</v>
      </c>
      <c r="R530" t="n">
        <v>635.1588</v>
      </c>
      <c r="S530" t="n">
        <v>0.00086105</v>
      </c>
      <c r="T530" t="n">
        <v>0.00013947</v>
      </c>
      <c r="U530" t="n">
        <v>4212.6269</v>
      </c>
      <c r="V530" t="inlineStr">
        <is>
          <t>Provided Total Emissions</t>
        </is>
      </c>
      <c r="W530" t="b">
        <v>1</v>
      </c>
      <c r="X530" t="n">
        <v>5777.6206</v>
      </c>
      <c r="Y530" t="n">
        <v>3125.4661</v>
      </c>
      <c r="Z530" t="n">
        <v>1564.9937</v>
      </c>
      <c r="AA530" t="n">
        <v>-1087.1608</v>
      </c>
      <c r="AB530" t="n">
        <v>0.371501</v>
      </c>
      <c r="AC530" t="n">
        <v>-0.258072</v>
      </c>
      <c r="AD530" t="inlineStr">
        <is>
          <t>High</t>
        </is>
      </c>
      <c r="AE530" t="inlineStr">
        <is>
          <t>None</t>
        </is>
      </c>
      <c r="AF530" t="n">
        <v>0.95</v>
      </c>
      <c r="AG530" t="inlineStr">
        <is>
          <t>Valid</t>
        </is>
      </c>
    </row>
    <row r="531">
      <c r="A531" t="inlineStr">
        <is>
          <t>SUP-0053</t>
        </is>
      </c>
      <c r="B531" t="inlineStr">
        <is>
          <t>Electronics Supplier 053</t>
        </is>
      </c>
      <c r="C531" t="inlineStr">
        <is>
          <t>Electronics</t>
        </is>
      </c>
      <c r="D531" t="n">
        <v>2024</v>
      </c>
      <c r="E531" t="n">
        <v>7469190.27</v>
      </c>
      <c r="F531" t="n">
        <v>35983983.63</v>
      </c>
      <c r="G531" t="n">
        <v>4992.2479</v>
      </c>
      <c r="H531" t="n">
        <v>685.8043</v>
      </c>
      <c r="I531" t="n">
        <v>584.2320999999999</v>
      </c>
      <c r="J531" t="n">
        <v>3799.3045</v>
      </c>
      <c r="K531" t="n">
        <v>2021</v>
      </c>
      <c r="L531" t="n">
        <v>2030</v>
      </c>
      <c r="M531" t="n">
        <v>0.5843</v>
      </c>
      <c r="N531" t="n">
        <v>0.3539</v>
      </c>
      <c r="O531" t="n">
        <v>2018</v>
      </c>
      <c r="P531" t="n">
        <v>2040</v>
      </c>
      <c r="Q531" t="n">
        <v>0.3424</v>
      </c>
      <c r="R531" t="n">
        <v>635.1588</v>
      </c>
      <c r="S531" t="n">
        <v>0.00086105</v>
      </c>
      <c r="T531" t="n">
        <v>0.00013947</v>
      </c>
      <c r="U531" t="n">
        <v>4992.2479</v>
      </c>
      <c r="V531" t="inlineStr">
        <is>
          <t>Provided Total Emissions</t>
        </is>
      </c>
      <c r="W531" t="b">
        <v>1</v>
      </c>
      <c r="X531" t="n">
        <v>6431.3463</v>
      </c>
      <c r="Y531" t="n">
        <v>5018.6862</v>
      </c>
      <c r="Z531" t="n">
        <v>1439.0984</v>
      </c>
      <c r="AA531" t="n">
        <v>26.4383</v>
      </c>
      <c r="AB531" t="n">
        <v>0.288267</v>
      </c>
      <c r="AC531" t="n">
        <v>0.005296</v>
      </c>
      <c r="AD531" t="inlineStr">
        <is>
          <t>High</t>
        </is>
      </c>
      <c r="AE531" t="inlineStr">
        <is>
          <t>None</t>
        </is>
      </c>
      <c r="AF531" t="n">
        <v>0.95</v>
      </c>
      <c r="AG531" t="inlineStr">
        <is>
          <t>Valid</t>
        </is>
      </c>
    </row>
    <row r="532">
      <c r="A532" t="inlineStr">
        <is>
          <t>SUP-0054</t>
        </is>
      </c>
      <c r="B532" t="inlineStr">
        <is>
          <t>Chemicals Supplier 054</t>
        </is>
      </c>
      <c r="C532" t="inlineStr">
        <is>
          <t>Chemicals</t>
        </is>
      </c>
      <c r="D532" t="n">
        <v>2015</v>
      </c>
      <c r="E532" t="n">
        <v>28019947.45</v>
      </c>
      <c r="F532" t="n">
        <v>83789498.28</v>
      </c>
      <c r="G532" t="n">
        <v>41518.1188</v>
      </c>
      <c r="H532" t="n">
        <v>10056.484</v>
      </c>
      <c r="I532" t="n">
        <v>6520.3501</v>
      </c>
      <c r="J532" t="n">
        <v>26377.3042</v>
      </c>
      <c r="K532" t="n">
        <v>2019</v>
      </c>
      <c r="L532" t="n">
        <v>2035</v>
      </c>
      <c r="M532" t="n">
        <v>0.3128</v>
      </c>
      <c r="N532" t="n">
        <v>0.1632</v>
      </c>
      <c r="O532" t="n">
        <v>2019</v>
      </c>
      <c r="P532" t="n">
        <v>2035</v>
      </c>
      <c r="Q532" t="n">
        <v>0.5229</v>
      </c>
      <c r="R532" t="n">
        <v>506.3191</v>
      </c>
      <c r="S532" t="n">
        <v>0.00100149</v>
      </c>
      <c r="T532" t="n">
        <v>0.00047124</v>
      </c>
      <c r="U532" t="n">
        <v>41518.1188</v>
      </c>
      <c r="V532" t="inlineStr">
        <is>
          <t>Provided Total Emissions</t>
        </is>
      </c>
      <c r="W532" t="b">
        <v>1</v>
      </c>
      <c r="X532" t="n">
        <v>28061.6972</v>
      </c>
      <c r="Y532" t="n">
        <v>39484.9632</v>
      </c>
      <c r="Z532" t="n">
        <v>-13456.4216</v>
      </c>
      <c r="AA532" t="n">
        <v>-2033.1556</v>
      </c>
      <c r="AB532" t="n">
        <v>-0.32411</v>
      </c>
      <c r="AC532" t="n">
        <v>-0.04897</v>
      </c>
      <c r="AD532" t="inlineStr">
        <is>
          <t>High</t>
        </is>
      </c>
      <c r="AE532" t="inlineStr">
        <is>
          <t>None</t>
        </is>
      </c>
      <c r="AF532" t="n">
        <v>0.95</v>
      </c>
      <c r="AG532" t="inlineStr">
        <is>
          <t>Valid</t>
        </is>
      </c>
    </row>
    <row r="533">
      <c r="A533" t="inlineStr">
        <is>
          <t>SUP-0054</t>
        </is>
      </c>
      <c r="B533" t="inlineStr">
        <is>
          <t>Chemicals Supplier 054</t>
        </is>
      </c>
      <c r="C533" t="inlineStr">
        <is>
          <t>Chemicals</t>
        </is>
      </c>
      <c r="D533" t="n">
        <v>2016</v>
      </c>
      <c r="E533" t="n">
        <v>23168573.61</v>
      </c>
      <c r="F533" t="n">
        <v>86300190.90000001</v>
      </c>
      <c r="G533" t="n">
        <v>36795.9297</v>
      </c>
      <c r="H533" t="n">
        <v>5394.464</v>
      </c>
      <c r="I533" t="n">
        <v>6116.1382</v>
      </c>
      <c r="J533" t="n">
        <v>25344.2665</v>
      </c>
      <c r="K533" t="n">
        <v>2019</v>
      </c>
      <c r="L533" t="n">
        <v>2035</v>
      </c>
      <c r="M533" t="n">
        <v>0.3128</v>
      </c>
      <c r="N533" t="n">
        <v>0.1632</v>
      </c>
      <c r="O533" t="n">
        <v>2019</v>
      </c>
      <c r="P533" t="n">
        <v>2035</v>
      </c>
      <c r="Q533" t="n">
        <v>0.5229</v>
      </c>
      <c r="R533" t="n">
        <v>506.3191</v>
      </c>
      <c r="S533" t="n">
        <v>0.00100149</v>
      </c>
      <c r="T533" t="n">
        <v>0.00047124</v>
      </c>
      <c r="U533" t="n">
        <v>36795.9297</v>
      </c>
      <c r="V533" t="inlineStr">
        <is>
          <t>Provided Total Emissions</t>
        </is>
      </c>
      <c r="W533" t="b">
        <v>1</v>
      </c>
      <c r="X533" t="n">
        <v>23203.0948</v>
      </c>
      <c r="Y533" t="n">
        <v>40668.102</v>
      </c>
      <c r="Z533" t="n">
        <v>-13592.8349</v>
      </c>
      <c r="AA533" t="n">
        <v>3872.1723</v>
      </c>
      <c r="AB533" t="n">
        <v>-0.369411</v>
      </c>
      <c r="AC533" t="n">
        <v>0.105234</v>
      </c>
      <c r="AD533" t="inlineStr">
        <is>
          <t>High</t>
        </is>
      </c>
      <c r="AE533" t="inlineStr">
        <is>
          <t>None</t>
        </is>
      </c>
      <c r="AF533" t="n">
        <v>0.95</v>
      </c>
      <c r="AG533" t="inlineStr">
        <is>
          <t>Valid</t>
        </is>
      </c>
    </row>
    <row r="534">
      <c r="A534" t="inlineStr">
        <is>
          <t>SUP-0054</t>
        </is>
      </c>
      <c r="B534" t="inlineStr">
        <is>
          <t>Chemicals Supplier 054</t>
        </is>
      </c>
      <c r="C534" t="inlineStr">
        <is>
          <t>Chemicals</t>
        </is>
      </c>
      <c r="D534" t="n">
        <v>2017</v>
      </c>
      <c r="E534" t="n">
        <v>27182471.85</v>
      </c>
      <c r="F534" t="n">
        <v>88330895.40000001</v>
      </c>
      <c r="G534" t="n">
        <v>42051.3808</v>
      </c>
      <c r="H534" t="n">
        <v>6530.1402</v>
      </c>
      <c r="I534" t="n">
        <v>6219.1663</v>
      </c>
      <c r="J534" t="n">
        <v>28266.0498</v>
      </c>
      <c r="K534" t="n">
        <v>2019</v>
      </c>
      <c r="L534" t="n">
        <v>2035</v>
      </c>
      <c r="M534" t="n">
        <v>0.3128</v>
      </c>
      <c r="N534" t="n">
        <v>0.1632</v>
      </c>
      <c r="O534" t="n">
        <v>2019</v>
      </c>
      <c r="P534" t="n">
        <v>2035</v>
      </c>
      <c r="Q534" t="n">
        <v>0.5229</v>
      </c>
      <c r="R534" t="n">
        <v>506.3191</v>
      </c>
      <c r="S534" t="n">
        <v>0.00100149</v>
      </c>
      <c r="T534" t="n">
        <v>0.00047124</v>
      </c>
      <c r="U534" t="n">
        <v>42051.3808</v>
      </c>
      <c r="V534" t="inlineStr">
        <is>
          <t>Provided Total Emissions</t>
        </is>
      </c>
      <c r="W534" t="b">
        <v>1</v>
      </c>
      <c r="X534" t="n">
        <v>27222.9737</v>
      </c>
      <c r="Y534" t="n">
        <v>41625.0511</v>
      </c>
      <c r="Z534" t="n">
        <v>-14828.4071</v>
      </c>
      <c r="AA534" t="n">
        <v>-426.3297</v>
      </c>
      <c r="AB534" t="n">
        <v>-0.352626</v>
      </c>
      <c r="AC534" t="n">
        <v>-0.010138</v>
      </c>
      <c r="AD534" t="inlineStr">
        <is>
          <t>High</t>
        </is>
      </c>
      <c r="AE534" t="inlineStr">
        <is>
          <t>None</t>
        </is>
      </c>
      <c r="AF534" t="n">
        <v>0.95</v>
      </c>
      <c r="AG534" t="inlineStr">
        <is>
          <t>Valid</t>
        </is>
      </c>
    </row>
    <row r="535">
      <c r="A535" t="inlineStr">
        <is>
          <t>SUP-0054</t>
        </is>
      </c>
      <c r="B535" t="inlineStr">
        <is>
          <t>Chemicals Supplier 054</t>
        </is>
      </c>
      <c r="C535" t="inlineStr">
        <is>
          <t>Chemicals</t>
        </is>
      </c>
      <c r="D535" t="n">
        <v>2018</v>
      </c>
      <c r="E535" t="n">
        <v>27832960.84</v>
      </c>
      <c r="F535" t="n">
        <v>80462068.34999999</v>
      </c>
      <c r="G535" t="n">
        <v>35118.7131</v>
      </c>
      <c r="H535" t="n">
        <v>6361.4525</v>
      </c>
      <c r="I535" t="n">
        <v>3829.403</v>
      </c>
      <c r="J535" t="n">
        <v>29020.7354</v>
      </c>
      <c r="K535" t="n">
        <v>2019</v>
      </c>
      <c r="L535" t="n">
        <v>2035</v>
      </c>
      <c r="M535" t="n">
        <v>0.3128</v>
      </c>
      <c r="N535" t="n">
        <v>0.1632</v>
      </c>
      <c r="O535" t="n">
        <v>2019</v>
      </c>
      <c r="P535" t="n">
        <v>2035</v>
      </c>
      <c r="Q535" t="n">
        <v>0.5229</v>
      </c>
      <c r="R535" t="n">
        <v>506.3191</v>
      </c>
      <c r="S535" t="n">
        <v>0.00100149</v>
      </c>
      <c r="T535" t="n">
        <v>0.00047124</v>
      </c>
      <c r="U535" t="n">
        <v>35118.7131</v>
      </c>
      <c r="V535" t="inlineStr">
        <is>
          <t>Provided Total Emissions</t>
        </is>
      </c>
      <c r="W535" t="b">
        <v>1</v>
      </c>
      <c r="X535" t="n">
        <v>27874.432</v>
      </c>
      <c r="Y535" t="n">
        <v>37916.9451</v>
      </c>
      <c r="Z535" t="n">
        <v>-7244.2811</v>
      </c>
      <c r="AA535" t="n">
        <v>2798.232</v>
      </c>
      <c r="AB535" t="n">
        <v>-0.20628</v>
      </c>
      <c r="AC535" t="n">
        <v>0.079679</v>
      </c>
      <c r="AD535" t="inlineStr">
        <is>
          <t>High</t>
        </is>
      </c>
      <c r="AE535" t="inlineStr">
        <is>
          <t>None</t>
        </is>
      </c>
      <c r="AF535" t="n">
        <v>0.95</v>
      </c>
      <c r="AG535" t="inlineStr">
        <is>
          <t>Valid</t>
        </is>
      </c>
    </row>
    <row r="536">
      <c r="A536" t="inlineStr">
        <is>
          <t>SUP-0054</t>
        </is>
      </c>
      <c r="B536" t="inlineStr">
        <is>
          <t>Chemicals Supplier 054</t>
        </is>
      </c>
      <c r="C536" t="inlineStr">
        <is>
          <t>Chemicals</t>
        </is>
      </c>
      <c r="D536" t="n">
        <v>2019</v>
      </c>
      <c r="E536" t="n">
        <v>30245803.25</v>
      </c>
      <c r="F536" t="n">
        <v>107524629.88</v>
      </c>
      <c r="G536" t="n">
        <v>27514.2942</v>
      </c>
      <c r="H536" t="n">
        <v>2713.5436</v>
      </c>
      <c r="I536" t="n">
        <v>4516.4876</v>
      </c>
      <c r="J536" t="n">
        <v>18462.3221</v>
      </c>
      <c r="K536" t="n">
        <v>2019</v>
      </c>
      <c r="L536" t="n">
        <v>2035</v>
      </c>
      <c r="M536" t="n">
        <v>0.3128</v>
      </c>
      <c r="N536" t="n">
        <v>0.1632</v>
      </c>
      <c r="O536" t="n">
        <v>2019</v>
      </c>
      <c r="P536" t="n">
        <v>2035</v>
      </c>
      <c r="Q536" t="n">
        <v>0.5229</v>
      </c>
      <c r="R536" t="n">
        <v>506.3191</v>
      </c>
      <c r="S536" t="n">
        <v>0.00100149</v>
      </c>
      <c r="T536" t="n">
        <v>0.00047124</v>
      </c>
      <c r="U536" t="n">
        <v>27514.2942</v>
      </c>
      <c r="V536" t="inlineStr">
        <is>
          <t>Provided Total Emissions</t>
        </is>
      </c>
      <c r="W536" t="b">
        <v>1</v>
      </c>
      <c r="X536" t="n">
        <v>30290.8695</v>
      </c>
      <c r="Y536" t="n">
        <v>50669.9066</v>
      </c>
      <c r="Z536" t="n">
        <v>2776.5753</v>
      </c>
      <c r="AA536" t="n">
        <v>23155.6124</v>
      </c>
      <c r="AB536" t="n">
        <v>0.100914</v>
      </c>
      <c r="AC536" t="n">
        <v>0.841585</v>
      </c>
      <c r="AD536" t="inlineStr">
        <is>
          <t>High</t>
        </is>
      </c>
      <c r="AE536" t="inlineStr">
        <is>
          <t>None</t>
        </is>
      </c>
      <c r="AF536" t="n">
        <v>0.95</v>
      </c>
      <c r="AG536" t="inlineStr">
        <is>
          <t>Valid</t>
        </is>
      </c>
    </row>
    <row r="537">
      <c r="A537" t="inlineStr">
        <is>
          <t>SUP-0054</t>
        </is>
      </c>
      <c r="B537" t="inlineStr">
        <is>
          <t>Chemicals Supplier 054</t>
        </is>
      </c>
      <c r="C537" t="inlineStr">
        <is>
          <t>Chemicals</t>
        </is>
      </c>
      <c r="D537" t="n">
        <v>2020</v>
      </c>
      <c r="E537" t="n">
        <v>31420309.41</v>
      </c>
      <c r="F537" t="n">
        <v>120646235.65</v>
      </c>
      <c r="G537" t="n">
        <v>28790.3583</v>
      </c>
      <c r="H537" t="n">
        <v>4950.4584</v>
      </c>
      <c r="I537" t="n">
        <v>4674.7484</v>
      </c>
      <c r="J537" t="n">
        <v>18046.8399</v>
      </c>
      <c r="K537" t="n">
        <v>2019</v>
      </c>
      <c r="L537" t="n">
        <v>2035</v>
      </c>
      <c r="M537" t="n">
        <v>0.3128</v>
      </c>
      <c r="N537" t="n">
        <v>0.1632</v>
      </c>
      <c r="O537" t="n">
        <v>2019</v>
      </c>
      <c r="P537" t="n">
        <v>2035</v>
      </c>
      <c r="Q537" t="n">
        <v>0.5229</v>
      </c>
      <c r="R537" t="n">
        <v>506.3191</v>
      </c>
      <c r="S537" t="n">
        <v>0.00100149</v>
      </c>
      <c r="T537" t="n">
        <v>0.00047124</v>
      </c>
      <c r="U537" t="n">
        <v>28790.3583</v>
      </c>
      <c r="V537" t="inlineStr">
        <is>
          <t>Provided Total Emissions</t>
        </is>
      </c>
      <c r="W537" t="b">
        <v>1</v>
      </c>
      <c r="X537" t="n">
        <v>31467.1257</v>
      </c>
      <c r="Y537" t="n">
        <v>56853.3321</v>
      </c>
      <c r="Z537" t="n">
        <v>2676.7674</v>
      </c>
      <c r="AA537" t="n">
        <v>28062.9738</v>
      </c>
      <c r="AB537" t="n">
        <v>0.092974</v>
      </c>
      <c r="AC537" t="n">
        <v>0.974735</v>
      </c>
      <c r="AD537" t="inlineStr">
        <is>
          <t>High</t>
        </is>
      </c>
      <c r="AE537" t="inlineStr">
        <is>
          <t>None</t>
        </is>
      </c>
      <c r="AF537" t="n">
        <v>0.95</v>
      </c>
      <c r="AG537" t="inlineStr">
        <is>
          <t>Valid</t>
        </is>
      </c>
    </row>
    <row r="538">
      <c r="A538" t="inlineStr">
        <is>
          <t>SUP-0054</t>
        </is>
      </c>
      <c r="B538" t="inlineStr">
        <is>
          <t>Chemicals Supplier 054</t>
        </is>
      </c>
      <c r="C538" t="inlineStr">
        <is>
          <t>Chemicals</t>
        </is>
      </c>
      <c r="D538" t="n">
        <v>2021</v>
      </c>
      <c r="E538" t="n">
        <v>31637584.9</v>
      </c>
      <c r="F538" t="n">
        <v>128977156.35</v>
      </c>
      <c r="G538" t="n">
        <v>39436.2797</v>
      </c>
      <c r="H538" t="n">
        <v>5553.6247</v>
      </c>
      <c r="I538" t="n">
        <v>6047.3563</v>
      </c>
      <c r="J538" t="n">
        <v>24428.4399</v>
      </c>
      <c r="K538" t="n">
        <v>2019</v>
      </c>
      <c r="L538" t="n">
        <v>2035</v>
      </c>
      <c r="M538" t="n">
        <v>0.3128</v>
      </c>
      <c r="N538" t="n">
        <v>0.1632</v>
      </c>
      <c r="O538" t="n">
        <v>2019</v>
      </c>
      <c r="P538" t="n">
        <v>2035</v>
      </c>
      <c r="Q538" t="n">
        <v>0.5229</v>
      </c>
      <c r="R538" t="n">
        <v>506.3191</v>
      </c>
      <c r="S538" t="n">
        <v>0.00100149</v>
      </c>
      <c r="T538" t="n">
        <v>0.00047124</v>
      </c>
      <c r="U538" t="n">
        <v>39436.2797</v>
      </c>
      <c r="V538" t="inlineStr">
        <is>
          <t>Provided Total Emissions</t>
        </is>
      </c>
      <c r="W538" t="b">
        <v>1</v>
      </c>
      <c r="X538" t="n">
        <v>31684.7249</v>
      </c>
      <c r="Y538" t="n">
        <v>60779.1952</v>
      </c>
      <c r="Z538" t="n">
        <v>-7751.5548</v>
      </c>
      <c r="AA538" t="n">
        <v>21342.9155</v>
      </c>
      <c r="AB538" t="n">
        <v>-0.196559</v>
      </c>
      <c r="AC538" t="n">
        <v>0.5412</v>
      </c>
      <c r="AD538" t="inlineStr">
        <is>
          <t>High</t>
        </is>
      </c>
      <c r="AE538" t="inlineStr">
        <is>
          <t>None</t>
        </is>
      </c>
      <c r="AF538" t="n">
        <v>0.95</v>
      </c>
      <c r="AG538" t="inlineStr">
        <is>
          <t>Valid</t>
        </is>
      </c>
    </row>
    <row r="539">
      <c r="A539" t="inlineStr">
        <is>
          <t>SUP-0054</t>
        </is>
      </c>
      <c r="B539" t="inlineStr">
        <is>
          <t>Chemicals Supplier 054</t>
        </is>
      </c>
      <c r="C539" t="inlineStr">
        <is>
          <t>Chemicals</t>
        </is>
      </c>
      <c r="D539" t="n">
        <v>2022</v>
      </c>
      <c r="E539" t="n">
        <v>38468162.74</v>
      </c>
      <c r="F539" t="n">
        <v>109158075.27</v>
      </c>
      <c r="G539" t="n">
        <v>33808.2724</v>
      </c>
      <c r="H539" t="n">
        <v>9347.254499999999</v>
      </c>
      <c r="I539" t="n">
        <v>5970.9275</v>
      </c>
      <c r="J539" t="n">
        <v>18531.0426</v>
      </c>
      <c r="K539" t="n">
        <v>2019</v>
      </c>
      <c r="L539" t="n">
        <v>2035</v>
      </c>
      <c r="M539" t="n">
        <v>0.3128</v>
      </c>
      <c r="N539" t="n">
        <v>0.1632</v>
      </c>
      <c r="O539" t="n">
        <v>2019</v>
      </c>
      <c r="P539" t="n">
        <v>2035</v>
      </c>
      <c r="Q539" t="n">
        <v>0.5229</v>
      </c>
      <c r="R539" t="n">
        <v>506.3191</v>
      </c>
      <c r="S539" t="n">
        <v>0.00100149</v>
      </c>
      <c r="T539" t="n">
        <v>0.00047124</v>
      </c>
      <c r="U539" t="n">
        <v>33808.2724</v>
      </c>
      <c r="V539" t="inlineStr">
        <is>
          <t>Provided Total Emissions</t>
        </is>
      </c>
      <c r="W539" t="b">
        <v>1</v>
      </c>
      <c r="X539" t="n">
        <v>38525.4803</v>
      </c>
      <c r="Y539" t="n">
        <v>51439.6514</v>
      </c>
      <c r="Z539" t="n">
        <v>4717.2079</v>
      </c>
      <c r="AA539" t="n">
        <v>17631.379</v>
      </c>
      <c r="AB539" t="n">
        <v>0.139528</v>
      </c>
      <c r="AC539" t="n">
        <v>0.5215109999999999</v>
      </c>
      <c r="AD539" t="inlineStr">
        <is>
          <t>High</t>
        </is>
      </c>
      <c r="AE539" t="inlineStr">
        <is>
          <t>None</t>
        </is>
      </c>
      <c r="AF539" t="n">
        <v>0.95</v>
      </c>
      <c r="AG539" t="inlineStr">
        <is>
          <t>Valid</t>
        </is>
      </c>
    </row>
    <row r="540">
      <c r="A540" t="inlineStr">
        <is>
          <t>SUP-0054</t>
        </is>
      </c>
      <c r="B540" t="inlineStr">
        <is>
          <t>Chemicals Supplier 054</t>
        </is>
      </c>
      <c r="C540" t="inlineStr">
        <is>
          <t>Chemicals</t>
        </is>
      </c>
      <c r="D540" t="n">
        <v>2023</v>
      </c>
      <c r="E540" t="n">
        <v>40269781.09</v>
      </c>
      <c r="F540" t="n">
        <v>115226906.2</v>
      </c>
      <c r="G540" t="n">
        <v>42775.8394</v>
      </c>
      <c r="H540" t="n">
        <v>9273.528</v>
      </c>
      <c r="I540" t="n">
        <v>7735.7487</v>
      </c>
      <c r="J540" t="n">
        <v>25797.279</v>
      </c>
      <c r="K540" t="n">
        <v>2019</v>
      </c>
      <c r="L540" t="n">
        <v>2035</v>
      </c>
      <c r="M540" t="n">
        <v>0.3128</v>
      </c>
      <c r="N540" t="n">
        <v>0.1632</v>
      </c>
      <c r="O540" t="n">
        <v>2019</v>
      </c>
      <c r="P540" t="n">
        <v>2035</v>
      </c>
      <c r="Q540" t="n">
        <v>0.5229</v>
      </c>
      <c r="R540" t="n">
        <v>506.3191</v>
      </c>
      <c r="S540" t="n">
        <v>0.00100149</v>
      </c>
      <c r="T540" t="n">
        <v>0.00047124</v>
      </c>
      <c r="U540" t="n">
        <v>42775.8394</v>
      </c>
      <c r="V540" t="inlineStr">
        <is>
          <t>Provided Total Emissions</t>
        </is>
      </c>
      <c r="W540" t="b">
        <v>1</v>
      </c>
      <c r="X540" t="n">
        <v>40329.7831</v>
      </c>
      <c r="Y540" t="n">
        <v>54299.5273</v>
      </c>
      <c r="Z540" t="n">
        <v>-2446.0563</v>
      </c>
      <c r="AA540" t="n">
        <v>11523.6879</v>
      </c>
      <c r="AB540" t="n">
        <v>-0.057183</v>
      </c>
      <c r="AC540" t="n">
        <v>0.269397</v>
      </c>
      <c r="AD540" t="inlineStr">
        <is>
          <t>High</t>
        </is>
      </c>
      <c r="AE540" t="inlineStr">
        <is>
          <t>None</t>
        </is>
      </c>
      <c r="AF540" t="n">
        <v>0.95</v>
      </c>
      <c r="AG540" t="inlineStr">
        <is>
          <t>Valid</t>
        </is>
      </c>
    </row>
    <row r="541">
      <c r="A541" t="inlineStr">
        <is>
          <t>SUP-0054</t>
        </is>
      </c>
      <c r="B541" t="inlineStr">
        <is>
          <t>Chemicals Supplier 054</t>
        </is>
      </c>
      <c r="C541" t="inlineStr">
        <is>
          <t>Chemicals</t>
        </is>
      </c>
      <c r="D541" t="n">
        <v>2024</v>
      </c>
      <c r="E541" t="n">
        <v>37566679.46</v>
      </c>
      <c r="F541" t="n">
        <v>162599786.13</v>
      </c>
      <c r="G541" t="n">
        <v>32020.9372</v>
      </c>
      <c r="H541" t="n">
        <v>4886.915</v>
      </c>
      <c r="I541" t="n">
        <v>2610.0762</v>
      </c>
      <c r="J541" t="n">
        <v>24805.526</v>
      </c>
      <c r="K541" t="n">
        <v>2019</v>
      </c>
      <c r="L541" t="n">
        <v>2035</v>
      </c>
      <c r="M541" t="n">
        <v>0.3128</v>
      </c>
      <c r="N541" t="n">
        <v>0.1632</v>
      </c>
      <c r="O541" t="n">
        <v>2019</v>
      </c>
      <c r="P541" t="n">
        <v>2035</v>
      </c>
      <c r="Q541" t="n">
        <v>0.5229</v>
      </c>
      <c r="R541" t="n">
        <v>506.3191</v>
      </c>
      <c r="S541" t="n">
        <v>0.00100149</v>
      </c>
      <c r="T541" t="n">
        <v>0.00047124</v>
      </c>
      <c r="U541" t="n">
        <v>32020.9372</v>
      </c>
      <c r="V541" t="inlineStr">
        <is>
          <t>Provided Total Emissions</t>
        </is>
      </c>
      <c r="W541" t="b">
        <v>1</v>
      </c>
      <c r="X541" t="n">
        <v>37622.6538</v>
      </c>
      <c r="Y541" t="n">
        <v>76623.5232</v>
      </c>
      <c r="Z541" t="n">
        <v>5601.7166</v>
      </c>
      <c r="AA541" t="n">
        <v>44602.586</v>
      </c>
      <c r="AB541" t="n">
        <v>0.174939</v>
      </c>
      <c r="AC541" t="n">
        <v>1.392919</v>
      </c>
      <c r="AD541" t="inlineStr">
        <is>
          <t>High</t>
        </is>
      </c>
      <c r="AE541" t="inlineStr">
        <is>
          <t>None</t>
        </is>
      </c>
      <c r="AF541" t="n">
        <v>0.95</v>
      </c>
      <c r="AG541" t="inlineStr">
        <is>
          <t>Valid</t>
        </is>
      </c>
    </row>
    <row r="542">
      <c r="A542" t="inlineStr">
        <is>
          <t>SUP-0055</t>
        </is>
      </c>
      <c r="B542" t="inlineStr">
        <is>
          <t>Chemicals Supplier 055</t>
        </is>
      </c>
      <c r="C542" t="inlineStr">
        <is>
          <t>Chemicals</t>
        </is>
      </c>
      <c r="D542" t="n">
        <v>2015</v>
      </c>
      <c r="E542" t="n">
        <v>15360702.47</v>
      </c>
      <c r="F542" t="n">
        <v>108791726.24</v>
      </c>
      <c r="G542" t="n">
        <v>14182.9707</v>
      </c>
      <c r="H542" t="n">
        <v>1769.8946</v>
      </c>
      <c r="I542" t="n">
        <v>2275.3892</v>
      </c>
      <c r="J542" t="n">
        <v>9770.136399999999</v>
      </c>
      <c r="K542" t="n">
        <v>2020</v>
      </c>
      <c r="L542" t="n">
        <v>2040</v>
      </c>
      <c r="M542" t="n">
        <v>0.6136</v>
      </c>
      <c r="N542" t="n">
        <v>0.3724</v>
      </c>
      <c r="O542" t="n">
        <v>2019</v>
      </c>
      <c r="P542" t="n">
        <v>2035</v>
      </c>
      <c r="Q542" t="n">
        <v>0.5229</v>
      </c>
      <c r="R542" t="n">
        <v>506.3191</v>
      </c>
      <c r="S542" t="n">
        <v>0.00100149</v>
      </c>
      <c r="T542" t="n">
        <v>0.00047124</v>
      </c>
      <c r="U542" t="n">
        <v>14182.9707</v>
      </c>
      <c r="V542" t="inlineStr">
        <is>
          <t>Provided Total Emissions</t>
        </is>
      </c>
      <c r="W542" t="b">
        <v>1</v>
      </c>
      <c r="X542" t="n">
        <v>15383.5899</v>
      </c>
      <c r="Y542" t="n">
        <v>51267.0131</v>
      </c>
      <c r="Z542" t="n">
        <v>1200.6192</v>
      </c>
      <c r="AA542" t="n">
        <v>37084.0424</v>
      </c>
      <c r="AB542" t="n">
        <v>0.08465200000000001</v>
      </c>
      <c r="AC542" t="n">
        <v>2.614688</v>
      </c>
      <c r="AD542" t="inlineStr">
        <is>
          <t>High</t>
        </is>
      </c>
      <c r="AE542" t="inlineStr">
        <is>
          <t>None</t>
        </is>
      </c>
      <c r="AF542" t="n">
        <v>0.95</v>
      </c>
      <c r="AG542" t="inlineStr">
        <is>
          <t>Valid</t>
        </is>
      </c>
    </row>
    <row r="543">
      <c r="A543" t="inlineStr">
        <is>
          <t>SUP-0055</t>
        </is>
      </c>
      <c r="B543" t="inlineStr">
        <is>
          <t>Chemicals Supplier 055</t>
        </is>
      </c>
      <c r="C543" t="inlineStr">
        <is>
          <t>Chemicals</t>
        </is>
      </c>
      <c r="D543" t="n">
        <v>2016</v>
      </c>
      <c r="E543" t="n">
        <v>13280878.75</v>
      </c>
      <c r="F543" t="n">
        <v>97986719.2</v>
      </c>
      <c r="G543" t="n">
        <v>11846.4904</v>
      </c>
      <c r="H543" t="n">
        <v>1354.8191</v>
      </c>
      <c r="I543" t="n">
        <v>2261.7928</v>
      </c>
      <c r="J543" t="n">
        <v>7759.0693</v>
      </c>
      <c r="K543" t="n">
        <v>2020</v>
      </c>
      <c r="L543" t="n">
        <v>2040</v>
      </c>
      <c r="M543" t="n">
        <v>0.6136</v>
      </c>
      <c r="N543" t="n">
        <v>0.3724</v>
      </c>
      <c r="O543" t="n">
        <v>2019</v>
      </c>
      <c r="P543" t="n">
        <v>2035</v>
      </c>
      <c r="Q543" t="n">
        <v>0.5229</v>
      </c>
      <c r="R543" t="n">
        <v>506.3191</v>
      </c>
      <c r="S543" t="n">
        <v>0.00100149</v>
      </c>
      <c r="T543" t="n">
        <v>0.00047124</v>
      </c>
      <c r="U543" t="n">
        <v>11846.4904</v>
      </c>
      <c r="V543" t="inlineStr">
        <is>
          <t>Provided Total Emissions</t>
        </is>
      </c>
      <c r="W543" t="b">
        <v>1</v>
      </c>
      <c r="X543" t="n">
        <v>13300.6673</v>
      </c>
      <c r="Y543" t="n">
        <v>46175.2616</v>
      </c>
      <c r="Z543" t="n">
        <v>1454.1769</v>
      </c>
      <c r="AA543" t="n">
        <v>34328.7712</v>
      </c>
      <c r="AB543" t="n">
        <v>0.122752</v>
      </c>
      <c r="AC543" t="n">
        <v>2.897801</v>
      </c>
      <c r="AD543" t="inlineStr">
        <is>
          <t>High</t>
        </is>
      </c>
      <c r="AE543" t="inlineStr">
        <is>
          <t>None</t>
        </is>
      </c>
      <c r="AF543" t="n">
        <v>0.95</v>
      </c>
      <c r="AG543" t="inlineStr">
        <is>
          <t>Valid</t>
        </is>
      </c>
    </row>
    <row r="544">
      <c r="A544" t="inlineStr">
        <is>
          <t>SUP-0055</t>
        </is>
      </c>
      <c r="B544" t="inlineStr">
        <is>
          <t>Chemicals Supplier 055</t>
        </is>
      </c>
      <c r="C544" t="inlineStr">
        <is>
          <t>Chemicals</t>
        </is>
      </c>
      <c r="D544" t="n">
        <v>2017</v>
      </c>
      <c r="E544" t="n">
        <v>13128177.49</v>
      </c>
      <c r="F544" t="n">
        <v>93558931.69</v>
      </c>
      <c r="G544" t="n">
        <v>8274.933999999999</v>
      </c>
      <c r="H544" t="n">
        <v>1428.4879</v>
      </c>
      <c r="I544" t="n">
        <v>1205.4439</v>
      </c>
      <c r="J544" t="n">
        <v>6432.1961</v>
      </c>
      <c r="K544" t="n">
        <v>2020</v>
      </c>
      <c r="L544" t="n">
        <v>2040</v>
      </c>
      <c r="M544" t="n">
        <v>0.6136</v>
      </c>
      <c r="N544" t="n">
        <v>0.3724</v>
      </c>
      <c r="O544" t="n">
        <v>2019</v>
      </c>
      <c r="P544" t="n">
        <v>2035</v>
      </c>
      <c r="Q544" t="n">
        <v>0.5229</v>
      </c>
      <c r="R544" t="n">
        <v>506.3191</v>
      </c>
      <c r="S544" t="n">
        <v>0.00100149</v>
      </c>
      <c r="T544" t="n">
        <v>0.00047124</v>
      </c>
      <c r="U544" t="n">
        <v>8274.933999999999</v>
      </c>
      <c r="V544" t="inlineStr">
        <is>
          <t>Provided Total Emissions</t>
        </is>
      </c>
      <c r="W544" t="b">
        <v>1</v>
      </c>
      <c r="X544" t="n">
        <v>13147.7385</v>
      </c>
      <c r="Y544" t="n">
        <v>44088.711</v>
      </c>
      <c r="Z544" t="n">
        <v>4872.8045</v>
      </c>
      <c r="AA544" t="n">
        <v>35813.777</v>
      </c>
      <c r="AB544" t="n">
        <v>0.588863</v>
      </c>
      <c r="AC544" t="n">
        <v>4.327983</v>
      </c>
      <c r="AD544" t="inlineStr">
        <is>
          <t>High</t>
        </is>
      </c>
      <c r="AE544" t="inlineStr">
        <is>
          <t>None</t>
        </is>
      </c>
      <c r="AF544" t="n">
        <v>0.95</v>
      </c>
      <c r="AG544" t="inlineStr">
        <is>
          <t>Valid</t>
        </is>
      </c>
    </row>
    <row r="545">
      <c r="A545" t="inlineStr">
        <is>
          <t>SUP-0055</t>
        </is>
      </c>
      <c r="B545" t="inlineStr">
        <is>
          <t>Chemicals Supplier 055</t>
        </is>
      </c>
      <c r="C545" t="inlineStr">
        <is>
          <t>Chemicals</t>
        </is>
      </c>
      <c r="D545" t="n">
        <v>2018</v>
      </c>
      <c r="E545" t="n">
        <v>17194683.68</v>
      </c>
      <c r="F545" t="n">
        <v>95727572.56</v>
      </c>
      <c r="G545" t="n">
        <v>15015.5622</v>
      </c>
      <c r="H545" t="n">
        <v>2001.6273</v>
      </c>
      <c r="I545" t="n">
        <v>2504.7764</v>
      </c>
      <c r="J545" t="n">
        <v>9144.1849</v>
      </c>
      <c r="K545" t="n">
        <v>2020</v>
      </c>
      <c r="L545" t="n">
        <v>2040</v>
      </c>
      <c r="M545" t="n">
        <v>0.6136</v>
      </c>
      <c r="N545" t="n">
        <v>0.3724</v>
      </c>
      <c r="O545" t="n">
        <v>2019</v>
      </c>
      <c r="P545" t="n">
        <v>2035</v>
      </c>
      <c r="Q545" t="n">
        <v>0.5229</v>
      </c>
      <c r="R545" t="n">
        <v>506.3191</v>
      </c>
      <c r="S545" t="n">
        <v>0.00100149</v>
      </c>
      <c r="T545" t="n">
        <v>0.00047124</v>
      </c>
      <c r="U545" t="n">
        <v>15015.5622</v>
      </c>
      <c r="V545" t="inlineStr">
        <is>
          <t>Provided Total Emissions</t>
        </is>
      </c>
      <c r="W545" t="b">
        <v>1</v>
      </c>
      <c r="X545" t="n">
        <v>17220.3038</v>
      </c>
      <c r="Y545" t="n">
        <v>45110.6613</v>
      </c>
      <c r="Z545" t="n">
        <v>2204.7416</v>
      </c>
      <c r="AA545" t="n">
        <v>30095.0991</v>
      </c>
      <c r="AB545" t="n">
        <v>0.14683</v>
      </c>
      <c r="AC545" t="n">
        <v>2.004261</v>
      </c>
      <c r="AD545" t="inlineStr">
        <is>
          <t>High</t>
        </is>
      </c>
      <c r="AE545" t="inlineStr">
        <is>
          <t>None</t>
        </is>
      </c>
      <c r="AF545" t="n">
        <v>0.95</v>
      </c>
      <c r="AG545" t="inlineStr">
        <is>
          <t>Valid</t>
        </is>
      </c>
    </row>
    <row r="546">
      <c r="A546" t="inlineStr">
        <is>
          <t>SUP-0055</t>
        </is>
      </c>
      <c r="B546" t="inlineStr">
        <is>
          <t>Chemicals Supplier 055</t>
        </is>
      </c>
      <c r="C546" t="inlineStr">
        <is>
          <t>Chemicals</t>
        </is>
      </c>
      <c r="D546" t="n">
        <v>2019</v>
      </c>
      <c r="E546" t="n">
        <v>12440155.6</v>
      </c>
      <c r="F546" t="n">
        <v>101218713.03</v>
      </c>
      <c r="G546" t="n">
        <v>9048.2636</v>
      </c>
      <c r="H546" t="n">
        <v>1487.0432</v>
      </c>
      <c r="I546" t="n">
        <v>1409.4911</v>
      </c>
      <c r="J546" t="n">
        <v>5518.1337</v>
      </c>
      <c r="K546" t="n">
        <v>2020</v>
      </c>
      <c r="L546" t="n">
        <v>2040</v>
      </c>
      <c r="M546" t="n">
        <v>0.6136</v>
      </c>
      <c r="N546" t="n">
        <v>0.3724</v>
      </c>
      <c r="O546" t="n">
        <v>2019</v>
      </c>
      <c r="P546" t="n">
        <v>2035</v>
      </c>
      <c r="Q546" t="n">
        <v>0.5229</v>
      </c>
      <c r="R546" t="n">
        <v>506.3191</v>
      </c>
      <c r="S546" t="n">
        <v>0.00100149</v>
      </c>
      <c r="T546" t="n">
        <v>0.00047124</v>
      </c>
      <c r="U546" t="n">
        <v>9048.2636</v>
      </c>
      <c r="V546" t="inlineStr">
        <is>
          <t>Provided Total Emissions</t>
        </is>
      </c>
      <c r="W546" t="b">
        <v>1</v>
      </c>
      <c r="X546" t="n">
        <v>12458.6914</v>
      </c>
      <c r="Y546" t="n">
        <v>47698.3063</v>
      </c>
      <c r="Z546" t="n">
        <v>3410.4278</v>
      </c>
      <c r="AA546" t="n">
        <v>38650.0427</v>
      </c>
      <c r="AB546" t="n">
        <v>0.376915</v>
      </c>
      <c r="AC546" t="n">
        <v>4.271543</v>
      </c>
      <c r="AD546" t="inlineStr">
        <is>
          <t>High</t>
        </is>
      </c>
      <c r="AE546" t="inlineStr">
        <is>
          <t>None</t>
        </is>
      </c>
      <c r="AF546" t="n">
        <v>0.95</v>
      </c>
      <c r="AG546" t="inlineStr">
        <is>
          <t>Valid</t>
        </is>
      </c>
    </row>
    <row r="547">
      <c r="A547" t="inlineStr">
        <is>
          <t>SUP-0055</t>
        </is>
      </c>
      <c r="B547" t="inlineStr">
        <is>
          <t>Chemicals Supplier 055</t>
        </is>
      </c>
      <c r="C547" t="inlineStr">
        <is>
          <t>Chemicals</t>
        </is>
      </c>
      <c r="D547" t="n">
        <v>2020</v>
      </c>
      <c r="E547" t="n">
        <v>13026519.25</v>
      </c>
      <c r="F547" t="n">
        <v>84142939.36</v>
      </c>
      <c r="G547" t="n">
        <v>8036.8609</v>
      </c>
      <c r="H547" t="n">
        <v>1914.4284</v>
      </c>
      <c r="I547" t="n">
        <v>1152.5193</v>
      </c>
      <c r="J547" t="n">
        <v>5489.3715</v>
      </c>
      <c r="K547" t="n">
        <v>2020</v>
      </c>
      <c r="L547" t="n">
        <v>2040</v>
      </c>
      <c r="M547" t="n">
        <v>0.6136</v>
      </c>
      <c r="N547" t="n">
        <v>0.3724</v>
      </c>
      <c r="O547" t="n">
        <v>2019</v>
      </c>
      <c r="P547" t="n">
        <v>2035</v>
      </c>
      <c r="Q547" t="n">
        <v>0.5229</v>
      </c>
      <c r="R547" t="n">
        <v>506.3191</v>
      </c>
      <c r="S547" t="n">
        <v>0.00100149</v>
      </c>
      <c r="T547" t="n">
        <v>0.00047124</v>
      </c>
      <c r="U547" t="n">
        <v>8036.8609</v>
      </c>
      <c r="V547" t="inlineStr">
        <is>
          <t>Provided Total Emissions</t>
        </is>
      </c>
      <c r="W547" t="b">
        <v>1</v>
      </c>
      <c r="X547" t="n">
        <v>13045.9288</v>
      </c>
      <c r="Y547" t="n">
        <v>39651.5187</v>
      </c>
      <c r="Z547" t="n">
        <v>5009.0679</v>
      </c>
      <c r="AA547" t="n">
        <v>31614.6578</v>
      </c>
      <c r="AB547" t="n">
        <v>0.623262</v>
      </c>
      <c r="AC547" t="n">
        <v>3.933707</v>
      </c>
      <c r="AD547" t="inlineStr">
        <is>
          <t>High</t>
        </is>
      </c>
      <c r="AE547" t="inlineStr">
        <is>
          <t>None</t>
        </is>
      </c>
      <c r="AF547" t="n">
        <v>0.95</v>
      </c>
      <c r="AG547" t="inlineStr">
        <is>
          <t>Valid</t>
        </is>
      </c>
    </row>
    <row r="548">
      <c r="A548" t="inlineStr">
        <is>
          <t>SUP-0055</t>
        </is>
      </c>
      <c r="B548" t="inlineStr">
        <is>
          <t>Chemicals Supplier 055</t>
        </is>
      </c>
      <c r="C548" t="inlineStr">
        <is>
          <t>Chemicals</t>
        </is>
      </c>
      <c r="D548" t="n">
        <v>2021</v>
      </c>
      <c r="E548" t="n">
        <v>12395562.21</v>
      </c>
      <c r="F548" t="n">
        <v>100833608.13</v>
      </c>
      <c r="G548" t="n">
        <v>13462.2976</v>
      </c>
      <c r="H548" t="n">
        <v>3373.8244</v>
      </c>
      <c r="I548" t="n">
        <v>1525.4619</v>
      </c>
      <c r="J548" t="n">
        <v>8125.8447</v>
      </c>
      <c r="K548" t="n">
        <v>2020</v>
      </c>
      <c r="L548" t="n">
        <v>2040</v>
      </c>
      <c r="M548" t="n">
        <v>0.6136</v>
      </c>
      <c r="N548" t="n">
        <v>0.3724</v>
      </c>
      <c r="O548" t="n">
        <v>2019</v>
      </c>
      <c r="P548" t="n">
        <v>2035</v>
      </c>
      <c r="Q548" t="n">
        <v>0.5229</v>
      </c>
      <c r="R548" t="n">
        <v>506.3191</v>
      </c>
      <c r="S548" t="n">
        <v>0.00100149</v>
      </c>
      <c r="T548" t="n">
        <v>0.00047124</v>
      </c>
      <c r="U548" t="n">
        <v>13462.2976</v>
      </c>
      <c r="V548" t="inlineStr">
        <is>
          <t>Provided Total Emissions</t>
        </is>
      </c>
      <c r="W548" t="b">
        <v>1</v>
      </c>
      <c r="X548" t="n">
        <v>12414.0316</v>
      </c>
      <c r="Y548" t="n">
        <v>47516.8295</v>
      </c>
      <c r="Z548" t="n">
        <v>-1048.266</v>
      </c>
      <c r="AA548" t="n">
        <v>34054.5319</v>
      </c>
      <c r="AB548" t="n">
        <v>-0.07786700000000001</v>
      </c>
      <c r="AC548" t="n">
        <v>2.529623</v>
      </c>
      <c r="AD548" t="inlineStr">
        <is>
          <t>High</t>
        </is>
      </c>
      <c r="AE548" t="inlineStr">
        <is>
          <t>None</t>
        </is>
      </c>
      <c r="AF548" t="n">
        <v>0.95</v>
      </c>
      <c r="AG548" t="inlineStr">
        <is>
          <t>Valid</t>
        </is>
      </c>
    </row>
    <row r="549">
      <c r="A549" t="inlineStr">
        <is>
          <t>SUP-0055</t>
        </is>
      </c>
      <c r="B549" t="inlineStr">
        <is>
          <t>Chemicals Supplier 055</t>
        </is>
      </c>
      <c r="C549" t="inlineStr">
        <is>
          <t>Chemicals</t>
        </is>
      </c>
      <c r="D549" t="n">
        <v>2022</v>
      </c>
      <c r="E549" t="n">
        <v>14092637.24</v>
      </c>
      <c r="F549" t="n">
        <v>111802323.98</v>
      </c>
      <c r="G549" t="n">
        <v>14378.7182</v>
      </c>
      <c r="H549" t="n">
        <v>3269.4798</v>
      </c>
      <c r="I549" t="n">
        <v>2010.0322</v>
      </c>
      <c r="J549" t="n">
        <v>8831.356299999999</v>
      </c>
      <c r="K549" t="n">
        <v>2020</v>
      </c>
      <c r="L549" t="n">
        <v>2040</v>
      </c>
      <c r="M549" t="n">
        <v>0.6136</v>
      </c>
      <c r="N549" t="n">
        <v>0.3724</v>
      </c>
      <c r="O549" t="n">
        <v>2019</v>
      </c>
      <c r="P549" t="n">
        <v>2035</v>
      </c>
      <c r="Q549" t="n">
        <v>0.5229</v>
      </c>
      <c r="R549" t="n">
        <v>506.3191</v>
      </c>
      <c r="S549" t="n">
        <v>0.00100149</v>
      </c>
      <c r="T549" t="n">
        <v>0.00047124</v>
      </c>
      <c r="U549" t="n">
        <v>14378.7182</v>
      </c>
      <c r="V549" t="inlineStr">
        <is>
          <t>Provided Total Emissions</t>
        </is>
      </c>
      <c r="W549" t="b">
        <v>1</v>
      </c>
      <c r="X549" t="n">
        <v>14113.6353</v>
      </c>
      <c r="Y549" t="n">
        <v>52685.7272</v>
      </c>
      <c r="Z549" t="n">
        <v>-265.0829</v>
      </c>
      <c r="AA549" t="n">
        <v>38307.009</v>
      </c>
      <c r="AB549" t="n">
        <v>-0.018436</v>
      </c>
      <c r="AC549" t="n">
        <v>2.664146</v>
      </c>
      <c r="AD549" t="inlineStr">
        <is>
          <t>High</t>
        </is>
      </c>
      <c r="AE549" t="inlineStr">
        <is>
          <t>None</t>
        </is>
      </c>
      <c r="AF549" t="n">
        <v>0.95</v>
      </c>
      <c r="AG549" t="inlineStr">
        <is>
          <t>Valid</t>
        </is>
      </c>
    </row>
    <row r="550">
      <c r="A550" t="inlineStr">
        <is>
          <t>SUP-0055</t>
        </is>
      </c>
      <c r="B550" t="inlineStr">
        <is>
          <t>Chemicals Supplier 055</t>
        </is>
      </c>
      <c r="C550" t="inlineStr">
        <is>
          <t>Chemicals</t>
        </is>
      </c>
      <c r="D550" t="n">
        <v>2023</v>
      </c>
      <c r="E550" t="n">
        <v>12889454.92</v>
      </c>
      <c r="F550" t="n">
        <v>98197472.98</v>
      </c>
      <c r="G550" t="n">
        <v>14313.6755</v>
      </c>
      <c r="H550" t="n">
        <v>1937.1632</v>
      </c>
      <c r="I550" t="n">
        <v>2382.7458</v>
      </c>
      <c r="J550" t="n">
        <v>10405.0512</v>
      </c>
      <c r="K550" t="n">
        <v>2020</v>
      </c>
      <c r="L550" t="n">
        <v>2040</v>
      </c>
      <c r="M550" t="n">
        <v>0.6136</v>
      </c>
      <c r="N550" t="n">
        <v>0.3724</v>
      </c>
      <c r="O550" t="n">
        <v>2019</v>
      </c>
      <c r="P550" t="n">
        <v>2035</v>
      </c>
      <c r="Q550" t="n">
        <v>0.5229</v>
      </c>
      <c r="R550" t="n">
        <v>506.3191</v>
      </c>
      <c r="S550" t="n">
        <v>0.00100149</v>
      </c>
      <c r="T550" t="n">
        <v>0.00047124</v>
      </c>
      <c r="U550" t="n">
        <v>14313.6755</v>
      </c>
      <c r="V550" t="inlineStr">
        <is>
          <t>Provided Total Emissions</t>
        </is>
      </c>
      <c r="W550" t="b">
        <v>1</v>
      </c>
      <c r="X550" t="n">
        <v>12908.6602</v>
      </c>
      <c r="Y550" t="n">
        <v>46274.5772</v>
      </c>
      <c r="Z550" t="n">
        <v>-1405.0153</v>
      </c>
      <c r="AA550" t="n">
        <v>31960.9017</v>
      </c>
      <c r="AB550" t="n">
        <v>-0.098159</v>
      </c>
      <c r="AC550" t="n">
        <v>2.232893</v>
      </c>
      <c r="AD550" t="inlineStr">
        <is>
          <t>High</t>
        </is>
      </c>
      <c r="AE550" t="inlineStr">
        <is>
          <t>None</t>
        </is>
      </c>
      <c r="AF550" t="n">
        <v>0.95</v>
      </c>
      <c r="AG550" t="inlineStr">
        <is>
          <t>Valid</t>
        </is>
      </c>
    </row>
    <row r="551">
      <c r="A551" t="inlineStr">
        <is>
          <t>SUP-0055</t>
        </is>
      </c>
      <c r="B551" t="inlineStr">
        <is>
          <t>Chemicals Supplier 055</t>
        </is>
      </c>
      <c r="C551" t="inlineStr">
        <is>
          <t>Chemicals</t>
        </is>
      </c>
      <c r="D551" t="n">
        <v>2024</v>
      </c>
      <c r="E551" t="n">
        <v>11454992.68</v>
      </c>
      <c r="F551" t="n">
        <v>75753628.87</v>
      </c>
      <c r="G551" t="n">
        <v>7352.1791</v>
      </c>
      <c r="H551" t="n">
        <v>2076.3008</v>
      </c>
      <c r="I551" t="n">
        <v>855.4068</v>
      </c>
      <c r="J551" t="n">
        <v>4718.631</v>
      </c>
      <c r="K551" t="n">
        <v>2020</v>
      </c>
      <c r="L551" t="n">
        <v>2040</v>
      </c>
      <c r="M551" t="n">
        <v>0.6136</v>
      </c>
      <c r="N551" t="n">
        <v>0.3724</v>
      </c>
      <c r="O551" t="n">
        <v>2019</v>
      </c>
      <c r="P551" t="n">
        <v>2035</v>
      </c>
      <c r="Q551" t="n">
        <v>0.5229</v>
      </c>
      <c r="R551" t="n">
        <v>506.3191</v>
      </c>
      <c r="S551" t="n">
        <v>0.00100149</v>
      </c>
      <c r="T551" t="n">
        <v>0.00047124</v>
      </c>
      <c r="U551" t="n">
        <v>7352.1791</v>
      </c>
      <c r="V551" t="inlineStr">
        <is>
          <t>Provided Total Emissions</t>
        </is>
      </c>
      <c r="W551" t="b">
        <v>1</v>
      </c>
      <c r="X551" t="n">
        <v>11472.0606</v>
      </c>
      <c r="Y551" t="n">
        <v>35698.1401</v>
      </c>
      <c r="Z551" t="n">
        <v>4119.8815</v>
      </c>
      <c r="AA551" t="n">
        <v>28345.961</v>
      </c>
      <c r="AB551" t="n">
        <v>0.560362</v>
      </c>
      <c r="AC551" t="n">
        <v>3.85545</v>
      </c>
      <c r="AD551" t="inlineStr">
        <is>
          <t>High</t>
        </is>
      </c>
      <c r="AE551" t="inlineStr">
        <is>
          <t>None</t>
        </is>
      </c>
      <c r="AF551" t="n">
        <v>0.95</v>
      </c>
      <c r="AG551" t="inlineStr">
        <is>
          <t>Valid</t>
        </is>
      </c>
    </row>
    <row r="552">
      <c r="A552" t="inlineStr">
        <is>
          <t>SUP-0056</t>
        </is>
      </c>
      <c r="B552" t="inlineStr">
        <is>
          <t>Metals Supplier 056</t>
        </is>
      </c>
      <c r="C552" t="inlineStr">
        <is>
          <t>Metals</t>
        </is>
      </c>
      <c r="D552" t="n">
        <v>2015</v>
      </c>
      <c r="E552" t="n">
        <v>24788265.03</v>
      </c>
      <c r="F552" t="n">
        <v>35805000.61</v>
      </c>
      <c r="G552" t="n">
        <v>30211.8386</v>
      </c>
      <c r="H552" t="n">
        <v>5000.7136</v>
      </c>
      <c r="I552" t="n">
        <v>5424.0247</v>
      </c>
      <c r="J552" t="n">
        <v>18888.0274</v>
      </c>
      <c r="K552" t="inlineStr"/>
      <c r="L552" t="inlineStr"/>
      <c r="M552" t="inlineStr"/>
      <c r="N552" t="inlineStr"/>
      <c r="O552" t="n">
        <v>2019</v>
      </c>
      <c r="P552" t="n">
        <v>2030</v>
      </c>
      <c r="Q552" t="n">
        <v>0.3852</v>
      </c>
      <c r="R552" t="n">
        <v>158.2904</v>
      </c>
      <c r="S552" t="n">
        <v>0.00100695</v>
      </c>
      <c r="T552" t="n">
        <v>0.00065008</v>
      </c>
      <c r="U552" t="n">
        <v>30211.8386</v>
      </c>
      <c r="V552" t="inlineStr">
        <is>
          <t>Provided Total Emissions</t>
        </is>
      </c>
      <c r="W552" t="b">
        <v>1</v>
      </c>
      <c r="X552" t="n">
        <v>24960.5435</v>
      </c>
      <c r="Y552" t="n">
        <v>23276.1148</v>
      </c>
      <c r="Z552" t="n">
        <v>-5251.2951</v>
      </c>
      <c r="AA552" t="n">
        <v>-6935.7238</v>
      </c>
      <c r="AB552" t="n">
        <v>-0.173816</v>
      </c>
      <c r="AC552" t="n">
        <v>-0.22957</v>
      </c>
      <c r="AD552" t="inlineStr">
        <is>
          <t>High</t>
        </is>
      </c>
      <c r="AE552" t="inlineStr">
        <is>
          <t>None</t>
        </is>
      </c>
      <c r="AF552" t="n">
        <v>0.95</v>
      </c>
      <c r="AG552" t="inlineStr">
        <is>
          <t>Valid</t>
        </is>
      </c>
    </row>
    <row r="553">
      <c r="A553" t="inlineStr">
        <is>
          <t>SUP-0056</t>
        </is>
      </c>
      <c r="B553" t="inlineStr">
        <is>
          <t>Metals Supplier 056</t>
        </is>
      </c>
      <c r="C553" t="inlineStr">
        <is>
          <t>Metals</t>
        </is>
      </c>
      <c r="D553" t="n">
        <v>2016</v>
      </c>
      <c r="E553" t="n">
        <v>26746635.82</v>
      </c>
      <c r="F553" t="n">
        <v>34642005.13</v>
      </c>
      <c r="G553" t="n">
        <v>32234.0325</v>
      </c>
      <c r="H553" t="n">
        <v>9078.015799999999</v>
      </c>
      <c r="I553" t="n">
        <v>3547.9618</v>
      </c>
      <c r="J553" t="n">
        <v>19679.7307</v>
      </c>
      <c r="K553" t="inlineStr"/>
      <c r="L553" t="inlineStr"/>
      <c r="M553" t="inlineStr"/>
      <c r="N553" t="inlineStr"/>
      <c r="O553" t="n">
        <v>2019</v>
      </c>
      <c r="P553" t="n">
        <v>2030</v>
      </c>
      <c r="Q553" t="n">
        <v>0.3852</v>
      </c>
      <c r="R553" t="n">
        <v>158.2904</v>
      </c>
      <c r="S553" t="n">
        <v>0.00100695</v>
      </c>
      <c r="T553" t="n">
        <v>0.00065008</v>
      </c>
      <c r="U553" t="n">
        <v>32234.0325</v>
      </c>
      <c r="V553" t="inlineStr">
        <is>
          <t>Provided Total Emissions</t>
        </is>
      </c>
      <c r="W553" t="b">
        <v>1</v>
      </c>
      <c r="X553" t="n">
        <v>26932.5249</v>
      </c>
      <c r="Y553" t="n">
        <v>22520.0747</v>
      </c>
      <c r="Z553" t="n">
        <v>-5301.5076</v>
      </c>
      <c r="AA553" t="n">
        <v>-9713.9578</v>
      </c>
      <c r="AB553" t="n">
        <v>-0.164469</v>
      </c>
      <c r="AC553" t="n">
        <v>-0.301357</v>
      </c>
      <c r="AD553" t="inlineStr">
        <is>
          <t>High</t>
        </is>
      </c>
      <c r="AE553" t="inlineStr">
        <is>
          <t>None</t>
        </is>
      </c>
      <c r="AF553" t="n">
        <v>0.95</v>
      </c>
      <c r="AG553" t="inlineStr">
        <is>
          <t>Valid</t>
        </is>
      </c>
    </row>
    <row r="554">
      <c r="A554" t="inlineStr">
        <is>
          <t>SUP-0056</t>
        </is>
      </c>
      <c r="B554" t="inlineStr">
        <is>
          <t>Metals Supplier 056</t>
        </is>
      </c>
      <c r="C554" t="inlineStr">
        <is>
          <t>Metals</t>
        </is>
      </c>
      <c r="D554" t="n">
        <v>2017</v>
      </c>
      <c r="E554" t="n">
        <v>23410348.03</v>
      </c>
      <c r="F554" t="n">
        <v>37434903.09</v>
      </c>
      <c r="G554" t="n">
        <v>29160.2751</v>
      </c>
      <c r="H554" t="n">
        <v>3270.027</v>
      </c>
      <c r="I554" t="n">
        <v>2318.7428</v>
      </c>
      <c r="J554" t="n">
        <v>22906.0813</v>
      </c>
      <c r="K554" t="inlineStr"/>
      <c r="L554" t="inlineStr"/>
      <c r="M554" t="inlineStr"/>
      <c r="N554" t="inlineStr"/>
      <c r="O554" t="n">
        <v>2019</v>
      </c>
      <c r="P554" t="n">
        <v>2030</v>
      </c>
      <c r="Q554" t="n">
        <v>0.3852</v>
      </c>
      <c r="R554" t="n">
        <v>158.2904</v>
      </c>
      <c r="S554" t="n">
        <v>0.00100695</v>
      </c>
      <c r="T554" t="n">
        <v>0.00065008</v>
      </c>
      <c r="U554" t="n">
        <v>29160.2751</v>
      </c>
      <c r="V554" t="inlineStr">
        <is>
          <t>Provided Total Emissions</t>
        </is>
      </c>
      <c r="W554" t="b">
        <v>1</v>
      </c>
      <c r="X554" t="n">
        <v>23573.0499</v>
      </c>
      <c r="Y554" t="n">
        <v>24335.6818</v>
      </c>
      <c r="Z554" t="n">
        <v>-5587.2252</v>
      </c>
      <c r="AA554" t="n">
        <v>-4824.5933</v>
      </c>
      <c r="AB554" t="n">
        <v>-0.191604</v>
      </c>
      <c r="AC554" t="n">
        <v>-0.165451</v>
      </c>
      <c r="AD554" t="inlineStr">
        <is>
          <t>High</t>
        </is>
      </c>
      <c r="AE554" t="inlineStr">
        <is>
          <t>None</t>
        </is>
      </c>
      <c r="AF554" t="n">
        <v>0.95</v>
      </c>
      <c r="AG554" t="inlineStr">
        <is>
          <t>Valid</t>
        </is>
      </c>
    </row>
    <row r="555">
      <c r="A555" t="inlineStr">
        <is>
          <t>SUP-0056</t>
        </is>
      </c>
      <c r="B555" t="inlineStr">
        <is>
          <t>Metals Supplier 056</t>
        </is>
      </c>
      <c r="C555" t="inlineStr">
        <is>
          <t>Metals</t>
        </is>
      </c>
      <c r="D555" t="n">
        <v>2018</v>
      </c>
      <c r="E555" t="n">
        <v>27898567.03</v>
      </c>
      <c r="F555" t="n">
        <v>38288053.7</v>
      </c>
      <c r="G555" t="n">
        <v>29861.1749</v>
      </c>
      <c r="H555" t="n">
        <v>7020.0444</v>
      </c>
      <c r="I555" t="n">
        <v>1747.5098</v>
      </c>
      <c r="J555" t="n">
        <v>19182.1247</v>
      </c>
      <c r="K555" t="inlineStr"/>
      <c r="L555" t="inlineStr"/>
      <c r="M555" t="inlineStr"/>
      <c r="N555" t="inlineStr"/>
      <c r="O555" t="n">
        <v>2019</v>
      </c>
      <c r="P555" t="n">
        <v>2030</v>
      </c>
      <c r="Q555" t="n">
        <v>0.3852</v>
      </c>
      <c r="R555" t="n">
        <v>158.2904</v>
      </c>
      <c r="S555" t="n">
        <v>0.00100695</v>
      </c>
      <c r="T555" t="n">
        <v>0.00065008</v>
      </c>
      <c r="U555" t="n">
        <v>29861.1749</v>
      </c>
      <c r="V555" t="inlineStr">
        <is>
          <t>Provided Total Emissions</t>
        </is>
      </c>
      <c r="W555" t="b">
        <v>1</v>
      </c>
      <c r="X555" t="n">
        <v>28092.4621</v>
      </c>
      <c r="Y555" t="n">
        <v>24890.2979</v>
      </c>
      <c r="Z555" t="n">
        <v>-1768.7128</v>
      </c>
      <c r="AA555" t="n">
        <v>-4970.877</v>
      </c>
      <c r="AB555" t="n">
        <v>-0.059231</v>
      </c>
      <c r="AC555" t="n">
        <v>-0.166466</v>
      </c>
      <c r="AD555" t="inlineStr">
        <is>
          <t>High</t>
        </is>
      </c>
      <c r="AE555" t="inlineStr">
        <is>
          <t>None</t>
        </is>
      </c>
      <c r="AF555" t="n">
        <v>0.95</v>
      </c>
      <c r="AG555" t="inlineStr">
        <is>
          <t>Valid</t>
        </is>
      </c>
    </row>
    <row r="556">
      <c r="A556" t="inlineStr">
        <is>
          <t>SUP-0056</t>
        </is>
      </c>
      <c r="B556" t="inlineStr">
        <is>
          <t>Metals Supplier 056</t>
        </is>
      </c>
      <c r="C556" t="inlineStr">
        <is>
          <t>Metals</t>
        </is>
      </c>
      <c r="D556" t="n">
        <v>2019</v>
      </c>
      <c r="E556" t="n">
        <v>24172786.93</v>
      </c>
      <c r="F556" t="n">
        <v>44504176.75</v>
      </c>
      <c r="G556" t="n">
        <v>23989.0765</v>
      </c>
      <c r="H556" t="n">
        <v>3829.1191</v>
      </c>
      <c r="I556" t="n">
        <v>4764.2654</v>
      </c>
      <c r="J556" t="n">
        <v>16584.1913</v>
      </c>
      <c r="K556" t="inlineStr"/>
      <c r="L556" t="inlineStr"/>
      <c r="M556" t="inlineStr"/>
      <c r="N556" t="inlineStr"/>
      <c r="O556" t="n">
        <v>2019</v>
      </c>
      <c r="P556" t="n">
        <v>2030</v>
      </c>
      <c r="Q556" t="n">
        <v>0.3852</v>
      </c>
      <c r="R556" t="n">
        <v>158.2904</v>
      </c>
      <c r="S556" t="n">
        <v>0.00100695</v>
      </c>
      <c r="T556" t="n">
        <v>0.00065008</v>
      </c>
      <c r="U556" t="n">
        <v>23989.0765</v>
      </c>
      <c r="V556" t="inlineStr">
        <is>
          <t>Provided Total Emissions</t>
        </is>
      </c>
      <c r="W556" t="b">
        <v>1</v>
      </c>
      <c r="X556" t="n">
        <v>24340.7878</v>
      </c>
      <c r="Y556" t="n">
        <v>28931.2752</v>
      </c>
      <c r="Z556" t="n">
        <v>351.7113</v>
      </c>
      <c r="AA556" t="n">
        <v>4942.1987</v>
      </c>
      <c r="AB556" t="n">
        <v>0.014661</v>
      </c>
      <c r="AC556" t="n">
        <v>0.206019</v>
      </c>
      <c r="AD556" t="inlineStr">
        <is>
          <t>High</t>
        </is>
      </c>
      <c r="AE556" t="inlineStr">
        <is>
          <t>None</t>
        </is>
      </c>
      <c r="AF556" t="n">
        <v>0.95</v>
      </c>
      <c r="AG556" t="inlineStr">
        <is>
          <t>Valid</t>
        </is>
      </c>
    </row>
    <row r="557">
      <c r="A557" t="inlineStr">
        <is>
          <t>SUP-0056</t>
        </is>
      </c>
      <c r="B557" t="inlineStr">
        <is>
          <t>Metals Supplier 056</t>
        </is>
      </c>
      <c r="C557" t="inlineStr">
        <is>
          <t>Metals</t>
        </is>
      </c>
      <c r="D557" t="n">
        <v>2020</v>
      </c>
      <c r="E557" t="n">
        <v>25660326</v>
      </c>
      <c r="F557" t="n">
        <v>43987409.06</v>
      </c>
      <c r="G557" t="n">
        <v>26368.1929</v>
      </c>
      <c r="H557" t="n">
        <v>5567.7745</v>
      </c>
      <c r="I557" t="n">
        <v>3718.4461</v>
      </c>
      <c r="J557" t="n">
        <v>15983.7034</v>
      </c>
      <c r="K557" t="inlineStr"/>
      <c r="L557" t="inlineStr"/>
      <c r="M557" t="inlineStr"/>
      <c r="N557" t="inlineStr"/>
      <c r="O557" t="n">
        <v>2019</v>
      </c>
      <c r="P557" t="n">
        <v>2030</v>
      </c>
      <c r="Q557" t="n">
        <v>0.3852</v>
      </c>
      <c r="R557" t="n">
        <v>158.2904</v>
      </c>
      <c r="S557" t="n">
        <v>0.00100695</v>
      </c>
      <c r="T557" t="n">
        <v>0.00065008</v>
      </c>
      <c r="U557" t="n">
        <v>26368.1929</v>
      </c>
      <c r="V557" t="inlineStr">
        <is>
          <t>Provided Total Emissions</t>
        </is>
      </c>
      <c r="W557" t="b">
        <v>1</v>
      </c>
      <c r="X557" t="n">
        <v>25838.6653</v>
      </c>
      <c r="Y557" t="n">
        <v>28595.3349</v>
      </c>
      <c r="Z557" t="n">
        <v>-529.5276</v>
      </c>
      <c r="AA557" t="n">
        <v>2227.142</v>
      </c>
      <c r="AB557" t="n">
        <v>-0.020082</v>
      </c>
      <c r="AC557" t="n">
        <v>0.084463</v>
      </c>
      <c r="AD557" t="inlineStr">
        <is>
          <t>High</t>
        </is>
      </c>
      <c r="AE557" t="inlineStr">
        <is>
          <t>None</t>
        </is>
      </c>
      <c r="AF557" t="n">
        <v>0.95</v>
      </c>
      <c r="AG557" t="inlineStr">
        <is>
          <t>Valid</t>
        </is>
      </c>
    </row>
    <row r="558">
      <c r="A558" t="inlineStr">
        <is>
          <t>SUP-0056</t>
        </is>
      </c>
      <c r="B558" t="inlineStr">
        <is>
          <t>Metals Supplier 056</t>
        </is>
      </c>
      <c r="C558" t="inlineStr">
        <is>
          <t>Metals</t>
        </is>
      </c>
      <c r="D558" t="n">
        <v>2021</v>
      </c>
      <c r="E558" t="n">
        <v>29078595.26</v>
      </c>
      <c r="F558" t="n">
        <v>39281156.45</v>
      </c>
      <c r="G558" t="n">
        <v>22025.9685</v>
      </c>
      <c r="H558" t="n">
        <v>4832.9731</v>
      </c>
      <c r="I558" t="n">
        <v>2989.0134</v>
      </c>
      <c r="J558" t="n">
        <v>15477.7787</v>
      </c>
      <c r="K558" t="inlineStr"/>
      <c r="L558" t="inlineStr"/>
      <c r="M558" t="inlineStr"/>
      <c r="N558" t="inlineStr"/>
      <c r="O558" t="n">
        <v>2019</v>
      </c>
      <c r="P558" t="n">
        <v>2030</v>
      </c>
      <c r="Q558" t="n">
        <v>0.3852</v>
      </c>
      <c r="R558" t="n">
        <v>158.2904</v>
      </c>
      <c r="S558" t="n">
        <v>0.00100695</v>
      </c>
      <c r="T558" t="n">
        <v>0.00065008</v>
      </c>
      <c r="U558" t="n">
        <v>22025.9685</v>
      </c>
      <c r="V558" t="inlineStr">
        <is>
          <t>Provided Total Emissions</t>
        </is>
      </c>
      <c r="W558" t="b">
        <v>1</v>
      </c>
      <c r="X558" t="n">
        <v>29280.6915</v>
      </c>
      <c r="Y558" t="n">
        <v>25535.8942</v>
      </c>
      <c r="Z558" t="n">
        <v>7254.723</v>
      </c>
      <c r="AA558" t="n">
        <v>3509.9257</v>
      </c>
      <c r="AB558" t="n">
        <v>0.329371</v>
      </c>
      <c r="AC558" t="n">
        <v>0.159354</v>
      </c>
      <c r="AD558" t="inlineStr">
        <is>
          <t>High</t>
        </is>
      </c>
      <c r="AE558" t="inlineStr">
        <is>
          <t>None</t>
        </is>
      </c>
      <c r="AF558" t="n">
        <v>0.95</v>
      </c>
      <c r="AG558" t="inlineStr">
        <is>
          <t>Valid</t>
        </is>
      </c>
    </row>
    <row r="559">
      <c r="A559" t="inlineStr">
        <is>
          <t>SUP-0056</t>
        </is>
      </c>
      <c r="B559" t="inlineStr">
        <is>
          <t>Metals Supplier 056</t>
        </is>
      </c>
      <c r="C559" t="inlineStr">
        <is>
          <t>Metals</t>
        </is>
      </c>
      <c r="D559" t="n">
        <v>2022</v>
      </c>
      <c r="E559" t="n">
        <v>34183007.73</v>
      </c>
      <c r="F559" t="n">
        <v>42143005.81</v>
      </c>
      <c r="G559" t="n">
        <v>35216.3145</v>
      </c>
      <c r="H559" t="n">
        <v>4727.8462</v>
      </c>
      <c r="I559" t="n">
        <v>1965.5305</v>
      </c>
      <c r="J559" t="n">
        <v>28685.2208</v>
      </c>
      <c r="K559" t="inlineStr"/>
      <c r="L559" t="inlineStr"/>
      <c r="M559" t="inlineStr"/>
      <c r="N559" t="inlineStr"/>
      <c r="O559" t="n">
        <v>2019</v>
      </c>
      <c r="P559" t="n">
        <v>2030</v>
      </c>
      <c r="Q559" t="n">
        <v>0.3852</v>
      </c>
      <c r="R559" t="n">
        <v>158.2904</v>
      </c>
      <c r="S559" t="n">
        <v>0.00100695</v>
      </c>
      <c r="T559" t="n">
        <v>0.00065008</v>
      </c>
      <c r="U559" t="n">
        <v>35216.3145</v>
      </c>
      <c r="V559" t="inlineStr">
        <is>
          <t>Provided Total Emissions</t>
        </is>
      </c>
      <c r="W559" t="b">
        <v>1</v>
      </c>
      <c r="X559" t="n">
        <v>34420.5796</v>
      </c>
      <c r="Y559" t="n">
        <v>27396.3252</v>
      </c>
      <c r="Z559" t="n">
        <v>-795.7349</v>
      </c>
      <c r="AA559" t="n">
        <v>-7819.9893</v>
      </c>
      <c r="AB559" t="n">
        <v>-0.022596</v>
      </c>
      <c r="AC559" t="n">
        <v>-0.222056</v>
      </c>
      <c r="AD559" t="inlineStr">
        <is>
          <t>High</t>
        </is>
      </c>
      <c r="AE559" t="inlineStr">
        <is>
          <t>None</t>
        </is>
      </c>
      <c r="AF559" t="n">
        <v>0.95</v>
      </c>
      <c r="AG559" t="inlineStr">
        <is>
          <t>Valid</t>
        </is>
      </c>
    </row>
    <row r="560">
      <c r="A560" t="inlineStr">
        <is>
          <t>SUP-0056</t>
        </is>
      </c>
      <c r="B560" t="inlineStr">
        <is>
          <t>Metals Supplier 056</t>
        </is>
      </c>
      <c r="C560" t="inlineStr">
        <is>
          <t>Metals</t>
        </is>
      </c>
      <c r="D560" t="n">
        <v>2023</v>
      </c>
      <c r="E560" t="n">
        <v>34503702.37</v>
      </c>
      <c r="F560" t="n">
        <v>54819733.04</v>
      </c>
      <c r="G560" t="n">
        <v>32421.3742</v>
      </c>
      <c r="H560" t="n">
        <v>4294.5674</v>
      </c>
      <c r="I560" t="n">
        <v>2382.2716</v>
      </c>
      <c r="J560" t="n">
        <v>26487.9908</v>
      </c>
      <c r="K560" t="inlineStr"/>
      <c r="L560" t="inlineStr"/>
      <c r="M560" t="inlineStr"/>
      <c r="N560" t="inlineStr"/>
      <c r="O560" t="n">
        <v>2019</v>
      </c>
      <c r="P560" t="n">
        <v>2030</v>
      </c>
      <c r="Q560" t="n">
        <v>0.3852</v>
      </c>
      <c r="R560" t="n">
        <v>158.2904</v>
      </c>
      <c r="S560" t="n">
        <v>0.00100695</v>
      </c>
      <c r="T560" t="n">
        <v>0.00065008</v>
      </c>
      <c r="U560" t="n">
        <v>32421.3742</v>
      </c>
      <c r="V560" t="inlineStr">
        <is>
          <t>Provided Total Emissions</t>
        </is>
      </c>
      <c r="W560" t="b">
        <v>1</v>
      </c>
      <c r="X560" t="n">
        <v>34743.5031</v>
      </c>
      <c r="Y560" t="n">
        <v>35637.2121</v>
      </c>
      <c r="Z560" t="n">
        <v>2322.1289</v>
      </c>
      <c r="AA560" t="n">
        <v>3215.8379</v>
      </c>
      <c r="AB560" t="n">
        <v>0.07162300000000001</v>
      </c>
      <c r="AC560" t="n">
        <v>0.099189</v>
      </c>
      <c r="AD560" t="inlineStr">
        <is>
          <t>High</t>
        </is>
      </c>
      <c r="AE560" t="inlineStr">
        <is>
          <t>None</t>
        </is>
      </c>
      <c r="AF560" t="n">
        <v>0.95</v>
      </c>
      <c r="AG560" t="inlineStr">
        <is>
          <t>Valid</t>
        </is>
      </c>
    </row>
    <row r="561">
      <c r="A561" t="inlineStr">
        <is>
          <t>SUP-0056</t>
        </is>
      </c>
      <c r="B561" t="inlineStr">
        <is>
          <t>Metals Supplier 056</t>
        </is>
      </c>
      <c r="C561" t="inlineStr">
        <is>
          <t>Metals</t>
        </is>
      </c>
      <c r="D561" t="n">
        <v>2024</v>
      </c>
      <c r="E561" t="n">
        <v>35680319.64</v>
      </c>
      <c r="F561" t="n">
        <v>60380635.83</v>
      </c>
      <c r="G561" t="n">
        <v>30237.7557</v>
      </c>
      <c r="H561" t="n">
        <v>3770.1001</v>
      </c>
      <c r="I561" t="n">
        <v>2423.3846</v>
      </c>
      <c r="J561" t="n">
        <v>24044.0953</v>
      </c>
      <c r="K561" t="inlineStr"/>
      <c r="L561" t="inlineStr"/>
      <c r="M561" t="inlineStr"/>
      <c r="N561" t="inlineStr"/>
      <c r="O561" t="n">
        <v>2019</v>
      </c>
      <c r="P561" t="n">
        <v>2030</v>
      </c>
      <c r="Q561" t="n">
        <v>0.3852</v>
      </c>
      <c r="R561" t="n">
        <v>158.2904</v>
      </c>
      <c r="S561" t="n">
        <v>0.00100695</v>
      </c>
      <c r="T561" t="n">
        <v>0.00065008</v>
      </c>
      <c r="U561" t="n">
        <v>30237.7557</v>
      </c>
      <c r="V561" t="inlineStr">
        <is>
          <t>Provided Total Emissions</t>
        </is>
      </c>
      <c r="W561" t="b">
        <v>1</v>
      </c>
      <c r="X561" t="n">
        <v>35928.2979</v>
      </c>
      <c r="Y561" t="n">
        <v>39252.2437</v>
      </c>
      <c r="Z561" t="n">
        <v>5690.5422</v>
      </c>
      <c r="AA561" t="n">
        <v>9014.487999999999</v>
      </c>
      <c r="AB561" t="n">
        <v>0.188193</v>
      </c>
      <c r="AC561" t="n">
        <v>0.29812</v>
      </c>
      <c r="AD561" t="inlineStr">
        <is>
          <t>High</t>
        </is>
      </c>
      <c r="AE561" t="inlineStr">
        <is>
          <t>None</t>
        </is>
      </c>
      <c r="AF561" t="n">
        <v>0.95</v>
      </c>
      <c r="AG561" t="inlineStr">
        <is>
          <t>Valid</t>
        </is>
      </c>
    </row>
    <row r="562">
      <c r="A562" t="inlineStr">
        <is>
          <t>SUP-0057</t>
        </is>
      </c>
      <c r="B562" t="inlineStr">
        <is>
          <t>Logistics Supplier 057</t>
        </is>
      </c>
      <c r="C562" t="inlineStr">
        <is>
          <t>Logistics</t>
        </is>
      </c>
      <c r="D562" t="n">
        <v>2015</v>
      </c>
      <c r="E562" t="n">
        <v>2997470.91</v>
      </c>
      <c r="F562" t="n">
        <v>22353512.63</v>
      </c>
      <c r="G562" t="n">
        <v>541.5365</v>
      </c>
      <c r="H562" t="n">
        <v>42.2745</v>
      </c>
      <c r="I562" t="n">
        <v>67.6764</v>
      </c>
      <c r="J562" t="n">
        <v>408.7327</v>
      </c>
      <c r="K562" t="inlineStr"/>
      <c r="L562" t="inlineStr"/>
      <c r="M562" t="inlineStr"/>
      <c r="N562" t="inlineStr"/>
      <c r="O562" t="n">
        <v>2019</v>
      </c>
      <c r="P562" t="n">
        <v>2040</v>
      </c>
      <c r="Q562" t="n">
        <v>0.4616</v>
      </c>
      <c r="R562" t="n">
        <v>591.6386</v>
      </c>
      <c r="S562" t="n">
        <v>0.00022349</v>
      </c>
      <c r="T562" t="n">
        <v>0.00047787</v>
      </c>
      <c r="U562" t="n">
        <v>541.5365</v>
      </c>
      <c r="V562" t="inlineStr">
        <is>
          <t>Provided Total Emissions</t>
        </is>
      </c>
      <c r="W562" t="b">
        <v>1</v>
      </c>
      <c r="X562" t="n">
        <v>669.9048</v>
      </c>
      <c r="Y562" t="n">
        <v>10682.0731</v>
      </c>
      <c r="Z562" t="n">
        <v>128.3683</v>
      </c>
      <c r="AA562" t="n">
        <v>10140.5366</v>
      </c>
      <c r="AB562" t="n">
        <v>0.237045</v>
      </c>
      <c r="AC562" t="n">
        <v>18.72549</v>
      </c>
      <c r="AD562" t="inlineStr">
        <is>
          <t>High</t>
        </is>
      </c>
      <c r="AE562" t="inlineStr">
        <is>
          <t>None</t>
        </is>
      </c>
      <c r="AF562" t="n">
        <v>0.95</v>
      </c>
      <c r="AG562" t="inlineStr">
        <is>
          <t>Valid</t>
        </is>
      </c>
    </row>
    <row r="563">
      <c r="A563" t="inlineStr">
        <is>
          <t>SUP-0057</t>
        </is>
      </c>
      <c r="B563" t="inlineStr">
        <is>
          <t>Logistics Supplier 057</t>
        </is>
      </c>
      <c r="C563" t="inlineStr">
        <is>
          <t>Logistics</t>
        </is>
      </c>
      <c r="D563" t="n">
        <v>2016</v>
      </c>
      <c r="E563" t="n">
        <v>3211728.68</v>
      </c>
      <c r="F563" t="n">
        <v>23528609.95</v>
      </c>
      <c r="G563" t="n">
        <v>593.454</v>
      </c>
      <c r="H563" t="n">
        <v>146.5503</v>
      </c>
      <c r="I563" t="n">
        <v>86.00790000000001</v>
      </c>
      <c r="J563" t="n">
        <v>357.2743</v>
      </c>
      <c r="K563" t="inlineStr"/>
      <c r="L563" t="inlineStr"/>
      <c r="M563" t="inlineStr"/>
      <c r="N563" t="inlineStr"/>
      <c r="O563" t="n">
        <v>2019</v>
      </c>
      <c r="P563" t="n">
        <v>2040</v>
      </c>
      <c r="Q563" t="n">
        <v>0.4616</v>
      </c>
      <c r="R563" t="n">
        <v>591.6386</v>
      </c>
      <c r="S563" t="n">
        <v>0.00022349</v>
      </c>
      <c r="T563" t="n">
        <v>0.00047787</v>
      </c>
      <c r="U563" t="n">
        <v>593.454</v>
      </c>
      <c r="V563" t="inlineStr">
        <is>
          <t>Provided Total Emissions</t>
        </is>
      </c>
      <c r="W563" t="b">
        <v>1</v>
      </c>
      <c r="X563" t="n">
        <v>717.7892000000001</v>
      </c>
      <c r="Y563" t="n">
        <v>11243.6168</v>
      </c>
      <c r="Z563" t="n">
        <v>124.3352</v>
      </c>
      <c r="AA563" t="n">
        <v>10650.1628</v>
      </c>
      <c r="AB563" t="n">
        <v>0.209511</v>
      </c>
      <c r="AC563" t="n">
        <v>17.946063</v>
      </c>
      <c r="AD563" t="inlineStr">
        <is>
          <t>High</t>
        </is>
      </c>
      <c r="AE563" t="inlineStr">
        <is>
          <t>None</t>
        </is>
      </c>
      <c r="AF563" t="n">
        <v>0.95</v>
      </c>
      <c r="AG563" t="inlineStr">
        <is>
          <t>Valid</t>
        </is>
      </c>
    </row>
    <row r="564">
      <c r="A564" t="inlineStr">
        <is>
          <t>SUP-0057</t>
        </is>
      </c>
      <c r="B564" t="inlineStr">
        <is>
          <t>Logistics Supplier 057</t>
        </is>
      </c>
      <c r="C564" t="inlineStr">
        <is>
          <t>Logistics</t>
        </is>
      </c>
      <c r="D564" t="n">
        <v>2017</v>
      </c>
      <c r="E564" t="n">
        <v>3098948.54</v>
      </c>
      <c r="F564" t="n">
        <v>25255670.02</v>
      </c>
      <c r="G564" t="n">
        <v>412.4154</v>
      </c>
      <c r="H564" t="n">
        <v>50.4203</v>
      </c>
      <c r="I564" t="n">
        <v>44.5818</v>
      </c>
      <c r="J564" t="n">
        <v>313.2603</v>
      </c>
      <c r="K564" t="inlineStr"/>
      <c r="L564" t="inlineStr"/>
      <c r="M564" t="inlineStr"/>
      <c r="N564" t="inlineStr"/>
      <c r="O564" t="n">
        <v>2019</v>
      </c>
      <c r="P564" t="n">
        <v>2040</v>
      </c>
      <c r="Q564" t="n">
        <v>0.4616</v>
      </c>
      <c r="R564" t="n">
        <v>591.6386</v>
      </c>
      <c r="S564" t="n">
        <v>0.00022349</v>
      </c>
      <c r="T564" t="n">
        <v>0.00047787</v>
      </c>
      <c r="U564" t="n">
        <v>412.4154</v>
      </c>
      <c r="V564" t="inlineStr">
        <is>
          <t>Provided Total Emissions</t>
        </is>
      </c>
      <c r="W564" t="b">
        <v>1</v>
      </c>
      <c r="X564" t="n">
        <v>692.5839999999999</v>
      </c>
      <c r="Y564" t="n">
        <v>12068.927</v>
      </c>
      <c r="Z564" t="n">
        <v>280.1686</v>
      </c>
      <c r="AA564" t="n">
        <v>11656.5116</v>
      </c>
      <c r="AB564" t="n">
        <v>0.6793360000000001</v>
      </c>
      <c r="AC564" t="n">
        <v>28.264007</v>
      </c>
      <c r="AD564" t="inlineStr">
        <is>
          <t>High</t>
        </is>
      </c>
      <c r="AE564" t="inlineStr">
        <is>
          <t>None</t>
        </is>
      </c>
      <c r="AF564" t="n">
        <v>0.95</v>
      </c>
      <c r="AG564" t="inlineStr">
        <is>
          <t>Valid</t>
        </is>
      </c>
    </row>
    <row r="565">
      <c r="A565" t="inlineStr">
        <is>
          <t>SUP-0057</t>
        </is>
      </c>
      <c r="B565" t="inlineStr">
        <is>
          <t>Logistics Supplier 057</t>
        </is>
      </c>
      <c r="C565" t="inlineStr">
        <is>
          <t>Logistics</t>
        </is>
      </c>
      <c r="D565" t="n">
        <v>2018</v>
      </c>
      <c r="E565" t="n">
        <v>2933450.7</v>
      </c>
      <c r="F565" t="n">
        <v>23712140.26</v>
      </c>
      <c r="G565" t="n">
        <v>500.5962</v>
      </c>
      <c r="H565" t="n">
        <v>110.2448</v>
      </c>
      <c r="I565" t="n">
        <v>74.3186</v>
      </c>
      <c r="J565" t="n">
        <v>323.9925</v>
      </c>
      <c r="K565" t="inlineStr"/>
      <c r="L565" t="inlineStr"/>
      <c r="M565" t="inlineStr"/>
      <c r="N565" t="inlineStr"/>
      <c r="O565" t="n">
        <v>2019</v>
      </c>
      <c r="P565" t="n">
        <v>2040</v>
      </c>
      <c r="Q565" t="n">
        <v>0.4616</v>
      </c>
      <c r="R565" t="n">
        <v>591.6386</v>
      </c>
      <c r="S565" t="n">
        <v>0.00022349</v>
      </c>
      <c r="T565" t="n">
        <v>0.00047787</v>
      </c>
      <c r="U565" t="n">
        <v>500.5962</v>
      </c>
      <c r="V565" t="inlineStr">
        <is>
          <t>Provided Total Emissions</t>
        </is>
      </c>
      <c r="W565" t="b">
        <v>1</v>
      </c>
      <c r="X565" t="n">
        <v>655.5969</v>
      </c>
      <c r="Y565" t="n">
        <v>11331.3205</v>
      </c>
      <c r="Z565" t="n">
        <v>155.0007</v>
      </c>
      <c r="AA565" t="n">
        <v>10830.7243</v>
      </c>
      <c r="AB565" t="n">
        <v>0.309632</v>
      </c>
      <c r="AC565" t="n">
        <v>21.63565</v>
      </c>
      <c r="AD565" t="inlineStr">
        <is>
          <t>High</t>
        </is>
      </c>
      <c r="AE565" t="inlineStr">
        <is>
          <t>None</t>
        </is>
      </c>
      <c r="AF565" t="n">
        <v>0.95</v>
      </c>
      <c r="AG565" t="inlineStr">
        <is>
          <t>Valid</t>
        </is>
      </c>
    </row>
    <row r="566">
      <c r="A566" t="inlineStr">
        <is>
          <t>SUP-0057</t>
        </is>
      </c>
      <c r="B566" t="inlineStr">
        <is>
          <t>Logistics Supplier 057</t>
        </is>
      </c>
      <c r="C566" t="inlineStr">
        <is>
          <t>Logistics</t>
        </is>
      </c>
      <c r="D566" t="n">
        <v>2019</v>
      </c>
      <c r="E566" t="n">
        <v>3051566.85</v>
      </c>
      <c r="F566" t="n">
        <v>24305708.8</v>
      </c>
      <c r="G566" t="n">
        <v>460.5049</v>
      </c>
      <c r="H566" t="n">
        <v>45.2501</v>
      </c>
      <c r="I566" t="n">
        <v>84.9969</v>
      </c>
      <c r="J566" t="n">
        <v>298.6384</v>
      </c>
      <c r="K566" t="inlineStr"/>
      <c r="L566" t="inlineStr"/>
      <c r="M566" t="inlineStr"/>
      <c r="N566" t="inlineStr"/>
      <c r="O566" t="n">
        <v>2019</v>
      </c>
      <c r="P566" t="n">
        <v>2040</v>
      </c>
      <c r="Q566" t="n">
        <v>0.4616</v>
      </c>
      <c r="R566" t="n">
        <v>591.6386</v>
      </c>
      <c r="S566" t="n">
        <v>0.00022349</v>
      </c>
      <c r="T566" t="n">
        <v>0.00047787</v>
      </c>
      <c r="U566" t="n">
        <v>460.5049</v>
      </c>
      <c r="V566" t="inlineStr">
        <is>
          <t>Provided Total Emissions</t>
        </is>
      </c>
      <c r="W566" t="b">
        <v>1</v>
      </c>
      <c r="X566" t="n">
        <v>681.9947</v>
      </c>
      <c r="Y566" t="n">
        <v>11614.9691</v>
      </c>
      <c r="Z566" t="n">
        <v>221.4898</v>
      </c>
      <c r="AA566" t="n">
        <v>11154.4642</v>
      </c>
      <c r="AB566" t="n">
        <v>0.480972</v>
      </c>
      <c r="AC566" t="n">
        <v>24.222249</v>
      </c>
      <c r="AD566" t="inlineStr">
        <is>
          <t>High</t>
        </is>
      </c>
      <c r="AE566" t="inlineStr">
        <is>
          <t>None</t>
        </is>
      </c>
      <c r="AF566" t="n">
        <v>0.95</v>
      </c>
      <c r="AG566" t="inlineStr">
        <is>
          <t>Valid</t>
        </is>
      </c>
    </row>
    <row r="567">
      <c r="A567" t="inlineStr">
        <is>
          <t>SUP-0057</t>
        </is>
      </c>
      <c r="B567" t="inlineStr">
        <is>
          <t>Logistics Supplier 057</t>
        </is>
      </c>
      <c r="C567" t="inlineStr">
        <is>
          <t>Logistics</t>
        </is>
      </c>
      <c r="D567" t="n">
        <v>2020</v>
      </c>
      <c r="E567" t="n">
        <v>3592089.14</v>
      </c>
      <c r="F567" t="n">
        <v>37187696.98</v>
      </c>
      <c r="G567" t="n">
        <v>529.3278</v>
      </c>
      <c r="H567" t="n">
        <v>93.2388</v>
      </c>
      <c r="I567" t="n">
        <v>67.7513</v>
      </c>
      <c r="J567" t="n">
        <v>351.7008</v>
      </c>
      <c r="K567" t="inlineStr"/>
      <c r="L567" t="inlineStr"/>
      <c r="M567" t="inlineStr"/>
      <c r="N567" t="inlineStr"/>
      <c r="O567" t="n">
        <v>2019</v>
      </c>
      <c r="P567" t="n">
        <v>2040</v>
      </c>
      <c r="Q567" t="n">
        <v>0.4616</v>
      </c>
      <c r="R567" t="n">
        <v>591.6386</v>
      </c>
      <c r="S567" t="n">
        <v>0.00022349</v>
      </c>
      <c r="T567" t="n">
        <v>0.00047787</v>
      </c>
      <c r="U567" t="n">
        <v>529.3278</v>
      </c>
      <c r="V567" t="inlineStr">
        <is>
          <t>Provided Total Emissions</t>
        </is>
      </c>
      <c r="W567" t="b">
        <v>1</v>
      </c>
      <c r="X567" t="n">
        <v>802.796</v>
      </c>
      <c r="Y567" t="n">
        <v>17770.8848</v>
      </c>
      <c r="Z567" t="n">
        <v>273.4682</v>
      </c>
      <c r="AA567" t="n">
        <v>17241.557</v>
      </c>
      <c r="AB567" t="n">
        <v>0.516633</v>
      </c>
      <c r="AC567" t="n">
        <v>32.572551</v>
      </c>
      <c r="AD567" t="inlineStr">
        <is>
          <t>High</t>
        </is>
      </c>
      <c r="AE567" t="inlineStr">
        <is>
          <t>None</t>
        </is>
      </c>
      <c r="AF567" t="n">
        <v>0.95</v>
      </c>
      <c r="AG567" t="inlineStr">
        <is>
          <t>Valid</t>
        </is>
      </c>
    </row>
    <row r="568">
      <c r="A568" t="inlineStr">
        <is>
          <t>SUP-0057</t>
        </is>
      </c>
      <c r="B568" t="inlineStr">
        <is>
          <t>Logistics Supplier 057</t>
        </is>
      </c>
      <c r="C568" t="inlineStr">
        <is>
          <t>Logistics</t>
        </is>
      </c>
      <c r="D568" t="n">
        <v>2021</v>
      </c>
      <c r="E568" t="n">
        <v>3101178.76</v>
      </c>
      <c r="F568" t="n">
        <v>25943379.39</v>
      </c>
      <c r="G568" t="n">
        <v>390.4988</v>
      </c>
      <c r="H568" t="n">
        <v>74.2925</v>
      </c>
      <c r="I568" t="n">
        <v>72.325</v>
      </c>
      <c r="J568" t="n">
        <v>238.8076</v>
      </c>
      <c r="K568" t="inlineStr"/>
      <c r="L568" t="inlineStr"/>
      <c r="M568" t="inlineStr"/>
      <c r="N568" t="inlineStr"/>
      <c r="O568" t="n">
        <v>2019</v>
      </c>
      <c r="P568" t="n">
        <v>2040</v>
      </c>
      <c r="Q568" t="n">
        <v>0.4616</v>
      </c>
      <c r="R568" t="n">
        <v>591.6386</v>
      </c>
      <c r="S568" t="n">
        <v>0.00022349</v>
      </c>
      <c r="T568" t="n">
        <v>0.00047787</v>
      </c>
      <c r="U568" t="n">
        <v>390.4988</v>
      </c>
      <c r="V568" t="inlineStr">
        <is>
          <t>Provided Total Emissions</t>
        </is>
      </c>
      <c r="W568" t="b">
        <v>1</v>
      </c>
      <c r="X568" t="n">
        <v>693.0824</v>
      </c>
      <c r="Y568" t="n">
        <v>12397.5627</v>
      </c>
      <c r="Z568" t="n">
        <v>302.5836</v>
      </c>
      <c r="AA568" t="n">
        <v>12007.0639</v>
      </c>
      <c r="AB568" t="n">
        <v>0.774864</v>
      </c>
      <c r="AC568" t="n">
        <v>30.748017</v>
      </c>
      <c r="AD568" t="inlineStr">
        <is>
          <t>High</t>
        </is>
      </c>
      <c r="AE568" t="inlineStr">
        <is>
          <t>None</t>
        </is>
      </c>
      <c r="AF568" t="n">
        <v>0.95</v>
      </c>
      <c r="AG568" t="inlineStr">
        <is>
          <t>Valid</t>
        </is>
      </c>
    </row>
    <row r="569">
      <c r="A569" t="inlineStr">
        <is>
          <t>SUP-0057</t>
        </is>
      </c>
      <c r="B569" t="inlineStr">
        <is>
          <t>Logistics Supplier 057</t>
        </is>
      </c>
      <c r="C569" t="inlineStr">
        <is>
          <t>Logistics</t>
        </is>
      </c>
      <c r="D569" t="n">
        <v>2022</v>
      </c>
      <c r="E569" t="n">
        <v>3546741.66</v>
      </c>
      <c r="F569" t="n">
        <v>34477288.06</v>
      </c>
      <c r="G569" t="n">
        <v>417.8545</v>
      </c>
      <c r="H569" t="n">
        <v>122.4763</v>
      </c>
      <c r="I569" t="n">
        <v>89.02330000000001</v>
      </c>
      <c r="J569" t="n">
        <v>263.5854</v>
      </c>
      <c r="K569" t="inlineStr"/>
      <c r="L569" t="inlineStr"/>
      <c r="M569" t="inlineStr"/>
      <c r="N569" t="inlineStr"/>
      <c r="O569" t="n">
        <v>2019</v>
      </c>
      <c r="P569" t="n">
        <v>2040</v>
      </c>
      <c r="Q569" t="n">
        <v>0.4616</v>
      </c>
      <c r="R569" t="n">
        <v>591.6386</v>
      </c>
      <c r="S569" t="n">
        <v>0.00022349</v>
      </c>
      <c r="T569" t="n">
        <v>0.00047787</v>
      </c>
      <c r="U569" t="n">
        <v>417.8545</v>
      </c>
      <c r="V569" t="inlineStr">
        <is>
          <t>Provided Total Emissions</t>
        </is>
      </c>
      <c r="W569" t="b">
        <v>1</v>
      </c>
      <c r="X569" t="n">
        <v>792.6613</v>
      </c>
      <c r="Y569" t="n">
        <v>16475.6616</v>
      </c>
      <c r="Z569" t="n">
        <v>374.8068</v>
      </c>
      <c r="AA569" t="n">
        <v>16057.8071</v>
      </c>
      <c r="AB569" t="n">
        <v>0.896979</v>
      </c>
      <c r="AC569" t="n">
        <v>38.429183</v>
      </c>
      <c r="AD569" t="inlineStr">
        <is>
          <t>High</t>
        </is>
      </c>
      <c r="AE569" t="inlineStr">
        <is>
          <t>None</t>
        </is>
      </c>
      <c r="AF569" t="n">
        <v>0.95</v>
      </c>
      <c r="AG569" t="inlineStr">
        <is>
          <t>Valid</t>
        </is>
      </c>
    </row>
    <row r="570">
      <c r="A570" t="inlineStr">
        <is>
          <t>SUP-0057</t>
        </is>
      </c>
      <c r="B570" t="inlineStr">
        <is>
          <t>Logistics Supplier 057</t>
        </is>
      </c>
      <c r="C570" t="inlineStr">
        <is>
          <t>Logistics</t>
        </is>
      </c>
      <c r="D570" t="n">
        <v>2023</v>
      </c>
      <c r="E570" t="n">
        <v>3326851.29</v>
      </c>
      <c r="F570" t="n">
        <v>29992908.17</v>
      </c>
      <c r="G570" t="n">
        <v>451.5633</v>
      </c>
      <c r="H570" t="n">
        <v>121.7339</v>
      </c>
      <c r="I570" t="n">
        <v>35.154</v>
      </c>
      <c r="J570" t="n">
        <v>292.7448</v>
      </c>
      <c r="K570" t="inlineStr"/>
      <c r="L570" t="inlineStr"/>
      <c r="M570" t="inlineStr"/>
      <c r="N570" t="inlineStr"/>
      <c r="O570" t="n">
        <v>2019</v>
      </c>
      <c r="P570" t="n">
        <v>2040</v>
      </c>
      <c r="Q570" t="n">
        <v>0.4616</v>
      </c>
      <c r="R570" t="n">
        <v>591.6386</v>
      </c>
      <c r="S570" t="n">
        <v>0.00022349</v>
      </c>
      <c r="T570" t="n">
        <v>0.00047787</v>
      </c>
      <c r="U570" t="n">
        <v>451.5633</v>
      </c>
      <c r="V570" t="inlineStr">
        <is>
          <t>Provided Total Emissions</t>
        </is>
      </c>
      <c r="W570" t="b">
        <v>1</v>
      </c>
      <c r="X570" t="n">
        <v>743.518</v>
      </c>
      <c r="Y570" t="n">
        <v>14332.711</v>
      </c>
      <c r="Z570" t="n">
        <v>291.9547</v>
      </c>
      <c r="AA570" t="n">
        <v>13881.1477</v>
      </c>
      <c r="AB570" t="n">
        <v>0.646542</v>
      </c>
      <c r="AC570" t="n">
        <v>30.740203</v>
      </c>
      <c r="AD570" t="inlineStr">
        <is>
          <t>High</t>
        </is>
      </c>
      <c r="AE570" t="inlineStr">
        <is>
          <t>None</t>
        </is>
      </c>
      <c r="AF570" t="n">
        <v>0.95</v>
      </c>
      <c r="AG570" t="inlineStr">
        <is>
          <t>Valid</t>
        </is>
      </c>
    </row>
    <row r="571">
      <c r="A571" t="inlineStr">
        <is>
          <t>SUP-0057</t>
        </is>
      </c>
      <c r="B571" t="inlineStr">
        <is>
          <t>Logistics Supplier 057</t>
        </is>
      </c>
      <c r="C571" t="inlineStr">
        <is>
          <t>Logistics</t>
        </is>
      </c>
      <c r="D571" t="n">
        <v>2024</v>
      </c>
      <c r="E571" t="n">
        <v>3657289.52</v>
      </c>
      <c r="F571" t="n">
        <v>23873981.07</v>
      </c>
      <c r="G571" t="n">
        <v>437.5221</v>
      </c>
      <c r="H571" t="n">
        <v>64.6681</v>
      </c>
      <c r="I571" t="n">
        <v>76.8837</v>
      </c>
      <c r="J571" t="n">
        <v>290.0746</v>
      </c>
      <c r="K571" t="inlineStr"/>
      <c r="L571" t="inlineStr"/>
      <c r="M571" t="inlineStr"/>
      <c r="N571" t="inlineStr"/>
      <c r="O571" t="n">
        <v>2019</v>
      </c>
      <c r="P571" t="n">
        <v>2040</v>
      </c>
      <c r="Q571" t="n">
        <v>0.4616</v>
      </c>
      <c r="R571" t="n">
        <v>591.6386</v>
      </c>
      <c r="S571" t="n">
        <v>0.00022349</v>
      </c>
      <c r="T571" t="n">
        <v>0.00047787</v>
      </c>
      <c r="U571" t="n">
        <v>437.5221</v>
      </c>
      <c r="V571" t="inlineStr">
        <is>
          <t>Provided Total Emissions</t>
        </is>
      </c>
      <c r="W571" t="b">
        <v>1</v>
      </c>
      <c r="X571" t="n">
        <v>817.3676</v>
      </c>
      <c r="Y571" t="n">
        <v>11408.6593</v>
      </c>
      <c r="Z571" t="n">
        <v>379.8455</v>
      </c>
      <c r="AA571" t="n">
        <v>10971.1372</v>
      </c>
      <c r="AB571" t="n">
        <v>0.868175</v>
      </c>
      <c r="AC571" t="n">
        <v>25.075618</v>
      </c>
      <c r="AD571" t="inlineStr">
        <is>
          <t>High</t>
        </is>
      </c>
      <c r="AE571" t="inlineStr">
        <is>
          <t>None</t>
        </is>
      </c>
      <c r="AF571" t="n">
        <v>0.95</v>
      </c>
      <c r="AG571" t="inlineStr">
        <is>
          <t>Valid</t>
        </is>
      </c>
    </row>
    <row r="572">
      <c r="A572" t="inlineStr">
        <is>
          <t>SUP-0058</t>
        </is>
      </c>
      <c r="B572" t="inlineStr">
        <is>
          <t>Textiles Supplier 058</t>
        </is>
      </c>
      <c r="C572" t="inlineStr">
        <is>
          <t>Textiles</t>
        </is>
      </c>
      <c r="D572" t="n">
        <v>2015</v>
      </c>
      <c r="E572" t="n">
        <v>16474869.01</v>
      </c>
      <c r="F572" t="n">
        <v>65189479.61</v>
      </c>
      <c r="G572" t="n">
        <v>4613.9565</v>
      </c>
      <c r="H572" t="n">
        <v>562.1130000000001</v>
      </c>
      <c r="I572" t="n">
        <v>802.9226</v>
      </c>
      <c r="J572" t="n">
        <v>2966.5916</v>
      </c>
      <c r="K572" t="inlineStr"/>
      <c r="L572" t="inlineStr"/>
      <c r="M572" t="inlineStr"/>
      <c r="N572" t="inlineStr"/>
      <c r="O572" t="n">
        <v>2019</v>
      </c>
      <c r="P572" t="n">
        <v>2030</v>
      </c>
      <c r="Q572" t="n">
        <v>0.3171</v>
      </c>
      <c r="R572" t="n">
        <v>401.7335</v>
      </c>
      <c r="S572" t="n">
        <v>0.00029221</v>
      </c>
      <c r="T572" t="n">
        <v>0.00017343</v>
      </c>
      <c r="U572" t="n">
        <v>4613.9565</v>
      </c>
      <c r="V572" t="inlineStr">
        <is>
          <t>Provided Total Emissions</t>
        </is>
      </c>
      <c r="W572" t="b">
        <v>1</v>
      </c>
      <c r="X572" t="n">
        <v>4814.1215</v>
      </c>
      <c r="Y572" t="n">
        <v>11305.8114</v>
      </c>
      <c r="Z572" t="n">
        <v>200.165</v>
      </c>
      <c r="AA572" t="n">
        <v>6691.8549</v>
      </c>
      <c r="AB572" t="n">
        <v>0.043383</v>
      </c>
      <c r="AC572" t="n">
        <v>1.450351</v>
      </c>
      <c r="AD572" t="inlineStr">
        <is>
          <t>High</t>
        </is>
      </c>
      <c r="AE572" t="inlineStr">
        <is>
          <t>None</t>
        </is>
      </c>
      <c r="AF572" t="n">
        <v>0.95</v>
      </c>
      <c r="AG572" t="inlineStr">
        <is>
          <t>Valid</t>
        </is>
      </c>
    </row>
    <row r="573">
      <c r="A573" t="inlineStr">
        <is>
          <t>SUP-0058</t>
        </is>
      </c>
      <c r="B573" t="inlineStr">
        <is>
          <t>Textiles Supplier 058</t>
        </is>
      </c>
      <c r="C573" t="inlineStr">
        <is>
          <t>Textiles</t>
        </is>
      </c>
      <c r="D573" t="n">
        <v>2016</v>
      </c>
      <c r="E573" t="n">
        <v>17420555.13</v>
      </c>
      <c r="F573" t="n">
        <v>61884668.69</v>
      </c>
      <c r="G573" t="n">
        <v>4527.4219</v>
      </c>
      <c r="H573" t="n">
        <v>954.0146999999999</v>
      </c>
      <c r="I573" t="n">
        <v>899.9687</v>
      </c>
      <c r="J573" t="n">
        <v>2733.4549</v>
      </c>
      <c r="K573" t="inlineStr"/>
      <c r="L573" t="inlineStr"/>
      <c r="M573" t="inlineStr"/>
      <c r="N573" t="inlineStr"/>
      <c r="O573" t="n">
        <v>2019</v>
      </c>
      <c r="P573" t="n">
        <v>2030</v>
      </c>
      <c r="Q573" t="n">
        <v>0.3171</v>
      </c>
      <c r="R573" t="n">
        <v>401.7335</v>
      </c>
      <c r="S573" t="n">
        <v>0.00029221</v>
      </c>
      <c r="T573" t="n">
        <v>0.00017343</v>
      </c>
      <c r="U573" t="n">
        <v>4527.4219</v>
      </c>
      <c r="V573" t="inlineStr">
        <is>
          <t>Provided Total Emissions</t>
        </is>
      </c>
      <c r="W573" t="b">
        <v>1</v>
      </c>
      <c r="X573" t="n">
        <v>5090.4604</v>
      </c>
      <c r="Y573" t="n">
        <v>10732.6581</v>
      </c>
      <c r="Z573" t="n">
        <v>563.0385</v>
      </c>
      <c r="AA573" t="n">
        <v>6205.2362</v>
      </c>
      <c r="AB573" t="n">
        <v>0.124362</v>
      </c>
      <c r="AC573" t="n">
        <v>1.370589</v>
      </c>
      <c r="AD573" t="inlineStr">
        <is>
          <t>High</t>
        </is>
      </c>
      <c r="AE573" t="inlineStr">
        <is>
          <t>None</t>
        </is>
      </c>
      <c r="AF573" t="n">
        <v>0.95</v>
      </c>
      <c r="AG573" t="inlineStr">
        <is>
          <t>Valid</t>
        </is>
      </c>
    </row>
    <row r="574">
      <c r="A574" t="inlineStr">
        <is>
          <t>SUP-0058</t>
        </is>
      </c>
      <c r="B574" t="inlineStr">
        <is>
          <t>Textiles Supplier 058</t>
        </is>
      </c>
      <c r="C574" t="inlineStr">
        <is>
          <t>Textiles</t>
        </is>
      </c>
      <c r="D574" t="n">
        <v>2017</v>
      </c>
      <c r="E574" t="n">
        <v>16933943.09</v>
      </c>
      <c r="F574" t="n">
        <v>57140321.55</v>
      </c>
      <c r="G574" t="n">
        <v>3703.3739</v>
      </c>
      <c r="H574" t="n">
        <v>680.4303</v>
      </c>
      <c r="I574" t="n">
        <v>497.2945</v>
      </c>
      <c r="J574" t="n">
        <v>2571.5972</v>
      </c>
      <c r="K574" t="inlineStr"/>
      <c r="L574" t="inlineStr"/>
      <c r="M574" t="inlineStr"/>
      <c r="N574" t="inlineStr"/>
      <c r="O574" t="n">
        <v>2019</v>
      </c>
      <c r="P574" t="n">
        <v>2030</v>
      </c>
      <c r="Q574" t="n">
        <v>0.3171</v>
      </c>
      <c r="R574" t="n">
        <v>401.7335</v>
      </c>
      <c r="S574" t="n">
        <v>0.00029221</v>
      </c>
      <c r="T574" t="n">
        <v>0.00017343</v>
      </c>
      <c r="U574" t="n">
        <v>3703.3739</v>
      </c>
      <c r="V574" t="inlineStr">
        <is>
          <t>Provided Total Emissions</t>
        </is>
      </c>
      <c r="W574" t="b">
        <v>1</v>
      </c>
      <c r="X574" t="n">
        <v>4948.2675</v>
      </c>
      <c r="Y574" t="n">
        <v>9909.846</v>
      </c>
      <c r="Z574" t="n">
        <v>1244.8936</v>
      </c>
      <c r="AA574" t="n">
        <v>6206.4721</v>
      </c>
      <c r="AB574" t="n">
        <v>0.336151</v>
      </c>
      <c r="AC574" t="n">
        <v>1.675897</v>
      </c>
      <c r="AD574" t="inlineStr">
        <is>
          <t>High</t>
        </is>
      </c>
      <c r="AE574" t="inlineStr">
        <is>
          <t>None</t>
        </is>
      </c>
      <c r="AF574" t="n">
        <v>0.95</v>
      </c>
      <c r="AG574" t="inlineStr">
        <is>
          <t>Valid</t>
        </is>
      </c>
    </row>
    <row r="575">
      <c r="A575" t="inlineStr">
        <is>
          <t>SUP-0058</t>
        </is>
      </c>
      <c r="B575" t="inlineStr">
        <is>
          <t>Textiles Supplier 058</t>
        </is>
      </c>
      <c r="C575" t="inlineStr">
        <is>
          <t>Textiles</t>
        </is>
      </c>
      <c r="D575" t="n">
        <v>2018</v>
      </c>
      <c r="E575" t="n">
        <v>17536454.07</v>
      </c>
      <c r="F575" t="n">
        <v>71574758.7</v>
      </c>
      <c r="G575" t="n">
        <v>4223.3779</v>
      </c>
      <c r="H575" t="n">
        <v>1170.0877</v>
      </c>
      <c r="I575" t="n">
        <v>559.1584</v>
      </c>
      <c r="J575" t="n">
        <v>2767.4018</v>
      </c>
      <c r="K575" t="inlineStr"/>
      <c r="L575" t="inlineStr"/>
      <c r="M575" t="inlineStr"/>
      <c r="N575" t="inlineStr"/>
      <c r="O575" t="n">
        <v>2019</v>
      </c>
      <c r="P575" t="n">
        <v>2030</v>
      </c>
      <c r="Q575" t="n">
        <v>0.3171</v>
      </c>
      <c r="R575" t="n">
        <v>401.7335</v>
      </c>
      <c r="S575" t="n">
        <v>0.00029221</v>
      </c>
      <c r="T575" t="n">
        <v>0.00017343</v>
      </c>
      <c r="U575" t="n">
        <v>4223.3779</v>
      </c>
      <c r="V575" t="inlineStr">
        <is>
          <t>Provided Total Emissions</t>
        </is>
      </c>
      <c r="W575" t="b">
        <v>1</v>
      </c>
      <c r="X575" t="n">
        <v>5124.3272</v>
      </c>
      <c r="Y575" t="n">
        <v>12413.2104</v>
      </c>
      <c r="Z575" t="n">
        <v>900.9493</v>
      </c>
      <c r="AA575" t="n">
        <v>8189.8325</v>
      </c>
      <c r="AB575" t="n">
        <v>0.213324</v>
      </c>
      <c r="AC575" t="n">
        <v>1.939166</v>
      </c>
      <c r="AD575" t="inlineStr">
        <is>
          <t>High</t>
        </is>
      </c>
      <c r="AE575" t="inlineStr">
        <is>
          <t>None</t>
        </is>
      </c>
      <c r="AF575" t="n">
        <v>0.95</v>
      </c>
      <c r="AG575" t="inlineStr">
        <is>
          <t>Valid</t>
        </is>
      </c>
    </row>
    <row r="576">
      <c r="A576" t="inlineStr">
        <is>
          <t>SUP-0058</t>
        </is>
      </c>
      <c r="B576" t="inlineStr">
        <is>
          <t>Textiles Supplier 058</t>
        </is>
      </c>
      <c r="C576" t="inlineStr">
        <is>
          <t>Textiles</t>
        </is>
      </c>
      <c r="D576" t="n">
        <v>2019</v>
      </c>
      <c r="E576" t="n">
        <v>16366814.83</v>
      </c>
      <c r="F576" t="n">
        <v>68765198.09999999</v>
      </c>
      <c r="G576" t="n">
        <v>3893.3564</v>
      </c>
      <c r="H576" t="n">
        <v>656.8179</v>
      </c>
      <c r="I576" t="n">
        <v>737.3502999999999</v>
      </c>
      <c r="J576" t="n">
        <v>2414.1075</v>
      </c>
      <c r="K576" t="inlineStr"/>
      <c r="L576" t="inlineStr"/>
      <c r="M576" t="inlineStr"/>
      <c r="N576" t="inlineStr"/>
      <c r="O576" t="n">
        <v>2019</v>
      </c>
      <c r="P576" t="n">
        <v>2030</v>
      </c>
      <c r="Q576" t="n">
        <v>0.3171</v>
      </c>
      <c r="R576" t="n">
        <v>401.7335</v>
      </c>
      <c r="S576" t="n">
        <v>0.00029221</v>
      </c>
      <c r="T576" t="n">
        <v>0.00017343</v>
      </c>
      <c r="U576" t="n">
        <v>3893.3564</v>
      </c>
      <c r="V576" t="inlineStr">
        <is>
          <t>Provided Total Emissions</t>
        </is>
      </c>
      <c r="W576" t="b">
        <v>1</v>
      </c>
      <c r="X576" t="n">
        <v>4782.547</v>
      </c>
      <c r="Y576" t="n">
        <v>11925.9483</v>
      </c>
      <c r="Z576" t="n">
        <v>889.1906</v>
      </c>
      <c r="AA576" t="n">
        <v>8032.5919</v>
      </c>
      <c r="AB576" t="n">
        <v>0.228387</v>
      </c>
      <c r="AC576" t="n">
        <v>2.063154</v>
      </c>
      <c r="AD576" t="inlineStr">
        <is>
          <t>High</t>
        </is>
      </c>
      <c r="AE576" t="inlineStr">
        <is>
          <t>None</t>
        </is>
      </c>
      <c r="AF576" t="n">
        <v>0.95</v>
      </c>
      <c r="AG576" t="inlineStr">
        <is>
          <t>Valid</t>
        </is>
      </c>
    </row>
    <row r="577">
      <c r="A577" t="inlineStr">
        <is>
          <t>SUP-0058</t>
        </is>
      </c>
      <c r="B577" t="inlineStr">
        <is>
          <t>Textiles Supplier 058</t>
        </is>
      </c>
      <c r="C577" t="inlineStr">
        <is>
          <t>Textiles</t>
        </is>
      </c>
      <c r="D577" t="n">
        <v>2020</v>
      </c>
      <c r="E577" t="n">
        <v>16741812.95</v>
      </c>
      <c r="F577" t="n">
        <v>65155923.38</v>
      </c>
      <c r="G577" t="n">
        <v>4965.281</v>
      </c>
      <c r="H577" t="n">
        <v>853.3374</v>
      </c>
      <c r="I577" t="n">
        <v>542.2898</v>
      </c>
      <c r="J577" t="n">
        <v>3232.9126</v>
      </c>
      <c r="K577" t="inlineStr"/>
      <c r="L577" t="inlineStr"/>
      <c r="M577" t="inlineStr"/>
      <c r="N577" t="inlineStr"/>
      <c r="O577" t="n">
        <v>2019</v>
      </c>
      <c r="P577" t="n">
        <v>2030</v>
      </c>
      <c r="Q577" t="n">
        <v>0.3171</v>
      </c>
      <c r="R577" t="n">
        <v>401.7335</v>
      </c>
      <c r="S577" t="n">
        <v>0.00029221</v>
      </c>
      <c r="T577" t="n">
        <v>0.00017343</v>
      </c>
      <c r="U577" t="n">
        <v>4965.281</v>
      </c>
      <c r="V577" t="inlineStr">
        <is>
          <t>Provided Total Emissions</t>
        </is>
      </c>
      <c r="W577" t="b">
        <v>1</v>
      </c>
      <c r="X577" t="n">
        <v>4892.1252</v>
      </c>
      <c r="Y577" t="n">
        <v>11299.9918</v>
      </c>
      <c r="Z577" t="n">
        <v>-73.1558</v>
      </c>
      <c r="AA577" t="n">
        <v>6334.7108</v>
      </c>
      <c r="AB577" t="n">
        <v>-0.014733</v>
      </c>
      <c r="AC577" t="n">
        <v>1.275801</v>
      </c>
      <c r="AD577" t="inlineStr">
        <is>
          <t>High</t>
        </is>
      </c>
      <c r="AE577" t="inlineStr">
        <is>
          <t>None</t>
        </is>
      </c>
      <c r="AF577" t="n">
        <v>0.95</v>
      </c>
      <c r="AG577" t="inlineStr">
        <is>
          <t>Valid</t>
        </is>
      </c>
    </row>
    <row r="578">
      <c r="A578" t="inlineStr">
        <is>
          <t>SUP-0058</t>
        </is>
      </c>
      <c r="B578" t="inlineStr">
        <is>
          <t>Textiles Supplier 058</t>
        </is>
      </c>
      <c r="C578" t="inlineStr">
        <is>
          <t>Textiles</t>
        </is>
      </c>
      <c r="D578" t="n">
        <v>2021</v>
      </c>
      <c r="E578" t="n">
        <v>17313678.27</v>
      </c>
      <c r="F578" t="n">
        <v>79916480.05</v>
      </c>
      <c r="G578" t="n">
        <v>4840.822</v>
      </c>
      <c r="H578" t="n">
        <v>1078.74</v>
      </c>
      <c r="I578" t="n">
        <v>941.758</v>
      </c>
      <c r="J578" t="n">
        <v>2998.2166</v>
      </c>
      <c r="K578" t="inlineStr"/>
      <c r="L578" t="inlineStr"/>
      <c r="M578" t="inlineStr"/>
      <c r="N578" t="inlineStr"/>
      <c r="O578" t="n">
        <v>2019</v>
      </c>
      <c r="P578" t="n">
        <v>2030</v>
      </c>
      <c r="Q578" t="n">
        <v>0.3171</v>
      </c>
      <c r="R578" t="n">
        <v>401.7335</v>
      </c>
      <c r="S578" t="n">
        <v>0.00029221</v>
      </c>
      <c r="T578" t="n">
        <v>0.00017343</v>
      </c>
      <c r="U578" t="n">
        <v>4840.822</v>
      </c>
      <c r="V578" t="inlineStr">
        <is>
          <t>Provided Total Emissions</t>
        </is>
      </c>
      <c r="W578" t="b">
        <v>1</v>
      </c>
      <c r="X578" t="n">
        <v>5059.2299</v>
      </c>
      <c r="Y578" t="n">
        <v>13859.9151</v>
      </c>
      <c r="Z578" t="n">
        <v>218.4079</v>
      </c>
      <c r="AA578" t="n">
        <v>9019.0931</v>
      </c>
      <c r="AB578" t="n">
        <v>0.045118</v>
      </c>
      <c r="AC578" t="n">
        <v>1.863133</v>
      </c>
      <c r="AD578" t="inlineStr">
        <is>
          <t>High</t>
        </is>
      </c>
      <c r="AE578" t="inlineStr">
        <is>
          <t>None</t>
        </is>
      </c>
      <c r="AF578" t="n">
        <v>0.95</v>
      </c>
      <c r="AG578" t="inlineStr">
        <is>
          <t>Valid</t>
        </is>
      </c>
    </row>
    <row r="579">
      <c r="A579" t="inlineStr">
        <is>
          <t>SUP-0058</t>
        </is>
      </c>
      <c r="B579" t="inlineStr">
        <is>
          <t>Textiles Supplier 058</t>
        </is>
      </c>
      <c r="C579" t="inlineStr">
        <is>
          <t>Textiles</t>
        </is>
      </c>
      <c r="D579" t="n">
        <v>2022</v>
      </c>
      <c r="E579" t="n">
        <v>18180022.49</v>
      </c>
      <c r="F579" t="n">
        <v>73966099.68000001</v>
      </c>
      <c r="G579" t="n">
        <v>4261.6691</v>
      </c>
      <c r="H579" t="n">
        <v>803.3409</v>
      </c>
      <c r="I579" t="n">
        <v>357.4462</v>
      </c>
      <c r="J579" t="n">
        <v>2950.8191</v>
      </c>
      <c r="K579" t="inlineStr"/>
      <c r="L579" t="inlineStr"/>
      <c r="M579" t="inlineStr"/>
      <c r="N579" t="inlineStr"/>
      <c r="O579" t="n">
        <v>2019</v>
      </c>
      <c r="P579" t="n">
        <v>2030</v>
      </c>
      <c r="Q579" t="n">
        <v>0.3171</v>
      </c>
      <c r="R579" t="n">
        <v>401.7335</v>
      </c>
      <c r="S579" t="n">
        <v>0.00029221</v>
      </c>
      <c r="T579" t="n">
        <v>0.00017343</v>
      </c>
      <c r="U579" t="n">
        <v>4261.6691</v>
      </c>
      <c r="V579" t="inlineStr">
        <is>
          <t>Provided Total Emissions</t>
        </is>
      </c>
      <c r="W579" t="b">
        <v>1</v>
      </c>
      <c r="X579" t="n">
        <v>5312.3844</v>
      </c>
      <c r="Y579" t="n">
        <v>12827.9407</v>
      </c>
      <c r="Z579" t="n">
        <v>1050.7153</v>
      </c>
      <c r="AA579" t="n">
        <v>8566.2716</v>
      </c>
      <c r="AB579" t="n">
        <v>0.24655</v>
      </c>
      <c r="AC579" t="n">
        <v>2.010074</v>
      </c>
      <c r="AD579" t="inlineStr">
        <is>
          <t>High</t>
        </is>
      </c>
      <c r="AE579" t="inlineStr">
        <is>
          <t>None</t>
        </is>
      </c>
      <c r="AF579" t="n">
        <v>0.95</v>
      </c>
      <c r="AG579" t="inlineStr">
        <is>
          <t>Valid</t>
        </is>
      </c>
    </row>
    <row r="580">
      <c r="A580" t="inlineStr">
        <is>
          <t>SUP-0058</t>
        </is>
      </c>
      <c r="B580" t="inlineStr">
        <is>
          <t>Textiles Supplier 058</t>
        </is>
      </c>
      <c r="C580" t="inlineStr">
        <is>
          <t>Textiles</t>
        </is>
      </c>
      <c r="D580" t="n">
        <v>2023</v>
      </c>
      <c r="E580" t="n">
        <v>17281848.36</v>
      </c>
      <c r="F580" t="n">
        <v>78060951.28</v>
      </c>
      <c r="G580" t="n">
        <v>4512.1757</v>
      </c>
      <c r="H580" t="n">
        <v>756.5142</v>
      </c>
      <c r="I580" t="n">
        <v>845.4549</v>
      </c>
      <c r="J580" t="n">
        <v>2905.7896</v>
      </c>
      <c r="K580" t="inlineStr"/>
      <c r="L580" t="inlineStr"/>
      <c r="M580" t="inlineStr"/>
      <c r="N580" t="inlineStr"/>
      <c r="O580" t="n">
        <v>2019</v>
      </c>
      <c r="P580" t="n">
        <v>2030</v>
      </c>
      <c r="Q580" t="n">
        <v>0.3171</v>
      </c>
      <c r="R580" t="n">
        <v>401.7335</v>
      </c>
      <c r="S580" t="n">
        <v>0.00029221</v>
      </c>
      <c r="T580" t="n">
        <v>0.00017343</v>
      </c>
      <c r="U580" t="n">
        <v>4512.1757</v>
      </c>
      <c r="V580" t="inlineStr">
        <is>
          <t>Provided Total Emissions</t>
        </is>
      </c>
      <c r="W580" t="b">
        <v>1</v>
      </c>
      <c r="X580" t="n">
        <v>5049.9289</v>
      </c>
      <c r="Y580" t="n">
        <v>13538.1108</v>
      </c>
      <c r="Z580" t="n">
        <v>537.7532</v>
      </c>
      <c r="AA580" t="n">
        <v>9025.935100000001</v>
      </c>
      <c r="AB580" t="n">
        <v>0.119178</v>
      </c>
      <c r="AC580" t="n">
        <v>2.000351</v>
      </c>
      <c r="AD580" t="inlineStr">
        <is>
          <t>High</t>
        </is>
      </c>
      <c r="AE580" t="inlineStr">
        <is>
          <t>None</t>
        </is>
      </c>
      <c r="AF580" t="n">
        <v>0.95</v>
      </c>
      <c r="AG580" t="inlineStr">
        <is>
          <t>Valid</t>
        </is>
      </c>
    </row>
    <row r="581">
      <c r="A581" t="inlineStr">
        <is>
          <t>SUP-0058</t>
        </is>
      </c>
      <c r="B581" t="inlineStr">
        <is>
          <t>Textiles Supplier 058</t>
        </is>
      </c>
      <c r="C581" t="inlineStr">
        <is>
          <t>Textiles</t>
        </is>
      </c>
      <c r="D581" t="n">
        <v>2024</v>
      </c>
      <c r="E581" t="n">
        <v>16879873.73</v>
      </c>
      <c r="F581" t="n">
        <v>81156267.66</v>
      </c>
      <c r="G581" t="n">
        <v>3660.5011</v>
      </c>
      <c r="H581" t="n">
        <v>371.5177</v>
      </c>
      <c r="I581" t="n">
        <v>754.6674</v>
      </c>
      <c r="J581" t="n">
        <v>2368.2513</v>
      </c>
      <c r="K581" t="inlineStr"/>
      <c r="L581" t="inlineStr"/>
      <c r="M581" t="inlineStr"/>
      <c r="N581" t="inlineStr"/>
      <c r="O581" t="n">
        <v>2019</v>
      </c>
      <c r="P581" t="n">
        <v>2030</v>
      </c>
      <c r="Q581" t="n">
        <v>0.3171</v>
      </c>
      <c r="R581" t="n">
        <v>401.7335</v>
      </c>
      <c r="S581" t="n">
        <v>0.00029221</v>
      </c>
      <c r="T581" t="n">
        <v>0.00017343</v>
      </c>
      <c r="U581" t="n">
        <v>3660.5011</v>
      </c>
      <c r="V581" t="inlineStr">
        <is>
          <t>Provided Total Emissions</t>
        </is>
      </c>
      <c r="W581" t="b">
        <v>1</v>
      </c>
      <c r="X581" t="n">
        <v>4932.4679</v>
      </c>
      <c r="Y581" t="n">
        <v>14074.9315</v>
      </c>
      <c r="Z581" t="n">
        <v>1271.9668</v>
      </c>
      <c r="AA581" t="n">
        <v>10414.4304</v>
      </c>
      <c r="AB581" t="n">
        <v>0.347484</v>
      </c>
      <c r="AC581" t="n">
        <v>2.845083</v>
      </c>
      <c r="AD581" t="inlineStr">
        <is>
          <t>High</t>
        </is>
      </c>
      <c r="AE581" t="inlineStr">
        <is>
          <t>None</t>
        </is>
      </c>
      <c r="AF581" t="n">
        <v>0.95</v>
      </c>
      <c r="AG581" t="inlineStr">
        <is>
          <t>Valid</t>
        </is>
      </c>
    </row>
    <row r="582">
      <c r="A582" t="inlineStr">
        <is>
          <t>SUP-0059</t>
        </is>
      </c>
      <c r="B582" t="inlineStr">
        <is>
          <t>Agriculture Supplier 059</t>
        </is>
      </c>
      <c r="C582" t="inlineStr">
        <is>
          <t>Agriculture</t>
        </is>
      </c>
      <c r="D582" t="n">
        <v>2015</v>
      </c>
      <c r="E582" t="n">
        <v>17243248.44</v>
      </c>
      <c r="F582" t="n">
        <v>52563313.73</v>
      </c>
      <c r="G582" t="n">
        <v>9936.6798</v>
      </c>
      <c r="H582" t="n">
        <v>2797.7922</v>
      </c>
      <c r="I582" t="n">
        <v>1311.0987</v>
      </c>
      <c r="J582" t="n">
        <v>6178.2072</v>
      </c>
      <c r="K582" t="n">
        <v>2021</v>
      </c>
      <c r="L582" t="n">
        <v>2030</v>
      </c>
      <c r="M582" t="n">
        <v>0.495</v>
      </c>
      <c r="N582" t="n">
        <v>0.1874</v>
      </c>
      <c r="O582" t="n">
        <v>2018</v>
      </c>
      <c r="P582" t="inlineStr"/>
      <c r="Q582" t="inlineStr"/>
      <c r="R582" t="n">
        <v>529.8294</v>
      </c>
      <c r="S582" t="n">
        <v>0.00091413</v>
      </c>
      <c r="T582" t="n">
        <v>0.00096913</v>
      </c>
      <c r="U582" t="n">
        <v>9936.6798</v>
      </c>
      <c r="V582" t="inlineStr">
        <is>
          <t>Provided Total Emissions</t>
        </is>
      </c>
      <c r="W582" t="b">
        <v>1</v>
      </c>
      <c r="X582" t="n">
        <v>15762.5707</v>
      </c>
      <c r="Y582" t="n">
        <v>50940.6842</v>
      </c>
      <c r="Z582" t="n">
        <v>5825.8909</v>
      </c>
      <c r="AA582" t="n">
        <v>41004.0044</v>
      </c>
      <c r="AB582" t="n">
        <v>0.586302</v>
      </c>
      <c r="AC582" t="n">
        <v>4.12653</v>
      </c>
      <c r="AD582" t="inlineStr">
        <is>
          <t>High</t>
        </is>
      </c>
      <c r="AE582" t="inlineStr">
        <is>
          <t>None</t>
        </is>
      </c>
      <c r="AF582" t="n">
        <v>0.95</v>
      </c>
      <c r="AG582" t="inlineStr">
        <is>
          <t>Valid</t>
        </is>
      </c>
    </row>
    <row r="583">
      <c r="A583" t="inlineStr">
        <is>
          <t>SUP-0059</t>
        </is>
      </c>
      <c r="B583" t="inlineStr">
        <is>
          <t>Agriculture Supplier 059</t>
        </is>
      </c>
      <c r="C583" t="inlineStr">
        <is>
          <t>Agriculture</t>
        </is>
      </c>
      <c r="D583" t="n">
        <v>2016</v>
      </c>
      <c r="E583" t="n">
        <v>16118597.8</v>
      </c>
      <c r="F583" t="n">
        <v>68317461.26000001</v>
      </c>
      <c r="G583" t="n">
        <v>8128.1427</v>
      </c>
      <c r="H583" t="n">
        <v>1117.5487</v>
      </c>
      <c r="I583" t="n">
        <v>1171.3605</v>
      </c>
      <c r="J583" t="n">
        <v>5369.1019</v>
      </c>
      <c r="K583" t="n">
        <v>2021</v>
      </c>
      <c r="L583" t="n">
        <v>2030</v>
      </c>
      <c r="M583" t="n">
        <v>0.495</v>
      </c>
      <c r="N583" t="n">
        <v>0.1874</v>
      </c>
      <c r="O583" t="n">
        <v>2018</v>
      </c>
      <c r="P583" t="inlineStr"/>
      <c r="Q583" t="inlineStr"/>
      <c r="R583" t="n">
        <v>529.8294</v>
      </c>
      <c r="S583" t="n">
        <v>0.00091413</v>
      </c>
      <c r="T583" t="n">
        <v>0.00096913</v>
      </c>
      <c r="U583" t="n">
        <v>8128.1427</v>
      </c>
      <c r="V583" t="inlineStr">
        <is>
          <t>Provided Total Emissions</t>
        </is>
      </c>
      <c r="W583" t="b">
        <v>1</v>
      </c>
      <c r="X583" t="n">
        <v>14734.4938</v>
      </c>
      <c r="Y583" t="n">
        <v>66208.5012</v>
      </c>
      <c r="Z583" t="n">
        <v>6606.3511</v>
      </c>
      <c r="AA583" t="n">
        <v>58080.3585</v>
      </c>
      <c r="AB583" t="n">
        <v>0.812775</v>
      </c>
      <c r="AC583" t="n">
        <v>7.145588</v>
      </c>
      <c r="AD583" t="inlineStr">
        <is>
          <t>High</t>
        </is>
      </c>
      <c r="AE583" t="inlineStr">
        <is>
          <t>None</t>
        </is>
      </c>
      <c r="AF583" t="n">
        <v>0.95</v>
      </c>
      <c r="AG583" t="inlineStr">
        <is>
          <t>Valid</t>
        </is>
      </c>
    </row>
    <row r="584">
      <c r="A584" t="inlineStr">
        <is>
          <t>SUP-0059</t>
        </is>
      </c>
      <c r="B584" t="inlineStr">
        <is>
          <t>Agriculture Supplier 059</t>
        </is>
      </c>
      <c r="C584" t="inlineStr">
        <is>
          <t>Agriculture</t>
        </is>
      </c>
      <c r="D584" t="n">
        <v>2017</v>
      </c>
      <c r="E584" t="n">
        <v>14598164.71</v>
      </c>
      <c r="F584" t="n">
        <v>73607671.41</v>
      </c>
      <c r="G584" t="n">
        <v>8484.9743</v>
      </c>
      <c r="H584" t="n">
        <v>874.3722</v>
      </c>
      <c r="I584" t="n">
        <v>871.5406</v>
      </c>
      <c r="J584" t="n">
        <v>6430.4277</v>
      </c>
      <c r="K584" t="n">
        <v>2021</v>
      </c>
      <c r="L584" t="n">
        <v>2030</v>
      </c>
      <c r="M584" t="n">
        <v>0.495</v>
      </c>
      <c r="N584" t="n">
        <v>0.1874</v>
      </c>
      <c r="O584" t="n">
        <v>2018</v>
      </c>
      <c r="P584" t="inlineStr"/>
      <c r="Q584" t="inlineStr"/>
      <c r="R584" t="n">
        <v>529.8294</v>
      </c>
      <c r="S584" t="n">
        <v>0.00091413</v>
      </c>
      <c r="T584" t="n">
        <v>0.00096913</v>
      </c>
      <c r="U584" t="n">
        <v>8484.9743</v>
      </c>
      <c r="V584" t="inlineStr">
        <is>
          <t>Provided Total Emissions</t>
        </is>
      </c>
      <c r="W584" t="b">
        <v>1</v>
      </c>
      <c r="X584" t="n">
        <v>13344.6203</v>
      </c>
      <c r="Y584" t="n">
        <v>71335.4026</v>
      </c>
      <c r="Z584" t="n">
        <v>4859.646</v>
      </c>
      <c r="AA584" t="n">
        <v>62850.4283</v>
      </c>
      <c r="AB584" t="n">
        <v>0.572736</v>
      </c>
      <c r="AC584" t="n">
        <v>7.407262</v>
      </c>
      <c r="AD584" t="inlineStr">
        <is>
          <t>High</t>
        </is>
      </c>
      <c r="AE584" t="inlineStr">
        <is>
          <t>None</t>
        </is>
      </c>
      <c r="AF584" t="n">
        <v>0.95</v>
      </c>
      <c r="AG584" t="inlineStr">
        <is>
          <t>Valid</t>
        </is>
      </c>
    </row>
    <row r="585">
      <c r="A585" t="inlineStr">
        <is>
          <t>SUP-0059</t>
        </is>
      </c>
      <c r="B585" t="inlineStr">
        <is>
          <t>Agriculture Supplier 059</t>
        </is>
      </c>
      <c r="C585" t="inlineStr">
        <is>
          <t>Agriculture</t>
        </is>
      </c>
      <c r="D585" t="n">
        <v>2018</v>
      </c>
      <c r="E585" t="n">
        <v>18461714.45</v>
      </c>
      <c r="F585" t="n">
        <v>78254275.88</v>
      </c>
      <c r="G585" t="n">
        <v>11365.1772</v>
      </c>
      <c r="H585" t="n">
        <v>2015.5173</v>
      </c>
      <c r="I585" t="n">
        <v>1260.1611</v>
      </c>
      <c r="J585" t="n">
        <v>7563.555</v>
      </c>
      <c r="K585" t="n">
        <v>2021</v>
      </c>
      <c r="L585" t="n">
        <v>2030</v>
      </c>
      <c r="M585" t="n">
        <v>0.495</v>
      </c>
      <c r="N585" t="n">
        <v>0.1874</v>
      </c>
      <c r="O585" t="n">
        <v>2018</v>
      </c>
      <c r="P585" t="inlineStr"/>
      <c r="Q585" t="inlineStr"/>
      <c r="R585" t="n">
        <v>529.8294</v>
      </c>
      <c r="S585" t="n">
        <v>0.00091413</v>
      </c>
      <c r="T585" t="n">
        <v>0.00096913</v>
      </c>
      <c r="U585" t="n">
        <v>11365.1772</v>
      </c>
      <c r="V585" t="inlineStr">
        <is>
          <t>Provided Total Emissions</t>
        </is>
      </c>
      <c r="W585" t="b">
        <v>1</v>
      </c>
      <c r="X585" t="n">
        <v>16876.407</v>
      </c>
      <c r="Y585" t="n">
        <v>75838.5664</v>
      </c>
      <c r="Z585" t="n">
        <v>5511.2298</v>
      </c>
      <c r="AA585" t="n">
        <v>64473.3892</v>
      </c>
      <c r="AB585" t="n">
        <v>0.484922</v>
      </c>
      <c r="AC585" t="n">
        <v>5.672889</v>
      </c>
      <c r="AD585" t="inlineStr">
        <is>
          <t>High</t>
        </is>
      </c>
      <c r="AE585" t="inlineStr">
        <is>
          <t>None</t>
        </is>
      </c>
      <c r="AF585" t="n">
        <v>0.95</v>
      </c>
      <c r="AG585" t="inlineStr">
        <is>
          <t>Valid</t>
        </is>
      </c>
    </row>
    <row r="586">
      <c r="A586" t="inlineStr">
        <is>
          <t>SUP-0059</t>
        </is>
      </c>
      <c r="B586" t="inlineStr">
        <is>
          <t>Agriculture Supplier 059</t>
        </is>
      </c>
      <c r="C586" t="inlineStr">
        <is>
          <t>Agriculture</t>
        </is>
      </c>
      <c r="D586" t="n">
        <v>2019</v>
      </c>
      <c r="E586" t="n">
        <v>21800747.38</v>
      </c>
      <c r="F586" t="n">
        <v>80189709.92</v>
      </c>
      <c r="G586" t="n">
        <v>14761.5143</v>
      </c>
      <c r="H586" t="n">
        <v>1719.0952</v>
      </c>
      <c r="I586" t="n">
        <v>1929.6916</v>
      </c>
      <c r="J586" t="n">
        <v>10477.4695</v>
      </c>
      <c r="K586" t="n">
        <v>2021</v>
      </c>
      <c r="L586" t="n">
        <v>2030</v>
      </c>
      <c r="M586" t="n">
        <v>0.495</v>
      </c>
      <c r="N586" t="n">
        <v>0.1874</v>
      </c>
      <c r="O586" t="n">
        <v>2018</v>
      </c>
      <c r="P586" t="inlineStr"/>
      <c r="Q586" t="inlineStr"/>
      <c r="R586" t="n">
        <v>529.8294</v>
      </c>
      <c r="S586" t="n">
        <v>0.00091413</v>
      </c>
      <c r="T586" t="n">
        <v>0.00096913</v>
      </c>
      <c r="U586" t="n">
        <v>14761.5143</v>
      </c>
      <c r="V586" t="inlineStr">
        <is>
          <t>Provided Total Emissions</t>
        </is>
      </c>
      <c r="W586" t="b">
        <v>1</v>
      </c>
      <c r="X586" t="n">
        <v>19928.7172</v>
      </c>
      <c r="Y586" t="n">
        <v>77714.2536</v>
      </c>
      <c r="Z586" t="n">
        <v>5167.2029</v>
      </c>
      <c r="AA586" t="n">
        <v>62952.7393</v>
      </c>
      <c r="AB586" t="n">
        <v>0.350046</v>
      </c>
      <c r="AC586" t="n">
        <v>4.264653</v>
      </c>
      <c r="AD586" t="inlineStr">
        <is>
          <t>High</t>
        </is>
      </c>
      <c r="AE586" t="inlineStr">
        <is>
          <t>None</t>
        </is>
      </c>
      <c r="AF586" t="n">
        <v>0.95</v>
      </c>
      <c r="AG586" t="inlineStr">
        <is>
          <t>Valid</t>
        </is>
      </c>
    </row>
    <row r="587">
      <c r="A587" t="inlineStr">
        <is>
          <t>SUP-0059</t>
        </is>
      </c>
      <c r="B587" t="inlineStr">
        <is>
          <t>Agriculture Supplier 059</t>
        </is>
      </c>
      <c r="C587" t="inlineStr">
        <is>
          <t>Agriculture</t>
        </is>
      </c>
      <c r="D587" t="n">
        <v>2020</v>
      </c>
      <c r="E587" t="n">
        <v>19882235.56</v>
      </c>
      <c r="F587" t="n">
        <v>118084380.57</v>
      </c>
      <c r="G587" t="n">
        <v>9330.480799999999</v>
      </c>
      <c r="H587" t="n">
        <v>2467.3668</v>
      </c>
      <c r="I587" t="n">
        <v>2007.1848</v>
      </c>
      <c r="J587" t="n">
        <v>4576.8829</v>
      </c>
      <c r="K587" t="n">
        <v>2021</v>
      </c>
      <c r="L587" t="n">
        <v>2030</v>
      </c>
      <c r="M587" t="n">
        <v>0.495</v>
      </c>
      <c r="N587" t="n">
        <v>0.1874</v>
      </c>
      <c r="O587" t="n">
        <v>2018</v>
      </c>
      <c r="P587" t="inlineStr"/>
      <c r="Q587" t="inlineStr"/>
      <c r="R587" t="n">
        <v>529.8294</v>
      </c>
      <c r="S587" t="n">
        <v>0.00091413</v>
      </c>
      <c r="T587" t="n">
        <v>0.00096913</v>
      </c>
      <c r="U587" t="n">
        <v>9330.480799999999</v>
      </c>
      <c r="V587" t="inlineStr">
        <is>
          <t>Provided Total Emissions</t>
        </is>
      </c>
      <c r="W587" t="b">
        <v>1</v>
      </c>
      <c r="X587" t="n">
        <v>18174.948</v>
      </c>
      <c r="Y587" t="n">
        <v>114439.1157</v>
      </c>
      <c r="Z587" t="n">
        <v>8844.467199999999</v>
      </c>
      <c r="AA587" t="n">
        <v>105108.6349</v>
      </c>
      <c r="AB587" t="n">
        <v>0.9479109999999999</v>
      </c>
      <c r="AC587" t="n">
        <v>11.265082</v>
      </c>
      <c r="AD587" t="inlineStr">
        <is>
          <t>High</t>
        </is>
      </c>
      <c r="AE587" t="inlineStr">
        <is>
          <t>None</t>
        </is>
      </c>
      <c r="AF587" t="n">
        <v>0.95</v>
      </c>
      <c r="AG587" t="inlineStr">
        <is>
          <t>Valid</t>
        </is>
      </c>
    </row>
    <row r="588">
      <c r="A588" t="inlineStr">
        <is>
          <t>SUP-0059</t>
        </is>
      </c>
      <c r="B588" t="inlineStr">
        <is>
          <t>Agriculture Supplier 059</t>
        </is>
      </c>
      <c r="C588" t="inlineStr">
        <is>
          <t>Agriculture</t>
        </is>
      </c>
      <c r="D588" t="n">
        <v>2021</v>
      </c>
      <c r="E588" t="n">
        <v>24034395.23</v>
      </c>
      <c r="F588" t="n">
        <v>123943987.5</v>
      </c>
      <c r="G588" t="n">
        <v>9370.181500000001</v>
      </c>
      <c r="H588" t="n">
        <v>1153.2722</v>
      </c>
      <c r="I588" t="n">
        <v>798.3201</v>
      </c>
      <c r="J588" t="n">
        <v>8593.451499999999</v>
      </c>
      <c r="K588" t="n">
        <v>2021</v>
      </c>
      <c r="L588" t="n">
        <v>2030</v>
      </c>
      <c r="M588" t="n">
        <v>0.495</v>
      </c>
      <c r="N588" t="n">
        <v>0.1874</v>
      </c>
      <c r="O588" t="n">
        <v>2018</v>
      </c>
      <c r="P588" t="inlineStr"/>
      <c r="Q588" t="inlineStr"/>
      <c r="R588" t="n">
        <v>529.8294</v>
      </c>
      <c r="S588" t="n">
        <v>0.00091413</v>
      </c>
      <c r="T588" t="n">
        <v>0.00096913</v>
      </c>
      <c r="U588" t="n">
        <v>9370.181500000001</v>
      </c>
      <c r="V588" t="inlineStr">
        <is>
          <t>Provided Total Emissions</t>
        </is>
      </c>
      <c r="W588" t="b">
        <v>1</v>
      </c>
      <c r="X588" t="n">
        <v>21970.5617</v>
      </c>
      <c r="Y588" t="n">
        <v>120117.8366</v>
      </c>
      <c r="Z588" t="n">
        <v>12600.3802</v>
      </c>
      <c r="AA588" t="n">
        <v>110747.6551</v>
      </c>
      <c r="AB588" t="n">
        <v>1.344732</v>
      </c>
      <c r="AC588" t="n">
        <v>11.819158</v>
      </c>
      <c r="AD588" t="inlineStr">
        <is>
          <t>High</t>
        </is>
      </c>
      <c r="AE588" t="inlineStr">
        <is>
          <t>None</t>
        </is>
      </c>
      <c r="AF588" t="n">
        <v>0.95</v>
      </c>
      <c r="AG588" t="inlineStr">
        <is>
          <t>Valid</t>
        </is>
      </c>
    </row>
    <row r="589">
      <c r="A589" t="inlineStr">
        <is>
          <t>SUP-0059</t>
        </is>
      </c>
      <c r="B589" t="inlineStr">
        <is>
          <t>Agriculture Supplier 059</t>
        </is>
      </c>
      <c r="C589" t="inlineStr">
        <is>
          <t>Agriculture</t>
        </is>
      </c>
      <c r="D589" t="n">
        <v>2022</v>
      </c>
      <c r="E589" t="n">
        <v>23482265.59</v>
      </c>
      <c r="F589" t="n">
        <v>131422589.99</v>
      </c>
      <c r="G589" t="n">
        <v>9189.0458</v>
      </c>
      <c r="H589" t="n">
        <v>1770.4275</v>
      </c>
      <c r="I589" t="n">
        <v>1881.2297</v>
      </c>
      <c r="J589" t="n">
        <v>5958.9258</v>
      </c>
      <c r="K589" t="n">
        <v>2021</v>
      </c>
      <c r="L589" t="n">
        <v>2030</v>
      </c>
      <c r="M589" t="n">
        <v>0.495</v>
      </c>
      <c r="N589" t="n">
        <v>0.1874</v>
      </c>
      <c r="O589" t="n">
        <v>2018</v>
      </c>
      <c r="P589" t="inlineStr"/>
      <c r="Q589" t="inlineStr"/>
      <c r="R589" t="n">
        <v>529.8294</v>
      </c>
      <c r="S589" t="n">
        <v>0.00091413</v>
      </c>
      <c r="T589" t="n">
        <v>0.00096913</v>
      </c>
      <c r="U589" t="n">
        <v>9189.0458</v>
      </c>
      <c r="V589" t="inlineStr">
        <is>
          <t>Provided Total Emissions</t>
        </is>
      </c>
      <c r="W589" t="b">
        <v>1</v>
      </c>
      <c r="X589" t="n">
        <v>21465.8434</v>
      </c>
      <c r="Y589" t="n">
        <v>127365.5746</v>
      </c>
      <c r="Z589" t="n">
        <v>12276.7976</v>
      </c>
      <c r="AA589" t="n">
        <v>118176.5288</v>
      </c>
      <c r="AB589" t="n">
        <v>1.336025</v>
      </c>
      <c r="AC589" t="n">
        <v>12.860588</v>
      </c>
      <c r="AD589" t="inlineStr">
        <is>
          <t>High</t>
        </is>
      </c>
      <c r="AE589" t="inlineStr">
        <is>
          <t>None</t>
        </is>
      </c>
      <c r="AF589" t="n">
        <v>0.95</v>
      </c>
      <c r="AG589" t="inlineStr">
        <is>
          <t>Valid</t>
        </is>
      </c>
    </row>
    <row r="590">
      <c r="A590" t="inlineStr">
        <is>
          <t>SUP-0059</t>
        </is>
      </c>
      <c r="B590" t="inlineStr">
        <is>
          <t>Agriculture Supplier 059</t>
        </is>
      </c>
      <c r="C590" t="inlineStr">
        <is>
          <t>Agriculture</t>
        </is>
      </c>
      <c r="D590" t="n">
        <v>2023</v>
      </c>
      <c r="E590" t="n">
        <v>28403622.92</v>
      </c>
      <c r="F590" t="n">
        <v>101005085.27</v>
      </c>
      <c r="G590" t="n">
        <v>16243.0987</v>
      </c>
      <c r="H590" t="n">
        <v>3696.1957</v>
      </c>
      <c r="I590" t="n">
        <v>3223.779</v>
      </c>
      <c r="J590" t="n">
        <v>8911.036599999999</v>
      </c>
      <c r="K590" t="n">
        <v>2021</v>
      </c>
      <c r="L590" t="n">
        <v>2030</v>
      </c>
      <c r="M590" t="n">
        <v>0.495</v>
      </c>
      <c r="N590" t="n">
        <v>0.1874</v>
      </c>
      <c r="O590" t="n">
        <v>2018</v>
      </c>
      <c r="P590" t="inlineStr"/>
      <c r="Q590" t="inlineStr"/>
      <c r="R590" t="n">
        <v>529.8294</v>
      </c>
      <c r="S590" t="n">
        <v>0.00091413</v>
      </c>
      <c r="T590" t="n">
        <v>0.00096913</v>
      </c>
      <c r="U590" t="n">
        <v>16243.0987</v>
      </c>
      <c r="V590" t="inlineStr">
        <is>
          <t>Provided Total Emissions</t>
        </is>
      </c>
      <c r="W590" t="b">
        <v>1</v>
      </c>
      <c r="X590" t="n">
        <v>25964.6038</v>
      </c>
      <c r="Y590" t="n">
        <v>97887.0583</v>
      </c>
      <c r="Z590" t="n">
        <v>9721.5051</v>
      </c>
      <c r="AA590" t="n">
        <v>81643.9596</v>
      </c>
      <c r="AB590" t="n">
        <v>0.5985009999999999</v>
      </c>
      <c r="AC590" t="n">
        <v>5.026378</v>
      </c>
      <c r="AD590" t="inlineStr">
        <is>
          <t>High</t>
        </is>
      </c>
      <c r="AE590" t="inlineStr">
        <is>
          <t>None</t>
        </is>
      </c>
      <c r="AF590" t="n">
        <v>0.95</v>
      </c>
      <c r="AG590" t="inlineStr">
        <is>
          <t>Valid</t>
        </is>
      </c>
    </row>
    <row r="591">
      <c r="A591" t="inlineStr">
        <is>
          <t>SUP-0059</t>
        </is>
      </c>
      <c r="B591" t="inlineStr">
        <is>
          <t>Agriculture Supplier 059</t>
        </is>
      </c>
      <c r="C591" t="inlineStr">
        <is>
          <t>Agriculture</t>
        </is>
      </c>
      <c r="D591" t="n">
        <v>2024</v>
      </c>
      <c r="E591" t="n">
        <v>26467142.02</v>
      </c>
      <c r="F591" t="n">
        <v>151629388.58</v>
      </c>
      <c r="G591" t="n">
        <v>11355.498</v>
      </c>
      <c r="H591" t="n">
        <v>1747.988</v>
      </c>
      <c r="I591" t="n">
        <v>1053.9191</v>
      </c>
      <c r="J591" t="n">
        <v>9018.0995</v>
      </c>
      <c r="K591" t="n">
        <v>2021</v>
      </c>
      <c r="L591" t="n">
        <v>2030</v>
      </c>
      <c r="M591" t="n">
        <v>0.495</v>
      </c>
      <c r="N591" t="n">
        <v>0.1874</v>
      </c>
      <c r="O591" t="n">
        <v>2018</v>
      </c>
      <c r="P591" t="inlineStr"/>
      <c r="Q591" t="inlineStr"/>
      <c r="R591" t="n">
        <v>529.8294</v>
      </c>
      <c r="S591" t="n">
        <v>0.00091413</v>
      </c>
      <c r="T591" t="n">
        <v>0.00096913</v>
      </c>
      <c r="U591" t="n">
        <v>11355.498</v>
      </c>
      <c r="V591" t="inlineStr">
        <is>
          <t>Provided Total Emissions</t>
        </is>
      </c>
      <c r="W591" t="b">
        <v>1</v>
      </c>
      <c r="X591" t="n">
        <v>24194.4085</v>
      </c>
      <c r="Y591" t="n">
        <v>146948.5894</v>
      </c>
      <c r="Z591" t="n">
        <v>12838.9105</v>
      </c>
      <c r="AA591" t="n">
        <v>135593.0914</v>
      </c>
      <c r="AB591" t="n">
        <v>1.130634</v>
      </c>
      <c r="AC591" t="n">
        <v>11.940744</v>
      </c>
      <c r="AD591" t="inlineStr">
        <is>
          <t>High</t>
        </is>
      </c>
      <c r="AE591" t="inlineStr">
        <is>
          <t>None</t>
        </is>
      </c>
      <c r="AF591" t="n">
        <v>0.95</v>
      </c>
      <c r="AG591" t="inlineStr">
        <is>
          <t>Valid</t>
        </is>
      </c>
    </row>
    <row r="592">
      <c r="A592" t="inlineStr">
        <is>
          <t>SUP-0060</t>
        </is>
      </c>
      <c r="B592" t="inlineStr">
        <is>
          <t>Electronics Supplier 060</t>
        </is>
      </c>
      <c r="C592" t="inlineStr">
        <is>
          <t>Electronics</t>
        </is>
      </c>
      <c r="D592" t="n">
        <v>2015</v>
      </c>
      <c r="E592" t="n">
        <v>5976625.36</v>
      </c>
      <c r="F592" t="n">
        <v>35243416.16</v>
      </c>
      <c r="G592" t="n">
        <v>6998.4025</v>
      </c>
      <c r="H592" t="n">
        <v>898.4818</v>
      </c>
      <c r="I592" t="n">
        <v>1230.3199</v>
      </c>
      <c r="J592" t="n">
        <v>5141.5413</v>
      </c>
      <c r="K592" t="n">
        <v>2020</v>
      </c>
      <c r="L592" t="n">
        <v>2040</v>
      </c>
      <c r="M592" t="n">
        <v>0.5996</v>
      </c>
      <c r="N592" t="n">
        <v>0.2984</v>
      </c>
      <c r="O592" t="n">
        <v>2018</v>
      </c>
      <c r="P592" t="n">
        <v>2040</v>
      </c>
      <c r="Q592" t="n">
        <v>0.3424</v>
      </c>
      <c r="R592" t="n">
        <v>635.1588</v>
      </c>
      <c r="S592" t="n">
        <v>0.00086105</v>
      </c>
      <c r="T592" t="n">
        <v>0.00013947</v>
      </c>
      <c r="U592" t="n">
        <v>6998.4025</v>
      </c>
      <c r="V592" t="inlineStr">
        <is>
          <t>Provided Total Emissions</t>
        </is>
      </c>
      <c r="W592" t="b">
        <v>1</v>
      </c>
      <c r="X592" t="n">
        <v>5146.1733</v>
      </c>
      <c r="Y592" t="n">
        <v>4915.3993</v>
      </c>
      <c r="Z592" t="n">
        <v>-1852.2292</v>
      </c>
      <c r="AA592" t="n">
        <v>-2083.0032</v>
      </c>
      <c r="AB592" t="n">
        <v>-0.264665</v>
      </c>
      <c r="AC592" t="n">
        <v>-0.29764</v>
      </c>
      <c r="AD592" t="inlineStr">
        <is>
          <t>High</t>
        </is>
      </c>
      <c r="AE592" t="inlineStr">
        <is>
          <t>None</t>
        </is>
      </c>
      <c r="AF592" t="n">
        <v>0.95</v>
      </c>
      <c r="AG592" t="inlineStr">
        <is>
          <t>Valid</t>
        </is>
      </c>
    </row>
    <row r="593">
      <c r="A593" t="inlineStr">
        <is>
          <t>SUP-0060</t>
        </is>
      </c>
      <c r="B593" t="inlineStr">
        <is>
          <t>Electronics Supplier 060</t>
        </is>
      </c>
      <c r="C593" t="inlineStr">
        <is>
          <t>Electronics</t>
        </is>
      </c>
      <c r="D593" t="n">
        <v>2016</v>
      </c>
      <c r="E593" t="n">
        <v>5875144.8</v>
      </c>
      <c r="F593" t="n">
        <v>43941662.48</v>
      </c>
      <c r="G593" t="n">
        <v>4702.4681</v>
      </c>
      <c r="H593" t="n">
        <v>1331.7365</v>
      </c>
      <c r="I593" t="n">
        <v>791.977</v>
      </c>
      <c r="J593" t="n">
        <v>2889.5614</v>
      </c>
      <c r="K593" t="n">
        <v>2020</v>
      </c>
      <c r="L593" t="n">
        <v>2040</v>
      </c>
      <c r="M593" t="n">
        <v>0.5996</v>
      </c>
      <c r="N593" t="n">
        <v>0.2984</v>
      </c>
      <c r="O593" t="n">
        <v>2018</v>
      </c>
      <c r="P593" t="n">
        <v>2040</v>
      </c>
      <c r="Q593" t="n">
        <v>0.3424</v>
      </c>
      <c r="R593" t="n">
        <v>635.1588</v>
      </c>
      <c r="S593" t="n">
        <v>0.00086105</v>
      </c>
      <c r="T593" t="n">
        <v>0.00013947</v>
      </c>
      <c r="U593" t="n">
        <v>4702.4681</v>
      </c>
      <c r="V593" t="inlineStr">
        <is>
          <t>Provided Total Emissions</t>
        </is>
      </c>
      <c r="W593" t="b">
        <v>1</v>
      </c>
      <c r="X593" t="n">
        <v>5058.7934</v>
      </c>
      <c r="Y593" t="n">
        <v>6128.5437</v>
      </c>
      <c r="Z593" t="n">
        <v>356.3253</v>
      </c>
      <c r="AA593" t="n">
        <v>1426.0756</v>
      </c>
      <c r="AB593" t="n">
        <v>0.07577399999999999</v>
      </c>
      <c r="AC593" t="n">
        <v>0.303261</v>
      </c>
      <c r="AD593" t="inlineStr">
        <is>
          <t>High</t>
        </is>
      </c>
      <c r="AE593" t="inlineStr">
        <is>
          <t>None</t>
        </is>
      </c>
      <c r="AF593" t="n">
        <v>0.95</v>
      </c>
      <c r="AG593" t="inlineStr">
        <is>
          <t>Valid</t>
        </is>
      </c>
    </row>
    <row r="594">
      <c r="A594" t="inlineStr">
        <is>
          <t>SUP-0060</t>
        </is>
      </c>
      <c r="B594" t="inlineStr">
        <is>
          <t>Electronics Supplier 060</t>
        </is>
      </c>
      <c r="C594" t="inlineStr">
        <is>
          <t>Electronics</t>
        </is>
      </c>
      <c r="D594" t="n">
        <v>2017</v>
      </c>
      <c r="E594" t="n">
        <v>6628187.08</v>
      </c>
      <c r="F594" t="n">
        <v>39488351.38</v>
      </c>
      <c r="G594" t="n">
        <v>4745.084</v>
      </c>
      <c r="H594" t="n">
        <v>1202.0647</v>
      </c>
      <c r="I594" t="n">
        <v>560.0262</v>
      </c>
      <c r="J594" t="n">
        <v>2873.0492</v>
      </c>
      <c r="K594" t="n">
        <v>2020</v>
      </c>
      <c r="L594" t="n">
        <v>2040</v>
      </c>
      <c r="M594" t="n">
        <v>0.5996</v>
      </c>
      <c r="N594" t="n">
        <v>0.2984</v>
      </c>
      <c r="O594" t="n">
        <v>2018</v>
      </c>
      <c r="P594" t="n">
        <v>2040</v>
      </c>
      <c r="Q594" t="n">
        <v>0.3424</v>
      </c>
      <c r="R594" t="n">
        <v>635.1588</v>
      </c>
      <c r="S594" t="n">
        <v>0.00086105</v>
      </c>
      <c r="T594" t="n">
        <v>0.00013947</v>
      </c>
      <c r="U594" t="n">
        <v>4745.084</v>
      </c>
      <c r="V594" t="inlineStr">
        <is>
          <t>Provided Total Emissions</t>
        </is>
      </c>
      <c r="W594" t="b">
        <v>1</v>
      </c>
      <c r="X594" t="n">
        <v>5707.2005</v>
      </c>
      <c r="Y594" t="n">
        <v>5507.4404</v>
      </c>
      <c r="Z594" t="n">
        <v>962.1165</v>
      </c>
      <c r="AA594" t="n">
        <v>762.3564</v>
      </c>
      <c r="AB594" t="n">
        <v>0.202761</v>
      </c>
      <c r="AC594" t="n">
        <v>0.160662</v>
      </c>
      <c r="AD594" t="inlineStr">
        <is>
          <t>High</t>
        </is>
      </c>
      <c r="AE594" t="inlineStr">
        <is>
          <t>None</t>
        </is>
      </c>
      <c r="AF594" t="n">
        <v>0.95</v>
      </c>
      <c r="AG594" t="inlineStr">
        <is>
          <t>Valid</t>
        </is>
      </c>
    </row>
    <row r="595">
      <c r="A595" t="inlineStr">
        <is>
          <t>SUP-0060</t>
        </is>
      </c>
      <c r="B595" t="inlineStr">
        <is>
          <t>Electronics Supplier 060</t>
        </is>
      </c>
      <c r="C595" t="inlineStr">
        <is>
          <t>Electronics</t>
        </is>
      </c>
      <c r="D595" t="n">
        <v>2018</v>
      </c>
      <c r="E595" t="n">
        <v>7231734.64</v>
      </c>
      <c r="F595" t="n">
        <v>51270570.88</v>
      </c>
      <c r="G595" t="n">
        <v>5975.4594</v>
      </c>
      <c r="H595" t="n">
        <v>1473.7985</v>
      </c>
      <c r="I595" t="n">
        <v>697.5703999999999</v>
      </c>
      <c r="J595" t="n">
        <v>4010.3544</v>
      </c>
      <c r="K595" t="n">
        <v>2020</v>
      </c>
      <c r="L595" t="n">
        <v>2040</v>
      </c>
      <c r="M595" t="n">
        <v>0.5996</v>
      </c>
      <c r="N595" t="n">
        <v>0.2984</v>
      </c>
      <c r="O595" t="n">
        <v>2018</v>
      </c>
      <c r="P595" t="n">
        <v>2040</v>
      </c>
      <c r="Q595" t="n">
        <v>0.3424</v>
      </c>
      <c r="R595" t="n">
        <v>635.1588</v>
      </c>
      <c r="S595" t="n">
        <v>0.00086105</v>
      </c>
      <c r="T595" t="n">
        <v>0.00013947</v>
      </c>
      <c r="U595" t="n">
        <v>5975.4594</v>
      </c>
      <c r="V595" t="inlineStr">
        <is>
          <t>Provided Total Emissions</t>
        </is>
      </c>
      <c r="W595" t="b">
        <v>1</v>
      </c>
      <c r="X595" t="n">
        <v>6226.8851</v>
      </c>
      <c r="Y595" t="n">
        <v>7150.7065</v>
      </c>
      <c r="Z595" t="n">
        <v>251.4257</v>
      </c>
      <c r="AA595" t="n">
        <v>1175.2471</v>
      </c>
      <c r="AB595" t="n">
        <v>0.042076</v>
      </c>
      <c r="AC595" t="n">
        <v>0.196679</v>
      </c>
      <c r="AD595" t="inlineStr">
        <is>
          <t>High</t>
        </is>
      </c>
      <c r="AE595" t="inlineStr">
        <is>
          <t>None</t>
        </is>
      </c>
      <c r="AF595" t="n">
        <v>0.95</v>
      </c>
      <c r="AG595" t="inlineStr">
        <is>
          <t>Valid</t>
        </is>
      </c>
    </row>
    <row r="596">
      <c r="A596" t="inlineStr">
        <is>
          <t>SUP-0060</t>
        </is>
      </c>
      <c r="B596" t="inlineStr">
        <is>
          <t>Electronics Supplier 060</t>
        </is>
      </c>
      <c r="C596" t="inlineStr">
        <is>
          <t>Electronics</t>
        </is>
      </c>
      <c r="D596" t="n">
        <v>2019</v>
      </c>
      <c r="E596" t="n">
        <v>7986916.19</v>
      </c>
      <c r="F596" t="n">
        <v>47020601.36</v>
      </c>
      <c r="G596" t="n">
        <v>7594.2622</v>
      </c>
      <c r="H596" t="n">
        <v>2050.5894</v>
      </c>
      <c r="I596" t="n">
        <v>1642.7119</v>
      </c>
      <c r="J596" t="n">
        <v>3824.8128</v>
      </c>
      <c r="K596" t="n">
        <v>2020</v>
      </c>
      <c r="L596" t="n">
        <v>2040</v>
      </c>
      <c r="M596" t="n">
        <v>0.5996</v>
      </c>
      <c r="N596" t="n">
        <v>0.2984</v>
      </c>
      <c r="O596" t="n">
        <v>2018</v>
      </c>
      <c r="P596" t="n">
        <v>2040</v>
      </c>
      <c r="Q596" t="n">
        <v>0.3424</v>
      </c>
      <c r="R596" t="n">
        <v>635.1588</v>
      </c>
      <c r="S596" t="n">
        <v>0.00086105</v>
      </c>
      <c r="T596" t="n">
        <v>0.00013947</v>
      </c>
      <c r="U596" t="n">
        <v>7594.2622</v>
      </c>
      <c r="V596" t="inlineStr">
        <is>
          <t>Provided Total Emissions</t>
        </is>
      </c>
      <c r="W596" t="b">
        <v>1</v>
      </c>
      <c r="X596" t="n">
        <v>6877.1342</v>
      </c>
      <c r="Y596" t="n">
        <v>6557.9633</v>
      </c>
      <c r="Z596" t="n">
        <v>-717.128</v>
      </c>
      <c r="AA596" t="n">
        <v>-1036.2989</v>
      </c>
      <c r="AB596" t="n">
        <v>-0.09443</v>
      </c>
      <c r="AC596" t="n">
        <v>-0.136458</v>
      </c>
      <c r="AD596" t="inlineStr">
        <is>
          <t>High</t>
        </is>
      </c>
      <c r="AE596" t="inlineStr">
        <is>
          <t>None</t>
        </is>
      </c>
      <c r="AF596" t="n">
        <v>0.95</v>
      </c>
      <c r="AG596" t="inlineStr">
        <is>
          <t>Valid</t>
        </is>
      </c>
    </row>
    <row r="597">
      <c r="A597" t="inlineStr">
        <is>
          <t>SUP-0060</t>
        </is>
      </c>
      <c r="B597" t="inlineStr">
        <is>
          <t>Electronics Supplier 060</t>
        </is>
      </c>
      <c r="C597" t="inlineStr">
        <is>
          <t>Electronics</t>
        </is>
      </c>
      <c r="D597" t="n">
        <v>2020</v>
      </c>
      <c r="E597" t="n">
        <v>8144656.1</v>
      </c>
      <c r="F597" t="n">
        <v>45817817.74</v>
      </c>
      <c r="G597" t="n">
        <v>6767.4202</v>
      </c>
      <c r="H597" t="n">
        <v>641.1863</v>
      </c>
      <c r="I597" t="n">
        <v>623.8468</v>
      </c>
      <c r="J597" t="n">
        <v>4759.3367</v>
      </c>
      <c r="K597" t="n">
        <v>2020</v>
      </c>
      <c r="L597" t="n">
        <v>2040</v>
      </c>
      <c r="M597" t="n">
        <v>0.5996</v>
      </c>
      <c r="N597" t="n">
        <v>0.2984</v>
      </c>
      <c r="O597" t="n">
        <v>2018</v>
      </c>
      <c r="P597" t="n">
        <v>2040</v>
      </c>
      <c r="Q597" t="n">
        <v>0.3424</v>
      </c>
      <c r="R597" t="n">
        <v>635.1588</v>
      </c>
      <c r="S597" t="n">
        <v>0.00086105</v>
      </c>
      <c r="T597" t="n">
        <v>0.00013947</v>
      </c>
      <c r="U597" t="n">
        <v>6767.4202</v>
      </c>
      <c r="V597" t="inlineStr">
        <is>
          <t>Provided Total Emissions</t>
        </is>
      </c>
      <c r="W597" t="b">
        <v>1</v>
      </c>
      <c r="X597" t="n">
        <v>7012.9561</v>
      </c>
      <c r="Y597" t="n">
        <v>6390.211</v>
      </c>
      <c r="Z597" t="n">
        <v>245.5359</v>
      </c>
      <c r="AA597" t="n">
        <v>-377.2092</v>
      </c>
      <c r="AB597" t="n">
        <v>0.036282</v>
      </c>
      <c r="AC597" t="n">
        <v>-0.055739</v>
      </c>
      <c r="AD597" t="inlineStr">
        <is>
          <t>High</t>
        </is>
      </c>
      <c r="AE597" t="inlineStr">
        <is>
          <t>None</t>
        </is>
      </c>
      <c r="AF597" t="n">
        <v>0.95</v>
      </c>
      <c r="AG597" t="inlineStr">
        <is>
          <t>Valid</t>
        </is>
      </c>
    </row>
    <row r="598">
      <c r="A598" t="inlineStr">
        <is>
          <t>SUP-0060</t>
        </is>
      </c>
      <c r="B598" t="inlineStr">
        <is>
          <t>Electronics Supplier 060</t>
        </is>
      </c>
      <c r="C598" t="inlineStr">
        <is>
          <t>Electronics</t>
        </is>
      </c>
      <c r="D598" t="n">
        <v>2021</v>
      </c>
      <c r="E598" t="n">
        <v>8598599.539999999</v>
      </c>
      <c r="F598" t="n">
        <v>65849397.17</v>
      </c>
      <c r="G598" t="n">
        <v>5345.7411</v>
      </c>
      <c r="H598" t="n">
        <v>1130.0475</v>
      </c>
      <c r="I598" t="n">
        <v>1045.6309</v>
      </c>
      <c r="J598" t="n">
        <v>2942.0532</v>
      </c>
      <c r="K598" t="n">
        <v>2020</v>
      </c>
      <c r="L598" t="n">
        <v>2040</v>
      </c>
      <c r="M598" t="n">
        <v>0.5996</v>
      </c>
      <c r="N598" t="n">
        <v>0.2984</v>
      </c>
      <c r="O598" t="n">
        <v>2018</v>
      </c>
      <c r="P598" t="n">
        <v>2040</v>
      </c>
      <c r="Q598" t="n">
        <v>0.3424</v>
      </c>
      <c r="R598" t="n">
        <v>635.1588</v>
      </c>
      <c r="S598" t="n">
        <v>0.00086105</v>
      </c>
      <c r="T598" t="n">
        <v>0.00013947</v>
      </c>
      <c r="U598" t="n">
        <v>5345.7411</v>
      </c>
      <c r="V598" t="inlineStr">
        <is>
          <t>Provided Total Emissions</t>
        </is>
      </c>
      <c r="W598" t="b">
        <v>1</v>
      </c>
      <c r="X598" t="n">
        <v>7403.8241</v>
      </c>
      <c r="Y598" t="n">
        <v>9184.0154</v>
      </c>
      <c r="Z598" t="n">
        <v>2058.083</v>
      </c>
      <c r="AA598" t="n">
        <v>3838.2743</v>
      </c>
      <c r="AB598" t="n">
        <v>0.384995</v>
      </c>
      <c r="AC598" t="n">
        <v>0.718006</v>
      </c>
      <c r="AD598" t="inlineStr">
        <is>
          <t>High</t>
        </is>
      </c>
      <c r="AE598" t="inlineStr">
        <is>
          <t>None</t>
        </is>
      </c>
      <c r="AF598" t="n">
        <v>0.95</v>
      </c>
      <c r="AG598" t="inlineStr">
        <is>
          <t>Valid</t>
        </is>
      </c>
    </row>
    <row r="599">
      <c r="A599" t="inlineStr">
        <is>
          <t>SUP-0060</t>
        </is>
      </c>
      <c r="B599" t="inlineStr">
        <is>
          <t>Electronics Supplier 060</t>
        </is>
      </c>
      <c r="C599" t="inlineStr">
        <is>
          <t>Electronics</t>
        </is>
      </c>
      <c r="D599" t="n">
        <v>2022</v>
      </c>
      <c r="E599" t="n">
        <v>9149444.140000001</v>
      </c>
      <c r="F599" t="n">
        <v>48962110.53</v>
      </c>
      <c r="G599" t="n">
        <v>7472.0152</v>
      </c>
      <c r="H599" t="n">
        <v>685.2096</v>
      </c>
      <c r="I599" t="n">
        <v>1652.695</v>
      </c>
      <c r="J599" t="n">
        <v>4881.3305</v>
      </c>
      <c r="K599" t="n">
        <v>2020</v>
      </c>
      <c r="L599" t="n">
        <v>2040</v>
      </c>
      <c r="M599" t="n">
        <v>0.5996</v>
      </c>
      <c r="N599" t="n">
        <v>0.2984</v>
      </c>
      <c r="O599" t="n">
        <v>2018</v>
      </c>
      <c r="P599" t="n">
        <v>2040</v>
      </c>
      <c r="Q599" t="n">
        <v>0.3424</v>
      </c>
      <c r="R599" t="n">
        <v>635.1588</v>
      </c>
      <c r="S599" t="n">
        <v>0.00086105</v>
      </c>
      <c r="T599" t="n">
        <v>0.00013947</v>
      </c>
      <c r="U599" t="n">
        <v>7472.0152</v>
      </c>
      <c r="V599" t="inlineStr">
        <is>
          <t>Provided Total Emissions</t>
        </is>
      </c>
      <c r="W599" t="b">
        <v>1</v>
      </c>
      <c r="X599" t="n">
        <v>7878.1289</v>
      </c>
      <c r="Y599" t="n">
        <v>6828.7456</v>
      </c>
      <c r="Z599" t="n">
        <v>406.1137</v>
      </c>
      <c r="AA599" t="n">
        <v>-643.2696</v>
      </c>
      <c r="AB599" t="n">
        <v>0.054351</v>
      </c>
      <c r="AC599" t="n">
        <v>-0.086091</v>
      </c>
      <c r="AD599" t="inlineStr">
        <is>
          <t>High</t>
        </is>
      </c>
      <c r="AE599" t="inlineStr">
        <is>
          <t>None</t>
        </is>
      </c>
      <c r="AF599" t="n">
        <v>0.95</v>
      </c>
      <c r="AG599" t="inlineStr">
        <is>
          <t>Valid</t>
        </is>
      </c>
    </row>
    <row r="600">
      <c r="A600" t="inlineStr">
        <is>
          <t>SUP-0060</t>
        </is>
      </c>
      <c r="B600" t="inlineStr">
        <is>
          <t>Electronics Supplier 060</t>
        </is>
      </c>
      <c r="C600" t="inlineStr">
        <is>
          <t>Electronics</t>
        </is>
      </c>
      <c r="D600" t="n">
        <v>2023</v>
      </c>
      <c r="E600" t="n">
        <v>9096501.380000001</v>
      </c>
      <c r="F600" t="n">
        <v>62588313.04</v>
      </c>
      <c r="G600" t="n">
        <v>6459.7329</v>
      </c>
      <c r="H600" t="n">
        <v>1861.2513</v>
      </c>
      <c r="I600" t="n">
        <v>1452.9343</v>
      </c>
      <c r="J600" t="n">
        <v>3455.3932</v>
      </c>
      <c r="K600" t="n">
        <v>2020</v>
      </c>
      <c r="L600" t="n">
        <v>2040</v>
      </c>
      <c r="M600" t="n">
        <v>0.5996</v>
      </c>
      <c r="N600" t="n">
        <v>0.2984</v>
      </c>
      <c r="O600" t="n">
        <v>2018</v>
      </c>
      <c r="P600" t="n">
        <v>2040</v>
      </c>
      <c r="Q600" t="n">
        <v>0.3424</v>
      </c>
      <c r="R600" t="n">
        <v>635.1588</v>
      </c>
      <c r="S600" t="n">
        <v>0.00086105</v>
      </c>
      <c r="T600" t="n">
        <v>0.00013947</v>
      </c>
      <c r="U600" t="n">
        <v>6459.7329</v>
      </c>
      <c r="V600" t="inlineStr">
        <is>
          <t>Provided Total Emissions</t>
        </is>
      </c>
      <c r="W600" t="b">
        <v>1</v>
      </c>
      <c r="X600" t="n">
        <v>7832.5425</v>
      </c>
      <c r="Y600" t="n">
        <v>8729.191999999999</v>
      </c>
      <c r="Z600" t="n">
        <v>1372.8096</v>
      </c>
      <c r="AA600" t="n">
        <v>2269.4591</v>
      </c>
      <c r="AB600" t="n">
        <v>0.212518</v>
      </c>
      <c r="AC600" t="n">
        <v>0.351324</v>
      </c>
      <c r="AD600" t="inlineStr">
        <is>
          <t>High</t>
        </is>
      </c>
      <c r="AE600" t="inlineStr">
        <is>
          <t>None</t>
        </is>
      </c>
      <c r="AF600" t="n">
        <v>0.95</v>
      </c>
      <c r="AG600" t="inlineStr">
        <is>
          <t>Valid</t>
        </is>
      </c>
    </row>
    <row r="601">
      <c r="A601" t="inlineStr">
        <is>
          <t>SUP-0060</t>
        </is>
      </c>
      <c r="B601" t="inlineStr">
        <is>
          <t>Electronics Supplier 060</t>
        </is>
      </c>
      <c r="C601" t="inlineStr">
        <is>
          <t>Electronics</t>
        </is>
      </c>
      <c r="D601" t="n">
        <v>2024</v>
      </c>
      <c r="E601" t="n">
        <v>9511980.970000001</v>
      </c>
      <c r="F601" t="n">
        <v>51494851.6</v>
      </c>
      <c r="G601" t="n">
        <v>6336.7308</v>
      </c>
      <c r="H601" t="n">
        <v>738.3951</v>
      </c>
      <c r="I601" t="n">
        <v>476.1886</v>
      </c>
      <c r="J601" t="n">
        <v>4578.248</v>
      </c>
      <c r="K601" t="n">
        <v>2020</v>
      </c>
      <c r="L601" t="n">
        <v>2040</v>
      </c>
      <c r="M601" t="n">
        <v>0.5996</v>
      </c>
      <c r="N601" t="n">
        <v>0.2984</v>
      </c>
      <c r="O601" t="n">
        <v>2018</v>
      </c>
      <c r="P601" t="n">
        <v>2040</v>
      </c>
      <c r="Q601" t="n">
        <v>0.3424</v>
      </c>
      <c r="R601" t="n">
        <v>635.1588</v>
      </c>
      <c r="S601" t="n">
        <v>0.00086105</v>
      </c>
      <c r="T601" t="n">
        <v>0.00013947</v>
      </c>
      <c r="U601" t="n">
        <v>6336.7308</v>
      </c>
      <c r="V601" t="inlineStr">
        <is>
          <t>Provided Total Emissions</t>
        </is>
      </c>
      <c r="W601" t="b">
        <v>1</v>
      </c>
      <c r="X601" t="n">
        <v>8190.2912</v>
      </c>
      <c r="Y601" t="n">
        <v>7181.987</v>
      </c>
      <c r="Z601" t="n">
        <v>1853.5604</v>
      </c>
      <c r="AA601" t="n">
        <v>845.2562</v>
      </c>
      <c r="AB601" t="n">
        <v>0.292511</v>
      </c>
      <c r="AC601" t="n">
        <v>0.13339</v>
      </c>
      <c r="AD601" t="inlineStr">
        <is>
          <t>High</t>
        </is>
      </c>
      <c r="AE601" t="inlineStr">
        <is>
          <t>None</t>
        </is>
      </c>
      <c r="AF601" t="n">
        <v>0.95</v>
      </c>
      <c r="AG601" t="inlineStr">
        <is>
          <t>Valid</t>
        </is>
      </c>
    </row>
    <row r="602">
      <c r="A602" t="inlineStr">
        <is>
          <t>SUP-0061</t>
        </is>
      </c>
      <c r="B602" t="inlineStr">
        <is>
          <t>Metals Supplier 061</t>
        </is>
      </c>
      <c r="C602" t="inlineStr">
        <is>
          <t>Metals</t>
        </is>
      </c>
      <c r="D602" t="n">
        <v>2015</v>
      </c>
      <c r="E602" t="n">
        <v>19631554.42</v>
      </c>
      <c r="F602" t="n">
        <v>184557329.93</v>
      </c>
      <c r="G602" t="n">
        <v>22191.9842</v>
      </c>
      <c r="H602" t="n">
        <v>3324.6634</v>
      </c>
      <c r="I602" t="n">
        <v>3138.0721</v>
      </c>
      <c r="J602" t="n">
        <v>16776.7278</v>
      </c>
      <c r="K602" t="n">
        <v>2018</v>
      </c>
      <c r="L602" t="n">
        <v>2040</v>
      </c>
      <c r="M602" t="n">
        <v>0.342</v>
      </c>
      <c r="N602" t="n">
        <v>0.2056</v>
      </c>
      <c r="O602" t="n">
        <v>2019</v>
      </c>
      <c r="P602" t="n">
        <v>2030</v>
      </c>
      <c r="Q602" t="n">
        <v>0.3852</v>
      </c>
      <c r="R602" t="n">
        <v>158.2904</v>
      </c>
      <c r="S602" t="n">
        <v>0.00100695</v>
      </c>
      <c r="T602" t="n">
        <v>0.00065008</v>
      </c>
      <c r="U602" t="n">
        <v>22191.9842</v>
      </c>
      <c r="V602" t="inlineStr">
        <is>
          <t>Provided Total Emissions</t>
        </is>
      </c>
      <c r="W602" t="b">
        <v>1</v>
      </c>
      <c r="X602" t="n">
        <v>19767.9937</v>
      </c>
      <c r="Y602" t="n">
        <v>119977.029</v>
      </c>
      <c r="Z602" t="n">
        <v>-2423.9905</v>
      </c>
      <c r="AA602" t="n">
        <v>97785.0448</v>
      </c>
      <c r="AB602" t="n">
        <v>-0.109228</v>
      </c>
      <c r="AC602" t="n">
        <v>4.406323</v>
      </c>
      <c r="AD602" t="inlineStr">
        <is>
          <t>High</t>
        </is>
      </c>
      <c r="AE602" t="inlineStr">
        <is>
          <t>None</t>
        </is>
      </c>
      <c r="AF602" t="n">
        <v>0.95</v>
      </c>
      <c r="AG602" t="inlineStr">
        <is>
          <t>Valid</t>
        </is>
      </c>
    </row>
    <row r="603">
      <c r="A603" t="inlineStr">
        <is>
          <t>SUP-0061</t>
        </is>
      </c>
      <c r="B603" t="inlineStr">
        <is>
          <t>Metals Supplier 061</t>
        </is>
      </c>
      <c r="C603" t="inlineStr">
        <is>
          <t>Metals</t>
        </is>
      </c>
      <c r="D603" t="n">
        <v>2016</v>
      </c>
      <c r="E603" t="n">
        <v>22054270.12</v>
      </c>
      <c r="F603" t="n">
        <v>166783171.77</v>
      </c>
      <c r="G603" t="n">
        <v>20794.5035</v>
      </c>
      <c r="H603" t="n">
        <v>2233.0515</v>
      </c>
      <c r="I603" t="n">
        <v>3185.3185</v>
      </c>
      <c r="J603" t="n">
        <v>15509.376</v>
      </c>
      <c r="K603" t="n">
        <v>2018</v>
      </c>
      <c r="L603" t="n">
        <v>2040</v>
      </c>
      <c r="M603" t="n">
        <v>0.342</v>
      </c>
      <c r="N603" t="n">
        <v>0.2056</v>
      </c>
      <c r="O603" t="n">
        <v>2019</v>
      </c>
      <c r="P603" t="n">
        <v>2030</v>
      </c>
      <c r="Q603" t="n">
        <v>0.3852</v>
      </c>
      <c r="R603" t="n">
        <v>158.2904</v>
      </c>
      <c r="S603" t="n">
        <v>0.00100695</v>
      </c>
      <c r="T603" t="n">
        <v>0.00065008</v>
      </c>
      <c r="U603" t="n">
        <v>20794.5035</v>
      </c>
      <c r="V603" t="inlineStr">
        <is>
          <t>Provided Total Emissions</t>
        </is>
      </c>
      <c r="W603" t="b">
        <v>1</v>
      </c>
      <c r="X603" t="n">
        <v>22207.5473</v>
      </c>
      <c r="Y603" t="n">
        <v>108422.4043</v>
      </c>
      <c r="Z603" t="n">
        <v>1413.0438</v>
      </c>
      <c r="AA603" t="n">
        <v>87627.9008</v>
      </c>
      <c r="AB603" t="n">
        <v>0.067953</v>
      </c>
      <c r="AC603" t="n">
        <v>4.213993</v>
      </c>
      <c r="AD603" t="inlineStr">
        <is>
          <t>High</t>
        </is>
      </c>
      <c r="AE603" t="inlineStr">
        <is>
          <t>None</t>
        </is>
      </c>
      <c r="AF603" t="n">
        <v>0.95</v>
      </c>
      <c r="AG603" t="inlineStr">
        <is>
          <t>Valid</t>
        </is>
      </c>
    </row>
    <row r="604">
      <c r="A604" t="inlineStr">
        <is>
          <t>SUP-0061</t>
        </is>
      </c>
      <c r="B604" t="inlineStr">
        <is>
          <t>Metals Supplier 061</t>
        </is>
      </c>
      <c r="C604" t="inlineStr">
        <is>
          <t>Metals</t>
        </is>
      </c>
      <c r="D604" t="n">
        <v>2017</v>
      </c>
      <c r="E604" t="n">
        <v>21849501.45</v>
      </c>
      <c r="F604" t="n">
        <v>175811455.81</v>
      </c>
      <c r="G604" t="n">
        <v>22937.6725</v>
      </c>
      <c r="H604" t="n">
        <v>6332.3641</v>
      </c>
      <c r="I604" t="n">
        <v>2924.4701</v>
      </c>
      <c r="J604" t="n">
        <v>13411.2722</v>
      </c>
      <c r="K604" t="n">
        <v>2018</v>
      </c>
      <c r="L604" t="n">
        <v>2040</v>
      </c>
      <c r="M604" t="n">
        <v>0.342</v>
      </c>
      <c r="N604" t="n">
        <v>0.2056</v>
      </c>
      <c r="O604" t="n">
        <v>2019</v>
      </c>
      <c r="P604" t="n">
        <v>2030</v>
      </c>
      <c r="Q604" t="n">
        <v>0.3852</v>
      </c>
      <c r="R604" t="n">
        <v>158.2904</v>
      </c>
      <c r="S604" t="n">
        <v>0.00100695</v>
      </c>
      <c r="T604" t="n">
        <v>0.00065008</v>
      </c>
      <c r="U604" t="n">
        <v>22937.6725</v>
      </c>
      <c r="V604" t="inlineStr">
        <is>
          <t>Provided Total Emissions</t>
        </is>
      </c>
      <c r="W604" t="b">
        <v>1</v>
      </c>
      <c r="X604" t="n">
        <v>22001.3555</v>
      </c>
      <c r="Y604" t="n">
        <v>114291.5112</v>
      </c>
      <c r="Z604" t="n">
        <v>-936.317</v>
      </c>
      <c r="AA604" t="n">
        <v>91353.83869999999</v>
      </c>
      <c r="AB604" t="n">
        <v>-0.04082</v>
      </c>
      <c r="AC604" t="n">
        <v>3.982699</v>
      </c>
      <c r="AD604" t="inlineStr">
        <is>
          <t>High</t>
        </is>
      </c>
      <c r="AE604" t="inlineStr">
        <is>
          <t>None</t>
        </is>
      </c>
      <c r="AF604" t="n">
        <v>0.95</v>
      </c>
      <c r="AG604" t="inlineStr">
        <is>
          <t>Valid</t>
        </is>
      </c>
    </row>
    <row r="605">
      <c r="A605" t="inlineStr">
        <is>
          <t>SUP-0061</t>
        </is>
      </c>
      <c r="B605" t="inlineStr">
        <is>
          <t>Metals Supplier 061</t>
        </is>
      </c>
      <c r="C605" t="inlineStr">
        <is>
          <t>Metals</t>
        </is>
      </c>
      <c r="D605" t="n">
        <v>2018</v>
      </c>
      <c r="E605" t="n">
        <v>19974552.28</v>
      </c>
      <c r="F605" t="n">
        <v>132580290.24</v>
      </c>
      <c r="G605" t="n">
        <v>20080.9039</v>
      </c>
      <c r="H605" t="n">
        <v>2189.483</v>
      </c>
      <c r="I605" t="n">
        <v>4347.2137</v>
      </c>
      <c r="J605" t="n">
        <v>14648.3367</v>
      </c>
      <c r="K605" t="n">
        <v>2018</v>
      </c>
      <c r="L605" t="n">
        <v>2040</v>
      </c>
      <c r="M605" t="n">
        <v>0.342</v>
      </c>
      <c r="N605" t="n">
        <v>0.2056</v>
      </c>
      <c r="O605" t="n">
        <v>2019</v>
      </c>
      <c r="P605" t="n">
        <v>2030</v>
      </c>
      <c r="Q605" t="n">
        <v>0.3852</v>
      </c>
      <c r="R605" t="n">
        <v>158.2904</v>
      </c>
      <c r="S605" t="n">
        <v>0.00100695</v>
      </c>
      <c r="T605" t="n">
        <v>0.00065008</v>
      </c>
      <c r="U605" t="n">
        <v>20080.9039</v>
      </c>
      <c r="V605" t="inlineStr">
        <is>
          <t>Provided Total Emissions</t>
        </is>
      </c>
      <c r="W605" t="b">
        <v>1</v>
      </c>
      <c r="X605" t="n">
        <v>20113.3754</v>
      </c>
      <c r="Y605" t="n">
        <v>86187.7951</v>
      </c>
      <c r="Z605" t="n">
        <v>32.4715</v>
      </c>
      <c r="AA605" t="n">
        <v>66106.8912</v>
      </c>
      <c r="AB605" t="n">
        <v>0.001617</v>
      </c>
      <c r="AC605" t="n">
        <v>3.292028</v>
      </c>
      <c r="AD605" t="inlineStr">
        <is>
          <t>High</t>
        </is>
      </c>
      <c r="AE605" t="inlineStr">
        <is>
          <t>None</t>
        </is>
      </c>
      <c r="AF605" t="n">
        <v>0.95</v>
      </c>
      <c r="AG605" t="inlineStr">
        <is>
          <t>Valid</t>
        </is>
      </c>
    </row>
    <row r="606">
      <c r="A606" t="inlineStr">
        <is>
          <t>SUP-0061</t>
        </is>
      </c>
      <c r="B606" t="inlineStr">
        <is>
          <t>Metals Supplier 061</t>
        </is>
      </c>
      <c r="C606" t="inlineStr">
        <is>
          <t>Metals</t>
        </is>
      </c>
      <c r="D606" t="n">
        <v>2019</v>
      </c>
      <c r="E606" t="n">
        <v>21728925.48</v>
      </c>
      <c r="F606" t="n">
        <v>204713264.77</v>
      </c>
      <c r="G606" t="n">
        <v>27957.7961</v>
      </c>
      <c r="H606" t="n">
        <v>3490.8738</v>
      </c>
      <c r="I606" t="n">
        <v>3020.0931</v>
      </c>
      <c r="J606" t="n">
        <v>21219.2632</v>
      </c>
      <c r="K606" t="n">
        <v>2018</v>
      </c>
      <c r="L606" t="n">
        <v>2040</v>
      </c>
      <c r="M606" t="n">
        <v>0.342</v>
      </c>
      <c r="N606" t="n">
        <v>0.2056</v>
      </c>
      <c r="O606" t="n">
        <v>2019</v>
      </c>
      <c r="P606" t="n">
        <v>2030</v>
      </c>
      <c r="Q606" t="n">
        <v>0.3852</v>
      </c>
      <c r="R606" t="n">
        <v>158.2904</v>
      </c>
      <c r="S606" t="n">
        <v>0.00100695</v>
      </c>
      <c r="T606" t="n">
        <v>0.00065008</v>
      </c>
      <c r="U606" t="n">
        <v>27957.7961</v>
      </c>
      <c r="V606" t="inlineStr">
        <is>
          <t>Provided Total Emissions</t>
        </is>
      </c>
      <c r="W606" t="b">
        <v>1</v>
      </c>
      <c r="X606" t="n">
        <v>21879.9415</v>
      </c>
      <c r="Y606" t="n">
        <v>133079.9992</v>
      </c>
      <c r="Z606" t="n">
        <v>-6077.8546</v>
      </c>
      <c r="AA606" t="n">
        <v>105122.2031</v>
      </c>
      <c r="AB606" t="n">
        <v>-0.217394</v>
      </c>
      <c r="AC606" t="n">
        <v>3.760032</v>
      </c>
      <c r="AD606" t="inlineStr">
        <is>
          <t>High</t>
        </is>
      </c>
      <c r="AE606" t="inlineStr">
        <is>
          <t>None</t>
        </is>
      </c>
      <c r="AF606" t="n">
        <v>0.95</v>
      </c>
      <c r="AG606" t="inlineStr">
        <is>
          <t>Valid</t>
        </is>
      </c>
    </row>
    <row r="607">
      <c r="A607" t="inlineStr">
        <is>
          <t>SUP-0061</t>
        </is>
      </c>
      <c r="B607" t="inlineStr">
        <is>
          <t>Metals Supplier 061</t>
        </is>
      </c>
      <c r="C607" t="inlineStr">
        <is>
          <t>Metals</t>
        </is>
      </c>
      <c r="D607" t="n">
        <v>2020</v>
      </c>
      <c r="E607" t="n">
        <v>20928490.99</v>
      </c>
      <c r="F607" t="n">
        <v>138479146.1</v>
      </c>
      <c r="G607" t="n">
        <v>28062.847</v>
      </c>
      <c r="H607" t="n">
        <v>3884.9679</v>
      </c>
      <c r="I607" t="n">
        <v>1826.7546</v>
      </c>
      <c r="J607" t="n">
        <v>23360.7279</v>
      </c>
      <c r="K607" t="n">
        <v>2018</v>
      </c>
      <c r="L607" t="n">
        <v>2040</v>
      </c>
      <c r="M607" t="n">
        <v>0.342</v>
      </c>
      <c r="N607" t="n">
        <v>0.2056</v>
      </c>
      <c r="O607" t="n">
        <v>2019</v>
      </c>
      <c r="P607" t="n">
        <v>2030</v>
      </c>
      <c r="Q607" t="n">
        <v>0.3852</v>
      </c>
      <c r="R607" t="n">
        <v>158.2904</v>
      </c>
      <c r="S607" t="n">
        <v>0.00100695</v>
      </c>
      <c r="T607" t="n">
        <v>0.00065008</v>
      </c>
      <c r="U607" t="n">
        <v>28062.847</v>
      </c>
      <c r="V607" t="inlineStr">
        <is>
          <t>Provided Total Emissions</t>
        </is>
      </c>
      <c r="W607" t="b">
        <v>1</v>
      </c>
      <c r="X607" t="n">
        <v>21073.944</v>
      </c>
      <c r="Y607" t="n">
        <v>90022.5233</v>
      </c>
      <c r="Z607" t="n">
        <v>-6988.903</v>
      </c>
      <c r="AA607" t="n">
        <v>61959.6763</v>
      </c>
      <c r="AB607" t="n">
        <v>-0.249045</v>
      </c>
      <c r="AC607" t="n">
        <v>2.20789</v>
      </c>
      <c r="AD607" t="inlineStr">
        <is>
          <t>High</t>
        </is>
      </c>
      <c r="AE607" t="inlineStr">
        <is>
          <t>None</t>
        </is>
      </c>
      <c r="AF607" t="n">
        <v>0.95</v>
      </c>
      <c r="AG607" t="inlineStr">
        <is>
          <t>Valid</t>
        </is>
      </c>
    </row>
    <row r="608">
      <c r="A608" t="inlineStr">
        <is>
          <t>SUP-0061</t>
        </is>
      </c>
      <c r="B608" t="inlineStr">
        <is>
          <t>Metals Supplier 061</t>
        </is>
      </c>
      <c r="C608" t="inlineStr">
        <is>
          <t>Metals</t>
        </is>
      </c>
      <c r="D608" t="n">
        <v>2021</v>
      </c>
      <c r="E608" t="n">
        <v>20071209.65</v>
      </c>
      <c r="F608" t="n">
        <v>164395558.05</v>
      </c>
      <c r="G608" t="n">
        <v>19751.5152</v>
      </c>
      <c r="H608" t="n">
        <v>3017.466</v>
      </c>
      <c r="I608" t="n">
        <v>1773.5588</v>
      </c>
      <c r="J608" t="n">
        <v>15436.2253</v>
      </c>
      <c r="K608" t="n">
        <v>2018</v>
      </c>
      <c r="L608" t="n">
        <v>2040</v>
      </c>
      <c r="M608" t="n">
        <v>0.342</v>
      </c>
      <c r="N608" t="n">
        <v>0.2056</v>
      </c>
      <c r="O608" t="n">
        <v>2019</v>
      </c>
      <c r="P608" t="n">
        <v>2030</v>
      </c>
      <c r="Q608" t="n">
        <v>0.3852</v>
      </c>
      <c r="R608" t="n">
        <v>158.2904</v>
      </c>
      <c r="S608" t="n">
        <v>0.00100695</v>
      </c>
      <c r="T608" t="n">
        <v>0.00065008</v>
      </c>
      <c r="U608" t="n">
        <v>19751.5152</v>
      </c>
      <c r="V608" t="inlineStr">
        <is>
          <t>Provided Total Emissions</t>
        </is>
      </c>
      <c r="W608" t="b">
        <v>1</v>
      </c>
      <c r="X608" t="n">
        <v>20210.7046</v>
      </c>
      <c r="Y608" t="n">
        <v>106870.2644</v>
      </c>
      <c r="Z608" t="n">
        <v>459.1894</v>
      </c>
      <c r="AA608" t="n">
        <v>87118.74920000001</v>
      </c>
      <c r="AB608" t="n">
        <v>0.023248</v>
      </c>
      <c r="AC608" t="n">
        <v>4.410738</v>
      </c>
      <c r="AD608" t="inlineStr">
        <is>
          <t>High</t>
        </is>
      </c>
      <c r="AE608" t="inlineStr">
        <is>
          <t>None</t>
        </is>
      </c>
      <c r="AF608" t="n">
        <v>0.95</v>
      </c>
      <c r="AG608" t="inlineStr">
        <is>
          <t>Valid</t>
        </is>
      </c>
    </row>
    <row r="609">
      <c r="A609" t="inlineStr">
        <is>
          <t>SUP-0061</t>
        </is>
      </c>
      <c r="B609" t="inlineStr">
        <is>
          <t>Metals Supplier 061</t>
        </is>
      </c>
      <c r="C609" t="inlineStr">
        <is>
          <t>Metals</t>
        </is>
      </c>
      <c r="D609" t="n">
        <v>2022</v>
      </c>
      <c r="E609" t="n">
        <v>20903275.47</v>
      </c>
      <c r="F609" t="n">
        <v>152471948.47</v>
      </c>
      <c r="G609" t="n">
        <v>24833.4603</v>
      </c>
      <c r="H609" t="n">
        <v>2932.8242</v>
      </c>
      <c r="I609" t="n">
        <v>3799.5386</v>
      </c>
      <c r="J609" t="n">
        <v>16934.5926</v>
      </c>
      <c r="K609" t="n">
        <v>2018</v>
      </c>
      <c r="L609" t="n">
        <v>2040</v>
      </c>
      <c r="M609" t="n">
        <v>0.342</v>
      </c>
      <c r="N609" t="n">
        <v>0.2056</v>
      </c>
      <c r="O609" t="n">
        <v>2019</v>
      </c>
      <c r="P609" t="n">
        <v>2030</v>
      </c>
      <c r="Q609" t="n">
        <v>0.3852</v>
      </c>
      <c r="R609" t="n">
        <v>158.2904</v>
      </c>
      <c r="S609" t="n">
        <v>0.00100695</v>
      </c>
      <c r="T609" t="n">
        <v>0.00065008</v>
      </c>
      <c r="U609" t="n">
        <v>24833.4603</v>
      </c>
      <c r="V609" t="inlineStr">
        <is>
          <t>Provided Total Emissions</t>
        </is>
      </c>
      <c r="W609" t="b">
        <v>1</v>
      </c>
      <c r="X609" t="n">
        <v>21048.5532</v>
      </c>
      <c r="Y609" t="n">
        <v>99118.96430000001</v>
      </c>
      <c r="Z609" t="n">
        <v>-3784.9071</v>
      </c>
      <c r="AA609" t="n">
        <v>74285.504</v>
      </c>
      <c r="AB609" t="n">
        <v>-0.152412</v>
      </c>
      <c r="AC609" t="n">
        <v>2.991347</v>
      </c>
      <c r="AD609" t="inlineStr">
        <is>
          <t>High</t>
        </is>
      </c>
      <c r="AE609" t="inlineStr">
        <is>
          <t>None</t>
        </is>
      </c>
      <c r="AF609" t="n">
        <v>0.95</v>
      </c>
      <c r="AG609" t="inlineStr">
        <is>
          <t>Valid</t>
        </is>
      </c>
    </row>
    <row r="610">
      <c r="A610" t="inlineStr">
        <is>
          <t>SUP-0061</t>
        </is>
      </c>
      <c r="B610" t="inlineStr">
        <is>
          <t>Metals Supplier 061</t>
        </is>
      </c>
      <c r="C610" t="inlineStr">
        <is>
          <t>Metals</t>
        </is>
      </c>
      <c r="D610" t="n">
        <v>2023</v>
      </c>
      <c r="E610" t="n">
        <v>23429532.43</v>
      </c>
      <c r="F610" t="n">
        <v>197726137.49</v>
      </c>
      <c r="G610" t="n">
        <v>34242.1452</v>
      </c>
      <c r="H610" t="n">
        <v>8870.624299999999</v>
      </c>
      <c r="I610" t="n">
        <v>3751.0999</v>
      </c>
      <c r="J610" t="n">
        <v>22222.7393</v>
      </c>
      <c r="K610" t="n">
        <v>2018</v>
      </c>
      <c r="L610" t="n">
        <v>2040</v>
      </c>
      <c r="M610" t="n">
        <v>0.342</v>
      </c>
      <c r="N610" t="n">
        <v>0.2056</v>
      </c>
      <c r="O610" t="n">
        <v>2019</v>
      </c>
      <c r="P610" t="n">
        <v>2030</v>
      </c>
      <c r="Q610" t="n">
        <v>0.3852</v>
      </c>
      <c r="R610" t="n">
        <v>158.2904</v>
      </c>
      <c r="S610" t="n">
        <v>0.00100695</v>
      </c>
      <c r="T610" t="n">
        <v>0.00065008</v>
      </c>
      <c r="U610" t="n">
        <v>34242.1452</v>
      </c>
      <c r="V610" t="inlineStr">
        <is>
          <t>Provided Total Emissions</t>
        </is>
      </c>
      <c r="W610" t="b">
        <v>1</v>
      </c>
      <c r="X610" t="n">
        <v>23592.3677</v>
      </c>
      <c r="Y610" t="n">
        <v>128537.8075</v>
      </c>
      <c r="Z610" t="n">
        <v>-10649.7775</v>
      </c>
      <c r="AA610" t="n">
        <v>94295.6623</v>
      </c>
      <c r="AB610" t="n">
        <v>-0.311014</v>
      </c>
      <c r="AC610" t="n">
        <v>2.75379</v>
      </c>
      <c r="AD610" t="inlineStr">
        <is>
          <t>High</t>
        </is>
      </c>
      <c r="AE610" t="inlineStr">
        <is>
          <t>None</t>
        </is>
      </c>
      <c r="AF610" t="n">
        <v>0.95</v>
      </c>
      <c r="AG610" t="inlineStr">
        <is>
          <t>Valid</t>
        </is>
      </c>
    </row>
    <row r="611">
      <c r="A611" t="inlineStr">
        <is>
          <t>SUP-0061</t>
        </is>
      </c>
      <c r="B611" t="inlineStr">
        <is>
          <t>Metals Supplier 061</t>
        </is>
      </c>
      <c r="C611" t="inlineStr">
        <is>
          <t>Metals</t>
        </is>
      </c>
      <c r="D611" t="n">
        <v>2024</v>
      </c>
      <c r="E611" t="n">
        <v>19755026.2</v>
      </c>
      <c r="F611" t="n">
        <v>178370687.43</v>
      </c>
      <c r="G611" t="n">
        <v>18509.7967</v>
      </c>
      <c r="H611" t="n">
        <v>3942.7155</v>
      </c>
      <c r="I611" t="n">
        <v>1552.3745</v>
      </c>
      <c r="J611" t="n">
        <v>12231.1446</v>
      </c>
      <c r="K611" t="n">
        <v>2018</v>
      </c>
      <c r="L611" t="n">
        <v>2040</v>
      </c>
      <c r="M611" t="n">
        <v>0.342</v>
      </c>
      <c r="N611" t="n">
        <v>0.2056</v>
      </c>
      <c r="O611" t="n">
        <v>2019</v>
      </c>
      <c r="P611" t="n">
        <v>2030</v>
      </c>
      <c r="Q611" t="n">
        <v>0.3852</v>
      </c>
      <c r="R611" t="n">
        <v>158.2904</v>
      </c>
      <c r="S611" t="n">
        <v>0.00100695</v>
      </c>
      <c r="T611" t="n">
        <v>0.00065008</v>
      </c>
      <c r="U611" t="n">
        <v>18509.7967</v>
      </c>
      <c r="V611" t="inlineStr">
        <is>
          <t>Provided Total Emissions</t>
        </is>
      </c>
      <c r="W611" t="b">
        <v>1</v>
      </c>
      <c r="X611" t="n">
        <v>19892.3236</v>
      </c>
      <c r="Y611" t="n">
        <v>115955.2165</v>
      </c>
      <c r="Z611" t="n">
        <v>1382.5269</v>
      </c>
      <c r="AA611" t="n">
        <v>97445.4198</v>
      </c>
      <c r="AB611" t="n">
        <v>0.07469199999999999</v>
      </c>
      <c r="AC611" t="n">
        <v>5.264532</v>
      </c>
      <c r="AD611" t="inlineStr">
        <is>
          <t>High</t>
        </is>
      </c>
      <c r="AE611" t="inlineStr">
        <is>
          <t>None</t>
        </is>
      </c>
      <c r="AF611" t="n">
        <v>0.95</v>
      </c>
      <c r="AG611" t="inlineStr">
        <is>
          <t>Valid</t>
        </is>
      </c>
    </row>
    <row r="612">
      <c r="A612" t="inlineStr">
        <is>
          <t>SUP-0062</t>
        </is>
      </c>
      <c r="B612" t="inlineStr">
        <is>
          <t>Textiles Supplier 062</t>
        </is>
      </c>
      <c r="C612" t="inlineStr">
        <is>
          <t>Textiles</t>
        </is>
      </c>
      <c r="D612" t="n">
        <v>2015</v>
      </c>
      <c r="E612" t="n">
        <v>20829781.08</v>
      </c>
      <c r="F612" t="n">
        <v>149410881.29</v>
      </c>
      <c r="G612" t="n">
        <v>4254.5212</v>
      </c>
      <c r="H612" t="n">
        <v>902.0312</v>
      </c>
      <c r="I612" t="n">
        <v>785.0882</v>
      </c>
      <c r="J612" t="n">
        <v>2805.1871</v>
      </c>
      <c r="K612" t="n">
        <v>2018</v>
      </c>
      <c r="L612" t="n">
        <v>2030</v>
      </c>
      <c r="M612" t="n">
        <v>0.5281</v>
      </c>
      <c r="N612" t="n">
        <v>0.1906</v>
      </c>
      <c r="O612" t="n">
        <v>2019</v>
      </c>
      <c r="P612" t="n">
        <v>2030</v>
      </c>
      <c r="Q612" t="n">
        <v>0.3171</v>
      </c>
      <c r="R612" t="n">
        <v>401.7335</v>
      </c>
      <c r="S612" t="n">
        <v>0.00029221</v>
      </c>
      <c r="T612" t="n">
        <v>0.00017343</v>
      </c>
      <c r="U612" t="n">
        <v>4254.5212</v>
      </c>
      <c r="V612" t="inlineStr">
        <is>
          <t>Provided Total Emissions</t>
        </is>
      </c>
      <c r="W612" t="b">
        <v>1</v>
      </c>
      <c r="X612" t="n">
        <v>6086.6703</v>
      </c>
      <c r="Y612" t="n">
        <v>25912.3291</v>
      </c>
      <c r="Z612" t="n">
        <v>1832.1491</v>
      </c>
      <c r="AA612" t="n">
        <v>21657.8079</v>
      </c>
      <c r="AB612" t="n">
        <v>0.430636</v>
      </c>
      <c r="AC612" t="n">
        <v>5.090539</v>
      </c>
      <c r="AD612" t="inlineStr">
        <is>
          <t>High</t>
        </is>
      </c>
      <c r="AE612" t="inlineStr">
        <is>
          <t>None</t>
        </is>
      </c>
      <c r="AF612" t="n">
        <v>0.95</v>
      </c>
      <c r="AG612" t="inlineStr">
        <is>
          <t>Valid</t>
        </is>
      </c>
    </row>
    <row r="613">
      <c r="A613" t="inlineStr">
        <is>
          <t>SUP-0062</t>
        </is>
      </c>
      <c r="B613" t="inlineStr">
        <is>
          <t>Textiles Supplier 062</t>
        </is>
      </c>
      <c r="C613" t="inlineStr">
        <is>
          <t>Textiles</t>
        </is>
      </c>
      <c r="D613" t="n">
        <v>2016</v>
      </c>
      <c r="E613" t="n">
        <v>20423758.06</v>
      </c>
      <c r="F613" t="n">
        <v>123172378.22</v>
      </c>
      <c r="G613" t="n">
        <v>5624.9091</v>
      </c>
      <c r="H613" t="n">
        <v>1303.4156</v>
      </c>
      <c r="I613" t="n">
        <v>1118.1675</v>
      </c>
      <c r="J613" t="n">
        <v>3011.446</v>
      </c>
      <c r="K613" t="n">
        <v>2018</v>
      </c>
      <c r="L613" t="n">
        <v>2030</v>
      </c>
      <c r="M613" t="n">
        <v>0.5281</v>
      </c>
      <c r="N613" t="n">
        <v>0.1906</v>
      </c>
      <c r="O613" t="n">
        <v>2019</v>
      </c>
      <c r="P613" t="n">
        <v>2030</v>
      </c>
      <c r="Q613" t="n">
        <v>0.3171</v>
      </c>
      <c r="R613" t="n">
        <v>401.7335</v>
      </c>
      <c r="S613" t="n">
        <v>0.00029221</v>
      </c>
      <c r="T613" t="n">
        <v>0.00017343</v>
      </c>
      <c r="U613" t="n">
        <v>5624.9091</v>
      </c>
      <c r="V613" t="inlineStr">
        <is>
          <t>Provided Total Emissions</t>
        </is>
      </c>
      <c r="W613" t="b">
        <v>1</v>
      </c>
      <c r="X613" t="n">
        <v>5968.0263</v>
      </c>
      <c r="Y613" t="n">
        <v>21361.7856</v>
      </c>
      <c r="Z613" t="n">
        <v>343.1172</v>
      </c>
      <c r="AA613" t="n">
        <v>15736.8765</v>
      </c>
      <c r="AB613" t="n">
        <v>0.061</v>
      </c>
      <c r="AC613" t="n">
        <v>2.797712</v>
      </c>
      <c r="AD613" t="inlineStr">
        <is>
          <t>High</t>
        </is>
      </c>
      <c r="AE613" t="inlineStr">
        <is>
          <t>None</t>
        </is>
      </c>
      <c r="AF613" t="n">
        <v>0.95</v>
      </c>
      <c r="AG613" t="inlineStr">
        <is>
          <t>Valid</t>
        </is>
      </c>
    </row>
    <row r="614">
      <c r="A614" t="inlineStr">
        <is>
          <t>SUP-0062</t>
        </is>
      </c>
      <c r="B614" t="inlineStr">
        <is>
          <t>Textiles Supplier 062</t>
        </is>
      </c>
      <c r="C614" t="inlineStr">
        <is>
          <t>Textiles</t>
        </is>
      </c>
      <c r="D614" t="n">
        <v>2017</v>
      </c>
      <c r="E614" t="n">
        <v>24098203.37</v>
      </c>
      <c r="F614" t="n">
        <v>157397874.21</v>
      </c>
      <c r="G614" t="n">
        <v>6551.9981</v>
      </c>
      <c r="H614" t="n">
        <v>1429.3018</v>
      </c>
      <c r="I614" t="n">
        <v>808.4918</v>
      </c>
      <c r="J614" t="n">
        <v>4370.451</v>
      </c>
      <c r="K614" t="n">
        <v>2018</v>
      </c>
      <c r="L614" t="n">
        <v>2030</v>
      </c>
      <c r="M614" t="n">
        <v>0.5281</v>
      </c>
      <c r="N614" t="n">
        <v>0.1906</v>
      </c>
      <c r="O614" t="n">
        <v>2019</v>
      </c>
      <c r="P614" t="n">
        <v>2030</v>
      </c>
      <c r="Q614" t="n">
        <v>0.3171</v>
      </c>
      <c r="R614" t="n">
        <v>401.7335</v>
      </c>
      <c r="S614" t="n">
        <v>0.00029221</v>
      </c>
      <c r="T614" t="n">
        <v>0.00017343</v>
      </c>
      <c r="U614" t="n">
        <v>6551.9981</v>
      </c>
      <c r="V614" t="inlineStr">
        <is>
          <t>Provided Total Emissions</t>
        </is>
      </c>
      <c r="W614" t="b">
        <v>1</v>
      </c>
      <c r="X614" t="n">
        <v>7041.736</v>
      </c>
      <c r="Y614" t="n">
        <v>27297.5133</v>
      </c>
      <c r="Z614" t="n">
        <v>489.7379</v>
      </c>
      <c r="AA614" t="n">
        <v>20745.5152</v>
      </c>
      <c r="AB614" t="n">
        <v>0.07474600000000001</v>
      </c>
      <c r="AC614" t="n">
        <v>3.166288</v>
      </c>
      <c r="AD614" t="inlineStr">
        <is>
          <t>High</t>
        </is>
      </c>
      <c r="AE614" t="inlineStr">
        <is>
          <t>None</t>
        </is>
      </c>
      <c r="AF614" t="n">
        <v>0.95</v>
      </c>
      <c r="AG614" t="inlineStr">
        <is>
          <t>Valid</t>
        </is>
      </c>
    </row>
    <row r="615">
      <c r="A615" t="inlineStr">
        <is>
          <t>SUP-0062</t>
        </is>
      </c>
      <c r="B615" t="inlineStr">
        <is>
          <t>Textiles Supplier 062</t>
        </is>
      </c>
      <c r="C615" t="inlineStr">
        <is>
          <t>Textiles</t>
        </is>
      </c>
      <c r="D615" t="n">
        <v>2018</v>
      </c>
      <c r="E615" t="n">
        <v>25089989.92</v>
      </c>
      <c r="F615" t="n">
        <v>141118114.05</v>
      </c>
      <c r="G615" t="n">
        <v>6379.3652</v>
      </c>
      <c r="H615" t="n">
        <v>979.7216</v>
      </c>
      <c r="I615" t="n">
        <v>460.2397</v>
      </c>
      <c r="J615" t="n">
        <v>4863.7932</v>
      </c>
      <c r="K615" t="n">
        <v>2018</v>
      </c>
      <c r="L615" t="n">
        <v>2030</v>
      </c>
      <c r="M615" t="n">
        <v>0.5281</v>
      </c>
      <c r="N615" t="n">
        <v>0.1906</v>
      </c>
      <c r="O615" t="n">
        <v>2019</v>
      </c>
      <c r="P615" t="n">
        <v>2030</v>
      </c>
      <c r="Q615" t="n">
        <v>0.3171</v>
      </c>
      <c r="R615" t="n">
        <v>401.7335</v>
      </c>
      <c r="S615" t="n">
        <v>0.00029221</v>
      </c>
      <c r="T615" t="n">
        <v>0.00017343</v>
      </c>
      <c r="U615" t="n">
        <v>6379.3652</v>
      </c>
      <c r="V615" t="inlineStr">
        <is>
          <t>Provided Total Emissions</t>
        </is>
      </c>
      <c r="W615" t="b">
        <v>1</v>
      </c>
      <c r="X615" t="n">
        <v>7331.546</v>
      </c>
      <c r="Y615" t="n">
        <v>24474.1145</v>
      </c>
      <c r="Z615" t="n">
        <v>952.1808</v>
      </c>
      <c r="AA615" t="n">
        <v>18094.7493</v>
      </c>
      <c r="AB615" t="n">
        <v>0.149259</v>
      </c>
      <c r="AC615" t="n">
        <v>2.83645</v>
      </c>
      <c r="AD615" t="inlineStr">
        <is>
          <t>High</t>
        </is>
      </c>
      <c r="AE615" t="inlineStr">
        <is>
          <t>None</t>
        </is>
      </c>
      <c r="AF615" t="n">
        <v>0.95</v>
      </c>
      <c r="AG615" t="inlineStr">
        <is>
          <t>Valid</t>
        </is>
      </c>
    </row>
    <row r="616">
      <c r="A616" t="inlineStr">
        <is>
          <t>SUP-0062</t>
        </is>
      </c>
      <c r="B616" t="inlineStr">
        <is>
          <t>Textiles Supplier 062</t>
        </is>
      </c>
      <c r="C616" t="inlineStr">
        <is>
          <t>Textiles</t>
        </is>
      </c>
      <c r="D616" t="n">
        <v>2019</v>
      </c>
      <c r="E616" t="n">
        <v>26235024.02</v>
      </c>
      <c r="F616" t="n">
        <v>166971699.53</v>
      </c>
      <c r="G616" t="n">
        <v>5856.1944</v>
      </c>
      <c r="H616" t="n">
        <v>972.9811999999999</v>
      </c>
      <c r="I616" t="n">
        <v>1049.3187</v>
      </c>
      <c r="J616" t="n">
        <v>3554.5322</v>
      </c>
      <c r="K616" t="n">
        <v>2018</v>
      </c>
      <c r="L616" t="n">
        <v>2030</v>
      </c>
      <c r="M616" t="n">
        <v>0.5281</v>
      </c>
      <c r="N616" t="n">
        <v>0.1906</v>
      </c>
      <c r="O616" t="n">
        <v>2019</v>
      </c>
      <c r="P616" t="n">
        <v>2030</v>
      </c>
      <c r="Q616" t="n">
        <v>0.3171</v>
      </c>
      <c r="R616" t="n">
        <v>401.7335</v>
      </c>
      <c r="S616" t="n">
        <v>0.00029221</v>
      </c>
      <c r="T616" t="n">
        <v>0.00017343</v>
      </c>
      <c r="U616" t="n">
        <v>5856.1944</v>
      </c>
      <c r="V616" t="inlineStr">
        <is>
          <t>Provided Total Emissions</t>
        </is>
      </c>
      <c r="W616" t="b">
        <v>1</v>
      </c>
      <c r="X616" t="n">
        <v>7666.1364</v>
      </c>
      <c r="Y616" t="n">
        <v>28957.9018</v>
      </c>
      <c r="Z616" t="n">
        <v>1809.942</v>
      </c>
      <c r="AA616" t="n">
        <v>23101.7074</v>
      </c>
      <c r="AB616" t="n">
        <v>0.309065</v>
      </c>
      <c r="AC616" t="n">
        <v>3.944833</v>
      </c>
      <c r="AD616" t="inlineStr">
        <is>
          <t>High</t>
        </is>
      </c>
      <c r="AE616" t="inlineStr">
        <is>
          <t>None</t>
        </is>
      </c>
      <c r="AF616" t="n">
        <v>0.95</v>
      </c>
      <c r="AG616" t="inlineStr">
        <is>
          <t>Valid</t>
        </is>
      </c>
    </row>
    <row r="617">
      <c r="A617" t="inlineStr">
        <is>
          <t>SUP-0062</t>
        </is>
      </c>
      <c r="B617" t="inlineStr">
        <is>
          <t>Textiles Supplier 062</t>
        </is>
      </c>
      <c r="C617" t="inlineStr">
        <is>
          <t>Textiles</t>
        </is>
      </c>
      <c r="D617" t="n">
        <v>2020</v>
      </c>
      <c r="E617" t="n">
        <v>30522730.8</v>
      </c>
      <c r="F617" t="n">
        <v>172035790.4</v>
      </c>
      <c r="G617" t="n">
        <v>8548.887500000001</v>
      </c>
      <c r="H617" t="n">
        <v>1599.8318</v>
      </c>
      <c r="I617" t="n">
        <v>1011.4263</v>
      </c>
      <c r="J617" t="n">
        <v>5372.438</v>
      </c>
      <c r="K617" t="n">
        <v>2018</v>
      </c>
      <c r="L617" t="n">
        <v>2030</v>
      </c>
      <c r="M617" t="n">
        <v>0.5281</v>
      </c>
      <c r="N617" t="n">
        <v>0.1906</v>
      </c>
      <c r="O617" t="n">
        <v>2019</v>
      </c>
      <c r="P617" t="n">
        <v>2030</v>
      </c>
      <c r="Q617" t="n">
        <v>0.3171</v>
      </c>
      <c r="R617" t="n">
        <v>401.7335</v>
      </c>
      <c r="S617" t="n">
        <v>0.00029221</v>
      </c>
      <c r="T617" t="n">
        <v>0.00017343</v>
      </c>
      <c r="U617" t="n">
        <v>8548.887500000001</v>
      </c>
      <c r="V617" t="inlineStr">
        <is>
          <t>Provided Total Emissions</t>
        </is>
      </c>
      <c r="W617" t="b">
        <v>1</v>
      </c>
      <c r="X617" t="n">
        <v>8919.047200000001</v>
      </c>
      <c r="Y617" t="n">
        <v>29836.1671</v>
      </c>
      <c r="Z617" t="n">
        <v>370.1597</v>
      </c>
      <c r="AA617" t="n">
        <v>21287.2796</v>
      </c>
      <c r="AB617" t="n">
        <v>0.043299</v>
      </c>
      <c r="AC617" t="n">
        <v>2.490064</v>
      </c>
      <c r="AD617" t="inlineStr">
        <is>
          <t>High</t>
        </is>
      </c>
      <c r="AE617" t="inlineStr">
        <is>
          <t>None</t>
        </is>
      </c>
      <c r="AF617" t="n">
        <v>0.95</v>
      </c>
      <c r="AG617" t="inlineStr">
        <is>
          <t>Valid</t>
        </is>
      </c>
    </row>
    <row r="618">
      <c r="A618" t="inlineStr">
        <is>
          <t>SUP-0062</t>
        </is>
      </c>
      <c r="B618" t="inlineStr">
        <is>
          <t>Textiles Supplier 062</t>
        </is>
      </c>
      <c r="C618" t="inlineStr">
        <is>
          <t>Textiles</t>
        </is>
      </c>
      <c r="D618" t="n">
        <v>2021</v>
      </c>
      <c r="E618" t="n">
        <v>29539716.69</v>
      </c>
      <c r="F618" t="n">
        <v>184908193.14</v>
      </c>
      <c r="G618" t="n">
        <v>5657.4449</v>
      </c>
      <c r="H618" t="n">
        <v>1357.8855</v>
      </c>
      <c r="I618" t="n">
        <v>368.7106</v>
      </c>
      <c r="J618" t="n">
        <v>3724.5978</v>
      </c>
      <c r="K618" t="n">
        <v>2018</v>
      </c>
      <c r="L618" t="n">
        <v>2030</v>
      </c>
      <c r="M618" t="n">
        <v>0.5281</v>
      </c>
      <c r="N618" t="n">
        <v>0.1906</v>
      </c>
      <c r="O618" t="n">
        <v>2019</v>
      </c>
      <c r="P618" t="n">
        <v>2030</v>
      </c>
      <c r="Q618" t="n">
        <v>0.3171</v>
      </c>
      <c r="R618" t="n">
        <v>401.7335</v>
      </c>
      <c r="S618" t="n">
        <v>0.00029221</v>
      </c>
      <c r="T618" t="n">
        <v>0.00017343</v>
      </c>
      <c r="U618" t="n">
        <v>5657.4449</v>
      </c>
      <c r="V618" t="inlineStr">
        <is>
          <t>Provided Total Emissions</t>
        </is>
      </c>
      <c r="W618" t="b">
        <v>1</v>
      </c>
      <c r="X618" t="n">
        <v>8631.8006</v>
      </c>
      <c r="Y618" t="n">
        <v>32068.6279</v>
      </c>
      <c r="Z618" t="n">
        <v>2974.3557</v>
      </c>
      <c r="AA618" t="n">
        <v>26411.183</v>
      </c>
      <c r="AB618" t="n">
        <v>0.525742</v>
      </c>
      <c r="AC618" t="n">
        <v>4.668394</v>
      </c>
      <c r="AD618" t="inlineStr">
        <is>
          <t>High</t>
        </is>
      </c>
      <c r="AE618" t="inlineStr">
        <is>
          <t>None</t>
        </is>
      </c>
      <c r="AF618" t="n">
        <v>0.95</v>
      </c>
      <c r="AG618" t="inlineStr">
        <is>
          <t>Valid</t>
        </is>
      </c>
    </row>
    <row r="619">
      <c r="A619" t="inlineStr">
        <is>
          <t>SUP-0062</t>
        </is>
      </c>
      <c r="B619" t="inlineStr">
        <is>
          <t>Textiles Supplier 062</t>
        </is>
      </c>
      <c r="C619" t="inlineStr">
        <is>
          <t>Textiles</t>
        </is>
      </c>
      <c r="D619" t="n">
        <v>2022</v>
      </c>
      <c r="E619" t="n">
        <v>37646293.41</v>
      </c>
      <c r="F619" t="n">
        <v>151573680.16</v>
      </c>
      <c r="G619" t="n">
        <v>8453.6973</v>
      </c>
      <c r="H619" t="n">
        <v>1686.8764</v>
      </c>
      <c r="I619" t="n">
        <v>624.7732999999999</v>
      </c>
      <c r="J619" t="n">
        <v>5705.1672</v>
      </c>
      <c r="K619" t="n">
        <v>2018</v>
      </c>
      <c r="L619" t="n">
        <v>2030</v>
      </c>
      <c r="M619" t="n">
        <v>0.5281</v>
      </c>
      <c r="N619" t="n">
        <v>0.1906</v>
      </c>
      <c r="O619" t="n">
        <v>2019</v>
      </c>
      <c r="P619" t="n">
        <v>2030</v>
      </c>
      <c r="Q619" t="n">
        <v>0.3171</v>
      </c>
      <c r="R619" t="n">
        <v>401.7335</v>
      </c>
      <c r="S619" t="n">
        <v>0.00029221</v>
      </c>
      <c r="T619" t="n">
        <v>0.00017343</v>
      </c>
      <c r="U619" t="n">
        <v>8453.6973</v>
      </c>
      <c r="V619" t="inlineStr">
        <is>
          <t>Provided Total Emissions</t>
        </is>
      </c>
      <c r="W619" t="b">
        <v>1</v>
      </c>
      <c r="X619" t="n">
        <v>11000.6234</v>
      </c>
      <c r="Y619" t="n">
        <v>26287.4234</v>
      </c>
      <c r="Z619" t="n">
        <v>2546.9261</v>
      </c>
      <c r="AA619" t="n">
        <v>17833.7261</v>
      </c>
      <c r="AB619" t="n">
        <v>0.30128</v>
      </c>
      <c r="AC619" t="n">
        <v>2.109577</v>
      </c>
      <c r="AD619" t="inlineStr">
        <is>
          <t>High</t>
        </is>
      </c>
      <c r="AE619" t="inlineStr">
        <is>
          <t>None</t>
        </is>
      </c>
      <c r="AF619" t="n">
        <v>0.95</v>
      </c>
      <c r="AG619" t="inlineStr">
        <is>
          <t>Valid</t>
        </is>
      </c>
    </row>
    <row r="620">
      <c r="A620" t="inlineStr">
        <is>
          <t>SUP-0062</t>
        </is>
      </c>
      <c r="B620" t="inlineStr">
        <is>
          <t>Textiles Supplier 062</t>
        </is>
      </c>
      <c r="C620" t="inlineStr">
        <is>
          <t>Textiles</t>
        </is>
      </c>
      <c r="D620" t="n">
        <v>2023</v>
      </c>
      <c r="E620" t="n">
        <v>39819787.72</v>
      </c>
      <c r="F620" t="n">
        <v>255829469.46</v>
      </c>
      <c r="G620" t="n">
        <v>6023.5193</v>
      </c>
      <c r="H620" t="n">
        <v>1301.972</v>
      </c>
      <c r="I620" t="n">
        <v>1147.5191</v>
      </c>
      <c r="J620" t="n">
        <v>3922.4465</v>
      </c>
      <c r="K620" t="n">
        <v>2018</v>
      </c>
      <c r="L620" t="n">
        <v>2030</v>
      </c>
      <c r="M620" t="n">
        <v>0.5281</v>
      </c>
      <c r="N620" t="n">
        <v>0.1906</v>
      </c>
      <c r="O620" t="n">
        <v>2019</v>
      </c>
      <c r="P620" t="n">
        <v>2030</v>
      </c>
      <c r="Q620" t="n">
        <v>0.3171</v>
      </c>
      <c r="R620" t="n">
        <v>401.7335</v>
      </c>
      <c r="S620" t="n">
        <v>0.00029221</v>
      </c>
      <c r="T620" t="n">
        <v>0.00017343</v>
      </c>
      <c r="U620" t="n">
        <v>6023.5193</v>
      </c>
      <c r="V620" t="inlineStr">
        <is>
          <t>Provided Total Emissions</t>
        </is>
      </c>
      <c r="W620" t="b">
        <v>1</v>
      </c>
      <c r="X620" t="n">
        <v>11635.7402</v>
      </c>
      <c r="Y620" t="n">
        <v>44368.5049</v>
      </c>
      <c r="Z620" t="n">
        <v>5612.2209</v>
      </c>
      <c r="AA620" t="n">
        <v>38344.9856</v>
      </c>
      <c r="AB620" t="n">
        <v>0.931718</v>
      </c>
      <c r="AC620" t="n">
        <v>6.365877</v>
      </c>
      <c r="AD620" t="inlineStr">
        <is>
          <t>High</t>
        </is>
      </c>
      <c r="AE620" t="inlineStr">
        <is>
          <t>None</t>
        </is>
      </c>
      <c r="AF620" t="n">
        <v>0.95</v>
      </c>
      <c r="AG620" t="inlineStr">
        <is>
          <t>Valid</t>
        </is>
      </c>
    </row>
    <row r="621">
      <c r="A621" t="inlineStr">
        <is>
          <t>SUP-0062</t>
        </is>
      </c>
      <c r="B621" t="inlineStr">
        <is>
          <t>Textiles Supplier 062</t>
        </is>
      </c>
      <c r="C621" t="inlineStr">
        <is>
          <t>Textiles</t>
        </is>
      </c>
      <c r="D621" t="n">
        <v>2024</v>
      </c>
      <c r="E621" t="n">
        <v>35793021.81</v>
      </c>
      <c r="F621" t="n">
        <v>296991410.25</v>
      </c>
      <c r="G621" t="n">
        <v>7479.6472</v>
      </c>
      <c r="H621" t="n">
        <v>1243.5064</v>
      </c>
      <c r="I621" t="n">
        <v>1589.1811</v>
      </c>
      <c r="J621" t="n">
        <v>4415.6005</v>
      </c>
      <c r="K621" t="n">
        <v>2018</v>
      </c>
      <c r="L621" t="n">
        <v>2030</v>
      </c>
      <c r="M621" t="n">
        <v>0.5281</v>
      </c>
      <c r="N621" t="n">
        <v>0.1906</v>
      </c>
      <c r="O621" t="n">
        <v>2019</v>
      </c>
      <c r="P621" t="n">
        <v>2030</v>
      </c>
      <c r="Q621" t="n">
        <v>0.3171</v>
      </c>
      <c r="R621" t="n">
        <v>401.7335</v>
      </c>
      <c r="S621" t="n">
        <v>0.00029221</v>
      </c>
      <c r="T621" t="n">
        <v>0.00017343</v>
      </c>
      <c r="U621" t="n">
        <v>7479.6472</v>
      </c>
      <c r="V621" t="inlineStr">
        <is>
          <t>Provided Total Emissions</t>
        </is>
      </c>
      <c r="W621" t="b">
        <v>1</v>
      </c>
      <c r="X621" t="n">
        <v>10459.0789</v>
      </c>
      <c r="Y621" t="n">
        <v>51507.2203</v>
      </c>
      <c r="Z621" t="n">
        <v>2979.4317</v>
      </c>
      <c r="AA621" t="n">
        <v>44027.5731</v>
      </c>
      <c r="AB621" t="n">
        <v>0.398339</v>
      </c>
      <c r="AC621" t="n">
        <v>5.886317</v>
      </c>
      <c r="AD621" t="inlineStr">
        <is>
          <t>High</t>
        </is>
      </c>
      <c r="AE621" t="inlineStr">
        <is>
          <t>None</t>
        </is>
      </c>
      <c r="AF621" t="n">
        <v>0.95</v>
      </c>
      <c r="AG621" t="inlineStr">
        <is>
          <t>Valid</t>
        </is>
      </c>
    </row>
    <row r="622">
      <c r="A622" t="inlineStr">
        <is>
          <t>SUP-0063</t>
        </is>
      </c>
      <c r="B622" t="inlineStr">
        <is>
          <t>Chemicals Supplier 063</t>
        </is>
      </c>
      <c r="C622" t="inlineStr">
        <is>
          <t>Chemicals</t>
        </is>
      </c>
      <c r="D622" t="n">
        <v>2015</v>
      </c>
      <c r="E622" t="n">
        <v>12459131.87</v>
      </c>
      <c r="F622" t="n">
        <v>65221692.66</v>
      </c>
      <c r="G622" t="n">
        <v>18549.8719</v>
      </c>
      <c r="H622" t="n">
        <v>1765.9394</v>
      </c>
      <c r="I622" t="n">
        <v>3943.2944</v>
      </c>
      <c r="J622" t="n">
        <v>13479.4319</v>
      </c>
      <c r="K622" t="n">
        <v>2020</v>
      </c>
      <c r="L622" t="n">
        <v>2030</v>
      </c>
      <c r="M622" t="n">
        <v>0.5004</v>
      </c>
      <c r="N622" t="n">
        <v>0.1931</v>
      </c>
      <c r="O622" t="n">
        <v>2019</v>
      </c>
      <c r="P622" t="n">
        <v>2035</v>
      </c>
      <c r="Q622" t="n">
        <v>0.5229</v>
      </c>
      <c r="R622" t="n">
        <v>506.3191</v>
      </c>
      <c r="S622" t="n">
        <v>0.00100149</v>
      </c>
      <c r="T622" t="n">
        <v>0.00047124</v>
      </c>
      <c r="U622" t="n">
        <v>18549.8719</v>
      </c>
      <c r="V622" t="inlineStr">
        <is>
          <t>Provided Total Emissions</t>
        </is>
      </c>
      <c r="W622" t="b">
        <v>1</v>
      </c>
      <c r="X622" t="n">
        <v>12477.696</v>
      </c>
      <c r="Y622" t="n">
        <v>30735.0704</v>
      </c>
      <c r="Z622" t="n">
        <v>-6072.1759</v>
      </c>
      <c r="AA622" t="n">
        <v>12185.1985</v>
      </c>
      <c r="AB622" t="n">
        <v>-0.327343</v>
      </c>
      <c r="AC622" t="n">
        <v>0.6568889999999999</v>
      </c>
      <c r="AD622" t="inlineStr">
        <is>
          <t>High</t>
        </is>
      </c>
      <c r="AE622" t="inlineStr">
        <is>
          <t>None</t>
        </is>
      </c>
      <c r="AF622" t="n">
        <v>0.95</v>
      </c>
      <c r="AG622" t="inlineStr">
        <is>
          <t>Valid</t>
        </is>
      </c>
    </row>
    <row r="623">
      <c r="A623" t="inlineStr">
        <is>
          <t>SUP-0063</t>
        </is>
      </c>
      <c r="B623" t="inlineStr">
        <is>
          <t>Chemicals Supplier 063</t>
        </is>
      </c>
      <c r="C623" t="inlineStr">
        <is>
          <t>Chemicals</t>
        </is>
      </c>
      <c r="D623" t="n">
        <v>2016</v>
      </c>
      <c r="E623" t="n">
        <v>14961954.68</v>
      </c>
      <c r="F623" t="n">
        <v>65148878.7</v>
      </c>
      <c r="G623" t="n">
        <v>16135.6719</v>
      </c>
      <c r="H623" t="n">
        <v>2538.2911</v>
      </c>
      <c r="I623" t="n">
        <v>3397.9811</v>
      </c>
      <c r="J623" t="n">
        <v>11494.0582</v>
      </c>
      <c r="K623" t="n">
        <v>2020</v>
      </c>
      <c r="L623" t="n">
        <v>2030</v>
      </c>
      <c r="M623" t="n">
        <v>0.5004</v>
      </c>
      <c r="N623" t="n">
        <v>0.1931</v>
      </c>
      <c r="O623" t="n">
        <v>2019</v>
      </c>
      <c r="P623" t="n">
        <v>2035</v>
      </c>
      <c r="Q623" t="n">
        <v>0.5229</v>
      </c>
      <c r="R623" t="n">
        <v>506.3191</v>
      </c>
      <c r="S623" t="n">
        <v>0.00100149</v>
      </c>
      <c r="T623" t="n">
        <v>0.00047124</v>
      </c>
      <c r="U623" t="n">
        <v>16135.6719</v>
      </c>
      <c r="V623" t="inlineStr">
        <is>
          <t>Provided Total Emissions</t>
        </is>
      </c>
      <c r="W623" t="b">
        <v>1</v>
      </c>
      <c r="X623" t="n">
        <v>14984.248</v>
      </c>
      <c r="Y623" t="n">
        <v>30700.7576</v>
      </c>
      <c r="Z623" t="n">
        <v>-1151.4239</v>
      </c>
      <c r="AA623" t="n">
        <v>14565.0857</v>
      </c>
      <c r="AB623" t="n">
        <v>-0.07135900000000001</v>
      </c>
      <c r="AC623" t="n">
        <v>0.902664</v>
      </c>
      <c r="AD623" t="inlineStr">
        <is>
          <t>High</t>
        </is>
      </c>
      <c r="AE623" t="inlineStr">
        <is>
          <t>None</t>
        </is>
      </c>
      <c r="AF623" t="n">
        <v>0.95</v>
      </c>
      <c r="AG623" t="inlineStr">
        <is>
          <t>Valid</t>
        </is>
      </c>
    </row>
    <row r="624">
      <c r="A624" t="inlineStr">
        <is>
          <t>SUP-0063</t>
        </is>
      </c>
      <c r="B624" t="inlineStr">
        <is>
          <t>Chemicals Supplier 063</t>
        </is>
      </c>
      <c r="C624" t="inlineStr">
        <is>
          <t>Chemicals</t>
        </is>
      </c>
      <c r="D624" t="n">
        <v>2017</v>
      </c>
      <c r="E624" t="n">
        <v>14429530.54</v>
      </c>
      <c r="F624" t="n">
        <v>71862933.37</v>
      </c>
      <c r="G624" t="n">
        <v>21384.9866</v>
      </c>
      <c r="H624" t="n">
        <v>4942.9344</v>
      </c>
      <c r="I624" t="n">
        <v>3659.8774</v>
      </c>
      <c r="J624" t="n">
        <v>12506.1373</v>
      </c>
      <c r="K624" t="n">
        <v>2020</v>
      </c>
      <c r="L624" t="n">
        <v>2030</v>
      </c>
      <c r="M624" t="n">
        <v>0.5004</v>
      </c>
      <c r="N624" t="n">
        <v>0.1931</v>
      </c>
      <c r="O624" t="n">
        <v>2019</v>
      </c>
      <c r="P624" t="n">
        <v>2035</v>
      </c>
      <c r="Q624" t="n">
        <v>0.5229</v>
      </c>
      <c r="R624" t="n">
        <v>506.3191</v>
      </c>
      <c r="S624" t="n">
        <v>0.00100149</v>
      </c>
      <c r="T624" t="n">
        <v>0.00047124</v>
      </c>
      <c r="U624" t="n">
        <v>21384.9866</v>
      </c>
      <c r="V624" t="inlineStr">
        <is>
          <t>Provided Total Emissions</t>
        </is>
      </c>
      <c r="W624" t="b">
        <v>1</v>
      </c>
      <c r="X624" t="n">
        <v>14451.0305</v>
      </c>
      <c r="Y624" t="n">
        <v>33864.6887</v>
      </c>
      <c r="Z624" t="n">
        <v>-6933.9561</v>
      </c>
      <c r="AA624" t="n">
        <v>12479.7021</v>
      </c>
      <c r="AB624" t="n">
        <v>-0.324244</v>
      </c>
      <c r="AC624" t="n">
        <v>0.583573</v>
      </c>
      <c r="AD624" t="inlineStr">
        <is>
          <t>High</t>
        </is>
      </c>
      <c r="AE624" t="inlineStr">
        <is>
          <t>None</t>
        </is>
      </c>
      <c r="AF624" t="n">
        <v>0.95</v>
      </c>
      <c r="AG624" t="inlineStr">
        <is>
          <t>Valid</t>
        </is>
      </c>
    </row>
    <row r="625">
      <c r="A625" t="inlineStr">
        <is>
          <t>SUP-0063</t>
        </is>
      </c>
      <c r="B625" t="inlineStr">
        <is>
          <t>Chemicals Supplier 063</t>
        </is>
      </c>
      <c r="C625" t="inlineStr">
        <is>
          <t>Chemicals</t>
        </is>
      </c>
      <c r="D625" t="n">
        <v>2018</v>
      </c>
      <c r="E625" t="n">
        <v>15973886.86</v>
      </c>
      <c r="F625" t="n">
        <v>78142475.69</v>
      </c>
      <c r="G625" t="n">
        <v>17570.8036</v>
      </c>
      <c r="H625" t="n">
        <v>2059.1307</v>
      </c>
      <c r="I625" t="n">
        <v>1980.8143</v>
      </c>
      <c r="J625" t="n">
        <v>13267.9225</v>
      </c>
      <c r="K625" t="n">
        <v>2020</v>
      </c>
      <c r="L625" t="n">
        <v>2030</v>
      </c>
      <c r="M625" t="n">
        <v>0.5004</v>
      </c>
      <c r="N625" t="n">
        <v>0.1931</v>
      </c>
      <c r="O625" t="n">
        <v>2019</v>
      </c>
      <c r="P625" t="n">
        <v>2035</v>
      </c>
      <c r="Q625" t="n">
        <v>0.5229</v>
      </c>
      <c r="R625" t="n">
        <v>506.3191</v>
      </c>
      <c r="S625" t="n">
        <v>0.00100149</v>
      </c>
      <c r="T625" t="n">
        <v>0.00047124</v>
      </c>
      <c r="U625" t="n">
        <v>17570.8036</v>
      </c>
      <c r="V625" t="inlineStr">
        <is>
          <t>Provided Total Emissions</t>
        </is>
      </c>
      <c r="W625" t="b">
        <v>1</v>
      </c>
      <c r="X625" t="n">
        <v>15997.688</v>
      </c>
      <c r="Y625" t="n">
        <v>36823.8602</v>
      </c>
      <c r="Z625" t="n">
        <v>-1573.1156</v>
      </c>
      <c r="AA625" t="n">
        <v>19253.0566</v>
      </c>
      <c r="AB625" t="n">
        <v>-0.08953</v>
      </c>
      <c r="AC625" t="n">
        <v>1.095741</v>
      </c>
      <c r="AD625" t="inlineStr">
        <is>
          <t>High</t>
        </is>
      </c>
      <c r="AE625" t="inlineStr">
        <is>
          <t>None</t>
        </is>
      </c>
      <c r="AF625" t="n">
        <v>0.95</v>
      </c>
      <c r="AG625" t="inlineStr">
        <is>
          <t>Valid</t>
        </is>
      </c>
    </row>
    <row r="626">
      <c r="A626" t="inlineStr">
        <is>
          <t>SUP-0063</t>
        </is>
      </c>
      <c r="B626" t="inlineStr">
        <is>
          <t>Chemicals Supplier 063</t>
        </is>
      </c>
      <c r="C626" t="inlineStr">
        <is>
          <t>Chemicals</t>
        </is>
      </c>
      <c r="D626" t="n">
        <v>2019</v>
      </c>
      <c r="E626" t="n">
        <v>15464991.28</v>
      </c>
      <c r="F626" t="n">
        <v>60465887.68</v>
      </c>
      <c r="G626" t="n">
        <v>19703.2466</v>
      </c>
      <c r="H626" t="n">
        <v>4219.8393</v>
      </c>
      <c r="I626" t="n">
        <v>2657.9075</v>
      </c>
      <c r="J626" t="n">
        <v>13382.6708</v>
      </c>
      <c r="K626" t="n">
        <v>2020</v>
      </c>
      <c r="L626" t="n">
        <v>2030</v>
      </c>
      <c r="M626" t="n">
        <v>0.5004</v>
      </c>
      <c r="N626" t="n">
        <v>0.1931</v>
      </c>
      <c r="O626" t="n">
        <v>2019</v>
      </c>
      <c r="P626" t="n">
        <v>2035</v>
      </c>
      <c r="Q626" t="n">
        <v>0.5229</v>
      </c>
      <c r="R626" t="n">
        <v>506.3191</v>
      </c>
      <c r="S626" t="n">
        <v>0.00100149</v>
      </c>
      <c r="T626" t="n">
        <v>0.00047124</v>
      </c>
      <c r="U626" t="n">
        <v>19703.2466</v>
      </c>
      <c r="V626" t="inlineStr">
        <is>
          <t>Provided Total Emissions</t>
        </is>
      </c>
      <c r="W626" t="b">
        <v>1</v>
      </c>
      <c r="X626" t="n">
        <v>15488.0341</v>
      </c>
      <c r="Y626" t="n">
        <v>28493.9449</v>
      </c>
      <c r="Z626" t="n">
        <v>-4215.2125</v>
      </c>
      <c r="AA626" t="n">
        <v>8790.6983</v>
      </c>
      <c r="AB626" t="n">
        <v>-0.213935</v>
      </c>
      <c r="AC626" t="n">
        <v>0.446155</v>
      </c>
      <c r="AD626" t="inlineStr">
        <is>
          <t>High</t>
        </is>
      </c>
      <c r="AE626" t="inlineStr">
        <is>
          <t>None</t>
        </is>
      </c>
      <c r="AF626" t="n">
        <v>0.95</v>
      </c>
      <c r="AG626" t="inlineStr">
        <is>
          <t>Valid</t>
        </is>
      </c>
    </row>
    <row r="627">
      <c r="A627" t="inlineStr">
        <is>
          <t>SUP-0063</t>
        </is>
      </c>
      <c r="B627" t="inlineStr">
        <is>
          <t>Chemicals Supplier 063</t>
        </is>
      </c>
      <c r="C627" t="inlineStr">
        <is>
          <t>Chemicals</t>
        </is>
      </c>
      <c r="D627" t="n">
        <v>2020</v>
      </c>
      <c r="E627" t="n">
        <v>15588841.79</v>
      </c>
      <c r="F627" t="n">
        <v>70524257.27</v>
      </c>
      <c r="G627" t="n">
        <v>17812.0997</v>
      </c>
      <c r="H627" t="n">
        <v>2883.5414</v>
      </c>
      <c r="I627" t="n">
        <v>2216.5932</v>
      </c>
      <c r="J627" t="n">
        <v>14212.2569</v>
      </c>
      <c r="K627" t="n">
        <v>2020</v>
      </c>
      <c r="L627" t="n">
        <v>2030</v>
      </c>
      <c r="M627" t="n">
        <v>0.5004</v>
      </c>
      <c r="N627" t="n">
        <v>0.1931</v>
      </c>
      <c r="O627" t="n">
        <v>2019</v>
      </c>
      <c r="P627" t="n">
        <v>2035</v>
      </c>
      <c r="Q627" t="n">
        <v>0.5229</v>
      </c>
      <c r="R627" t="n">
        <v>506.3191</v>
      </c>
      <c r="S627" t="n">
        <v>0.00100149</v>
      </c>
      <c r="T627" t="n">
        <v>0.00047124</v>
      </c>
      <c r="U627" t="n">
        <v>17812.0997</v>
      </c>
      <c r="V627" t="inlineStr">
        <is>
          <t>Provided Total Emissions</t>
        </is>
      </c>
      <c r="W627" t="b">
        <v>1</v>
      </c>
      <c r="X627" t="n">
        <v>15612.0692</v>
      </c>
      <c r="Y627" t="n">
        <v>33233.851</v>
      </c>
      <c r="Z627" t="n">
        <v>-2200.0305</v>
      </c>
      <c r="AA627" t="n">
        <v>15421.7513</v>
      </c>
      <c r="AB627" t="n">
        <v>-0.123513</v>
      </c>
      <c r="AC627" t="n">
        <v>0.865802</v>
      </c>
      <c r="AD627" t="inlineStr">
        <is>
          <t>High</t>
        </is>
      </c>
      <c r="AE627" t="inlineStr">
        <is>
          <t>None</t>
        </is>
      </c>
      <c r="AF627" t="n">
        <v>0.95</v>
      </c>
      <c r="AG627" t="inlineStr">
        <is>
          <t>Valid</t>
        </is>
      </c>
    </row>
    <row r="628">
      <c r="A628" t="inlineStr">
        <is>
          <t>SUP-0063</t>
        </is>
      </c>
      <c r="B628" t="inlineStr">
        <is>
          <t>Chemicals Supplier 063</t>
        </is>
      </c>
      <c r="C628" t="inlineStr">
        <is>
          <t>Chemicals</t>
        </is>
      </c>
      <c r="D628" t="n">
        <v>2021</v>
      </c>
      <c r="E628" t="n">
        <v>21900115.76</v>
      </c>
      <c r="F628" t="n">
        <v>82369512.08</v>
      </c>
      <c r="G628" t="n">
        <v>22307.9947</v>
      </c>
      <c r="H628" t="n">
        <v>3130.6237</v>
      </c>
      <c r="I628" t="n">
        <v>1407.7977</v>
      </c>
      <c r="J628" t="n">
        <v>16277.034</v>
      </c>
      <c r="K628" t="n">
        <v>2020</v>
      </c>
      <c r="L628" t="n">
        <v>2030</v>
      </c>
      <c r="M628" t="n">
        <v>0.5004</v>
      </c>
      <c r="N628" t="n">
        <v>0.1931</v>
      </c>
      <c r="O628" t="n">
        <v>2019</v>
      </c>
      <c r="P628" t="n">
        <v>2035</v>
      </c>
      <c r="Q628" t="n">
        <v>0.5229</v>
      </c>
      <c r="R628" t="n">
        <v>506.3191</v>
      </c>
      <c r="S628" t="n">
        <v>0.00100149</v>
      </c>
      <c r="T628" t="n">
        <v>0.00047124</v>
      </c>
      <c r="U628" t="n">
        <v>22307.9947</v>
      </c>
      <c r="V628" t="inlineStr">
        <is>
          <t>Provided Total Emissions</t>
        </is>
      </c>
      <c r="W628" t="b">
        <v>1</v>
      </c>
      <c r="X628" t="n">
        <v>21932.7469</v>
      </c>
      <c r="Y628" t="n">
        <v>38815.8089</v>
      </c>
      <c r="Z628" t="n">
        <v>-375.2478</v>
      </c>
      <c r="AA628" t="n">
        <v>16507.8142</v>
      </c>
      <c r="AB628" t="n">
        <v>-0.016821</v>
      </c>
      <c r="AC628" t="n">
        <v>0.739995</v>
      </c>
      <c r="AD628" t="inlineStr">
        <is>
          <t>High</t>
        </is>
      </c>
      <c r="AE628" t="inlineStr">
        <is>
          <t>None</t>
        </is>
      </c>
      <c r="AF628" t="n">
        <v>0.95</v>
      </c>
      <c r="AG628" t="inlineStr">
        <is>
          <t>Valid</t>
        </is>
      </c>
    </row>
    <row r="629">
      <c r="A629" t="inlineStr">
        <is>
          <t>SUP-0063</t>
        </is>
      </c>
      <c r="B629" t="inlineStr">
        <is>
          <t>Chemicals Supplier 063</t>
        </is>
      </c>
      <c r="C629" t="inlineStr">
        <is>
          <t>Chemicals</t>
        </is>
      </c>
      <c r="D629" t="n">
        <v>2022</v>
      </c>
      <c r="E629" t="n">
        <v>19490969.24</v>
      </c>
      <c r="F629" t="n">
        <v>98026100.77</v>
      </c>
      <c r="G629" t="n">
        <v>20809.9664</v>
      </c>
      <c r="H629" t="n">
        <v>3424.1443</v>
      </c>
      <c r="I629" t="n">
        <v>2041.1988</v>
      </c>
      <c r="J629" t="n">
        <v>15678.1762</v>
      </c>
      <c r="K629" t="n">
        <v>2020</v>
      </c>
      <c r="L629" t="n">
        <v>2030</v>
      </c>
      <c r="M629" t="n">
        <v>0.5004</v>
      </c>
      <c r="N629" t="n">
        <v>0.1931</v>
      </c>
      <c r="O629" t="n">
        <v>2019</v>
      </c>
      <c r="P629" t="n">
        <v>2035</v>
      </c>
      <c r="Q629" t="n">
        <v>0.5229</v>
      </c>
      <c r="R629" t="n">
        <v>506.3191</v>
      </c>
      <c r="S629" t="n">
        <v>0.00100149</v>
      </c>
      <c r="T629" t="n">
        <v>0.00047124</v>
      </c>
      <c r="U629" t="n">
        <v>20809.9664</v>
      </c>
      <c r="V629" t="inlineStr">
        <is>
          <t>Provided Total Emissions</t>
        </is>
      </c>
      <c r="W629" t="b">
        <v>1</v>
      </c>
      <c r="X629" t="n">
        <v>19520.0108</v>
      </c>
      <c r="Y629" t="n">
        <v>46193.8197</v>
      </c>
      <c r="Z629" t="n">
        <v>-1289.9556</v>
      </c>
      <c r="AA629" t="n">
        <v>25383.8533</v>
      </c>
      <c r="AB629" t="n">
        <v>-0.061987</v>
      </c>
      <c r="AC629" t="n">
        <v>1.219793</v>
      </c>
      <c r="AD629" t="inlineStr">
        <is>
          <t>High</t>
        </is>
      </c>
      <c r="AE629" t="inlineStr">
        <is>
          <t>None</t>
        </is>
      </c>
      <c r="AF629" t="n">
        <v>0.95</v>
      </c>
      <c r="AG629" t="inlineStr">
        <is>
          <t>Valid</t>
        </is>
      </c>
    </row>
    <row r="630">
      <c r="A630" t="inlineStr">
        <is>
          <t>SUP-0063</t>
        </is>
      </c>
      <c r="B630" t="inlineStr">
        <is>
          <t>Chemicals Supplier 063</t>
        </is>
      </c>
      <c r="C630" t="inlineStr">
        <is>
          <t>Chemicals</t>
        </is>
      </c>
      <c r="D630" t="n">
        <v>2023</v>
      </c>
      <c r="E630" t="n">
        <v>19073604.79</v>
      </c>
      <c r="F630" t="n">
        <v>83336296.86</v>
      </c>
      <c r="G630" t="n">
        <v>21119.4578</v>
      </c>
      <c r="H630" t="n">
        <v>5411.3301</v>
      </c>
      <c r="I630" t="n">
        <v>3036.3764</v>
      </c>
      <c r="J630" t="n">
        <v>12465.0106</v>
      </c>
      <c r="K630" t="n">
        <v>2020</v>
      </c>
      <c r="L630" t="n">
        <v>2030</v>
      </c>
      <c r="M630" t="n">
        <v>0.5004</v>
      </c>
      <c r="N630" t="n">
        <v>0.1931</v>
      </c>
      <c r="O630" t="n">
        <v>2019</v>
      </c>
      <c r="P630" t="n">
        <v>2035</v>
      </c>
      <c r="Q630" t="n">
        <v>0.5229</v>
      </c>
      <c r="R630" t="n">
        <v>506.3191</v>
      </c>
      <c r="S630" t="n">
        <v>0.00100149</v>
      </c>
      <c r="T630" t="n">
        <v>0.00047124</v>
      </c>
      <c r="U630" t="n">
        <v>21119.4578</v>
      </c>
      <c r="V630" t="inlineStr">
        <is>
          <t>Provided Total Emissions</t>
        </is>
      </c>
      <c r="W630" t="b">
        <v>1</v>
      </c>
      <c r="X630" t="n">
        <v>19102.0245</v>
      </c>
      <c r="Y630" t="n">
        <v>39271.3965</v>
      </c>
      <c r="Z630" t="n">
        <v>-2017.4333</v>
      </c>
      <c r="AA630" t="n">
        <v>18151.9387</v>
      </c>
      <c r="AB630" t="n">
        <v>-0.095525</v>
      </c>
      <c r="AC630" t="n">
        <v>0.8594889999999999</v>
      </c>
      <c r="AD630" t="inlineStr">
        <is>
          <t>High</t>
        </is>
      </c>
      <c r="AE630" t="inlineStr">
        <is>
          <t>None</t>
        </is>
      </c>
      <c r="AF630" t="n">
        <v>0.95</v>
      </c>
      <c r="AG630" t="inlineStr">
        <is>
          <t>Valid</t>
        </is>
      </c>
    </row>
    <row r="631">
      <c r="A631" t="inlineStr">
        <is>
          <t>SUP-0063</t>
        </is>
      </c>
      <c r="B631" t="inlineStr">
        <is>
          <t>Chemicals Supplier 063</t>
        </is>
      </c>
      <c r="C631" t="inlineStr">
        <is>
          <t>Chemicals</t>
        </is>
      </c>
      <c r="D631" t="n">
        <v>2024</v>
      </c>
      <c r="E631" t="n">
        <v>17530557.49</v>
      </c>
      <c r="F631" t="n">
        <v>116720536.19</v>
      </c>
      <c r="G631" t="n">
        <v>18647.3146</v>
      </c>
      <c r="H631" t="n">
        <v>1913.937</v>
      </c>
      <c r="I631" t="n">
        <v>1263.2604</v>
      </c>
      <c r="J631" t="n">
        <v>15802.7697</v>
      </c>
      <c r="K631" t="n">
        <v>2020</v>
      </c>
      <c r="L631" t="n">
        <v>2030</v>
      </c>
      <c r="M631" t="n">
        <v>0.5004</v>
      </c>
      <c r="N631" t="n">
        <v>0.1931</v>
      </c>
      <c r="O631" t="n">
        <v>2019</v>
      </c>
      <c r="P631" t="n">
        <v>2035</v>
      </c>
      <c r="Q631" t="n">
        <v>0.5229</v>
      </c>
      <c r="R631" t="n">
        <v>506.3191</v>
      </c>
      <c r="S631" t="n">
        <v>0.00100149</v>
      </c>
      <c r="T631" t="n">
        <v>0.00047124</v>
      </c>
      <c r="U631" t="n">
        <v>18647.3146</v>
      </c>
      <c r="V631" t="inlineStr">
        <is>
          <t>Provided Total Emissions</t>
        </is>
      </c>
      <c r="W631" t="b">
        <v>1</v>
      </c>
      <c r="X631" t="n">
        <v>17556.678</v>
      </c>
      <c r="Y631" t="n">
        <v>55003.3855</v>
      </c>
      <c r="Z631" t="n">
        <v>-1090.6366</v>
      </c>
      <c r="AA631" t="n">
        <v>36356.0709</v>
      </c>
      <c r="AB631" t="n">
        <v>-0.058488</v>
      </c>
      <c r="AC631" t="n">
        <v>1.949668</v>
      </c>
      <c r="AD631" t="inlineStr">
        <is>
          <t>High</t>
        </is>
      </c>
      <c r="AE631" t="inlineStr">
        <is>
          <t>None</t>
        </is>
      </c>
      <c r="AF631" t="n">
        <v>0.95</v>
      </c>
      <c r="AG631" t="inlineStr">
        <is>
          <t>Valid</t>
        </is>
      </c>
    </row>
    <row r="632">
      <c r="A632" t="inlineStr">
        <is>
          <t>SUP-0064</t>
        </is>
      </c>
      <c r="B632" t="inlineStr">
        <is>
          <t>Metals Supplier 064</t>
        </is>
      </c>
      <c r="C632" t="inlineStr">
        <is>
          <t>Metals</t>
        </is>
      </c>
      <c r="D632" t="n">
        <v>2015</v>
      </c>
      <c r="E632" t="n">
        <v>9896213.5</v>
      </c>
      <c r="F632" t="n">
        <v>59562124.27</v>
      </c>
      <c r="G632" t="n">
        <v>7803.8473</v>
      </c>
      <c r="H632" t="n">
        <v>926.7635</v>
      </c>
      <c r="I632" t="n">
        <v>598.0845</v>
      </c>
      <c r="J632" t="n">
        <v>6487.6778</v>
      </c>
      <c r="K632" t="inlineStr"/>
      <c r="L632" t="inlineStr"/>
      <c r="M632" t="inlineStr"/>
      <c r="N632" t="inlineStr"/>
      <c r="O632" t="n">
        <v>2019</v>
      </c>
      <c r="P632" t="n">
        <v>2030</v>
      </c>
      <c r="Q632" t="n">
        <v>0.3852</v>
      </c>
      <c r="R632" t="n">
        <v>158.2904</v>
      </c>
      <c r="S632" t="n">
        <v>0.00100695</v>
      </c>
      <c r="T632" t="n">
        <v>0.00065008</v>
      </c>
      <c r="U632" t="n">
        <v>7803.8473</v>
      </c>
      <c r="V632" t="inlineStr">
        <is>
          <t>Provided Total Emissions</t>
        </is>
      </c>
      <c r="W632" t="b">
        <v>1</v>
      </c>
      <c r="X632" t="n">
        <v>9964.992200000001</v>
      </c>
      <c r="Y632" t="n">
        <v>38720.1457</v>
      </c>
      <c r="Z632" t="n">
        <v>2161.1449</v>
      </c>
      <c r="AA632" t="n">
        <v>30916.2984</v>
      </c>
      <c r="AB632" t="n">
        <v>0.276933</v>
      </c>
      <c r="AC632" t="n">
        <v>3.961674</v>
      </c>
      <c r="AD632" t="inlineStr">
        <is>
          <t>High</t>
        </is>
      </c>
      <c r="AE632" t="inlineStr">
        <is>
          <t>None</t>
        </is>
      </c>
      <c r="AF632" t="n">
        <v>0.95</v>
      </c>
      <c r="AG632" t="inlineStr">
        <is>
          <t>Valid</t>
        </is>
      </c>
    </row>
    <row r="633">
      <c r="A633" t="inlineStr">
        <is>
          <t>SUP-0064</t>
        </is>
      </c>
      <c r="B633" t="inlineStr">
        <is>
          <t>Metals Supplier 064</t>
        </is>
      </c>
      <c r="C633" t="inlineStr">
        <is>
          <t>Metals</t>
        </is>
      </c>
      <c r="D633" t="n">
        <v>2016</v>
      </c>
      <c r="E633" t="n">
        <v>8976486.550000001</v>
      </c>
      <c r="F633" t="n">
        <v>55724724.07</v>
      </c>
      <c r="G633" t="n">
        <v>7903.6502</v>
      </c>
      <c r="H633" t="n">
        <v>1411.8629</v>
      </c>
      <c r="I633" t="n">
        <v>655.7898</v>
      </c>
      <c r="J633" t="n">
        <v>5722.6354</v>
      </c>
      <c r="K633" t="inlineStr"/>
      <c r="L633" t="inlineStr"/>
      <c r="M633" t="inlineStr"/>
      <c r="N633" t="inlineStr"/>
      <c r="O633" t="n">
        <v>2019</v>
      </c>
      <c r="P633" t="n">
        <v>2030</v>
      </c>
      <c r="Q633" t="n">
        <v>0.3852</v>
      </c>
      <c r="R633" t="n">
        <v>158.2904</v>
      </c>
      <c r="S633" t="n">
        <v>0.00100695</v>
      </c>
      <c r="T633" t="n">
        <v>0.00065008</v>
      </c>
      <c r="U633" t="n">
        <v>7903.6502</v>
      </c>
      <c r="V633" t="inlineStr">
        <is>
          <t>Provided Total Emissions</t>
        </is>
      </c>
      <c r="W633" t="b">
        <v>1</v>
      </c>
      <c r="X633" t="n">
        <v>9038.873100000001</v>
      </c>
      <c r="Y633" t="n">
        <v>36225.5286</v>
      </c>
      <c r="Z633" t="n">
        <v>1135.2229</v>
      </c>
      <c r="AA633" t="n">
        <v>28321.8784</v>
      </c>
      <c r="AB633" t="n">
        <v>0.143633</v>
      </c>
      <c r="AC633" t="n">
        <v>3.583392</v>
      </c>
      <c r="AD633" t="inlineStr">
        <is>
          <t>High</t>
        </is>
      </c>
      <c r="AE633" t="inlineStr">
        <is>
          <t>None</t>
        </is>
      </c>
      <c r="AF633" t="n">
        <v>0.95</v>
      </c>
      <c r="AG633" t="inlineStr">
        <is>
          <t>Valid</t>
        </is>
      </c>
    </row>
    <row r="634">
      <c r="A634" t="inlineStr">
        <is>
          <t>SUP-0064</t>
        </is>
      </c>
      <c r="B634" t="inlineStr">
        <is>
          <t>Metals Supplier 064</t>
        </is>
      </c>
      <c r="C634" t="inlineStr">
        <is>
          <t>Metals</t>
        </is>
      </c>
      <c r="D634" t="n">
        <v>2017</v>
      </c>
      <c r="E634" t="n">
        <v>9818842.4</v>
      </c>
      <c r="F634" t="n">
        <v>57297081.09</v>
      </c>
      <c r="G634" t="n">
        <v>6081.7501</v>
      </c>
      <c r="H634" t="n">
        <v>647.4467</v>
      </c>
      <c r="I634" t="n">
        <v>1188.2785</v>
      </c>
      <c r="J634" t="n">
        <v>4480.4162</v>
      </c>
      <c r="K634" t="inlineStr"/>
      <c r="L634" t="inlineStr"/>
      <c r="M634" t="inlineStr"/>
      <c r="N634" t="inlineStr"/>
      <c r="O634" t="n">
        <v>2019</v>
      </c>
      <c r="P634" t="n">
        <v>2030</v>
      </c>
      <c r="Q634" t="n">
        <v>0.3852</v>
      </c>
      <c r="R634" t="n">
        <v>158.2904</v>
      </c>
      <c r="S634" t="n">
        <v>0.00100695</v>
      </c>
      <c r="T634" t="n">
        <v>0.00065008</v>
      </c>
      <c r="U634" t="n">
        <v>6081.7501</v>
      </c>
      <c r="V634" t="inlineStr">
        <is>
          <t>Provided Total Emissions</t>
        </is>
      </c>
      <c r="W634" t="b">
        <v>1</v>
      </c>
      <c r="X634" t="n">
        <v>9887.0834</v>
      </c>
      <c r="Y634" t="n">
        <v>37247.6865</v>
      </c>
      <c r="Z634" t="n">
        <v>3805.3333</v>
      </c>
      <c r="AA634" t="n">
        <v>31165.9364</v>
      </c>
      <c r="AB634" t="n">
        <v>0.6256969999999999</v>
      </c>
      <c r="AC634" t="n">
        <v>5.124501</v>
      </c>
      <c r="AD634" t="inlineStr">
        <is>
          <t>High</t>
        </is>
      </c>
      <c r="AE634" t="inlineStr">
        <is>
          <t>None</t>
        </is>
      </c>
      <c r="AF634" t="n">
        <v>0.95</v>
      </c>
      <c r="AG634" t="inlineStr">
        <is>
          <t>Valid</t>
        </is>
      </c>
    </row>
    <row r="635">
      <c r="A635" t="inlineStr">
        <is>
          <t>SUP-0064</t>
        </is>
      </c>
      <c r="B635" t="inlineStr">
        <is>
          <t>Metals Supplier 064</t>
        </is>
      </c>
      <c r="C635" t="inlineStr">
        <is>
          <t>Metals</t>
        </is>
      </c>
      <c r="D635" t="n">
        <v>2018</v>
      </c>
      <c r="E635" t="n">
        <v>9466503.75</v>
      </c>
      <c r="F635" t="n">
        <v>54626086.88</v>
      </c>
      <c r="G635" t="n">
        <v>5401.2867</v>
      </c>
      <c r="H635" t="n">
        <v>1356.2853</v>
      </c>
      <c r="I635" t="n">
        <v>1074.2606</v>
      </c>
      <c r="J635" t="n">
        <v>3010.1376</v>
      </c>
      <c r="K635" t="inlineStr"/>
      <c r="L635" t="inlineStr"/>
      <c r="M635" t="inlineStr"/>
      <c r="N635" t="inlineStr"/>
      <c r="O635" t="n">
        <v>2019</v>
      </c>
      <c r="P635" t="n">
        <v>2030</v>
      </c>
      <c r="Q635" t="n">
        <v>0.3852</v>
      </c>
      <c r="R635" t="n">
        <v>158.2904</v>
      </c>
      <c r="S635" t="n">
        <v>0.00100695</v>
      </c>
      <c r="T635" t="n">
        <v>0.00065008</v>
      </c>
      <c r="U635" t="n">
        <v>5401.2867</v>
      </c>
      <c r="V635" t="inlineStr">
        <is>
          <t>Provided Total Emissions</t>
        </is>
      </c>
      <c r="W635" t="b">
        <v>1</v>
      </c>
      <c r="X635" t="n">
        <v>9532.296</v>
      </c>
      <c r="Y635" t="n">
        <v>35511.3266</v>
      </c>
      <c r="Z635" t="n">
        <v>4131.0093</v>
      </c>
      <c r="AA635" t="n">
        <v>30110.0399</v>
      </c>
      <c r="AB635" t="n">
        <v>0.764819</v>
      </c>
      <c r="AC635" t="n">
        <v>5.574605</v>
      </c>
      <c r="AD635" t="inlineStr">
        <is>
          <t>High</t>
        </is>
      </c>
      <c r="AE635" t="inlineStr">
        <is>
          <t>None</t>
        </is>
      </c>
      <c r="AF635" t="n">
        <v>0.95</v>
      </c>
      <c r="AG635" t="inlineStr">
        <is>
          <t>Valid</t>
        </is>
      </c>
    </row>
    <row r="636">
      <c r="A636" t="inlineStr">
        <is>
          <t>SUP-0064</t>
        </is>
      </c>
      <c r="B636" t="inlineStr">
        <is>
          <t>Metals Supplier 064</t>
        </is>
      </c>
      <c r="C636" t="inlineStr">
        <is>
          <t>Metals</t>
        </is>
      </c>
      <c r="D636" t="n">
        <v>2019</v>
      </c>
      <c r="E636" t="n">
        <v>9678953.08</v>
      </c>
      <c r="F636" t="n">
        <v>57871305.27</v>
      </c>
      <c r="G636" t="n">
        <v>6881.9675</v>
      </c>
      <c r="H636" t="n">
        <v>1744.329</v>
      </c>
      <c r="I636" t="n">
        <v>1031.7116</v>
      </c>
      <c r="J636" t="n">
        <v>3763.9477</v>
      </c>
      <c r="K636" t="inlineStr"/>
      <c r="L636" t="inlineStr"/>
      <c r="M636" t="inlineStr"/>
      <c r="N636" t="inlineStr"/>
      <c r="O636" t="n">
        <v>2019</v>
      </c>
      <c r="P636" t="n">
        <v>2030</v>
      </c>
      <c r="Q636" t="n">
        <v>0.3852</v>
      </c>
      <c r="R636" t="n">
        <v>158.2904</v>
      </c>
      <c r="S636" t="n">
        <v>0.00100695</v>
      </c>
      <c r="T636" t="n">
        <v>0.00065008</v>
      </c>
      <c r="U636" t="n">
        <v>6881.9675</v>
      </c>
      <c r="V636" t="inlineStr">
        <is>
          <t>Provided Total Emissions</t>
        </is>
      </c>
      <c r="W636" t="b">
        <v>1</v>
      </c>
      <c r="X636" t="n">
        <v>9746.221799999999</v>
      </c>
      <c r="Y636" t="n">
        <v>37620.9781</v>
      </c>
      <c r="Z636" t="n">
        <v>2864.2543</v>
      </c>
      <c r="AA636" t="n">
        <v>30739.0106</v>
      </c>
      <c r="AB636" t="n">
        <v>0.416197</v>
      </c>
      <c r="AC636" t="n">
        <v>4.466602</v>
      </c>
      <c r="AD636" t="inlineStr">
        <is>
          <t>High</t>
        </is>
      </c>
      <c r="AE636" t="inlineStr">
        <is>
          <t>None</t>
        </is>
      </c>
      <c r="AF636" t="n">
        <v>0.95</v>
      </c>
      <c r="AG636" t="inlineStr">
        <is>
          <t>Valid</t>
        </is>
      </c>
    </row>
    <row r="637">
      <c r="A637" t="inlineStr">
        <is>
          <t>SUP-0064</t>
        </is>
      </c>
      <c r="B637" t="inlineStr">
        <is>
          <t>Metals Supplier 064</t>
        </is>
      </c>
      <c r="C637" t="inlineStr">
        <is>
          <t>Metals</t>
        </is>
      </c>
      <c r="D637" t="n">
        <v>2020</v>
      </c>
      <c r="E637" t="n">
        <v>9319215.390000001</v>
      </c>
      <c r="F637" t="n">
        <v>57023526.71</v>
      </c>
      <c r="G637" t="n">
        <v>6656.8257</v>
      </c>
      <c r="H637" t="n">
        <v>884.7607</v>
      </c>
      <c r="I637" t="n">
        <v>1374.3739</v>
      </c>
      <c r="J637" t="n">
        <v>4847.2573</v>
      </c>
      <c r="K637" t="inlineStr"/>
      <c r="L637" t="inlineStr"/>
      <c r="M637" t="inlineStr"/>
      <c r="N637" t="inlineStr"/>
      <c r="O637" t="n">
        <v>2019</v>
      </c>
      <c r="P637" t="n">
        <v>2030</v>
      </c>
      <c r="Q637" t="n">
        <v>0.3852</v>
      </c>
      <c r="R637" t="n">
        <v>158.2904</v>
      </c>
      <c r="S637" t="n">
        <v>0.00100695</v>
      </c>
      <c r="T637" t="n">
        <v>0.00065008</v>
      </c>
      <c r="U637" t="n">
        <v>6656.8257</v>
      </c>
      <c r="V637" t="inlineStr">
        <is>
          <t>Provided Total Emissions</t>
        </is>
      </c>
      <c r="W637" t="b">
        <v>1</v>
      </c>
      <c r="X637" t="n">
        <v>9383.983899999999</v>
      </c>
      <c r="Y637" t="n">
        <v>37069.8542</v>
      </c>
      <c r="Z637" t="n">
        <v>2727.1582</v>
      </c>
      <c r="AA637" t="n">
        <v>30413.0285</v>
      </c>
      <c r="AB637" t="n">
        <v>0.409678</v>
      </c>
      <c r="AC637" t="n">
        <v>4.568698</v>
      </c>
      <c r="AD637" t="inlineStr">
        <is>
          <t>High</t>
        </is>
      </c>
      <c r="AE637" t="inlineStr">
        <is>
          <t>None</t>
        </is>
      </c>
      <c r="AF637" t="n">
        <v>0.95</v>
      </c>
      <c r="AG637" t="inlineStr">
        <is>
          <t>Valid</t>
        </is>
      </c>
    </row>
    <row r="638">
      <c r="A638" t="inlineStr">
        <is>
          <t>SUP-0064</t>
        </is>
      </c>
      <c r="B638" t="inlineStr">
        <is>
          <t>Metals Supplier 064</t>
        </is>
      </c>
      <c r="C638" t="inlineStr">
        <is>
          <t>Metals</t>
        </is>
      </c>
      <c r="D638" t="n">
        <v>2021</v>
      </c>
      <c r="E638" t="n">
        <v>8032688.07</v>
      </c>
      <c r="F638" t="n">
        <v>56900504.6</v>
      </c>
      <c r="G638" t="n">
        <v>5239.5185</v>
      </c>
      <c r="H638" t="n">
        <v>1528.0335</v>
      </c>
      <c r="I638" t="n">
        <v>451.5795</v>
      </c>
      <c r="J638" t="n">
        <v>3296.084</v>
      </c>
      <c r="K638" t="inlineStr"/>
      <c r="L638" t="inlineStr"/>
      <c r="M638" t="inlineStr"/>
      <c r="N638" t="inlineStr"/>
      <c r="O638" t="n">
        <v>2019</v>
      </c>
      <c r="P638" t="n">
        <v>2030</v>
      </c>
      <c r="Q638" t="n">
        <v>0.3852</v>
      </c>
      <c r="R638" t="n">
        <v>158.2904</v>
      </c>
      <c r="S638" t="n">
        <v>0.00100695</v>
      </c>
      <c r="T638" t="n">
        <v>0.00065008</v>
      </c>
      <c r="U638" t="n">
        <v>5239.5185</v>
      </c>
      <c r="V638" t="inlineStr">
        <is>
          <t>Provided Total Emissions</t>
        </is>
      </c>
      <c r="W638" t="b">
        <v>1</v>
      </c>
      <c r="X638" t="n">
        <v>8088.5153</v>
      </c>
      <c r="Y638" t="n">
        <v>36989.88</v>
      </c>
      <c r="Z638" t="n">
        <v>2848.9968</v>
      </c>
      <c r="AA638" t="n">
        <v>31750.3615</v>
      </c>
      <c r="AB638" t="n">
        <v>0.543752</v>
      </c>
      <c r="AC638" t="n">
        <v>6.059786</v>
      </c>
      <c r="AD638" t="inlineStr">
        <is>
          <t>High</t>
        </is>
      </c>
      <c r="AE638" t="inlineStr">
        <is>
          <t>None</t>
        </is>
      </c>
      <c r="AF638" t="n">
        <v>0.95</v>
      </c>
      <c r="AG638" t="inlineStr">
        <is>
          <t>Valid</t>
        </is>
      </c>
    </row>
    <row r="639">
      <c r="A639" t="inlineStr">
        <is>
          <t>SUP-0064</t>
        </is>
      </c>
      <c r="B639" t="inlineStr">
        <is>
          <t>Metals Supplier 064</t>
        </is>
      </c>
      <c r="C639" t="inlineStr">
        <is>
          <t>Metals</t>
        </is>
      </c>
      <c r="D639" t="n">
        <v>2022</v>
      </c>
      <c r="E639" t="n">
        <v>9835091.09</v>
      </c>
      <c r="F639" t="n">
        <v>55252649.19</v>
      </c>
      <c r="G639" t="n">
        <v>6043.4531</v>
      </c>
      <c r="H639" t="n">
        <v>588.5239</v>
      </c>
      <c r="I639" t="n">
        <v>655.3885</v>
      </c>
      <c r="J639" t="n">
        <v>4538.8002</v>
      </c>
      <c r="K639" t="inlineStr"/>
      <c r="L639" t="inlineStr"/>
      <c r="M639" t="inlineStr"/>
      <c r="N639" t="inlineStr"/>
      <c r="O639" t="n">
        <v>2019</v>
      </c>
      <c r="P639" t="n">
        <v>2030</v>
      </c>
      <c r="Q639" t="n">
        <v>0.3852</v>
      </c>
      <c r="R639" t="n">
        <v>158.2904</v>
      </c>
      <c r="S639" t="n">
        <v>0.00100695</v>
      </c>
      <c r="T639" t="n">
        <v>0.00065008</v>
      </c>
      <c r="U639" t="n">
        <v>6043.4531</v>
      </c>
      <c r="V639" t="inlineStr">
        <is>
          <t>Provided Total Emissions</t>
        </is>
      </c>
      <c r="W639" t="b">
        <v>1</v>
      </c>
      <c r="X639" t="n">
        <v>9903.445</v>
      </c>
      <c r="Y639" t="n">
        <v>35918.6422</v>
      </c>
      <c r="Z639" t="n">
        <v>3859.9919</v>
      </c>
      <c r="AA639" t="n">
        <v>29875.1891</v>
      </c>
      <c r="AB639" t="n">
        <v>0.638706</v>
      </c>
      <c r="AC639" t="n">
        <v>4.943397</v>
      </c>
      <c r="AD639" t="inlineStr">
        <is>
          <t>High</t>
        </is>
      </c>
      <c r="AE639" t="inlineStr">
        <is>
          <t>None</t>
        </is>
      </c>
      <c r="AF639" t="n">
        <v>0.95</v>
      </c>
      <c r="AG639" t="inlineStr">
        <is>
          <t>Valid</t>
        </is>
      </c>
    </row>
    <row r="640">
      <c r="A640" t="inlineStr">
        <is>
          <t>SUP-0064</t>
        </is>
      </c>
      <c r="B640" t="inlineStr">
        <is>
          <t>Metals Supplier 064</t>
        </is>
      </c>
      <c r="C640" t="inlineStr">
        <is>
          <t>Metals</t>
        </is>
      </c>
      <c r="D640" t="n">
        <v>2023</v>
      </c>
      <c r="E640" t="n">
        <v>9612060.720000001</v>
      </c>
      <c r="F640" t="n">
        <v>77141102.89</v>
      </c>
      <c r="G640" t="n">
        <v>6061.9488</v>
      </c>
      <c r="H640" t="n">
        <v>1217.7853</v>
      </c>
      <c r="I640" t="n">
        <v>721.7499</v>
      </c>
      <c r="J640" t="n">
        <v>4224.3568</v>
      </c>
      <c r="K640" t="inlineStr"/>
      <c r="L640" t="inlineStr"/>
      <c r="M640" t="inlineStr"/>
      <c r="N640" t="inlineStr"/>
      <c r="O640" t="n">
        <v>2019</v>
      </c>
      <c r="P640" t="n">
        <v>2030</v>
      </c>
      <c r="Q640" t="n">
        <v>0.3852</v>
      </c>
      <c r="R640" t="n">
        <v>158.2904</v>
      </c>
      <c r="S640" t="n">
        <v>0.00100695</v>
      </c>
      <c r="T640" t="n">
        <v>0.00065008</v>
      </c>
      <c r="U640" t="n">
        <v>6061.9488</v>
      </c>
      <c r="V640" t="inlineStr">
        <is>
          <t>Provided Total Emissions</t>
        </is>
      </c>
      <c r="W640" t="b">
        <v>1</v>
      </c>
      <c r="X640" t="n">
        <v>9678.8645</v>
      </c>
      <c r="Y640" t="n">
        <v>50147.8882</v>
      </c>
      <c r="Z640" t="n">
        <v>3616.9157</v>
      </c>
      <c r="AA640" t="n">
        <v>44085.9394</v>
      </c>
      <c r="AB640" t="n">
        <v>0.5966590000000001</v>
      </c>
      <c r="AC640" t="n">
        <v>7.272569</v>
      </c>
      <c r="AD640" t="inlineStr">
        <is>
          <t>High</t>
        </is>
      </c>
      <c r="AE640" t="inlineStr">
        <is>
          <t>None</t>
        </is>
      </c>
      <c r="AF640" t="n">
        <v>0.95</v>
      </c>
      <c r="AG640" t="inlineStr">
        <is>
          <t>Valid</t>
        </is>
      </c>
    </row>
    <row r="641">
      <c r="A641" t="inlineStr">
        <is>
          <t>SUP-0064</t>
        </is>
      </c>
      <c r="B641" t="inlineStr">
        <is>
          <t>Metals Supplier 064</t>
        </is>
      </c>
      <c r="C641" t="inlineStr">
        <is>
          <t>Metals</t>
        </is>
      </c>
      <c r="D641" t="n">
        <v>2024</v>
      </c>
      <c r="E641" t="n">
        <v>10514177.67</v>
      </c>
      <c r="F641" t="n">
        <v>58694224.57</v>
      </c>
      <c r="G641" t="n">
        <v>6615.3276</v>
      </c>
      <c r="H641" t="n">
        <v>1523.4357</v>
      </c>
      <c r="I641" t="n">
        <v>1186.8678</v>
      </c>
      <c r="J641" t="n">
        <v>3615.0829</v>
      </c>
      <c r="K641" t="inlineStr"/>
      <c r="L641" t="inlineStr"/>
      <c r="M641" t="inlineStr"/>
      <c r="N641" t="inlineStr"/>
      <c r="O641" t="n">
        <v>2019</v>
      </c>
      <c r="P641" t="n">
        <v>2030</v>
      </c>
      <c r="Q641" t="n">
        <v>0.3852</v>
      </c>
      <c r="R641" t="n">
        <v>158.2904</v>
      </c>
      <c r="S641" t="n">
        <v>0.00100695</v>
      </c>
      <c r="T641" t="n">
        <v>0.00065008</v>
      </c>
      <c r="U641" t="n">
        <v>6615.3276</v>
      </c>
      <c r="V641" t="inlineStr">
        <is>
          <t>Provided Total Emissions</t>
        </is>
      </c>
      <c r="W641" t="b">
        <v>1</v>
      </c>
      <c r="X641" t="n">
        <v>10587.2512</v>
      </c>
      <c r="Y641" t="n">
        <v>38155.9415</v>
      </c>
      <c r="Z641" t="n">
        <v>3971.9236</v>
      </c>
      <c r="AA641" t="n">
        <v>31540.6139</v>
      </c>
      <c r="AB641" t="n">
        <v>0.6004119999999999</v>
      </c>
      <c r="AC641" t="n">
        <v>4.767808</v>
      </c>
      <c r="AD641" t="inlineStr">
        <is>
          <t>High</t>
        </is>
      </c>
      <c r="AE641" t="inlineStr">
        <is>
          <t>None</t>
        </is>
      </c>
      <c r="AF641" t="n">
        <v>0.95</v>
      </c>
      <c r="AG641" t="inlineStr">
        <is>
          <t>Valid</t>
        </is>
      </c>
    </row>
    <row r="642">
      <c r="A642" t="inlineStr">
        <is>
          <t>SUP-0065</t>
        </is>
      </c>
      <c r="B642" t="inlineStr">
        <is>
          <t>Agriculture Supplier 065</t>
        </is>
      </c>
      <c r="C642" t="inlineStr">
        <is>
          <t>Agriculture</t>
        </is>
      </c>
      <c r="D642" t="n">
        <v>2015</v>
      </c>
      <c r="E642" t="n">
        <v>1069624.03</v>
      </c>
      <c r="F642" t="n">
        <v>9385139.83</v>
      </c>
      <c r="G642" t="n">
        <v>1236.4857</v>
      </c>
      <c r="H642" t="n">
        <v>302.9365</v>
      </c>
      <c r="I642" t="n">
        <v>148.3727</v>
      </c>
      <c r="J642" t="n">
        <v>829.8486</v>
      </c>
      <c r="K642" t="n">
        <v>2018</v>
      </c>
      <c r="L642" t="n">
        <v>2035</v>
      </c>
      <c r="M642" t="n">
        <v>0.42</v>
      </c>
      <c r="N642" t="n">
        <v>0.2167</v>
      </c>
      <c r="O642" t="n">
        <v>2018</v>
      </c>
      <c r="P642" t="inlineStr"/>
      <c r="Q642" t="inlineStr"/>
      <c r="R642" t="n">
        <v>529.8294</v>
      </c>
      <c r="S642" t="n">
        <v>0.00091413</v>
      </c>
      <c r="T642" t="n">
        <v>0.00096913</v>
      </c>
      <c r="U642" t="n">
        <v>1236.4857</v>
      </c>
      <c r="V642" t="inlineStr">
        <is>
          <t>Provided Total Emissions</t>
        </is>
      </c>
      <c r="W642" t="b">
        <v>1</v>
      </c>
      <c r="X642" t="n">
        <v>977.7754</v>
      </c>
      <c r="Y642" t="n">
        <v>9095.420599999999</v>
      </c>
      <c r="Z642" t="n">
        <v>-258.7103</v>
      </c>
      <c r="AA642" t="n">
        <v>7858.9349</v>
      </c>
      <c r="AB642" t="n">
        <v>-0.20923</v>
      </c>
      <c r="AC642" t="n">
        <v>6.355864</v>
      </c>
      <c r="AD642" t="inlineStr">
        <is>
          <t>High</t>
        </is>
      </c>
      <c r="AE642" t="inlineStr">
        <is>
          <t>None</t>
        </is>
      </c>
      <c r="AF642" t="n">
        <v>0.95</v>
      </c>
      <c r="AG642" t="inlineStr">
        <is>
          <t>Valid</t>
        </is>
      </c>
    </row>
    <row r="643">
      <c r="A643" t="inlineStr">
        <is>
          <t>SUP-0065</t>
        </is>
      </c>
      <c r="B643" t="inlineStr">
        <is>
          <t>Agriculture Supplier 065</t>
        </is>
      </c>
      <c r="C643" t="inlineStr">
        <is>
          <t>Agriculture</t>
        </is>
      </c>
      <c r="D643" t="n">
        <v>2016</v>
      </c>
      <c r="E643" t="n">
        <v>1052693.74</v>
      </c>
      <c r="F643" t="n">
        <v>7777075.71</v>
      </c>
      <c r="G643" t="n">
        <v>1355.2688</v>
      </c>
      <c r="H643" t="n">
        <v>360.2747</v>
      </c>
      <c r="I643" t="n">
        <v>197.9424</v>
      </c>
      <c r="J643" t="n">
        <v>788.301</v>
      </c>
      <c r="K643" t="n">
        <v>2018</v>
      </c>
      <c r="L643" t="n">
        <v>2035</v>
      </c>
      <c r="M643" t="n">
        <v>0.42</v>
      </c>
      <c r="N643" t="n">
        <v>0.2167</v>
      </c>
      <c r="O643" t="n">
        <v>2018</v>
      </c>
      <c r="P643" t="inlineStr"/>
      <c r="Q643" t="inlineStr"/>
      <c r="R643" t="n">
        <v>529.8294</v>
      </c>
      <c r="S643" t="n">
        <v>0.00091413</v>
      </c>
      <c r="T643" t="n">
        <v>0.00096913</v>
      </c>
      <c r="U643" t="n">
        <v>1355.2688</v>
      </c>
      <c r="V643" t="inlineStr">
        <is>
          <t>Provided Total Emissions</t>
        </is>
      </c>
      <c r="W643" t="b">
        <v>1</v>
      </c>
      <c r="X643" t="n">
        <v>962.2989</v>
      </c>
      <c r="Y643" t="n">
        <v>7536.9974</v>
      </c>
      <c r="Z643" t="n">
        <v>-392.9699</v>
      </c>
      <c r="AA643" t="n">
        <v>6181.7286</v>
      </c>
      <c r="AB643" t="n">
        <v>-0.289957</v>
      </c>
      <c r="AC643" t="n">
        <v>4.561256</v>
      </c>
      <c r="AD643" t="inlineStr">
        <is>
          <t>High</t>
        </is>
      </c>
      <c r="AE643" t="inlineStr">
        <is>
          <t>None</t>
        </is>
      </c>
      <c r="AF643" t="n">
        <v>0.95</v>
      </c>
      <c r="AG643" t="inlineStr">
        <is>
          <t>Valid</t>
        </is>
      </c>
    </row>
    <row r="644">
      <c r="A644" t="inlineStr">
        <is>
          <t>SUP-0065</t>
        </is>
      </c>
      <c r="B644" t="inlineStr">
        <is>
          <t>Agriculture Supplier 065</t>
        </is>
      </c>
      <c r="C644" t="inlineStr">
        <is>
          <t>Agriculture</t>
        </is>
      </c>
      <c r="D644" t="n">
        <v>2017</v>
      </c>
      <c r="E644" t="n">
        <v>1003749.24</v>
      </c>
      <c r="F644" t="n">
        <v>7975348.43</v>
      </c>
      <c r="G644" t="n">
        <v>1071.4088</v>
      </c>
      <c r="H644" t="n">
        <v>275.4641</v>
      </c>
      <c r="I644" t="n">
        <v>181.4859</v>
      </c>
      <c r="J644" t="n">
        <v>527.3003</v>
      </c>
      <c r="K644" t="n">
        <v>2018</v>
      </c>
      <c r="L644" t="n">
        <v>2035</v>
      </c>
      <c r="M644" t="n">
        <v>0.42</v>
      </c>
      <c r="N644" t="n">
        <v>0.2167</v>
      </c>
      <c r="O644" t="n">
        <v>2018</v>
      </c>
      <c r="P644" t="inlineStr"/>
      <c r="Q644" t="inlineStr"/>
      <c r="R644" t="n">
        <v>529.8294</v>
      </c>
      <c r="S644" t="n">
        <v>0.00091413</v>
      </c>
      <c r="T644" t="n">
        <v>0.00096913</v>
      </c>
      <c r="U644" t="n">
        <v>1071.4088</v>
      </c>
      <c r="V644" t="inlineStr">
        <is>
          <t>Provided Total Emissions</t>
        </is>
      </c>
      <c r="W644" t="b">
        <v>1</v>
      </c>
      <c r="X644" t="n">
        <v>917.5573000000001</v>
      </c>
      <c r="Y644" t="n">
        <v>7729.1494</v>
      </c>
      <c r="Z644" t="n">
        <v>-153.8515</v>
      </c>
      <c r="AA644" t="n">
        <v>6657.7406</v>
      </c>
      <c r="AB644" t="n">
        <v>-0.143597</v>
      </c>
      <c r="AC644" t="n">
        <v>6.214006</v>
      </c>
      <c r="AD644" t="inlineStr">
        <is>
          <t>High</t>
        </is>
      </c>
      <c r="AE644" t="inlineStr">
        <is>
          <t>None</t>
        </is>
      </c>
      <c r="AF644" t="n">
        <v>0.95</v>
      </c>
      <c r="AG644" t="inlineStr">
        <is>
          <t>Valid</t>
        </is>
      </c>
    </row>
    <row r="645">
      <c r="A645" t="inlineStr">
        <is>
          <t>SUP-0065</t>
        </is>
      </c>
      <c r="B645" t="inlineStr">
        <is>
          <t>Agriculture Supplier 065</t>
        </is>
      </c>
      <c r="C645" t="inlineStr">
        <is>
          <t>Agriculture</t>
        </is>
      </c>
      <c r="D645" t="n">
        <v>2018</v>
      </c>
      <c r="E645" t="n">
        <v>1023773.43</v>
      </c>
      <c r="F645" t="n">
        <v>7190441.47</v>
      </c>
      <c r="G645" t="n">
        <v>1245.2041</v>
      </c>
      <c r="H645" t="n">
        <v>287.0364</v>
      </c>
      <c r="I645" t="n">
        <v>116.5372</v>
      </c>
      <c r="J645" t="n">
        <v>822.748</v>
      </c>
      <c r="K645" t="n">
        <v>2018</v>
      </c>
      <c r="L645" t="n">
        <v>2035</v>
      </c>
      <c r="M645" t="n">
        <v>0.42</v>
      </c>
      <c r="N645" t="n">
        <v>0.2167</v>
      </c>
      <c r="O645" t="n">
        <v>2018</v>
      </c>
      <c r="P645" t="inlineStr"/>
      <c r="Q645" t="inlineStr"/>
      <c r="R645" t="n">
        <v>529.8294</v>
      </c>
      <c r="S645" t="n">
        <v>0.00091413</v>
      </c>
      <c r="T645" t="n">
        <v>0.00096913</v>
      </c>
      <c r="U645" t="n">
        <v>1245.2041</v>
      </c>
      <c r="V645" t="inlineStr">
        <is>
          <t>Provided Total Emissions</t>
        </is>
      </c>
      <c r="W645" t="b">
        <v>1</v>
      </c>
      <c r="X645" t="n">
        <v>935.862</v>
      </c>
      <c r="Y645" t="n">
        <v>6968.4725</v>
      </c>
      <c r="Z645" t="n">
        <v>-309.3421</v>
      </c>
      <c r="AA645" t="n">
        <v>5723.2684</v>
      </c>
      <c r="AB645" t="n">
        <v>-0.248427</v>
      </c>
      <c r="AC645" t="n">
        <v>4.596249</v>
      </c>
      <c r="AD645" t="inlineStr">
        <is>
          <t>High</t>
        </is>
      </c>
      <c r="AE645" t="inlineStr">
        <is>
          <t>None</t>
        </is>
      </c>
      <c r="AF645" t="n">
        <v>0.95</v>
      </c>
      <c r="AG645" t="inlineStr">
        <is>
          <t>Valid</t>
        </is>
      </c>
    </row>
    <row r="646">
      <c r="A646" t="inlineStr">
        <is>
          <t>SUP-0065</t>
        </is>
      </c>
      <c r="B646" t="inlineStr">
        <is>
          <t>Agriculture Supplier 065</t>
        </is>
      </c>
      <c r="C646" t="inlineStr">
        <is>
          <t>Agriculture</t>
        </is>
      </c>
      <c r="D646" t="n">
        <v>2019</v>
      </c>
      <c r="E646" t="n">
        <v>1044713.32</v>
      </c>
      <c r="F646" t="n">
        <v>9270850.84</v>
      </c>
      <c r="G646" t="n">
        <v>1703.86</v>
      </c>
      <c r="H646" t="n">
        <v>283.7596</v>
      </c>
      <c r="I646" t="n">
        <v>111.3776</v>
      </c>
      <c r="J646" t="n">
        <v>1150.9791</v>
      </c>
      <c r="K646" t="n">
        <v>2018</v>
      </c>
      <c r="L646" t="n">
        <v>2035</v>
      </c>
      <c r="M646" t="n">
        <v>0.42</v>
      </c>
      <c r="N646" t="n">
        <v>0.2167</v>
      </c>
      <c r="O646" t="n">
        <v>2018</v>
      </c>
      <c r="P646" t="inlineStr"/>
      <c r="Q646" t="inlineStr"/>
      <c r="R646" t="n">
        <v>529.8294</v>
      </c>
      <c r="S646" t="n">
        <v>0.00091413</v>
      </c>
      <c r="T646" t="n">
        <v>0.00096913</v>
      </c>
      <c r="U646" t="n">
        <v>1703.86</v>
      </c>
      <c r="V646" t="inlineStr">
        <is>
          <t>Provided Total Emissions</t>
        </is>
      </c>
      <c r="W646" t="b">
        <v>1</v>
      </c>
      <c r="X646" t="n">
        <v>955.0038</v>
      </c>
      <c r="Y646" t="n">
        <v>8984.6597</v>
      </c>
      <c r="Z646" t="n">
        <v>-748.8561999999999</v>
      </c>
      <c r="AA646" t="n">
        <v>7280.7997</v>
      </c>
      <c r="AB646" t="n">
        <v>-0.439506</v>
      </c>
      <c r="AC646" t="n">
        <v>4.273121</v>
      </c>
      <c r="AD646" t="inlineStr">
        <is>
          <t>High</t>
        </is>
      </c>
      <c r="AE646" t="inlineStr">
        <is>
          <t>None</t>
        </is>
      </c>
      <c r="AF646" t="n">
        <v>0.95</v>
      </c>
      <c r="AG646" t="inlineStr">
        <is>
          <t>Valid</t>
        </is>
      </c>
    </row>
    <row r="647">
      <c r="A647" t="inlineStr">
        <is>
          <t>SUP-0065</t>
        </is>
      </c>
      <c r="B647" t="inlineStr">
        <is>
          <t>Agriculture Supplier 065</t>
        </is>
      </c>
      <c r="C647" t="inlineStr">
        <is>
          <t>Agriculture</t>
        </is>
      </c>
      <c r="D647" t="n">
        <v>2020</v>
      </c>
      <c r="E647" t="n">
        <v>1100698.13</v>
      </c>
      <c r="F647" t="n">
        <v>6833624.38</v>
      </c>
      <c r="G647" t="n">
        <v>1660.585</v>
      </c>
      <c r="H647" t="n">
        <v>239.6574</v>
      </c>
      <c r="I647" t="n">
        <v>209.9199</v>
      </c>
      <c r="J647" t="n">
        <v>1114.8852</v>
      </c>
      <c r="K647" t="n">
        <v>2018</v>
      </c>
      <c r="L647" t="n">
        <v>2035</v>
      </c>
      <c r="M647" t="n">
        <v>0.42</v>
      </c>
      <c r="N647" t="n">
        <v>0.2167</v>
      </c>
      <c r="O647" t="n">
        <v>2018</v>
      </c>
      <c r="P647" t="inlineStr"/>
      <c r="Q647" t="inlineStr"/>
      <c r="R647" t="n">
        <v>529.8294</v>
      </c>
      <c r="S647" t="n">
        <v>0.00091413</v>
      </c>
      <c r="T647" t="n">
        <v>0.00096913</v>
      </c>
      <c r="U647" t="n">
        <v>1660.585</v>
      </c>
      <c r="V647" t="inlineStr">
        <is>
          <t>Provided Total Emissions</t>
        </is>
      </c>
      <c r="W647" t="b">
        <v>1</v>
      </c>
      <c r="X647" t="n">
        <v>1006.1812</v>
      </c>
      <c r="Y647" t="n">
        <v>6622.6704</v>
      </c>
      <c r="Z647" t="n">
        <v>-654.4038</v>
      </c>
      <c r="AA647" t="n">
        <v>4962.0854</v>
      </c>
      <c r="AB647" t="n">
        <v>-0.39408</v>
      </c>
      <c r="AC647" t="n">
        <v>2.988155</v>
      </c>
      <c r="AD647" t="inlineStr">
        <is>
          <t>High</t>
        </is>
      </c>
      <c r="AE647" t="inlineStr">
        <is>
          <t>None</t>
        </is>
      </c>
      <c r="AF647" t="n">
        <v>0.95</v>
      </c>
      <c r="AG647" t="inlineStr">
        <is>
          <t>Valid</t>
        </is>
      </c>
    </row>
    <row r="648">
      <c r="A648" t="inlineStr">
        <is>
          <t>SUP-0065</t>
        </is>
      </c>
      <c r="B648" t="inlineStr">
        <is>
          <t>Agriculture Supplier 065</t>
        </is>
      </c>
      <c r="C648" t="inlineStr">
        <is>
          <t>Agriculture</t>
        </is>
      </c>
      <c r="D648" t="n">
        <v>2021</v>
      </c>
      <c r="E648" t="n">
        <v>926397.05</v>
      </c>
      <c r="F648" t="n">
        <v>7234718.71</v>
      </c>
      <c r="G648" t="n">
        <v>904.4109</v>
      </c>
      <c r="H648" t="n">
        <v>89.8974</v>
      </c>
      <c r="I648" t="n">
        <v>113.4256</v>
      </c>
      <c r="J648" t="n">
        <v>737.5155999999999</v>
      </c>
      <c r="K648" t="n">
        <v>2018</v>
      </c>
      <c r="L648" t="n">
        <v>2035</v>
      </c>
      <c r="M648" t="n">
        <v>0.42</v>
      </c>
      <c r="N648" t="n">
        <v>0.2167</v>
      </c>
      <c r="O648" t="n">
        <v>2018</v>
      </c>
      <c r="P648" t="inlineStr"/>
      <c r="Q648" t="inlineStr"/>
      <c r="R648" t="n">
        <v>529.8294</v>
      </c>
      <c r="S648" t="n">
        <v>0.00091413</v>
      </c>
      <c r="T648" t="n">
        <v>0.00096913</v>
      </c>
      <c r="U648" t="n">
        <v>904.4109</v>
      </c>
      <c r="V648" t="inlineStr">
        <is>
          <t>Provided Total Emissions</t>
        </is>
      </c>
      <c r="W648" t="b">
        <v>1</v>
      </c>
      <c r="X648" t="n">
        <v>846.8473</v>
      </c>
      <c r="Y648" t="n">
        <v>7011.3829</v>
      </c>
      <c r="Z648" t="n">
        <v>-57.5636</v>
      </c>
      <c r="AA648" t="n">
        <v>6106.972</v>
      </c>
      <c r="AB648" t="n">
        <v>-0.063648</v>
      </c>
      <c r="AC648" t="n">
        <v>6.752431</v>
      </c>
      <c r="AD648" t="inlineStr">
        <is>
          <t>High</t>
        </is>
      </c>
      <c r="AE648" t="inlineStr">
        <is>
          <t>None</t>
        </is>
      </c>
      <c r="AF648" t="n">
        <v>0.95</v>
      </c>
      <c r="AG648" t="inlineStr">
        <is>
          <t>Valid</t>
        </is>
      </c>
    </row>
    <row r="649">
      <c r="A649" t="inlineStr">
        <is>
          <t>SUP-0065</t>
        </is>
      </c>
      <c r="B649" t="inlineStr">
        <is>
          <t>Agriculture Supplier 065</t>
        </is>
      </c>
      <c r="C649" t="inlineStr">
        <is>
          <t>Agriculture</t>
        </is>
      </c>
      <c r="D649" t="n">
        <v>2022</v>
      </c>
      <c r="E649" t="n">
        <v>899333.22</v>
      </c>
      <c r="F649" t="n">
        <v>5268317.75</v>
      </c>
      <c r="G649" t="n">
        <v>973.8551</v>
      </c>
      <c r="H649" t="n">
        <v>148.8857</v>
      </c>
      <c r="I649" t="n">
        <v>165.3642</v>
      </c>
      <c r="J649" t="n">
        <v>661.3364</v>
      </c>
      <c r="K649" t="n">
        <v>2018</v>
      </c>
      <c r="L649" t="n">
        <v>2035</v>
      </c>
      <c r="M649" t="n">
        <v>0.42</v>
      </c>
      <c r="N649" t="n">
        <v>0.2167</v>
      </c>
      <c r="O649" t="n">
        <v>2018</v>
      </c>
      <c r="P649" t="inlineStr"/>
      <c r="Q649" t="inlineStr"/>
      <c r="R649" t="n">
        <v>529.8294</v>
      </c>
      <c r="S649" t="n">
        <v>0.00091413</v>
      </c>
      <c r="T649" t="n">
        <v>0.00096913</v>
      </c>
      <c r="U649" t="n">
        <v>973.8551</v>
      </c>
      <c r="V649" t="inlineStr">
        <is>
          <t>Provided Total Emissions</t>
        </is>
      </c>
      <c r="W649" t="b">
        <v>1</v>
      </c>
      <c r="X649" t="n">
        <v>822.1075</v>
      </c>
      <c r="Y649" t="n">
        <v>5105.6848</v>
      </c>
      <c r="Z649" t="n">
        <v>-151.7476</v>
      </c>
      <c r="AA649" t="n">
        <v>4131.8297</v>
      </c>
      <c r="AB649" t="n">
        <v>-0.155822</v>
      </c>
      <c r="AC649" t="n">
        <v>4.242756</v>
      </c>
      <c r="AD649" t="inlineStr">
        <is>
          <t>High</t>
        </is>
      </c>
      <c r="AE649" t="inlineStr">
        <is>
          <t>None</t>
        </is>
      </c>
      <c r="AF649" t="n">
        <v>0.95</v>
      </c>
      <c r="AG649" t="inlineStr">
        <is>
          <t>Valid</t>
        </is>
      </c>
    </row>
    <row r="650">
      <c r="A650" t="inlineStr">
        <is>
          <t>SUP-0065</t>
        </is>
      </c>
      <c r="B650" t="inlineStr">
        <is>
          <t>Agriculture Supplier 065</t>
        </is>
      </c>
      <c r="C650" t="inlineStr">
        <is>
          <t>Agriculture</t>
        </is>
      </c>
      <c r="D650" t="n">
        <v>2023</v>
      </c>
      <c r="E650" t="n">
        <v>954625.1899999999</v>
      </c>
      <c r="F650" t="n">
        <v>6197265.87</v>
      </c>
      <c r="G650" t="n">
        <v>1235.71</v>
      </c>
      <c r="H650" t="n">
        <v>268.9538</v>
      </c>
      <c r="I650" t="n">
        <v>132.5008</v>
      </c>
      <c r="J650" t="n">
        <v>834.8451</v>
      </c>
      <c r="K650" t="n">
        <v>2018</v>
      </c>
      <c r="L650" t="n">
        <v>2035</v>
      </c>
      <c r="M650" t="n">
        <v>0.42</v>
      </c>
      <c r="N650" t="n">
        <v>0.2167</v>
      </c>
      <c r="O650" t="n">
        <v>2018</v>
      </c>
      <c r="P650" t="inlineStr"/>
      <c r="Q650" t="inlineStr"/>
      <c r="R650" t="n">
        <v>529.8294</v>
      </c>
      <c r="S650" t="n">
        <v>0.00091413</v>
      </c>
      <c r="T650" t="n">
        <v>0.00096913</v>
      </c>
      <c r="U650" t="n">
        <v>1235.71</v>
      </c>
      <c r="V650" t="inlineStr">
        <is>
          <t>Provided Total Emissions</t>
        </is>
      </c>
      <c r="W650" t="b">
        <v>1</v>
      </c>
      <c r="X650" t="n">
        <v>872.6515000000001</v>
      </c>
      <c r="Y650" t="n">
        <v>6005.9563</v>
      </c>
      <c r="Z650" t="n">
        <v>-363.0585</v>
      </c>
      <c r="AA650" t="n">
        <v>4770.2463</v>
      </c>
      <c r="AB650" t="n">
        <v>-0.293806</v>
      </c>
      <c r="AC650" t="n">
        <v>3.860328</v>
      </c>
      <c r="AD650" t="inlineStr">
        <is>
          <t>High</t>
        </is>
      </c>
      <c r="AE650" t="inlineStr">
        <is>
          <t>None</t>
        </is>
      </c>
      <c r="AF650" t="n">
        <v>0.95</v>
      </c>
      <c r="AG650" t="inlineStr">
        <is>
          <t>Valid</t>
        </is>
      </c>
    </row>
    <row r="651">
      <c r="A651" t="inlineStr">
        <is>
          <t>SUP-0065</t>
        </is>
      </c>
      <c r="B651" t="inlineStr">
        <is>
          <t>Agriculture Supplier 065</t>
        </is>
      </c>
      <c r="C651" t="inlineStr">
        <is>
          <t>Agriculture</t>
        </is>
      </c>
      <c r="D651" t="n">
        <v>2024</v>
      </c>
      <c r="E651" t="n">
        <v>783969.24</v>
      </c>
      <c r="F651" t="n">
        <v>5047969.27</v>
      </c>
      <c r="G651" t="n">
        <v>864.2283</v>
      </c>
      <c r="H651" t="n">
        <v>118.7355</v>
      </c>
      <c r="I651" t="n">
        <v>70.1896</v>
      </c>
      <c r="J651" t="n">
        <v>696.6199</v>
      </c>
      <c r="K651" t="n">
        <v>2018</v>
      </c>
      <c r="L651" t="n">
        <v>2035</v>
      </c>
      <c r="M651" t="n">
        <v>0.42</v>
      </c>
      <c r="N651" t="n">
        <v>0.2167</v>
      </c>
      <c r="O651" t="n">
        <v>2018</v>
      </c>
      <c r="P651" t="inlineStr"/>
      <c r="Q651" t="inlineStr"/>
      <c r="R651" t="n">
        <v>529.8294</v>
      </c>
      <c r="S651" t="n">
        <v>0.00091413</v>
      </c>
      <c r="T651" t="n">
        <v>0.00096913</v>
      </c>
      <c r="U651" t="n">
        <v>864.2283</v>
      </c>
      <c r="V651" t="inlineStr">
        <is>
          <t>Provided Total Emissions</t>
        </is>
      </c>
      <c r="W651" t="b">
        <v>1</v>
      </c>
      <c r="X651" t="n">
        <v>716.6498</v>
      </c>
      <c r="Y651" t="n">
        <v>4892.1385</v>
      </c>
      <c r="Z651" t="n">
        <v>-147.5785</v>
      </c>
      <c r="AA651" t="n">
        <v>4027.9102</v>
      </c>
      <c r="AB651" t="n">
        <v>-0.170763</v>
      </c>
      <c r="AC651" t="n">
        <v>4.660702</v>
      </c>
      <c r="AD651" t="inlineStr">
        <is>
          <t>High</t>
        </is>
      </c>
      <c r="AE651" t="inlineStr">
        <is>
          <t>None</t>
        </is>
      </c>
      <c r="AF651" t="n">
        <v>0.95</v>
      </c>
      <c r="AG651" t="inlineStr">
        <is>
          <t>Valid</t>
        </is>
      </c>
    </row>
    <row r="652">
      <c r="A652" t="inlineStr">
        <is>
          <t>SUP-0066</t>
        </is>
      </c>
      <c r="B652" t="inlineStr">
        <is>
          <t>Electronics Supplier 066</t>
        </is>
      </c>
      <c r="C652" t="inlineStr">
        <is>
          <t>Electronics</t>
        </is>
      </c>
      <c r="D652" t="n">
        <v>2015</v>
      </c>
      <c r="E652" t="n">
        <v>14118278.87</v>
      </c>
      <c r="F652" t="n">
        <v>116009195.44</v>
      </c>
      <c r="G652" t="n">
        <v>15159.4347</v>
      </c>
      <c r="H652" t="n">
        <v>3905.5548</v>
      </c>
      <c r="I652" t="n">
        <v>917.2373</v>
      </c>
      <c r="J652" t="n">
        <v>10007.4828</v>
      </c>
      <c r="K652" t="n">
        <v>2020</v>
      </c>
      <c r="L652" t="n">
        <v>2030</v>
      </c>
      <c r="M652" t="n">
        <v>0.339</v>
      </c>
      <c r="N652" t="n">
        <v>0.1901</v>
      </c>
      <c r="O652" t="n">
        <v>2018</v>
      </c>
      <c r="P652" t="n">
        <v>2040</v>
      </c>
      <c r="Q652" t="n">
        <v>0.3424</v>
      </c>
      <c r="R652" t="n">
        <v>635.1588</v>
      </c>
      <c r="S652" t="n">
        <v>0.00086105</v>
      </c>
      <c r="T652" t="n">
        <v>0.00013947</v>
      </c>
      <c r="U652" t="n">
        <v>15159.4347</v>
      </c>
      <c r="V652" t="inlineStr">
        <is>
          <t>Provided Total Emissions</t>
        </is>
      </c>
      <c r="W652" t="b">
        <v>1</v>
      </c>
      <c r="X652" t="n">
        <v>12156.544</v>
      </c>
      <c r="Y652" t="n">
        <v>16179.8025</v>
      </c>
      <c r="Z652" t="n">
        <v>-3002.8907</v>
      </c>
      <c r="AA652" t="n">
        <v>1020.3678</v>
      </c>
      <c r="AB652" t="n">
        <v>-0.198087</v>
      </c>
      <c r="AC652" t="n">
        <v>0.06730899999999999</v>
      </c>
      <c r="AD652" t="inlineStr">
        <is>
          <t>High</t>
        </is>
      </c>
      <c r="AE652" t="inlineStr">
        <is>
          <t>None</t>
        </is>
      </c>
      <c r="AF652" t="n">
        <v>0.95</v>
      </c>
      <c r="AG652" t="inlineStr">
        <is>
          <t>Valid</t>
        </is>
      </c>
    </row>
    <row r="653">
      <c r="A653" t="inlineStr">
        <is>
          <t>SUP-0066</t>
        </is>
      </c>
      <c r="B653" t="inlineStr">
        <is>
          <t>Electronics Supplier 066</t>
        </is>
      </c>
      <c r="C653" t="inlineStr">
        <is>
          <t>Electronics</t>
        </is>
      </c>
      <c r="D653" t="n">
        <v>2016</v>
      </c>
      <c r="E653" t="n">
        <v>15646654.23</v>
      </c>
      <c r="F653" t="n">
        <v>125411881.07</v>
      </c>
      <c r="G653" t="n">
        <v>17276.2838</v>
      </c>
      <c r="H653" t="n">
        <v>5081.7638</v>
      </c>
      <c r="I653" t="n">
        <v>3219.2533</v>
      </c>
      <c r="J653" t="n">
        <v>10410.0057</v>
      </c>
      <c r="K653" t="n">
        <v>2020</v>
      </c>
      <c r="L653" t="n">
        <v>2030</v>
      </c>
      <c r="M653" t="n">
        <v>0.339</v>
      </c>
      <c r="N653" t="n">
        <v>0.1901</v>
      </c>
      <c r="O653" t="n">
        <v>2018</v>
      </c>
      <c r="P653" t="n">
        <v>2040</v>
      </c>
      <c r="Q653" t="n">
        <v>0.3424</v>
      </c>
      <c r="R653" t="n">
        <v>635.1588</v>
      </c>
      <c r="S653" t="n">
        <v>0.00086105</v>
      </c>
      <c r="T653" t="n">
        <v>0.00013947</v>
      </c>
      <c r="U653" t="n">
        <v>17276.2838</v>
      </c>
      <c r="V653" t="inlineStr">
        <is>
          <t>Provided Total Emissions</t>
        </is>
      </c>
      <c r="W653" t="b">
        <v>1</v>
      </c>
      <c r="X653" t="n">
        <v>13472.5516</v>
      </c>
      <c r="Y653" t="n">
        <v>17491.1951</v>
      </c>
      <c r="Z653" t="n">
        <v>-3803.7322</v>
      </c>
      <c r="AA653" t="n">
        <v>214.9113</v>
      </c>
      <c r="AB653" t="n">
        <v>-0.220171</v>
      </c>
      <c r="AC653" t="n">
        <v>0.01244</v>
      </c>
      <c r="AD653" t="inlineStr">
        <is>
          <t>High</t>
        </is>
      </c>
      <c r="AE653" t="inlineStr">
        <is>
          <t>None</t>
        </is>
      </c>
      <c r="AF653" t="n">
        <v>0.95</v>
      </c>
      <c r="AG653" t="inlineStr">
        <is>
          <t>Valid</t>
        </is>
      </c>
    </row>
    <row r="654">
      <c r="A654" t="inlineStr">
        <is>
          <t>SUP-0066</t>
        </is>
      </c>
      <c r="B654" t="inlineStr">
        <is>
          <t>Electronics Supplier 066</t>
        </is>
      </c>
      <c r="C654" t="inlineStr">
        <is>
          <t>Electronics</t>
        </is>
      </c>
      <c r="D654" t="n">
        <v>2017</v>
      </c>
      <c r="E654" t="n">
        <v>13596856.07</v>
      </c>
      <c r="F654" t="n">
        <v>130305737.62</v>
      </c>
      <c r="G654" t="n">
        <v>16381.4923</v>
      </c>
      <c r="H654" t="n">
        <v>3750.4925</v>
      </c>
      <c r="I654" t="n">
        <v>1953.5191</v>
      </c>
      <c r="J654" t="n">
        <v>10392.1685</v>
      </c>
      <c r="K654" t="n">
        <v>2020</v>
      </c>
      <c r="L654" t="n">
        <v>2030</v>
      </c>
      <c r="M654" t="n">
        <v>0.339</v>
      </c>
      <c r="N654" t="n">
        <v>0.1901</v>
      </c>
      <c r="O654" t="n">
        <v>2018</v>
      </c>
      <c r="P654" t="n">
        <v>2040</v>
      </c>
      <c r="Q654" t="n">
        <v>0.3424</v>
      </c>
      <c r="R654" t="n">
        <v>635.1588</v>
      </c>
      <c r="S654" t="n">
        <v>0.00086105</v>
      </c>
      <c r="T654" t="n">
        <v>0.00013947</v>
      </c>
      <c r="U654" t="n">
        <v>16381.4923</v>
      </c>
      <c r="V654" t="inlineStr">
        <is>
          <t>Provided Total Emissions</t>
        </is>
      </c>
      <c r="W654" t="b">
        <v>1</v>
      </c>
      <c r="X654" t="n">
        <v>11707.5729</v>
      </c>
      <c r="Y654" t="n">
        <v>18173.7412</v>
      </c>
      <c r="Z654" t="n">
        <v>-4673.9194</v>
      </c>
      <c r="AA654" t="n">
        <v>1792.2489</v>
      </c>
      <c r="AB654" t="n">
        <v>-0.285317</v>
      </c>
      <c r="AC654" t="n">
        <v>0.109407</v>
      </c>
      <c r="AD654" t="inlineStr">
        <is>
          <t>High</t>
        </is>
      </c>
      <c r="AE654" t="inlineStr">
        <is>
          <t>None</t>
        </is>
      </c>
      <c r="AF654" t="n">
        <v>0.95</v>
      </c>
      <c r="AG654" t="inlineStr">
        <is>
          <t>Valid</t>
        </is>
      </c>
    </row>
    <row r="655">
      <c r="A655" t="inlineStr">
        <is>
          <t>SUP-0066</t>
        </is>
      </c>
      <c r="B655" t="inlineStr">
        <is>
          <t>Electronics Supplier 066</t>
        </is>
      </c>
      <c r="C655" t="inlineStr">
        <is>
          <t>Electronics</t>
        </is>
      </c>
      <c r="D655" t="n">
        <v>2018</v>
      </c>
      <c r="E655" t="n">
        <v>17873979.19</v>
      </c>
      <c r="F655" t="n">
        <v>114871711.14</v>
      </c>
      <c r="G655" t="n">
        <v>19645.7463</v>
      </c>
      <c r="H655" t="n">
        <v>1803.2374</v>
      </c>
      <c r="I655" t="n">
        <v>2163.866</v>
      </c>
      <c r="J655" t="n">
        <v>14658.2815</v>
      </c>
      <c r="K655" t="n">
        <v>2020</v>
      </c>
      <c r="L655" t="n">
        <v>2030</v>
      </c>
      <c r="M655" t="n">
        <v>0.339</v>
      </c>
      <c r="N655" t="n">
        <v>0.1901</v>
      </c>
      <c r="O655" t="n">
        <v>2018</v>
      </c>
      <c r="P655" t="n">
        <v>2040</v>
      </c>
      <c r="Q655" t="n">
        <v>0.3424</v>
      </c>
      <c r="R655" t="n">
        <v>635.1588</v>
      </c>
      <c r="S655" t="n">
        <v>0.00086105</v>
      </c>
      <c r="T655" t="n">
        <v>0.00013947</v>
      </c>
      <c r="U655" t="n">
        <v>19645.7463</v>
      </c>
      <c r="V655" t="inlineStr">
        <is>
          <t>Provided Total Emissions</t>
        </is>
      </c>
      <c r="W655" t="b">
        <v>1</v>
      </c>
      <c r="X655" t="n">
        <v>15390.3898</v>
      </c>
      <c r="Y655" t="n">
        <v>16021.1576</v>
      </c>
      <c r="Z655" t="n">
        <v>-4255.3565</v>
      </c>
      <c r="AA655" t="n">
        <v>-3624.5887</v>
      </c>
      <c r="AB655" t="n">
        <v>-0.216604</v>
      </c>
      <c r="AC655" t="n">
        <v>-0.184497</v>
      </c>
      <c r="AD655" t="inlineStr">
        <is>
          <t>High</t>
        </is>
      </c>
      <c r="AE655" t="inlineStr">
        <is>
          <t>None</t>
        </is>
      </c>
      <c r="AF655" t="n">
        <v>0.95</v>
      </c>
      <c r="AG655" t="inlineStr">
        <is>
          <t>Valid</t>
        </is>
      </c>
    </row>
    <row r="656">
      <c r="A656" t="inlineStr">
        <is>
          <t>SUP-0066</t>
        </is>
      </c>
      <c r="B656" t="inlineStr">
        <is>
          <t>Electronics Supplier 066</t>
        </is>
      </c>
      <c r="C656" t="inlineStr">
        <is>
          <t>Electronics</t>
        </is>
      </c>
      <c r="D656" t="n">
        <v>2019</v>
      </c>
      <c r="E656" t="n">
        <v>18927523.77</v>
      </c>
      <c r="F656" t="n">
        <v>155463365.8</v>
      </c>
      <c r="G656" t="n">
        <v>17976.3245</v>
      </c>
      <c r="H656" t="n">
        <v>3823.3491</v>
      </c>
      <c r="I656" t="n">
        <v>2946.9599</v>
      </c>
      <c r="J656" t="n">
        <v>9771.588</v>
      </c>
      <c r="K656" t="n">
        <v>2020</v>
      </c>
      <c r="L656" t="n">
        <v>2030</v>
      </c>
      <c r="M656" t="n">
        <v>0.339</v>
      </c>
      <c r="N656" t="n">
        <v>0.1901</v>
      </c>
      <c r="O656" t="n">
        <v>2018</v>
      </c>
      <c r="P656" t="n">
        <v>2040</v>
      </c>
      <c r="Q656" t="n">
        <v>0.3424</v>
      </c>
      <c r="R656" t="n">
        <v>635.1588</v>
      </c>
      <c r="S656" t="n">
        <v>0.00086105</v>
      </c>
      <c r="T656" t="n">
        <v>0.00013947</v>
      </c>
      <c r="U656" t="n">
        <v>17976.3245</v>
      </c>
      <c r="V656" t="inlineStr">
        <is>
          <t>Provided Total Emissions</t>
        </is>
      </c>
      <c r="W656" t="b">
        <v>1</v>
      </c>
      <c r="X656" t="n">
        <v>16297.5443</v>
      </c>
      <c r="Y656" t="n">
        <v>21682.4756</v>
      </c>
      <c r="Z656" t="n">
        <v>-1678.7802</v>
      </c>
      <c r="AA656" t="n">
        <v>3706.1511</v>
      </c>
      <c r="AB656" t="n">
        <v>-0.093388</v>
      </c>
      <c r="AC656" t="n">
        <v>0.206168</v>
      </c>
      <c r="AD656" t="inlineStr">
        <is>
          <t>High</t>
        </is>
      </c>
      <c r="AE656" t="inlineStr">
        <is>
          <t>None</t>
        </is>
      </c>
      <c r="AF656" t="n">
        <v>0.95</v>
      </c>
      <c r="AG656" t="inlineStr">
        <is>
          <t>Valid</t>
        </is>
      </c>
    </row>
    <row r="657">
      <c r="A657" t="inlineStr">
        <is>
          <t>SUP-0066</t>
        </is>
      </c>
      <c r="B657" t="inlineStr">
        <is>
          <t>Electronics Supplier 066</t>
        </is>
      </c>
      <c r="C657" t="inlineStr">
        <is>
          <t>Electronics</t>
        </is>
      </c>
      <c r="D657" t="n">
        <v>2020</v>
      </c>
      <c r="E657" t="n">
        <v>18905755.57</v>
      </c>
      <c r="F657" t="n">
        <v>170979469.76</v>
      </c>
      <c r="G657" t="n">
        <v>16152.7618</v>
      </c>
      <c r="H657" t="n">
        <v>4031.2915</v>
      </c>
      <c r="I657" t="n">
        <v>1082.8891</v>
      </c>
      <c r="J657" t="n">
        <v>11112.0089</v>
      </c>
      <c r="K657" t="n">
        <v>2020</v>
      </c>
      <c r="L657" t="n">
        <v>2030</v>
      </c>
      <c r="M657" t="n">
        <v>0.339</v>
      </c>
      <c r="N657" t="n">
        <v>0.1901</v>
      </c>
      <c r="O657" t="n">
        <v>2018</v>
      </c>
      <c r="P657" t="n">
        <v>2040</v>
      </c>
      <c r="Q657" t="n">
        <v>0.3424</v>
      </c>
      <c r="R657" t="n">
        <v>635.1588</v>
      </c>
      <c r="S657" t="n">
        <v>0.00086105</v>
      </c>
      <c r="T657" t="n">
        <v>0.00013947</v>
      </c>
      <c r="U657" t="n">
        <v>16152.7618</v>
      </c>
      <c r="V657" t="inlineStr">
        <is>
          <t>Provided Total Emissions</t>
        </is>
      </c>
      <c r="W657" t="b">
        <v>1</v>
      </c>
      <c r="X657" t="n">
        <v>16278.8008</v>
      </c>
      <c r="Y657" t="n">
        <v>23846.5066</v>
      </c>
      <c r="Z657" t="n">
        <v>126.039</v>
      </c>
      <c r="AA657" t="n">
        <v>7693.7448</v>
      </c>
      <c r="AB657" t="n">
        <v>0.007803</v>
      </c>
      <c r="AC657" t="n">
        <v>0.476311</v>
      </c>
      <c r="AD657" t="inlineStr">
        <is>
          <t>High</t>
        </is>
      </c>
      <c r="AE657" t="inlineStr">
        <is>
          <t>None</t>
        </is>
      </c>
      <c r="AF657" t="n">
        <v>0.95</v>
      </c>
      <c r="AG657" t="inlineStr">
        <is>
          <t>Valid</t>
        </is>
      </c>
    </row>
    <row r="658">
      <c r="A658" t="inlineStr">
        <is>
          <t>SUP-0066</t>
        </is>
      </c>
      <c r="B658" t="inlineStr">
        <is>
          <t>Electronics Supplier 066</t>
        </is>
      </c>
      <c r="C658" t="inlineStr">
        <is>
          <t>Electronics</t>
        </is>
      </c>
      <c r="D658" t="n">
        <v>2021</v>
      </c>
      <c r="E658" t="n">
        <v>22980374.45</v>
      </c>
      <c r="F658" t="n">
        <v>181289129.74</v>
      </c>
      <c r="G658" t="n">
        <v>15688.1112</v>
      </c>
      <c r="H658" t="n">
        <v>3812.3933</v>
      </c>
      <c r="I658" t="n">
        <v>2224.5461</v>
      </c>
      <c r="J658" t="n">
        <v>8659.254000000001</v>
      </c>
      <c r="K658" t="n">
        <v>2020</v>
      </c>
      <c r="L658" t="n">
        <v>2030</v>
      </c>
      <c r="M658" t="n">
        <v>0.339</v>
      </c>
      <c r="N658" t="n">
        <v>0.1901</v>
      </c>
      <c r="O658" t="n">
        <v>2018</v>
      </c>
      <c r="P658" t="n">
        <v>2040</v>
      </c>
      <c r="Q658" t="n">
        <v>0.3424</v>
      </c>
      <c r="R658" t="n">
        <v>635.1588</v>
      </c>
      <c r="S658" t="n">
        <v>0.00086105</v>
      </c>
      <c r="T658" t="n">
        <v>0.00013947</v>
      </c>
      <c r="U658" t="n">
        <v>15688.1112</v>
      </c>
      <c r="V658" t="inlineStr">
        <is>
          <t>Provided Total Emissions</t>
        </is>
      </c>
      <c r="W658" t="b">
        <v>1</v>
      </c>
      <c r="X658" t="n">
        <v>19787.2514</v>
      </c>
      <c r="Y658" t="n">
        <v>25284.3949</v>
      </c>
      <c r="Z658" t="n">
        <v>4099.1402</v>
      </c>
      <c r="AA658" t="n">
        <v>9596.2837</v>
      </c>
      <c r="AB658" t="n">
        <v>0.26129</v>
      </c>
      <c r="AC658" t="n">
        <v>0.611691</v>
      </c>
      <c r="AD658" t="inlineStr">
        <is>
          <t>High</t>
        </is>
      </c>
      <c r="AE658" t="inlineStr">
        <is>
          <t>None</t>
        </is>
      </c>
      <c r="AF658" t="n">
        <v>0.95</v>
      </c>
      <c r="AG658" t="inlineStr">
        <is>
          <t>Valid</t>
        </is>
      </c>
    </row>
    <row r="659">
      <c r="A659" t="inlineStr">
        <is>
          <t>SUP-0066</t>
        </is>
      </c>
      <c r="B659" t="inlineStr">
        <is>
          <t>Electronics Supplier 066</t>
        </is>
      </c>
      <c r="C659" t="inlineStr">
        <is>
          <t>Electronics</t>
        </is>
      </c>
      <c r="D659" t="n">
        <v>2022</v>
      </c>
      <c r="E659" t="n">
        <v>20944558.54</v>
      </c>
      <c r="F659" t="n">
        <v>156019332.07</v>
      </c>
      <c r="G659" t="n">
        <v>18248.2678</v>
      </c>
      <c r="H659" t="n">
        <v>2841.7886</v>
      </c>
      <c r="I659" t="n">
        <v>2061.1125</v>
      </c>
      <c r="J659" t="n">
        <v>13761.2397</v>
      </c>
      <c r="K659" t="n">
        <v>2020</v>
      </c>
      <c r="L659" t="n">
        <v>2030</v>
      </c>
      <c r="M659" t="n">
        <v>0.339</v>
      </c>
      <c r="N659" t="n">
        <v>0.1901</v>
      </c>
      <c r="O659" t="n">
        <v>2018</v>
      </c>
      <c r="P659" t="n">
        <v>2040</v>
      </c>
      <c r="Q659" t="n">
        <v>0.3424</v>
      </c>
      <c r="R659" t="n">
        <v>635.1588</v>
      </c>
      <c r="S659" t="n">
        <v>0.00086105</v>
      </c>
      <c r="T659" t="n">
        <v>0.00013947</v>
      </c>
      <c r="U659" t="n">
        <v>18248.2678</v>
      </c>
      <c r="V659" t="inlineStr">
        <is>
          <t>Provided Total Emissions</t>
        </is>
      </c>
      <c r="W659" t="b">
        <v>1</v>
      </c>
      <c r="X659" t="n">
        <v>18034.3121</v>
      </c>
      <c r="Y659" t="n">
        <v>21760.0162</v>
      </c>
      <c r="Z659" t="n">
        <v>-213.9557</v>
      </c>
      <c r="AA659" t="n">
        <v>3511.7484</v>
      </c>
      <c r="AB659" t="n">
        <v>-0.011725</v>
      </c>
      <c r="AC659" t="n">
        <v>0.192443</v>
      </c>
      <c r="AD659" t="inlineStr">
        <is>
          <t>High</t>
        </is>
      </c>
      <c r="AE659" t="inlineStr">
        <is>
          <t>None</t>
        </is>
      </c>
      <c r="AF659" t="n">
        <v>0.95</v>
      </c>
      <c r="AG659" t="inlineStr">
        <is>
          <t>Valid</t>
        </is>
      </c>
    </row>
    <row r="660">
      <c r="A660" t="inlineStr">
        <is>
          <t>SUP-0066</t>
        </is>
      </c>
      <c r="B660" t="inlineStr">
        <is>
          <t>Electronics Supplier 066</t>
        </is>
      </c>
      <c r="C660" t="inlineStr">
        <is>
          <t>Electronics</t>
        </is>
      </c>
      <c r="D660" t="n">
        <v>2023</v>
      </c>
      <c r="E660" t="n">
        <v>23417299</v>
      </c>
      <c r="F660" t="n">
        <v>214001569.32</v>
      </c>
      <c r="G660" t="n">
        <v>18516.6863</v>
      </c>
      <c r="H660" t="n">
        <v>2054.7114</v>
      </c>
      <c r="I660" t="n">
        <v>2965.6611</v>
      </c>
      <c r="J660" t="n">
        <v>14625.3806</v>
      </c>
      <c r="K660" t="n">
        <v>2020</v>
      </c>
      <c r="L660" t="n">
        <v>2030</v>
      </c>
      <c r="M660" t="n">
        <v>0.339</v>
      </c>
      <c r="N660" t="n">
        <v>0.1901</v>
      </c>
      <c r="O660" t="n">
        <v>2018</v>
      </c>
      <c r="P660" t="n">
        <v>2040</v>
      </c>
      <c r="Q660" t="n">
        <v>0.3424</v>
      </c>
      <c r="R660" t="n">
        <v>635.1588</v>
      </c>
      <c r="S660" t="n">
        <v>0.00086105</v>
      </c>
      <c r="T660" t="n">
        <v>0.00013947</v>
      </c>
      <c r="U660" t="n">
        <v>18516.6863</v>
      </c>
      <c r="V660" t="inlineStr">
        <is>
          <t>Provided Total Emissions</t>
        </is>
      </c>
      <c r="W660" t="b">
        <v>1</v>
      </c>
      <c r="X660" t="n">
        <v>20163.4653</v>
      </c>
      <c r="Y660" t="n">
        <v>29846.7989</v>
      </c>
      <c r="Z660" t="n">
        <v>1646.779</v>
      </c>
      <c r="AA660" t="n">
        <v>11330.1126</v>
      </c>
      <c r="AB660" t="n">
        <v>0.088935</v>
      </c>
      <c r="AC660" t="n">
        <v>0.611887</v>
      </c>
      <c r="AD660" t="inlineStr">
        <is>
          <t>High</t>
        </is>
      </c>
      <c r="AE660" t="inlineStr">
        <is>
          <t>None</t>
        </is>
      </c>
      <c r="AF660" t="n">
        <v>0.95</v>
      </c>
      <c r="AG660" t="inlineStr">
        <is>
          <t>Valid</t>
        </is>
      </c>
    </row>
    <row r="661">
      <c r="A661" t="inlineStr">
        <is>
          <t>SUP-0066</t>
        </is>
      </c>
      <c r="B661" t="inlineStr">
        <is>
          <t>Electronics Supplier 066</t>
        </is>
      </c>
      <c r="C661" t="inlineStr">
        <is>
          <t>Electronics</t>
        </is>
      </c>
      <c r="D661" t="n">
        <v>2024</v>
      </c>
      <c r="E661" t="n">
        <v>19647049.39</v>
      </c>
      <c r="F661" t="n">
        <v>180616239.14</v>
      </c>
      <c r="G661" t="n">
        <v>17053.0904</v>
      </c>
      <c r="H661" t="n">
        <v>3144.3067</v>
      </c>
      <c r="I661" t="n">
        <v>2347.2066</v>
      </c>
      <c r="J661" t="n">
        <v>11019.9071</v>
      </c>
      <c r="K661" t="n">
        <v>2020</v>
      </c>
      <c r="L661" t="n">
        <v>2030</v>
      </c>
      <c r="M661" t="n">
        <v>0.339</v>
      </c>
      <c r="N661" t="n">
        <v>0.1901</v>
      </c>
      <c r="O661" t="n">
        <v>2018</v>
      </c>
      <c r="P661" t="n">
        <v>2040</v>
      </c>
      <c r="Q661" t="n">
        <v>0.3424</v>
      </c>
      <c r="R661" t="n">
        <v>635.1588</v>
      </c>
      <c r="S661" t="n">
        <v>0.00086105</v>
      </c>
      <c r="T661" t="n">
        <v>0.00013947</v>
      </c>
      <c r="U661" t="n">
        <v>17053.0904</v>
      </c>
      <c r="V661" t="inlineStr">
        <is>
          <t>Provided Total Emissions</t>
        </is>
      </c>
      <c r="W661" t="b">
        <v>1</v>
      </c>
      <c r="X661" t="n">
        <v>16917.0919</v>
      </c>
      <c r="Y661" t="n">
        <v>25190.5469</v>
      </c>
      <c r="Z661" t="n">
        <v>-135.9985</v>
      </c>
      <c r="AA661" t="n">
        <v>8137.4565</v>
      </c>
      <c r="AB661" t="n">
        <v>-0.007974999999999999</v>
      </c>
      <c r="AC661" t="n">
        <v>0.477184</v>
      </c>
      <c r="AD661" t="inlineStr">
        <is>
          <t>High</t>
        </is>
      </c>
      <c r="AE661" t="inlineStr">
        <is>
          <t>None</t>
        </is>
      </c>
      <c r="AF661" t="n">
        <v>0.95</v>
      </c>
      <c r="AG661" t="inlineStr">
        <is>
          <t>Valid</t>
        </is>
      </c>
    </row>
    <row r="662">
      <c r="A662" t="inlineStr">
        <is>
          <t>SUP-0067</t>
        </is>
      </c>
      <c r="B662" t="inlineStr">
        <is>
          <t>Professional Supplier 067</t>
        </is>
      </c>
      <c r="C662" t="inlineStr">
        <is>
          <t>Professional Services</t>
        </is>
      </c>
      <c r="D662" t="n">
        <v>2015</v>
      </c>
      <c r="E662" t="n">
        <v>10038247.82</v>
      </c>
      <c r="F662" t="n">
        <v>50348525.22</v>
      </c>
      <c r="G662" t="n">
        <v>1204.742</v>
      </c>
      <c r="H662" t="n">
        <v>324.9545</v>
      </c>
      <c r="I662" t="n">
        <v>79.6658</v>
      </c>
      <c r="J662" t="n">
        <v>930.5732</v>
      </c>
      <c r="K662" t="inlineStr"/>
      <c r="L662" t="inlineStr"/>
      <c r="M662" t="inlineStr"/>
      <c r="N662" t="inlineStr"/>
      <c r="O662" t="n">
        <v>2020</v>
      </c>
      <c r="P662" t="inlineStr"/>
      <c r="Q662" t="inlineStr"/>
      <c r="R662" t="n">
        <v>400.0326</v>
      </c>
      <c r="S662" t="n">
        <v>0.00012906</v>
      </c>
      <c r="T662" t="n">
        <v>0.00019658</v>
      </c>
      <c r="U662" t="n">
        <v>1204.742</v>
      </c>
      <c r="V662" t="inlineStr">
        <is>
          <t>Provided Total Emissions</t>
        </is>
      </c>
      <c r="W662" t="b">
        <v>1</v>
      </c>
      <c r="X662" t="n">
        <v>1295.5363</v>
      </c>
      <c r="Y662" t="n">
        <v>9897.5131</v>
      </c>
      <c r="Z662" t="n">
        <v>90.79430000000001</v>
      </c>
      <c r="AA662" t="n">
        <v>8692.7711</v>
      </c>
      <c r="AB662" t="n">
        <v>0.075364</v>
      </c>
      <c r="AC662" t="n">
        <v>7.215463</v>
      </c>
      <c r="AD662" t="inlineStr">
        <is>
          <t>High</t>
        </is>
      </c>
      <c r="AE662" t="inlineStr">
        <is>
          <t>None</t>
        </is>
      </c>
      <c r="AF662" t="n">
        <v>0.95</v>
      </c>
      <c r="AG662" t="inlineStr">
        <is>
          <t>Valid</t>
        </is>
      </c>
    </row>
    <row r="663">
      <c r="A663" t="inlineStr">
        <is>
          <t>SUP-0067</t>
        </is>
      </c>
      <c r="B663" t="inlineStr">
        <is>
          <t>Professional Supplier 067</t>
        </is>
      </c>
      <c r="C663" t="inlineStr">
        <is>
          <t>Professional Services</t>
        </is>
      </c>
      <c r="D663" t="n">
        <v>2016</v>
      </c>
      <c r="E663" t="n">
        <v>12732544.24</v>
      </c>
      <c r="F663" t="n">
        <v>62439106.16</v>
      </c>
      <c r="G663" t="n">
        <v>1170.0522</v>
      </c>
      <c r="H663" t="n">
        <v>155.6328</v>
      </c>
      <c r="I663" t="n">
        <v>184.3432</v>
      </c>
      <c r="J663" t="n">
        <v>907.4825</v>
      </c>
      <c r="K663" t="inlineStr"/>
      <c r="L663" t="inlineStr"/>
      <c r="M663" t="inlineStr"/>
      <c r="N663" t="inlineStr"/>
      <c r="O663" t="n">
        <v>2020</v>
      </c>
      <c r="P663" t="inlineStr"/>
      <c r="Q663" t="inlineStr"/>
      <c r="R663" t="n">
        <v>400.0326</v>
      </c>
      <c r="S663" t="n">
        <v>0.00012906</v>
      </c>
      <c r="T663" t="n">
        <v>0.00019658</v>
      </c>
      <c r="U663" t="n">
        <v>1170.0522</v>
      </c>
      <c r="V663" t="inlineStr">
        <is>
          <t>Provided Total Emissions</t>
        </is>
      </c>
      <c r="W663" t="b">
        <v>1</v>
      </c>
      <c r="X663" t="n">
        <v>1643.2622</v>
      </c>
      <c r="Y663" t="n">
        <v>12274.2795</v>
      </c>
      <c r="Z663" t="n">
        <v>473.21</v>
      </c>
      <c r="AA663" t="n">
        <v>11104.2273</v>
      </c>
      <c r="AB663" t="n">
        <v>0.404435</v>
      </c>
      <c r="AC663" t="n">
        <v>9.490368999999999</v>
      </c>
      <c r="AD663" t="inlineStr">
        <is>
          <t>High</t>
        </is>
      </c>
      <c r="AE663" t="inlineStr">
        <is>
          <t>None</t>
        </is>
      </c>
      <c r="AF663" t="n">
        <v>0.95</v>
      </c>
      <c r="AG663" t="inlineStr">
        <is>
          <t>Valid</t>
        </is>
      </c>
    </row>
    <row r="664">
      <c r="A664" t="inlineStr">
        <is>
          <t>SUP-0067</t>
        </is>
      </c>
      <c r="B664" t="inlineStr">
        <is>
          <t>Professional Supplier 067</t>
        </is>
      </c>
      <c r="C664" t="inlineStr">
        <is>
          <t>Professional Services</t>
        </is>
      </c>
      <c r="D664" t="n">
        <v>2017</v>
      </c>
      <c r="E664" t="n">
        <v>14059424.04</v>
      </c>
      <c r="F664" t="n">
        <v>74365008.3</v>
      </c>
      <c r="G664" t="n">
        <v>1412.7499</v>
      </c>
      <c r="H664" t="n">
        <v>233.3121</v>
      </c>
      <c r="I664" t="n">
        <v>188.0721</v>
      </c>
      <c r="J664" t="n">
        <v>888.1328999999999</v>
      </c>
      <c r="K664" t="inlineStr"/>
      <c r="L664" t="inlineStr"/>
      <c r="M664" t="inlineStr"/>
      <c r="N664" t="inlineStr"/>
      <c r="O664" t="n">
        <v>2020</v>
      </c>
      <c r="P664" t="inlineStr"/>
      <c r="Q664" t="inlineStr"/>
      <c r="R664" t="n">
        <v>400.0326</v>
      </c>
      <c r="S664" t="n">
        <v>0.00012906</v>
      </c>
      <c r="T664" t="n">
        <v>0.00019658</v>
      </c>
      <c r="U664" t="n">
        <v>1412.7499</v>
      </c>
      <c r="V664" t="inlineStr">
        <is>
          <t>Provided Total Emissions</t>
        </is>
      </c>
      <c r="W664" t="b">
        <v>1</v>
      </c>
      <c r="X664" t="n">
        <v>1814.5093</v>
      </c>
      <c r="Y664" t="n">
        <v>14618.6733</v>
      </c>
      <c r="Z664" t="n">
        <v>401.7594</v>
      </c>
      <c r="AA664" t="n">
        <v>13205.9234</v>
      </c>
      <c r="AB664" t="n">
        <v>0.284381</v>
      </c>
      <c r="AC664" t="n">
        <v>9.347673</v>
      </c>
      <c r="AD664" t="inlineStr">
        <is>
          <t>High</t>
        </is>
      </c>
      <c r="AE664" t="inlineStr">
        <is>
          <t>None</t>
        </is>
      </c>
      <c r="AF664" t="n">
        <v>0.95</v>
      </c>
      <c r="AG664" t="inlineStr">
        <is>
          <t>Valid</t>
        </is>
      </c>
    </row>
    <row r="665">
      <c r="A665" t="inlineStr">
        <is>
          <t>SUP-0067</t>
        </is>
      </c>
      <c r="B665" t="inlineStr">
        <is>
          <t>Professional Supplier 067</t>
        </is>
      </c>
      <c r="C665" t="inlineStr">
        <is>
          <t>Professional Services</t>
        </is>
      </c>
      <c r="D665" t="n">
        <v>2018</v>
      </c>
      <c r="E665" t="n">
        <v>15645945.78</v>
      </c>
      <c r="F665" t="n">
        <v>70915023.93000001</v>
      </c>
      <c r="G665" t="n">
        <v>1717.8367</v>
      </c>
      <c r="H665" t="n">
        <v>241.9069</v>
      </c>
      <c r="I665" t="n">
        <v>124.7323</v>
      </c>
      <c r="J665" t="n">
        <v>1394.2528</v>
      </c>
      <c r="K665" t="inlineStr"/>
      <c r="L665" t="inlineStr"/>
      <c r="M665" t="inlineStr"/>
      <c r="N665" t="inlineStr"/>
      <c r="O665" t="n">
        <v>2020</v>
      </c>
      <c r="P665" t="inlineStr"/>
      <c r="Q665" t="inlineStr"/>
      <c r="R665" t="n">
        <v>400.0326</v>
      </c>
      <c r="S665" t="n">
        <v>0.00012906</v>
      </c>
      <c r="T665" t="n">
        <v>0.00019658</v>
      </c>
      <c r="U665" t="n">
        <v>1717.8367</v>
      </c>
      <c r="V665" t="inlineStr">
        <is>
          <t>Provided Total Emissions</t>
        </is>
      </c>
      <c r="W665" t="b">
        <v>1</v>
      </c>
      <c r="X665" t="n">
        <v>2019.2658</v>
      </c>
      <c r="Y665" t="n">
        <v>13940.4754</v>
      </c>
      <c r="Z665" t="n">
        <v>301.4291</v>
      </c>
      <c r="AA665" t="n">
        <v>12222.6387</v>
      </c>
      <c r="AB665" t="n">
        <v>0.17547</v>
      </c>
      <c r="AC665" t="n">
        <v>7.115134</v>
      </c>
      <c r="AD665" t="inlineStr">
        <is>
          <t>High</t>
        </is>
      </c>
      <c r="AE665" t="inlineStr">
        <is>
          <t>None</t>
        </is>
      </c>
      <c r="AF665" t="n">
        <v>0.95</v>
      </c>
      <c r="AG665" t="inlineStr">
        <is>
          <t>Valid</t>
        </is>
      </c>
    </row>
    <row r="666">
      <c r="A666" t="inlineStr">
        <is>
          <t>SUP-0067</t>
        </is>
      </c>
      <c r="B666" t="inlineStr">
        <is>
          <t>Professional Supplier 067</t>
        </is>
      </c>
      <c r="C666" t="inlineStr">
        <is>
          <t>Professional Services</t>
        </is>
      </c>
      <c r="D666" t="n">
        <v>2019</v>
      </c>
      <c r="E666" t="n">
        <v>18395539.02</v>
      </c>
      <c r="F666" t="n">
        <v>75341111.67</v>
      </c>
      <c r="G666" t="n">
        <v>1735.7635</v>
      </c>
      <c r="H666" t="n">
        <v>425.9383</v>
      </c>
      <c r="I666" t="n">
        <v>215.4982</v>
      </c>
      <c r="J666" t="n">
        <v>1071.3878</v>
      </c>
      <c r="K666" t="inlineStr"/>
      <c r="L666" t="inlineStr"/>
      <c r="M666" t="inlineStr"/>
      <c r="N666" t="inlineStr"/>
      <c r="O666" t="n">
        <v>2020</v>
      </c>
      <c r="P666" t="inlineStr"/>
      <c r="Q666" t="inlineStr"/>
      <c r="R666" t="n">
        <v>400.0326</v>
      </c>
      <c r="S666" t="n">
        <v>0.00012906</v>
      </c>
      <c r="T666" t="n">
        <v>0.00019658</v>
      </c>
      <c r="U666" t="n">
        <v>1735.7635</v>
      </c>
      <c r="V666" t="inlineStr">
        <is>
          <t>Provided Total Emissions</t>
        </is>
      </c>
      <c r="W666" t="b">
        <v>1</v>
      </c>
      <c r="X666" t="n">
        <v>2374.1283</v>
      </c>
      <c r="Y666" t="n">
        <v>14810.5557</v>
      </c>
      <c r="Z666" t="n">
        <v>638.3647999999999</v>
      </c>
      <c r="AA666" t="n">
        <v>13074.7922</v>
      </c>
      <c r="AB666" t="n">
        <v>0.367772</v>
      </c>
      <c r="AC666" t="n">
        <v>7.532589</v>
      </c>
      <c r="AD666" t="inlineStr">
        <is>
          <t>High</t>
        </is>
      </c>
      <c r="AE666" t="inlineStr">
        <is>
          <t>None</t>
        </is>
      </c>
      <c r="AF666" t="n">
        <v>0.95</v>
      </c>
      <c r="AG666" t="inlineStr">
        <is>
          <t>Valid</t>
        </is>
      </c>
    </row>
    <row r="667">
      <c r="A667" t="inlineStr">
        <is>
          <t>SUP-0067</t>
        </is>
      </c>
      <c r="B667" t="inlineStr">
        <is>
          <t>Professional Supplier 067</t>
        </is>
      </c>
      <c r="C667" t="inlineStr">
        <is>
          <t>Professional Services</t>
        </is>
      </c>
      <c r="D667" t="n">
        <v>2020</v>
      </c>
      <c r="E667" t="n">
        <v>16930456.97</v>
      </c>
      <c r="F667" t="n">
        <v>72550494.34999999</v>
      </c>
      <c r="G667" t="n">
        <v>1791.1932</v>
      </c>
      <c r="H667" t="n">
        <v>436.2517</v>
      </c>
      <c r="I667" t="n">
        <v>218.2987</v>
      </c>
      <c r="J667" t="n">
        <v>1110.7215</v>
      </c>
      <c r="K667" t="inlineStr"/>
      <c r="L667" t="inlineStr"/>
      <c r="M667" t="inlineStr"/>
      <c r="N667" t="inlineStr"/>
      <c r="O667" t="n">
        <v>2020</v>
      </c>
      <c r="P667" t="inlineStr"/>
      <c r="Q667" t="inlineStr"/>
      <c r="R667" t="n">
        <v>400.0326</v>
      </c>
      <c r="S667" t="n">
        <v>0.00012906</v>
      </c>
      <c r="T667" t="n">
        <v>0.00019658</v>
      </c>
      <c r="U667" t="n">
        <v>1791.1932</v>
      </c>
      <c r="V667" t="inlineStr">
        <is>
          <t>Provided Total Emissions</t>
        </is>
      </c>
      <c r="W667" t="b">
        <v>1</v>
      </c>
      <c r="X667" t="n">
        <v>2185.0448</v>
      </c>
      <c r="Y667" t="n">
        <v>14261.9762</v>
      </c>
      <c r="Z667" t="n">
        <v>393.8516</v>
      </c>
      <c r="AA667" t="n">
        <v>12470.783</v>
      </c>
      <c r="AB667" t="n">
        <v>0.219882</v>
      </c>
      <c r="AC667" t="n">
        <v>6.962277</v>
      </c>
      <c r="AD667" t="inlineStr">
        <is>
          <t>High</t>
        </is>
      </c>
      <c r="AE667" t="inlineStr">
        <is>
          <t>None</t>
        </is>
      </c>
      <c r="AF667" t="n">
        <v>0.95</v>
      </c>
      <c r="AG667" t="inlineStr">
        <is>
          <t>Valid</t>
        </is>
      </c>
    </row>
    <row r="668">
      <c r="A668" t="inlineStr">
        <is>
          <t>SUP-0067</t>
        </is>
      </c>
      <c r="B668" t="inlineStr">
        <is>
          <t>Professional Supplier 067</t>
        </is>
      </c>
      <c r="C668" t="inlineStr">
        <is>
          <t>Professional Services</t>
        </is>
      </c>
      <c r="D668" t="n">
        <v>2021</v>
      </c>
      <c r="E668" t="n">
        <v>20320149.51</v>
      </c>
      <c r="F668" t="n">
        <v>103573303.02</v>
      </c>
      <c r="G668" t="n">
        <v>1661.3409</v>
      </c>
      <c r="H668" t="n">
        <v>398.3889</v>
      </c>
      <c r="I668" t="n">
        <v>264.0185</v>
      </c>
      <c r="J668" t="n">
        <v>1050.6075</v>
      </c>
      <c r="K668" t="inlineStr"/>
      <c r="L668" t="inlineStr"/>
      <c r="M668" t="inlineStr"/>
      <c r="N668" t="inlineStr"/>
      <c r="O668" t="n">
        <v>2020</v>
      </c>
      <c r="P668" t="inlineStr"/>
      <c r="Q668" t="inlineStr"/>
      <c r="R668" t="n">
        <v>400.0326</v>
      </c>
      <c r="S668" t="n">
        <v>0.00012906</v>
      </c>
      <c r="T668" t="n">
        <v>0.00019658</v>
      </c>
      <c r="U668" t="n">
        <v>1661.3409</v>
      </c>
      <c r="V668" t="inlineStr">
        <is>
          <t>Provided Total Emissions</t>
        </is>
      </c>
      <c r="W668" t="b">
        <v>1</v>
      </c>
      <c r="X668" t="n">
        <v>2622.5185</v>
      </c>
      <c r="Y668" t="n">
        <v>20360.4399</v>
      </c>
      <c r="Z668" t="n">
        <v>961.1776</v>
      </c>
      <c r="AA668" t="n">
        <v>18699.099</v>
      </c>
      <c r="AB668" t="n">
        <v>0.578555</v>
      </c>
      <c r="AC668" t="n">
        <v>11.255426</v>
      </c>
      <c r="AD668" t="inlineStr">
        <is>
          <t>High</t>
        </is>
      </c>
      <c r="AE668" t="inlineStr">
        <is>
          <t>None</t>
        </is>
      </c>
      <c r="AF668" t="n">
        <v>0.95</v>
      </c>
      <c r="AG668" t="inlineStr">
        <is>
          <t>Valid</t>
        </is>
      </c>
    </row>
    <row r="669">
      <c r="A669" t="inlineStr">
        <is>
          <t>SUP-0067</t>
        </is>
      </c>
      <c r="B669" t="inlineStr">
        <is>
          <t>Professional Supplier 067</t>
        </is>
      </c>
      <c r="C669" t="inlineStr">
        <is>
          <t>Professional Services</t>
        </is>
      </c>
      <c r="D669" t="n">
        <v>2022</v>
      </c>
      <c r="E669" t="n">
        <v>20345004.15</v>
      </c>
      <c r="F669" t="n">
        <v>89725613.55</v>
      </c>
      <c r="G669" t="n">
        <v>1345.384</v>
      </c>
      <c r="H669" t="n">
        <v>224.5164</v>
      </c>
      <c r="I669" t="n">
        <v>273.9649</v>
      </c>
      <c r="J669" t="n">
        <v>761.538</v>
      </c>
      <c r="K669" t="inlineStr"/>
      <c r="L669" t="inlineStr"/>
      <c r="M669" t="inlineStr"/>
      <c r="N669" t="inlineStr"/>
      <c r="O669" t="n">
        <v>2020</v>
      </c>
      <c r="P669" t="inlineStr"/>
      <c r="Q669" t="inlineStr"/>
      <c r="R669" t="n">
        <v>400.0326</v>
      </c>
      <c r="S669" t="n">
        <v>0.00012906</v>
      </c>
      <c r="T669" t="n">
        <v>0.00019658</v>
      </c>
      <c r="U669" t="n">
        <v>1345.384</v>
      </c>
      <c r="V669" t="inlineStr">
        <is>
          <t>Provided Total Emissions</t>
        </is>
      </c>
      <c r="W669" t="b">
        <v>1</v>
      </c>
      <c r="X669" t="n">
        <v>2625.7262</v>
      </c>
      <c r="Y669" t="n">
        <v>17638.2611</v>
      </c>
      <c r="Z669" t="n">
        <v>1280.3422</v>
      </c>
      <c r="AA669" t="n">
        <v>16292.8771</v>
      </c>
      <c r="AB669" t="n">
        <v>0.9516559999999999</v>
      </c>
      <c r="AC669" t="n">
        <v>12.110206</v>
      </c>
      <c r="AD669" t="inlineStr">
        <is>
          <t>High</t>
        </is>
      </c>
      <c r="AE669" t="inlineStr">
        <is>
          <t>None</t>
        </is>
      </c>
      <c r="AF669" t="n">
        <v>0.95</v>
      </c>
      <c r="AG669" t="inlineStr">
        <is>
          <t>Valid</t>
        </is>
      </c>
    </row>
    <row r="670">
      <c r="A670" t="inlineStr">
        <is>
          <t>SUP-0067</t>
        </is>
      </c>
      <c r="B670" t="inlineStr">
        <is>
          <t>Professional Supplier 067</t>
        </is>
      </c>
      <c r="C670" t="inlineStr">
        <is>
          <t>Professional Services</t>
        </is>
      </c>
      <c r="D670" t="n">
        <v>2023</v>
      </c>
      <c r="E670" t="n">
        <v>23554704.42</v>
      </c>
      <c r="F670" t="n">
        <v>104846593.63</v>
      </c>
      <c r="G670" t="n">
        <v>1773.9266</v>
      </c>
      <c r="H670" t="n">
        <v>368.1097</v>
      </c>
      <c r="I670" t="n">
        <v>103.5748</v>
      </c>
      <c r="J670" t="n">
        <v>1292.954</v>
      </c>
      <c r="K670" t="inlineStr"/>
      <c r="L670" t="inlineStr"/>
      <c r="M670" t="inlineStr"/>
      <c r="N670" t="inlineStr"/>
      <c r="O670" t="n">
        <v>2020</v>
      </c>
      <c r="P670" t="inlineStr"/>
      <c r="Q670" t="inlineStr"/>
      <c r="R670" t="n">
        <v>400.0326</v>
      </c>
      <c r="S670" t="n">
        <v>0.00012906</v>
      </c>
      <c r="T670" t="n">
        <v>0.00019658</v>
      </c>
      <c r="U670" t="n">
        <v>1773.9266</v>
      </c>
      <c r="V670" t="inlineStr">
        <is>
          <t>Provided Total Emissions</t>
        </is>
      </c>
      <c r="W670" t="b">
        <v>1</v>
      </c>
      <c r="X670" t="n">
        <v>3039.9702</v>
      </c>
      <c r="Y670" t="n">
        <v>20610.7434</v>
      </c>
      <c r="Z670" t="n">
        <v>1266.0436</v>
      </c>
      <c r="AA670" t="n">
        <v>18836.8168</v>
      </c>
      <c r="AB670" t="n">
        <v>0.713696</v>
      </c>
      <c r="AC670" t="n">
        <v>10.618713</v>
      </c>
      <c r="AD670" t="inlineStr">
        <is>
          <t>High</t>
        </is>
      </c>
      <c r="AE670" t="inlineStr">
        <is>
          <t>None</t>
        </is>
      </c>
      <c r="AF670" t="n">
        <v>0.95</v>
      </c>
      <c r="AG670" t="inlineStr">
        <is>
          <t>Valid</t>
        </is>
      </c>
    </row>
    <row r="671">
      <c r="A671" t="inlineStr">
        <is>
          <t>SUP-0067</t>
        </is>
      </c>
      <c r="B671" t="inlineStr">
        <is>
          <t>Professional Supplier 067</t>
        </is>
      </c>
      <c r="C671" t="inlineStr">
        <is>
          <t>Professional Services</t>
        </is>
      </c>
      <c r="D671" t="n">
        <v>2024</v>
      </c>
      <c r="E671" t="n">
        <v>21150301.34</v>
      </c>
      <c r="F671" t="n">
        <v>151276455.11</v>
      </c>
      <c r="G671" t="n">
        <v>1476.7146</v>
      </c>
      <c r="H671" t="n">
        <v>295.2488</v>
      </c>
      <c r="I671" t="n">
        <v>192.0735</v>
      </c>
      <c r="J671" t="n">
        <v>897.9854</v>
      </c>
      <c r="K671" t="inlineStr"/>
      <c r="L671" t="inlineStr"/>
      <c r="M671" t="inlineStr"/>
      <c r="N671" t="inlineStr"/>
      <c r="O671" t="n">
        <v>2020</v>
      </c>
      <c r="P671" t="inlineStr"/>
      <c r="Q671" t="inlineStr"/>
      <c r="R671" t="n">
        <v>400.0326</v>
      </c>
      <c r="S671" t="n">
        <v>0.00012906</v>
      </c>
      <c r="T671" t="n">
        <v>0.00019658</v>
      </c>
      <c r="U671" t="n">
        <v>1476.7146</v>
      </c>
      <c r="V671" t="inlineStr">
        <is>
          <t>Provided Total Emissions</t>
        </is>
      </c>
      <c r="W671" t="b">
        <v>1</v>
      </c>
      <c r="X671" t="n">
        <v>2729.6579</v>
      </c>
      <c r="Y671" t="n">
        <v>29737.9255</v>
      </c>
      <c r="Z671" t="n">
        <v>1252.9433</v>
      </c>
      <c r="AA671" t="n">
        <v>28261.2109</v>
      </c>
      <c r="AB671" t="n">
        <v>0.848467</v>
      </c>
      <c r="AC671" t="n">
        <v>19.137896</v>
      </c>
      <c r="AD671" t="inlineStr">
        <is>
          <t>High</t>
        </is>
      </c>
      <c r="AE671" t="inlineStr">
        <is>
          <t>None</t>
        </is>
      </c>
      <c r="AF671" t="n">
        <v>0.95</v>
      </c>
      <c r="AG671" t="inlineStr">
        <is>
          <t>Valid</t>
        </is>
      </c>
    </row>
    <row r="672">
      <c r="A672" t="inlineStr">
        <is>
          <t>SUP-0068</t>
        </is>
      </c>
      <c r="B672" t="inlineStr">
        <is>
          <t>Agriculture Supplier 068</t>
        </is>
      </c>
      <c r="C672" t="inlineStr">
        <is>
          <t>Agriculture</t>
        </is>
      </c>
      <c r="D672" t="n">
        <v>2015</v>
      </c>
      <c r="E672" t="n">
        <v>18513783.52</v>
      </c>
      <c r="F672" t="n">
        <v>66916972.77</v>
      </c>
      <c r="G672" t="n">
        <v>18257.883</v>
      </c>
      <c r="H672" t="n">
        <v>2348.7144</v>
      </c>
      <c r="I672" t="n">
        <v>3147.3399</v>
      </c>
      <c r="J672" t="n">
        <v>13119.6701</v>
      </c>
      <c r="K672" t="inlineStr"/>
      <c r="L672" t="inlineStr"/>
      <c r="M672" t="inlineStr"/>
      <c r="N672" t="inlineStr"/>
      <c r="O672" t="n">
        <v>2018</v>
      </c>
      <c r="P672" t="inlineStr"/>
      <c r="Q672" t="inlineStr"/>
      <c r="R672" t="n">
        <v>529.8294</v>
      </c>
      <c r="S672" t="n">
        <v>0.00091413</v>
      </c>
      <c r="T672" t="n">
        <v>0.00096913</v>
      </c>
      <c r="U672" t="n">
        <v>18257.883</v>
      </c>
      <c r="V672" t="inlineStr">
        <is>
          <t>Provided Total Emissions</t>
        </is>
      </c>
      <c r="W672" t="b">
        <v>1</v>
      </c>
      <c r="X672" t="n">
        <v>16924.0049</v>
      </c>
      <c r="Y672" t="n">
        <v>64851.2458</v>
      </c>
      <c r="Z672" t="n">
        <v>-1333.8781</v>
      </c>
      <c r="AA672" t="n">
        <v>46593.3628</v>
      </c>
      <c r="AB672" t="n">
        <v>-0.073058</v>
      </c>
      <c r="AC672" t="n">
        <v>2.551959</v>
      </c>
      <c r="AD672" t="inlineStr">
        <is>
          <t>High</t>
        </is>
      </c>
      <c r="AE672" t="inlineStr">
        <is>
          <t>None</t>
        </is>
      </c>
      <c r="AF672" t="n">
        <v>0.95</v>
      </c>
      <c r="AG672" t="inlineStr">
        <is>
          <t>Valid</t>
        </is>
      </c>
    </row>
    <row r="673">
      <c r="A673" t="inlineStr">
        <is>
          <t>SUP-0068</t>
        </is>
      </c>
      <c r="B673" t="inlineStr">
        <is>
          <t>Agriculture Supplier 068</t>
        </is>
      </c>
      <c r="C673" t="inlineStr">
        <is>
          <t>Agriculture</t>
        </is>
      </c>
      <c r="D673" t="n">
        <v>2016</v>
      </c>
      <c r="E673" t="n">
        <v>21873685.28</v>
      </c>
      <c r="F673" t="n">
        <v>59968292.99</v>
      </c>
      <c r="G673" t="n">
        <v>21653.9413</v>
      </c>
      <c r="H673" t="n">
        <v>2716.6103</v>
      </c>
      <c r="I673" t="n">
        <v>1788.7716</v>
      </c>
      <c r="J673" t="n">
        <v>15602.6032</v>
      </c>
      <c r="K673" t="inlineStr"/>
      <c r="L673" t="inlineStr"/>
      <c r="M673" t="inlineStr"/>
      <c r="N673" t="inlineStr"/>
      <c r="O673" t="n">
        <v>2018</v>
      </c>
      <c r="P673" t="inlineStr"/>
      <c r="Q673" t="inlineStr"/>
      <c r="R673" t="n">
        <v>529.8294</v>
      </c>
      <c r="S673" t="n">
        <v>0.00091413</v>
      </c>
      <c r="T673" t="n">
        <v>0.00096913</v>
      </c>
      <c r="U673" t="n">
        <v>21653.9413</v>
      </c>
      <c r="V673" t="inlineStr">
        <is>
          <t>Provided Total Emissions</t>
        </is>
      </c>
      <c r="W673" t="b">
        <v>1</v>
      </c>
      <c r="X673" t="n">
        <v>19995.3919</v>
      </c>
      <c r="Y673" t="n">
        <v>58117.0718</v>
      </c>
      <c r="Z673" t="n">
        <v>-1658.5494</v>
      </c>
      <c r="AA673" t="n">
        <v>36463.1305</v>
      </c>
      <c r="AB673" t="n">
        <v>-0.07659299999999999</v>
      </c>
      <c r="AC673" t="n">
        <v>1.683903</v>
      </c>
      <c r="AD673" t="inlineStr">
        <is>
          <t>High</t>
        </is>
      </c>
      <c r="AE673" t="inlineStr">
        <is>
          <t>None</t>
        </is>
      </c>
      <c r="AF673" t="n">
        <v>0.95</v>
      </c>
      <c r="AG673" t="inlineStr">
        <is>
          <t>Valid</t>
        </is>
      </c>
    </row>
    <row r="674">
      <c r="A674" t="inlineStr">
        <is>
          <t>SUP-0068</t>
        </is>
      </c>
      <c r="B674" t="inlineStr">
        <is>
          <t>Agriculture Supplier 068</t>
        </is>
      </c>
      <c r="C674" t="inlineStr">
        <is>
          <t>Agriculture</t>
        </is>
      </c>
      <c r="D674" t="n">
        <v>2017</v>
      </c>
      <c r="E674" t="n">
        <v>18607354.27</v>
      </c>
      <c r="F674" t="n">
        <v>72012029.33</v>
      </c>
      <c r="G674" t="n">
        <v>19202.515</v>
      </c>
      <c r="H674" t="n">
        <v>1649.741</v>
      </c>
      <c r="I674" t="n">
        <v>1503.109</v>
      </c>
      <c r="J674" t="n">
        <v>15795.3854</v>
      </c>
      <c r="K674" t="inlineStr"/>
      <c r="L674" t="inlineStr"/>
      <c r="M674" t="inlineStr"/>
      <c r="N674" t="inlineStr"/>
      <c r="O674" t="n">
        <v>2018</v>
      </c>
      <c r="P674" t="inlineStr"/>
      <c r="Q674" t="inlineStr"/>
      <c r="R674" t="n">
        <v>529.8294</v>
      </c>
      <c r="S674" t="n">
        <v>0.00091413</v>
      </c>
      <c r="T674" t="n">
        <v>0.00096913</v>
      </c>
      <c r="U674" t="n">
        <v>19202.515</v>
      </c>
      <c r="V674" t="inlineStr">
        <is>
          <t>Provided Total Emissions</t>
        </is>
      </c>
      <c r="W674" t="b">
        <v>1</v>
      </c>
      <c r="X674" t="n">
        <v>17009.5408</v>
      </c>
      <c r="Y674" t="n">
        <v>69789.018</v>
      </c>
      <c r="Z674" t="n">
        <v>-2192.9742</v>
      </c>
      <c r="AA674" t="n">
        <v>50586.503</v>
      </c>
      <c r="AB674" t="n">
        <v>-0.114202</v>
      </c>
      <c r="AC674" t="n">
        <v>2.634369</v>
      </c>
      <c r="AD674" t="inlineStr">
        <is>
          <t>High</t>
        </is>
      </c>
      <c r="AE674" t="inlineStr">
        <is>
          <t>None</t>
        </is>
      </c>
      <c r="AF674" t="n">
        <v>0.95</v>
      </c>
      <c r="AG674" t="inlineStr">
        <is>
          <t>Valid</t>
        </is>
      </c>
    </row>
    <row r="675">
      <c r="A675" t="inlineStr">
        <is>
          <t>SUP-0068</t>
        </is>
      </c>
      <c r="B675" t="inlineStr">
        <is>
          <t>Agriculture Supplier 068</t>
        </is>
      </c>
      <c r="C675" t="inlineStr">
        <is>
          <t>Agriculture</t>
        </is>
      </c>
      <c r="D675" t="n">
        <v>2018</v>
      </c>
      <c r="E675" t="n">
        <v>18646548.89</v>
      </c>
      <c r="F675" t="n">
        <v>54440631.12</v>
      </c>
      <c r="G675" t="n">
        <v>20695.2167</v>
      </c>
      <c r="H675" t="n">
        <v>3256.6112</v>
      </c>
      <c r="I675" t="n">
        <v>3252.0533</v>
      </c>
      <c r="J675" t="n">
        <v>12825.8978</v>
      </c>
      <c r="K675" t="inlineStr"/>
      <c r="L675" t="inlineStr"/>
      <c r="M675" t="inlineStr"/>
      <c r="N675" t="inlineStr"/>
      <c r="O675" t="n">
        <v>2018</v>
      </c>
      <c r="P675" t="inlineStr"/>
      <c r="Q675" t="inlineStr"/>
      <c r="R675" t="n">
        <v>529.8294</v>
      </c>
      <c r="S675" t="n">
        <v>0.00091413</v>
      </c>
      <c r="T675" t="n">
        <v>0.00096913</v>
      </c>
      <c r="U675" t="n">
        <v>20695.2167</v>
      </c>
      <c r="V675" t="inlineStr">
        <is>
          <t>Provided Total Emissions</t>
        </is>
      </c>
      <c r="W675" t="b">
        <v>1</v>
      </c>
      <c r="X675" t="n">
        <v>17045.3697</v>
      </c>
      <c r="Y675" t="n">
        <v>52760.0488</v>
      </c>
      <c r="Z675" t="n">
        <v>-3649.847</v>
      </c>
      <c r="AA675" t="n">
        <v>32064.8321</v>
      </c>
      <c r="AB675" t="n">
        <v>-0.176362</v>
      </c>
      <c r="AC675" t="n">
        <v>1.549384</v>
      </c>
      <c r="AD675" t="inlineStr">
        <is>
          <t>High</t>
        </is>
      </c>
      <c r="AE675" t="inlineStr">
        <is>
          <t>None</t>
        </is>
      </c>
      <c r="AF675" t="n">
        <v>0.95</v>
      </c>
      <c r="AG675" t="inlineStr">
        <is>
          <t>Valid</t>
        </is>
      </c>
    </row>
    <row r="676">
      <c r="A676" t="inlineStr">
        <is>
          <t>SUP-0068</t>
        </is>
      </c>
      <c r="B676" t="inlineStr">
        <is>
          <t>Agriculture Supplier 068</t>
        </is>
      </c>
      <c r="C676" t="inlineStr">
        <is>
          <t>Agriculture</t>
        </is>
      </c>
      <c r="D676" t="n">
        <v>2019</v>
      </c>
      <c r="E676" t="n">
        <v>18252601.18</v>
      </c>
      <c r="F676" t="n">
        <v>66220041.42</v>
      </c>
      <c r="G676" t="n">
        <v>14475.8231</v>
      </c>
      <c r="H676" t="n">
        <v>1813.6172</v>
      </c>
      <c r="I676" t="n">
        <v>3455.4611</v>
      </c>
      <c r="J676" t="n">
        <v>10995.5501</v>
      </c>
      <c r="K676" t="inlineStr"/>
      <c r="L676" t="inlineStr"/>
      <c r="M676" t="inlineStr"/>
      <c r="N676" t="inlineStr"/>
      <c r="O676" t="n">
        <v>2018</v>
      </c>
      <c r="P676" t="inlineStr"/>
      <c r="Q676" t="inlineStr"/>
      <c r="R676" t="n">
        <v>529.8294</v>
      </c>
      <c r="S676" t="n">
        <v>0.00091413</v>
      </c>
      <c r="T676" t="n">
        <v>0.00096913</v>
      </c>
      <c r="U676" t="n">
        <v>14475.8231</v>
      </c>
      <c r="V676" t="inlineStr">
        <is>
          <t>Provided Total Emissions</t>
        </is>
      </c>
      <c r="W676" t="b">
        <v>1</v>
      </c>
      <c r="X676" t="n">
        <v>16685.2503</v>
      </c>
      <c r="Y676" t="n">
        <v>64175.8287</v>
      </c>
      <c r="Z676" t="n">
        <v>2209.4272</v>
      </c>
      <c r="AA676" t="n">
        <v>49700.0056</v>
      </c>
      <c r="AB676" t="n">
        <v>0.152629</v>
      </c>
      <c r="AC676" t="n">
        <v>3.433311</v>
      </c>
      <c r="AD676" t="inlineStr">
        <is>
          <t>High</t>
        </is>
      </c>
      <c r="AE676" t="inlineStr">
        <is>
          <t>None</t>
        </is>
      </c>
      <c r="AF676" t="n">
        <v>0.95</v>
      </c>
      <c r="AG676" t="inlineStr">
        <is>
          <t>Valid</t>
        </is>
      </c>
    </row>
    <row r="677">
      <c r="A677" t="inlineStr">
        <is>
          <t>SUP-0068</t>
        </is>
      </c>
      <c r="B677" t="inlineStr">
        <is>
          <t>Agriculture Supplier 068</t>
        </is>
      </c>
      <c r="C677" t="inlineStr">
        <is>
          <t>Agriculture</t>
        </is>
      </c>
      <c r="D677" t="n">
        <v>2020</v>
      </c>
      <c r="E677" t="n">
        <v>18599884.09</v>
      </c>
      <c r="F677" t="n">
        <v>56655845.94</v>
      </c>
      <c r="G677" t="n">
        <v>10178.3517</v>
      </c>
      <c r="H677" t="n">
        <v>1545.9435</v>
      </c>
      <c r="I677" t="n">
        <v>2172.6727</v>
      </c>
      <c r="J677" t="n">
        <v>6854.3338</v>
      </c>
      <c r="K677" t="inlineStr"/>
      <c r="L677" t="inlineStr"/>
      <c r="M677" t="inlineStr"/>
      <c r="N677" t="inlineStr"/>
      <c r="O677" t="n">
        <v>2018</v>
      </c>
      <c r="P677" t="inlineStr"/>
      <c r="Q677" t="inlineStr"/>
      <c r="R677" t="n">
        <v>529.8294</v>
      </c>
      <c r="S677" t="n">
        <v>0.00091413</v>
      </c>
      <c r="T677" t="n">
        <v>0.00096913</v>
      </c>
      <c r="U677" t="n">
        <v>10178.3517</v>
      </c>
      <c r="V677" t="inlineStr">
        <is>
          <t>Provided Total Emissions</t>
        </is>
      </c>
      <c r="W677" t="b">
        <v>1</v>
      </c>
      <c r="X677" t="n">
        <v>17002.712</v>
      </c>
      <c r="Y677" t="n">
        <v>54906.88</v>
      </c>
      <c r="Z677" t="n">
        <v>6824.3603</v>
      </c>
      <c r="AA677" t="n">
        <v>44728.5283</v>
      </c>
      <c r="AB677" t="n">
        <v>0.670478</v>
      </c>
      <c r="AC677" t="n">
        <v>4.394477</v>
      </c>
      <c r="AD677" t="inlineStr">
        <is>
          <t>High</t>
        </is>
      </c>
      <c r="AE677" t="inlineStr">
        <is>
          <t>None</t>
        </is>
      </c>
      <c r="AF677" t="n">
        <v>0.95</v>
      </c>
      <c r="AG677" t="inlineStr">
        <is>
          <t>Valid</t>
        </is>
      </c>
    </row>
    <row r="678">
      <c r="A678" t="inlineStr">
        <is>
          <t>SUP-0068</t>
        </is>
      </c>
      <c r="B678" t="inlineStr">
        <is>
          <t>Agriculture Supplier 068</t>
        </is>
      </c>
      <c r="C678" t="inlineStr">
        <is>
          <t>Agriculture</t>
        </is>
      </c>
      <c r="D678" t="n">
        <v>2021</v>
      </c>
      <c r="E678" t="n">
        <v>18800211.84</v>
      </c>
      <c r="F678" t="n">
        <v>60558721.85</v>
      </c>
      <c r="G678" t="n">
        <v>14929.9264</v>
      </c>
      <c r="H678" t="n">
        <v>3225.2797</v>
      </c>
      <c r="I678" t="n">
        <v>2178.1935</v>
      </c>
      <c r="J678" t="n">
        <v>9789.5515</v>
      </c>
      <c r="K678" t="inlineStr"/>
      <c r="L678" t="inlineStr"/>
      <c r="M678" t="inlineStr"/>
      <c r="N678" t="inlineStr"/>
      <c r="O678" t="n">
        <v>2018</v>
      </c>
      <c r="P678" t="inlineStr"/>
      <c r="Q678" t="inlineStr"/>
      <c r="R678" t="n">
        <v>529.8294</v>
      </c>
      <c r="S678" t="n">
        <v>0.00091413</v>
      </c>
      <c r="T678" t="n">
        <v>0.00096913</v>
      </c>
      <c r="U678" t="n">
        <v>14929.9264</v>
      </c>
      <c r="V678" t="inlineStr">
        <is>
          <t>Provided Total Emissions</t>
        </is>
      </c>
      <c r="W678" t="b">
        <v>1</v>
      </c>
      <c r="X678" t="n">
        <v>17185.8376</v>
      </c>
      <c r="Y678" t="n">
        <v>58689.2741</v>
      </c>
      <c r="Z678" t="n">
        <v>2255.9112</v>
      </c>
      <c r="AA678" t="n">
        <v>43759.3477</v>
      </c>
      <c r="AB678" t="n">
        <v>0.1511</v>
      </c>
      <c r="AC678" t="n">
        <v>2.930982</v>
      </c>
      <c r="AD678" t="inlineStr">
        <is>
          <t>High</t>
        </is>
      </c>
      <c r="AE678" t="inlineStr">
        <is>
          <t>None</t>
        </is>
      </c>
      <c r="AF678" t="n">
        <v>0.95</v>
      </c>
      <c r="AG678" t="inlineStr">
        <is>
          <t>Valid</t>
        </is>
      </c>
    </row>
    <row r="679">
      <c r="A679" t="inlineStr">
        <is>
          <t>SUP-0068</t>
        </is>
      </c>
      <c r="B679" t="inlineStr">
        <is>
          <t>Agriculture Supplier 068</t>
        </is>
      </c>
      <c r="C679" t="inlineStr">
        <is>
          <t>Agriculture</t>
        </is>
      </c>
      <c r="D679" t="n">
        <v>2022</v>
      </c>
      <c r="E679" t="n">
        <v>20073667.46</v>
      </c>
      <c r="F679" t="n">
        <v>68958102.8</v>
      </c>
      <c r="G679" t="n">
        <v>17736.1275</v>
      </c>
      <c r="H679" t="n">
        <v>4007.3683</v>
      </c>
      <c r="I679" t="n">
        <v>2828.7976</v>
      </c>
      <c r="J679" t="n">
        <v>10552.3944</v>
      </c>
      <c r="K679" t="inlineStr"/>
      <c r="L679" t="inlineStr"/>
      <c r="M679" t="inlineStr"/>
      <c r="N679" t="inlineStr"/>
      <c r="O679" t="n">
        <v>2018</v>
      </c>
      <c r="P679" t="inlineStr"/>
      <c r="Q679" t="inlineStr"/>
      <c r="R679" t="n">
        <v>529.8294</v>
      </c>
      <c r="S679" t="n">
        <v>0.00091413</v>
      </c>
      <c r="T679" t="n">
        <v>0.00096913</v>
      </c>
      <c r="U679" t="n">
        <v>17736.1275</v>
      </c>
      <c r="V679" t="inlineStr">
        <is>
          <t>Provided Total Emissions</t>
        </is>
      </c>
      <c r="W679" t="b">
        <v>1</v>
      </c>
      <c r="X679" t="n">
        <v>18349.9416</v>
      </c>
      <c r="Y679" t="n">
        <v>66829.3662</v>
      </c>
      <c r="Z679" t="n">
        <v>613.8141000000001</v>
      </c>
      <c r="AA679" t="n">
        <v>49093.2387</v>
      </c>
      <c r="AB679" t="n">
        <v>0.034608</v>
      </c>
      <c r="AC679" t="n">
        <v>2.76798</v>
      </c>
      <c r="AD679" t="inlineStr">
        <is>
          <t>High</t>
        </is>
      </c>
      <c r="AE679" t="inlineStr">
        <is>
          <t>None</t>
        </is>
      </c>
      <c r="AF679" t="n">
        <v>0.95</v>
      </c>
      <c r="AG679" t="inlineStr">
        <is>
          <t>Valid</t>
        </is>
      </c>
    </row>
    <row r="680">
      <c r="A680" t="inlineStr">
        <is>
          <t>SUP-0068</t>
        </is>
      </c>
      <c r="B680" t="inlineStr">
        <is>
          <t>Agriculture Supplier 068</t>
        </is>
      </c>
      <c r="C680" t="inlineStr">
        <is>
          <t>Agriculture</t>
        </is>
      </c>
      <c r="D680" t="n">
        <v>2023</v>
      </c>
      <c r="E680" t="n">
        <v>18028035.85</v>
      </c>
      <c r="F680" t="n">
        <v>52485681.36</v>
      </c>
      <c r="G680" t="n">
        <v>15050.6514</v>
      </c>
      <c r="H680" t="n">
        <v>1247.6667</v>
      </c>
      <c r="I680" t="n">
        <v>1483.5199</v>
      </c>
      <c r="J680" t="n">
        <v>11516.0747</v>
      </c>
      <c r="K680" t="inlineStr"/>
      <c r="L680" t="inlineStr"/>
      <c r="M680" t="inlineStr"/>
      <c r="N680" t="inlineStr"/>
      <c r="O680" t="n">
        <v>2018</v>
      </c>
      <c r="P680" t="inlineStr"/>
      <c r="Q680" t="inlineStr"/>
      <c r="R680" t="n">
        <v>529.8294</v>
      </c>
      <c r="S680" t="n">
        <v>0.00091413</v>
      </c>
      <c r="T680" t="n">
        <v>0.00096913</v>
      </c>
      <c r="U680" t="n">
        <v>15050.6514</v>
      </c>
      <c r="V680" t="inlineStr">
        <is>
          <t>Provided Total Emissions</t>
        </is>
      </c>
      <c r="W680" t="b">
        <v>1</v>
      </c>
      <c r="X680" t="n">
        <v>16479.9684</v>
      </c>
      <c r="Y680" t="n">
        <v>50865.4484</v>
      </c>
      <c r="Z680" t="n">
        <v>1429.317</v>
      </c>
      <c r="AA680" t="n">
        <v>35814.797</v>
      </c>
      <c r="AB680" t="n">
        <v>0.094967</v>
      </c>
      <c r="AC680" t="n">
        <v>2.379618</v>
      </c>
      <c r="AD680" t="inlineStr">
        <is>
          <t>High</t>
        </is>
      </c>
      <c r="AE680" t="inlineStr">
        <is>
          <t>None</t>
        </is>
      </c>
      <c r="AF680" t="n">
        <v>0.95</v>
      </c>
      <c r="AG680" t="inlineStr">
        <is>
          <t>Valid</t>
        </is>
      </c>
    </row>
    <row r="681">
      <c r="A681" t="inlineStr">
        <is>
          <t>SUP-0068</t>
        </is>
      </c>
      <c r="B681" t="inlineStr">
        <is>
          <t>Agriculture Supplier 068</t>
        </is>
      </c>
      <c r="C681" t="inlineStr">
        <is>
          <t>Agriculture</t>
        </is>
      </c>
      <c r="D681" t="n">
        <v>2024</v>
      </c>
      <c r="E681" t="n">
        <v>18949155.27</v>
      </c>
      <c r="F681" t="n">
        <v>62164621.18</v>
      </c>
      <c r="G681" t="n">
        <v>16061.3429</v>
      </c>
      <c r="H681" t="n">
        <v>1445.2497</v>
      </c>
      <c r="I681" t="n">
        <v>1900.8892</v>
      </c>
      <c r="J681" t="n">
        <v>13568.3448</v>
      </c>
      <c r="K681" t="inlineStr"/>
      <c r="L681" t="inlineStr"/>
      <c r="M681" t="inlineStr"/>
      <c r="N681" t="inlineStr"/>
      <c r="O681" t="n">
        <v>2018</v>
      </c>
      <c r="P681" t="inlineStr"/>
      <c r="Q681" t="inlineStr"/>
      <c r="R681" t="n">
        <v>529.8294</v>
      </c>
      <c r="S681" t="n">
        <v>0.00091413</v>
      </c>
      <c r="T681" t="n">
        <v>0.00096913</v>
      </c>
      <c r="U681" t="n">
        <v>16061.3429</v>
      </c>
      <c r="V681" t="inlineStr">
        <is>
          <t>Provided Total Emissions</t>
        </is>
      </c>
      <c r="W681" t="b">
        <v>1</v>
      </c>
      <c r="X681" t="n">
        <v>17321.9913</v>
      </c>
      <c r="Y681" t="n">
        <v>60245.5993</v>
      </c>
      <c r="Z681" t="n">
        <v>1260.6484</v>
      </c>
      <c r="AA681" t="n">
        <v>44184.2564</v>
      </c>
      <c r="AB681" t="n">
        <v>0.07849</v>
      </c>
      <c r="AC681" t="n">
        <v>2.750969</v>
      </c>
      <c r="AD681" t="inlineStr">
        <is>
          <t>High</t>
        </is>
      </c>
      <c r="AE681" t="inlineStr">
        <is>
          <t>None</t>
        </is>
      </c>
      <c r="AF681" t="n">
        <v>0.95</v>
      </c>
      <c r="AG681" t="inlineStr">
        <is>
          <t>Valid</t>
        </is>
      </c>
    </row>
    <row r="682">
      <c r="A682" t="inlineStr">
        <is>
          <t>SUP-0069</t>
        </is>
      </c>
      <c r="B682" t="inlineStr">
        <is>
          <t>Chemicals Supplier 069</t>
        </is>
      </c>
      <c r="C682" t="inlineStr">
        <is>
          <t>Chemicals</t>
        </is>
      </c>
      <c r="D682" t="n">
        <v>2015</v>
      </c>
      <c r="E682" t="n">
        <v>5465464.08</v>
      </c>
      <c r="F682" t="n">
        <v>33920083.54</v>
      </c>
      <c r="G682" t="n">
        <v>6379.6482</v>
      </c>
      <c r="H682" t="n">
        <v>1185.478</v>
      </c>
      <c r="I682" t="n">
        <v>428.2469</v>
      </c>
      <c r="J682" t="n">
        <v>4405.0267</v>
      </c>
      <c r="K682" t="inlineStr"/>
      <c r="L682" t="inlineStr"/>
      <c r="M682" t="inlineStr"/>
      <c r="N682" t="inlineStr"/>
      <c r="O682" t="n">
        <v>2019</v>
      </c>
      <c r="P682" t="n">
        <v>2035</v>
      </c>
      <c r="Q682" t="n">
        <v>0.5229</v>
      </c>
      <c r="R682" t="n">
        <v>506.3191</v>
      </c>
      <c r="S682" t="n">
        <v>0.00100149</v>
      </c>
      <c r="T682" t="n">
        <v>0.00047124</v>
      </c>
      <c r="U682" t="n">
        <v>6379.6482</v>
      </c>
      <c r="V682" t="inlineStr">
        <is>
          <t>Provided Total Emissions</t>
        </is>
      </c>
      <c r="W682" t="b">
        <v>1</v>
      </c>
      <c r="X682" t="n">
        <v>5473.6076</v>
      </c>
      <c r="Y682" t="n">
        <v>15984.5002</v>
      </c>
      <c r="Z682" t="n">
        <v>-906.0406</v>
      </c>
      <c r="AA682" t="n">
        <v>9604.852000000001</v>
      </c>
      <c r="AB682" t="n">
        <v>-0.14202</v>
      </c>
      <c r="AC682" t="n">
        <v>1.505546</v>
      </c>
      <c r="AD682" t="inlineStr">
        <is>
          <t>High</t>
        </is>
      </c>
      <c r="AE682" t="inlineStr">
        <is>
          <t>None</t>
        </is>
      </c>
      <c r="AF682" t="n">
        <v>0.95</v>
      </c>
      <c r="AG682" t="inlineStr">
        <is>
          <t>Valid</t>
        </is>
      </c>
    </row>
    <row r="683">
      <c r="A683" t="inlineStr">
        <is>
          <t>SUP-0069</t>
        </is>
      </c>
      <c r="B683" t="inlineStr">
        <is>
          <t>Chemicals Supplier 069</t>
        </is>
      </c>
      <c r="C683" t="inlineStr">
        <is>
          <t>Chemicals</t>
        </is>
      </c>
      <c r="D683" t="n">
        <v>2016</v>
      </c>
      <c r="E683" t="n">
        <v>5467862.58</v>
      </c>
      <c r="F683" t="n">
        <v>33237456.12</v>
      </c>
      <c r="G683" t="n">
        <v>5314.4978</v>
      </c>
      <c r="H683" t="n">
        <v>1072.1321</v>
      </c>
      <c r="I683" t="n">
        <v>974.1582</v>
      </c>
      <c r="J683" t="n">
        <v>3061.2793</v>
      </c>
      <c r="K683" t="inlineStr"/>
      <c r="L683" t="inlineStr"/>
      <c r="M683" t="inlineStr"/>
      <c r="N683" t="inlineStr"/>
      <c r="O683" t="n">
        <v>2019</v>
      </c>
      <c r="P683" t="n">
        <v>2035</v>
      </c>
      <c r="Q683" t="n">
        <v>0.5229</v>
      </c>
      <c r="R683" t="n">
        <v>506.3191</v>
      </c>
      <c r="S683" t="n">
        <v>0.00100149</v>
      </c>
      <c r="T683" t="n">
        <v>0.00047124</v>
      </c>
      <c r="U683" t="n">
        <v>5314.4978</v>
      </c>
      <c r="V683" t="inlineStr">
        <is>
          <t>Provided Total Emissions</t>
        </is>
      </c>
      <c r="W683" t="b">
        <v>1</v>
      </c>
      <c r="X683" t="n">
        <v>5476.0097</v>
      </c>
      <c r="Y683" t="n">
        <v>15662.8188</v>
      </c>
      <c r="Z683" t="n">
        <v>161.5119</v>
      </c>
      <c r="AA683" t="n">
        <v>10348.321</v>
      </c>
      <c r="AB683" t="n">
        <v>0.030391</v>
      </c>
      <c r="AC683" t="n">
        <v>1.947187</v>
      </c>
      <c r="AD683" t="inlineStr">
        <is>
          <t>High</t>
        </is>
      </c>
      <c r="AE683" t="inlineStr">
        <is>
          <t>None</t>
        </is>
      </c>
      <c r="AF683" t="n">
        <v>0.95</v>
      </c>
      <c r="AG683" t="inlineStr">
        <is>
          <t>Valid</t>
        </is>
      </c>
    </row>
    <row r="684">
      <c r="A684" t="inlineStr">
        <is>
          <t>SUP-0069</t>
        </is>
      </c>
      <c r="B684" t="inlineStr">
        <is>
          <t>Chemicals Supplier 069</t>
        </is>
      </c>
      <c r="C684" t="inlineStr">
        <is>
          <t>Chemicals</t>
        </is>
      </c>
      <c r="D684" t="n">
        <v>2017</v>
      </c>
      <c r="E684" t="n">
        <v>5000794.32</v>
      </c>
      <c r="F684" t="n">
        <v>35810337.56</v>
      </c>
      <c r="G684" t="n">
        <v>6332.5194</v>
      </c>
      <c r="H684" t="n">
        <v>1667.5336</v>
      </c>
      <c r="I684" t="n">
        <v>419.7029</v>
      </c>
      <c r="J684" t="n">
        <v>4258.0701</v>
      </c>
      <c r="K684" t="inlineStr"/>
      <c r="L684" t="inlineStr"/>
      <c r="M684" t="inlineStr"/>
      <c r="N684" t="inlineStr"/>
      <c r="O684" t="n">
        <v>2019</v>
      </c>
      <c r="P684" t="n">
        <v>2035</v>
      </c>
      <c r="Q684" t="n">
        <v>0.5229</v>
      </c>
      <c r="R684" t="n">
        <v>506.3191</v>
      </c>
      <c r="S684" t="n">
        <v>0.00100149</v>
      </c>
      <c r="T684" t="n">
        <v>0.00047124</v>
      </c>
      <c r="U684" t="n">
        <v>6332.5194</v>
      </c>
      <c r="V684" t="inlineStr">
        <is>
          <t>Provided Total Emissions</t>
        </is>
      </c>
      <c r="W684" t="b">
        <v>1</v>
      </c>
      <c r="X684" t="n">
        <v>5008.2455</v>
      </c>
      <c r="Y684" t="n">
        <v>16875.2635</v>
      </c>
      <c r="Z684" t="n">
        <v>-1324.2739</v>
      </c>
      <c r="AA684" t="n">
        <v>10542.7441</v>
      </c>
      <c r="AB684" t="n">
        <v>-0.209123</v>
      </c>
      <c r="AC684" t="n">
        <v>1.664858</v>
      </c>
      <c r="AD684" t="inlineStr">
        <is>
          <t>High</t>
        </is>
      </c>
      <c r="AE684" t="inlineStr">
        <is>
          <t>None</t>
        </is>
      </c>
      <c r="AF684" t="n">
        <v>0.95</v>
      </c>
      <c r="AG684" t="inlineStr">
        <is>
          <t>Valid</t>
        </is>
      </c>
    </row>
    <row r="685">
      <c r="A685" t="inlineStr">
        <is>
          <t>SUP-0069</t>
        </is>
      </c>
      <c r="B685" t="inlineStr">
        <is>
          <t>Chemicals Supplier 069</t>
        </is>
      </c>
      <c r="C685" t="inlineStr">
        <is>
          <t>Chemicals</t>
        </is>
      </c>
      <c r="D685" t="n">
        <v>2018</v>
      </c>
      <c r="E685" t="n">
        <v>5715548.27</v>
      </c>
      <c r="F685" t="n">
        <v>41301928.54</v>
      </c>
      <c r="G685" t="n">
        <v>5229.0996</v>
      </c>
      <c r="H685" t="n">
        <v>597.7381</v>
      </c>
      <c r="I685" t="n">
        <v>678.2804</v>
      </c>
      <c r="J685" t="n">
        <v>3778.6248</v>
      </c>
      <c r="K685" t="inlineStr"/>
      <c r="L685" t="inlineStr"/>
      <c r="M685" t="inlineStr"/>
      <c r="N685" t="inlineStr"/>
      <c r="O685" t="n">
        <v>2019</v>
      </c>
      <c r="P685" t="n">
        <v>2035</v>
      </c>
      <c r="Q685" t="n">
        <v>0.5229</v>
      </c>
      <c r="R685" t="n">
        <v>506.3191</v>
      </c>
      <c r="S685" t="n">
        <v>0.00100149</v>
      </c>
      <c r="T685" t="n">
        <v>0.00047124</v>
      </c>
      <c r="U685" t="n">
        <v>5229.0996</v>
      </c>
      <c r="V685" t="inlineStr">
        <is>
          <t>Provided Total Emissions</t>
        </is>
      </c>
      <c r="W685" t="b">
        <v>1</v>
      </c>
      <c r="X685" t="n">
        <v>5724.0644</v>
      </c>
      <c r="Y685" t="n">
        <v>19463.1208</v>
      </c>
      <c r="Z685" t="n">
        <v>494.9648</v>
      </c>
      <c r="AA685" t="n">
        <v>14234.0212</v>
      </c>
      <c r="AB685" t="n">
        <v>0.094656</v>
      </c>
      <c r="AC685" t="n">
        <v>2.722079</v>
      </c>
      <c r="AD685" t="inlineStr">
        <is>
          <t>High</t>
        </is>
      </c>
      <c r="AE685" t="inlineStr">
        <is>
          <t>None</t>
        </is>
      </c>
      <c r="AF685" t="n">
        <v>0.95</v>
      </c>
      <c r="AG685" t="inlineStr">
        <is>
          <t>Valid</t>
        </is>
      </c>
    </row>
    <row r="686">
      <c r="A686" t="inlineStr">
        <is>
          <t>SUP-0069</t>
        </is>
      </c>
      <c r="B686" t="inlineStr">
        <is>
          <t>Chemicals Supplier 069</t>
        </is>
      </c>
      <c r="C686" t="inlineStr">
        <is>
          <t>Chemicals</t>
        </is>
      </c>
      <c r="D686" t="n">
        <v>2019</v>
      </c>
      <c r="E686" t="n">
        <v>6634031.13</v>
      </c>
      <c r="F686" t="n">
        <v>25562518.17</v>
      </c>
      <c r="G686" t="n">
        <v>6264.6366</v>
      </c>
      <c r="H686" t="n">
        <v>734.728</v>
      </c>
      <c r="I686" t="n">
        <v>579.7041</v>
      </c>
      <c r="J686" t="n">
        <v>4752.7613</v>
      </c>
      <c r="K686" t="inlineStr"/>
      <c r="L686" t="inlineStr"/>
      <c r="M686" t="inlineStr"/>
      <c r="N686" t="inlineStr"/>
      <c r="O686" t="n">
        <v>2019</v>
      </c>
      <c r="P686" t="n">
        <v>2035</v>
      </c>
      <c r="Q686" t="n">
        <v>0.5229</v>
      </c>
      <c r="R686" t="n">
        <v>506.3191</v>
      </c>
      <c r="S686" t="n">
        <v>0.00100149</v>
      </c>
      <c r="T686" t="n">
        <v>0.00047124</v>
      </c>
      <c r="U686" t="n">
        <v>6264.6366</v>
      </c>
      <c r="V686" t="inlineStr">
        <is>
          <t>Provided Total Emissions</t>
        </is>
      </c>
      <c r="W686" t="b">
        <v>1</v>
      </c>
      <c r="X686" t="n">
        <v>6643.9158</v>
      </c>
      <c r="Y686" t="n">
        <v>12046.0811</v>
      </c>
      <c r="Z686" t="n">
        <v>379.2792</v>
      </c>
      <c r="AA686" t="n">
        <v>5781.4445</v>
      </c>
      <c r="AB686" t="n">
        <v>0.060543</v>
      </c>
      <c r="AC686" t="n">
        <v>0.92287</v>
      </c>
      <c r="AD686" t="inlineStr">
        <is>
          <t>High</t>
        </is>
      </c>
      <c r="AE686" t="inlineStr">
        <is>
          <t>None</t>
        </is>
      </c>
      <c r="AF686" t="n">
        <v>0.95</v>
      </c>
      <c r="AG686" t="inlineStr">
        <is>
          <t>Valid</t>
        </is>
      </c>
    </row>
    <row r="687">
      <c r="A687" t="inlineStr">
        <is>
          <t>SUP-0069</t>
        </is>
      </c>
      <c r="B687" t="inlineStr">
        <is>
          <t>Chemicals Supplier 069</t>
        </is>
      </c>
      <c r="C687" t="inlineStr">
        <is>
          <t>Chemicals</t>
        </is>
      </c>
      <c r="D687" t="n">
        <v>2020</v>
      </c>
      <c r="E687" t="n">
        <v>6621140.7</v>
      </c>
      <c r="F687" t="n">
        <v>35128467.24</v>
      </c>
      <c r="G687" t="n">
        <v>5636.5844</v>
      </c>
      <c r="H687" t="n">
        <v>792.0367</v>
      </c>
      <c r="I687" t="n">
        <v>1129.8197</v>
      </c>
      <c r="J687" t="n">
        <v>3870.8027</v>
      </c>
      <c r="K687" t="inlineStr"/>
      <c r="L687" t="inlineStr"/>
      <c r="M687" t="inlineStr"/>
      <c r="N687" t="inlineStr"/>
      <c r="O687" t="n">
        <v>2019</v>
      </c>
      <c r="P687" t="n">
        <v>2035</v>
      </c>
      <c r="Q687" t="n">
        <v>0.5229</v>
      </c>
      <c r="R687" t="n">
        <v>506.3191</v>
      </c>
      <c r="S687" t="n">
        <v>0.00100149</v>
      </c>
      <c r="T687" t="n">
        <v>0.00047124</v>
      </c>
      <c r="U687" t="n">
        <v>5636.5844</v>
      </c>
      <c r="V687" t="inlineStr">
        <is>
          <t>Provided Total Emissions</t>
        </is>
      </c>
      <c r="W687" t="b">
        <v>1</v>
      </c>
      <c r="X687" t="n">
        <v>6631.0062</v>
      </c>
      <c r="Y687" t="n">
        <v>16553.9389</v>
      </c>
      <c r="Z687" t="n">
        <v>994.4218</v>
      </c>
      <c r="AA687" t="n">
        <v>10917.3545</v>
      </c>
      <c r="AB687" t="n">
        <v>0.176423</v>
      </c>
      <c r="AC687" t="n">
        <v>1.936874</v>
      </c>
      <c r="AD687" t="inlineStr">
        <is>
          <t>High</t>
        </is>
      </c>
      <c r="AE687" t="inlineStr">
        <is>
          <t>None</t>
        </is>
      </c>
      <c r="AF687" t="n">
        <v>0.95</v>
      </c>
      <c r="AG687" t="inlineStr">
        <is>
          <t>Valid</t>
        </is>
      </c>
    </row>
    <row r="688">
      <c r="A688" t="inlineStr">
        <is>
          <t>SUP-0069</t>
        </is>
      </c>
      <c r="B688" t="inlineStr">
        <is>
          <t>Chemicals Supplier 069</t>
        </is>
      </c>
      <c r="C688" t="inlineStr">
        <is>
          <t>Chemicals</t>
        </is>
      </c>
      <c r="D688" t="n">
        <v>2021</v>
      </c>
      <c r="E688" t="n">
        <v>7117988.81</v>
      </c>
      <c r="F688" t="n">
        <v>45519100.41</v>
      </c>
      <c r="G688" t="n">
        <v>6038.6119</v>
      </c>
      <c r="H688" t="n">
        <v>627.7264</v>
      </c>
      <c r="I688" t="n">
        <v>1297.3225</v>
      </c>
      <c r="J688" t="n">
        <v>4405.9451</v>
      </c>
      <c r="K688" t="inlineStr"/>
      <c r="L688" t="inlineStr"/>
      <c r="M688" t="inlineStr"/>
      <c r="N688" t="inlineStr"/>
      <c r="O688" t="n">
        <v>2019</v>
      </c>
      <c r="P688" t="n">
        <v>2035</v>
      </c>
      <c r="Q688" t="n">
        <v>0.5229</v>
      </c>
      <c r="R688" t="n">
        <v>506.3191</v>
      </c>
      <c r="S688" t="n">
        <v>0.00100149</v>
      </c>
      <c r="T688" t="n">
        <v>0.00047124</v>
      </c>
      <c r="U688" t="n">
        <v>6038.6119</v>
      </c>
      <c r="V688" t="inlineStr">
        <is>
          <t>Provided Total Emissions</t>
        </is>
      </c>
      <c r="W688" t="b">
        <v>1</v>
      </c>
      <c r="X688" t="n">
        <v>7128.5946</v>
      </c>
      <c r="Y688" t="n">
        <v>21450.4209</v>
      </c>
      <c r="Z688" t="n">
        <v>1089.9827</v>
      </c>
      <c r="AA688" t="n">
        <v>15411.809</v>
      </c>
      <c r="AB688" t="n">
        <v>0.180502</v>
      </c>
      <c r="AC688" t="n">
        <v>2.552211</v>
      </c>
      <c r="AD688" t="inlineStr">
        <is>
          <t>High</t>
        </is>
      </c>
      <c r="AE688" t="inlineStr">
        <is>
          <t>None</t>
        </is>
      </c>
      <c r="AF688" t="n">
        <v>0.95</v>
      </c>
      <c r="AG688" t="inlineStr">
        <is>
          <t>Valid</t>
        </is>
      </c>
    </row>
    <row r="689">
      <c r="A689" t="inlineStr">
        <is>
          <t>SUP-0069</t>
        </is>
      </c>
      <c r="B689" t="inlineStr">
        <is>
          <t>Chemicals Supplier 069</t>
        </is>
      </c>
      <c r="C689" t="inlineStr">
        <is>
          <t>Chemicals</t>
        </is>
      </c>
      <c r="D689" t="n">
        <v>2022</v>
      </c>
      <c r="E689" t="n">
        <v>7690650.25</v>
      </c>
      <c r="F689" t="n">
        <v>42346828.48</v>
      </c>
      <c r="G689" t="n">
        <v>5480.1374</v>
      </c>
      <c r="H689" t="n">
        <v>537.1181</v>
      </c>
      <c r="I689" t="n">
        <v>373.0039</v>
      </c>
      <c r="J689" t="n">
        <v>4651.7707</v>
      </c>
      <c r="K689" t="inlineStr"/>
      <c r="L689" t="inlineStr"/>
      <c r="M689" t="inlineStr"/>
      <c r="N689" t="inlineStr"/>
      <c r="O689" t="n">
        <v>2019</v>
      </c>
      <c r="P689" t="n">
        <v>2035</v>
      </c>
      <c r="Q689" t="n">
        <v>0.5229</v>
      </c>
      <c r="R689" t="n">
        <v>506.3191</v>
      </c>
      <c r="S689" t="n">
        <v>0.00100149</v>
      </c>
      <c r="T689" t="n">
        <v>0.00047124</v>
      </c>
      <c r="U689" t="n">
        <v>5480.1374</v>
      </c>
      <c r="V689" t="inlineStr">
        <is>
          <t>Provided Total Emissions</t>
        </is>
      </c>
      <c r="W689" t="b">
        <v>1</v>
      </c>
      <c r="X689" t="n">
        <v>7702.1093</v>
      </c>
      <c r="Y689" t="n">
        <v>19955.5195</v>
      </c>
      <c r="Z689" t="n">
        <v>2221.9719</v>
      </c>
      <c r="AA689" t="n">
        <v>14475.3821</v>
      </c>
      <c r="AB689" t="n">
        <v>0.405459</v>
      </c>
      <c r="AC689" t="n">
        <v>2.641427</v>
      </c>
      <c r="AD689" t="inlineStr">
        <is>
          <t>High</t>
        </is>
      </c>
      <c r="AE689" t="inlineStr">
        <is>
          <t>None</t>
        </is>
      </c>
      <c r="AF689" t="n">
        <v>0.95</v>
      </c>
      <c r="AG689" t="inlineStr">
        <is>
          <t>Valid</t>
        </is>
      </c>
    </row>
    <row r="690">
      <c r="A690" t="inlineStr">
        <is>
          <t>SUP-0069</t>
        </is>
      </c>
      <c r="B690" t="inlineStr">
        <is>
          <t>Chemicals Supplier 069</t>
        </is>
      </c>
      <c r="C690" t="inlineStr">
        <is>
          <t>Chemicals</t>
        </is>
      </c>
      <c r="D690" t="n">
        <v>2023</v>
      </c>
      <c r="E690" t="n">
        <v>7195164.69</v>
      </c>
      <c r="F690" t="n">
        <v>39608280.52</v>
      </c>
      <c r="G690" t="n">
        <v>6686.1137</v>
      </c>
      <c r="H690" t="n">
        <v>1839.0444</v>
      </c>
      <c r="I690" t="n">
        <v>924.1332</v>
      </c>
      <c r="J690" t="n">
        <v>4276.9894</v>
      </c>
      <c r="K690" t="inlineStr"/>
      <c r="L690" t="inlineStr"/>
      <c r="M690" t="inlineStr"/>
      <c r="N690" t="inlineStr"/>
      <c r="O690" t="n">
        <v>2019</v>
      </c>
      <c r="P690" t="n">
        <v>2035</v>
      </c>
      <c r="Q690" t="n">
        <v>0.5229</v>
      </c>
      <c r="R690" t="n">
        <v>506.3191</v>
      </c>
      <c r="S690" t="n">
        <v>0.00100149</v>
      </c>
      <c r="T690" t="n">
        <v>0.00047124</v>
      </c>
      <c r="U690" t="n">
        <v>6686.1137</v>
      </c>
      <c r="V690" t="inlineStr">
        <is>
          <t>Provided Total Emissions</t>
        </is>
      </c>
      <c r="W690" t="b">
        <v>1</v>
      </c>
      <c r="X690" t="n">
        <v>7205.8855</v>
      </c>
      <c r="Y690" t="n">
        <v>18665.0061</v>
      </c>
      <c r="Z690" t="n">
        <v>519.7718</v>
      </c>
      <c r="AA690" t="n">
        <v>11978.8924</v>
      </c>
      <c r="AB690" t="n">
        <v>0.077739</v>
      </c>
      <c r="AC690" t="n">
        <v>1.791608</v>
      </c>
      <c r="AD690" t="inlineStr">
        <is>
          <t>High</t>
        </is>
      </c>
      <c r="AE690" t="inlineStr">
        <is>
          <t>None</t>
        </is>
      </c>
      <c r="AF690" t="n">
        <v>0.95</v>
      </c>
      <c r="AG690" t="inlineStr">
        <is>
          <t>Valid</t>
        </is>
      </c>
    </row>
    <row r="691">
      <c r="A691" t="inlineStr">
        <is>
          <t>SUP-0069</t>
        </is>
      </c>
      <c r="B691" t="inlineStr">
        <is>
          <t>Chemicals Supplier 069</t>
        </is>
      </c>
      <c r="C691" t="inlineStr">
        <is>
          <t>Chemicals</t>
        </is>
      </c>
      <c r="D691" t="n">
        <v>2024</v>
      </c>
      <c r="E691" t="n">
        <v>7337261.26</v>
      </c>
      <c r="F691" t="n">
        <v>51791399.73</v>
      </c>
      <c r="G691" t="n">
        <v>4541.1221</v>
      </c>
      <c r="H691" t="n">
        <v>1021.9259</v>
      </c>
      <c r="I691" t="n">
        <v>902.6064</v>
      </c>
      <c r="J691" t="n">
        <v>2893.9993</v>
      </c>
      <c r="K691" t="inlineStr"/>
      <c r="L691" t="inlineStr"/>
      <c r="M691" t="inlineStr"/>
      <c r="N691" t="inlineStr"/>
      <c r="O691" t="n">
        <v>2019</v>
      </c>
      <c r="P691" t="n">
        <v>2035</v>
      </c>
      <c r="Q691" t="n">
        <v>0.5229</v>
      </c>
      <c r="R691" t="n">
        <v>506.3191</v>
      </c>
      <c r="S691" t="n">
        <v>0.00100149</v>
      </c>
      <c r="T691" t="n">
        <v>0.00047124</v>
      </c>
      <c r="U691" t="n">
        <v>4541.1221</v>
      </c>
      <c r="V691" t="inlineStr">
        <is>
          <t>Provided Total Emissions</t>
        </is>
      </c>
      <c r="W691" t="b">
        <v>1</v>
      </c>
      <c r="X691" t="n">
        <v>7348.1938</v>
      </c>
      <c r="Y691" t="n">
        <v>24406.1792</v>
      </c>
      <c r="Z691" t="n">
        <v>2807.0717</v>
      </c>
      <c r="AA691" t="n">
        <v>19865.0571</v>
      </c>
      <c r="AB691" t="n">
        <v>0.6181449999999999</v>
      </c>
      <c r="AC691" t="n">
        <v>4.374482</v>
      </c>
      <c r="AD691" t="inlineStr">
        <is>
          <t>High</t>
        </is>
      </c>
      <c r="AE691" t="inlineStr">
        <is>
          <t>None</t>
        </is>
      </c>
      <c r="AF691" t="n">
        <v>0.95</v>
      </c>
      <c r="AG691" t="inlineStr">
        <is>
          <t>Valid</t>
        </is>
      </c>
    </row>
    <row r="692">
      <c r="A692" t="inlineStr">
        <is>
          <t>SUP-0070</t>
        </is>
      </c>
      <c r="B692" t="inlineStr">
        <is>
          <t>Agriculture Supplier 070</t>
        </is>
      </c>
      <c r="C692" t="inlineStr">
        <is>
          <t>Agriculture</t>
        </is>
      </c>
      <c r="D692" t="n">
        <v>2015</v>
      </c>
      <c r="E692" t="n">
        <v>1375042.58</v>
      </c>
      <c r="F692" t="n">
        <v>5571678.37</v>
      </c>
      <c r="G692" t="n">
        <v>941.8647999999999</v>
      </c>
      <c r="H692" t="n">
        <v>80.00920000000001</v>
      </c>
      <c r="I692" t="n">
        <v>172.6739</v>
      </c>
      <c r="J692" t="n">
        <v>721.1348</v>
      </c>
      <c r="K692" t="n">
        <v>2020</v>
      </c>
      <c r="L692" t="n">
        <v>2035</v>
      </c>
      <c r="M692" t="n">
        <v>0.5262</v>
      </c>
      <c r="N692" t="n">
        <v>0.2341</v>
      </c>
      <c r="O692" t="n">
        <v>2018</v>
      </c>
      <c r="P692" t="inlineStr"/>
      <c r="Q692" t="inlineStr"/>
      <c r="R692" t="n">
        <v>529.8294</v>
      </c>
      <c r="S692" t="n">
        <v>0.00091413</v>
      </c>
      <c r="T692" t="n">
        <v>0.00096913</v>
      </c>
      <c r="U692" t="n">
        <v>941.8647999999999</v>
      </c>
      <c r="V692" t="inlineStr">
        <is>
          <t>Provided Total Emissions</t>
        </is>
      </c>
      <c r="W692" t="b">
        <v>1</v>
      </c>
      <c r="X692" t="n">
        <v>1256.9677</v>
      </c>
      <c r="Y692" t="n">
        <v>5399.6807</v>
      </c>
      <c r="Z692" t="n">
        <v>315.1029</v>
      </c>
      <c r="AA692" t="n">
        <v>4457.8159</v>
      </c>
      <c r="AB692" t="n">
        <v>0.334552</v>
      </c>
      <c r="AC692" t="n">
        <v>4.732968</v>
      </c>
      <c r="AD692" t="inlineStr">
        <is>
          <t>High</t>
        </is>
      </c>
      <c r="AE692" t="inlineStr">
        <is>
          <t>None</t>
        </is>
      </c>
      <c r="AF692" t="n">
        <v>0.95</v>
      </c>
      <c r="AG692" t="inlineStr">
        <is>
          <t>Valid</t>
        </is>
      </c>
    </row>
    <row r="693">
      <c r="A693" t="inlineStr">
        <is>
          <t>SUP-0070</t>
        </is>
      </c>
      <c r="B693" t="inlineStr">
        <is>
          <t>Agriculture Supplier 070</t>
        </is>
      </c>
      <c r="C693" t="inlineStr">
        <is>
          <t>Agriculture</t>
        </is>
      </c>
      <c r="D693" t="n">
        <v>2016</v>
      </c>
      <c r="E693" t="n">
        <v>1652866.05</v>
      </c>
      <c r="F693" t="n">
        <v>4724171.33</v>
      </c>
      <c r="G693" t="n">
        <v>1152.599</v>
      </c>
      <c r="H693" t="n">
        <v>188.7866</v>
      </c>
      <c r="I693" t="n">
        <v>72.99460000000001</v>
      </c>
      <c r="J693" t="n">
        <v>992.9045</v>
      </c>
      <c r="K693" t="n">
        <v>2020</v>
      </c>
      <c r="L693" t="n">
        <v>2035</v>
      </c>
      <c r="M693" t="n">
        <v>0.5262</v>
      </c>
      <c r="N693" t="n">
        <v>0.2341</v>
      </c>
      <c r="O693" t="n">
        <v>2018</v>
      </c>
      <c r="P693" t="inlineStr"/>
      <c r="Q693" t="inlineStr"/>
      <c r="R693" t="n">
        <v>529.8294</v>
      </c>
      <c r="S693" t="n">
        <v>0.00091413</v>
      </c>
      <c r="T693" t="n">
        <v>0.00096913</v>
      </c>
      <c r="U693" t="n">
        <v>1152.599</v>
      </c>
      <c r="V693" t="inlineStr">
        <is>
          <t>Provided Total Emissions</t>
        </is>
      </c>
      <c r="W693" t="b">
        <v>1</v>
      </c>
      <c r="X693" t="n">
        <v>1510.9344</v>
      </c>
      <c r="Y693" t="n">
        <v>4578.3362</v>
      </c>
      <c r="Z693" t="n">
        <v>358.3354</v>
      </c>
      <c r="AA693" t="n">
        <v>3425.7372</v>
      </c>
      <c r="AB693" t="n">
        <v>0.310893</v>
      </c>
      <c r="AC693" t="n">
        <v>2.972185</v>
      </c>
      <c r="AD693" t="inlineStr">
        <is>
          <t>High</t>
        </is>
      </c>
      <c r="AE693" t="inlineStr">
        <is>
          <t>None</t>
        </is>
      </c>
      <c r="AF693" t="n">
        <v>0.95</v>
      </c>
      <c r="AG693" t="inlineStr">
        <is>
          <t>Valid</t>
        </is>
      </c>
    </row>
    <row r="694">
      <c r="A694" t="inlineStr">
        <is>
          <t>SUP-0070</t>
        </is>
      </c>
      <c r="B694" t="inlineStr">
        <is>
          <t>Agriculture Supplier 070</t>
        </is>
      </c>
      <c r="C694" t="inlineStr">
        <is>
          <t>Agriculture</t>
        </is>
      </c>
      <c r="D694" t="n">
        <v>2017</v>
      </c>
      <c r="E694" t="n">
        <v>1701465.96</v>
      </c>
      <c r="F694" t="n">
        <v>5605173.95</v>
      </c>
      <c r="G694" t="n">
        <v>1392.1278</v>
      </c>
      <c r="H694" t="n">
        <v>229.8678</v>
      </c>
      <c r="I694" t="n">
        <v>132.9286</v>
      </c>
      <c r="J694" t="n">
        <v>997.1272</v>
      </c>
      <c r="K694" t="n">
        <v>2020</v>
      </c>
      <c r="L694" t="n">
        <v>2035</v>
      </c>
      <c r="M694" t="n">
        <v>0.5262</v>
      </c>
      <c r="N694" t="n">
        <v>0.2341</v>
      </c>
      <c r="O694" t="n">
        <v>2018</v>
      </c>
      <c r="P694" t="inlineStr"/>
      <c r="Q694" t="inlineStr"/>
      <c r="R694" t="n">
        <v>529.8294</v>
      </c>
      <c r="S694" t="n">
        <v>0.00091413</v>
      </c>
      <c r="T694" t="n">
        <v>0.00096913</v>
      </c>
      <c r="U694" t="n">
        <v>1392.1278</v>
      </c>
      <c r="V694" t="inlineStr">
        <is>
          <t>Provided Total Emissions</t>
        </is>
      </c>
      <c r="W694" t="b">
        <v>1</v>
      </c>
      <c r="X694" t="n">
        <v>1555.3611</v>
      </c>
      <c r="Y694" t="n">
        <v>5432.1422</v>
      </c>
      <c r="Z694" t="n">
        <v>163.2333</v>
      </c>
      <c r="AA694" t="n">
        <v>4040.0144</v>
      </c>
      <c r="AB694" t="n">
        <v>0.117255</v>
      </c>
      <c r="AC694" t="n">
        <v>2.902043</v>
      </c>
      <c r="AD694" t="inlineStr">
        <is>
          <t>High</t>
        </is>
      </c>
      <c r="AE694" t="inlineStr">
        <is>
          <t>None</t>
        </is>
      </c>
      <c r="AF694" t="n">
        <v>0.95</v>
      </c>
      <c r="AG694" t="inlineStr">
        <is>
          <t>Valid</t>
        </is>
      </c>
    </row>
    <row r="695">
      <c r="A695" t="inlineStr">
        <is>
          <t>SUP-0070</t>
        </is>
      </c>
      <c r="B695" t="inlineStr">
        <is>
          <t>Agriculture Supplier 070</t>
        </is>
      </c>
      <c r="C695" t="inlineStr">
        <is>
          <t>Agriculture</t>
        </is>
      </c>
      <c r="D695" t="n">
        <v>2018</v>
      </c>
      <c r="E695" t="n">
        <v>1484793.07</v>
      </c>
      <c r="F695" t="n">
        <v>6238823.75</v>
      </c>
      <c r="G695" t="n">
        <v>1085.2951</v>
      </c>
      <c r="H695" t="n">
        <v>139.8256</v>
      </c>
      <c r="I695" t="n">
        <v>62.6339</v>
      </c>
      <c r="J695" t="n">
        <v>814.4272</v>
      </c>
      <c r="K695" t="n">
        <v>2020</v>
      </c>
      <c r="L695" t="n">
        <v>2035</v>
      </c>
      <c r="M695" t="n">
        <v>0.5262</v>
      </c>
      <c r="N695" t="n">
        <v>0.2341</v>
      </c>
      <c r="O695" t="n">
        <v>2018</v>
      </c>
      <c r="P695" t="inlineStr"/>
      <c r="Q695" t="inlineStr"/>
      <c r="R695" t="n">
        <v>529.8294</v>
      </c>
      <c r="S695" t="n">
        <v>0.00091413</v>
      </c>
      <c r="T695" t="n">
        <v>0.00096913</v>
      </c>
      <c r="U695" t="n">
        <v>1085.2951</v>
      </c>
      <c r="V695" t="inlineStr">
        <is>
          <t>Provided Total Emissions</t>
        </is>
      </c>
      <c r="W695" t="b">
        <v>1</v>
      </c>
      <c r="X695" t="n">
        <v>1357.2939</v>
      </c>
      <c r="Y695" t="n">
        <v>6046.2313</v>
      </c>
      <c r="Z695" t="n">
        <v>271.9988</v>
      </c>
      <c r="AA695" t="n">
        <v>4960.9362</v>
      </c>
      <c r="AB695" t="n">
        <v>0.250622</v>
      </c>
      <c r="AC695" t="n">
        <v>4.571048</v>
      </c>
      <c r="AD695" t="inlineStr">
        <is>
          <t>High</t>
        </is>
      </c>
      <c r="AE695" t="inlineStr">
        <is>
          <t>None</t>
        </is>
      </c>
      <c r="AF695" t="n">
        <v>0.95</v>
      </c>
      <c r="AG695" t="inlineStr">
        <is>
          <t>Valid</t>
        </is>
      </c>
    </row>
    <row r="696">
      <c r="A696" t="inlineStr">
        <is>
          <t>SUP-0070</t>
        </is>
      </c>
      <c r="B696" t="inlineStr">
        <is>
          <t>Agriculture Supplier 070</t>
        </is>
      </c>
      <c r="C696" t="inlineStr">
        <is>
          <t>Agriculture</t>
        </is>
      </c>
      <c r="D696" t="n">
        <v>2019</v>
      </c>
      <c r="E696" t="n">
        <v>1783163.67</v>
      </c>
      <c r="F696" t="n">
        <v>6785150.48</v>
      </c>
      <c r="G696" t="n">
        <v>977.9648999999999</v>
      </c>
      <c r="H696" t="n">
        <v>176.7909</v>
      </c>
      <c r="I696" t="n">
        <v>220.7979</v>
      </c>
      <c r="J696" t="n">
        <v>584.1249</v>
      </c>
      <c r="K696" t="n">
        <v>2020</v>
      </c>
      <c r="L696" t="n">
        <v>2035</v>
      </c>
      <c r="M696" t="n">
        <v>0.5262</v>
      </c>
      <c r="N696" t="n">
        <v>0.2341</v>
      </c>
      <c r="O696" t="n">
        <v>2018</v>
      </c>
      <c r="P696" t="inlineStr"/>
      <c r="Q696" t="inlineStr"/>
      <c r="R696" t="n">
        <v>529.8294</v>
      </c>
      <c r="S696" t="n">
        <v>0.00091413</v>
      </c>
      <c r="T696" t="n">
        <v>0.00096913</v>
      </c>
      <c r="U696" t="n">
        <v>977.9648999999999</v>
      </c>
      <c r="V696" t="inlineStr">
        <is>
          <t>Provided Total Emissions</t>
        </is>
      </c>
      <c r="W696" t="b">
        <v>1</v>
      </c>
      <c r="X696" t="n">
        <v>1630.0434</v>
      </c>
      <c r="Y696" t="n">
        <v>6575.6929</v>
      </c>
      <c r="Z696" t="n">
        <v>652.0785</v>
      </c>
      <c r="AA696" t="n">
        <v>5597.728</v>
      </c>
      <c r="AB696" t="n">
        <v>0.666771</v>
      </c>
      <c r="AC696" t="n">
        <v>5.723854</v>
      </c>
      <c r="AD696" t="inlineStr">
        <is>
          <t>High</t>
        </is>
      </c>
      <c r="AE696" t="inlineStr">
        <is>
          <t>None</t>
        </is>
      </c>
      <c r="AF696" t="n">
        <v>0.95</v>
      </c>
      <c r="AG696" t="inlineStr">
        <is>
          <t>Valid</t>
        </is>
      </c>
    </row>
    <row r="697">
      <c r="A697" t="inlineStr">
        <is>
          <t>SUP-0070</t>
        </is>
      </c>
      <c r="B697" t="inlineStr">
        <is>
          <t>Agriculture Supplier 070</t>
        </is>
      </c>
      <c r="C697" t="inlineStr">
        <is>
          <t>Agriculture</t>
        </is>
      </c>
      <c r="D697" t="n">
        <v>2020</v>
      </c>
      <c r="E697" t="n">
        <v>1775564.61</v>
      </c>
      <c r="F697" t="n">
        <v>5902376.3</v>
      </c>
      <c r="G697" t="n">
        <v>1108.6892</v>
      </c>
      <c r="H697" t="n">
        <v>249.1961</v>
      </c>
      <c r="I697" t="n">
        <v>237.0501</v>
      </c>
      <c r="J697" t="n">
        <v>657.0151</v>
      </c>
      <c r="K697" t="n">
        <v>2020</v>
      </c>
      <c r="L697" t="n">
        <v>2035</v>
      </c>
      <c r="M697" t="n">
        <v>0.5262</v>
      </c>
      <c r="N697" t="n">
        <v>0.2341</v>
      </c>
      <c r="O697" t="n">
        <v>2018</v>
      </c>
      <c r="P697" t="inlineStr"/>
      <c r="Q697" t="inlineStr"/>
      <c r="R697" t="n">
        <v>529.8294</v>
      </c>
      <c r="S697" t="n">
        <v>0.00091413</v>
      </c>
      <c r="T697" t="n">
        <v>0.00096913</v>
      </c>
      <c r="U697" t="n">
        <v>1108.6892</v>
      </c>
      <c r="V697" t="inlineStr">
        <is>
          <t>Provided Total Emissions</t>
        </is>
      </c>
      <c r="W697" t="b">
        <v>1</v>
      </c>
      <c r="X697" t="n">
        <v>1623.0969</v>
      </c>
      <c r="Y697" t="n">
        <v>5720.1699</v>
      </c>
      <c r="Z697" t="n">
        <v>514.4077</v>
      </c>
      <c r="AA697" t="n">
        <v>4611.4807</v>
      </c>
      <c r="AB697" t="n">
        <v>0.463978</v>
      </c>
      <c r="AC697" t="n">
        <v>4.159399</v>
      </c>
      <c r="AD697" t="inlineStr">
        <is>
          <t>High</t>
        </is>
      </c>
      <c r="AE697" t="inlineStr">
        <is>
          <t>None</t>
        </is>
      </c>
      <c r="AF697" t="n">
        <v>0.95</v>
      </c>
      <c r="AG697" t="inlineStr">
        <is>
          <t>Valid</t>
        </is>
      </c>
    </row>
    <row r="698">
      <c r="A698" t="inlineStr">
        <is>
          <t>SUP-0070</t>
        </is>
      </c>
      <c r="B698" t="inlineStr">
        <is>
          <t>Agriculture Supplier 070</t>
        </is>
      </c>
      <c r="C698" t="inlineStr">
        <is>
          <t>Agriculture</t>
        </is>
      </c>
      <c r="D698" t="n">
        <v>2021</v>
      </c>
      <c r="E698" t="n">
        <v>1775726.42</v>
      </c>
      <c r="F698" t="n">
        <v>5954332.68</v>
      </c>
      <c r="G698" t="n">
        <v>1318.4728</v>
      </c>
      <c r="H698" t="n">
        <v>303.1162</v>
      </c>
      <c r="I698" t="n">
        <v>277.1492</v>
      </c>
      <c r="J698" t="n">
        <v>724.1574000000001</v>
      </c>
      <c r="K698" t="n">
        <v>2020</v>
      </c>
      <c r="L698" t="n">
        <v>2035</v>
      </c>
      <c r="M698" t="n">
        <v>0.5262</v>
      </c>
      <c r="N698" t="n">
        <v>0.2341</v>
      </c>
      <c r="O698" t="n">
        <v>2018</v>
      </c>
      <c r="P698" t="inlineStr"/>
      <c r="Q698" t="inlineStr"/>
      <c r="R698" t="n">
        <v>529.8294</v>
      </c>
      <c r="S698" t="n">
        <v>0.00091413</v>
      </c>
      <c r="T698" t="n">
        <v>0.00096913</v>
      </c>
      <c r="U698" t="n">
        <v>1318.4728</v>
      </c>
      <c r="V698" t="inlineStr">
        <is>
          <t>Provided Total Emissions</t>
        </is>
      </c>
      <c r="W698" t="b">
        <v>1</v>
      </c>
      <c r="X698" t="n">
        <v>1623.2448</v>
      </c>
      <c r="Y698" t="n">
        <v>5770.5224</v>
      </c>
      <c r="Z698" t="n">
        <v>304.772</v>
      </c>
      <c r="AA698" t="n">
        <v>4452.0496</v>
      </c>
      <c r="AB698" t="n">
        <v>0.231155</v>
      </c>
      <c r="AC698" t="n">
        <v>3.376672</v>
      </c>
      <c r="AD698" t="inlineStr">
        <is>
          <t>High</t>
        </is>
      </c>
      <c r="AE698" t="inlineStr">
        <is>
          <t>None</t>
        </is>
      </c>
      <c r="AF698" t="n">
        <v>0.95</v>
      </c>
      <c r="AG698" t="inlineStr">
        <is>
          <t>Valid</t>
        </is>
      </c>
    </row>
    <row r="699">
      <c r="A699" t="inlineStr">
        <is>
          <t>SUP-0070</t>
        </is>
      </c>
      <c r="B699" t="inlineStr">
        <is>
          <t>Agriculture Supplier 070</t>
        </is>
      </c>
      <c r="C699" t="inlineStr">
        <is>
          <t>Agriculture</t>
        </is>
      </c>
      <c r="D699" t="n">
        <v>2022</v>
      </c>
      <c r="E699" t="n">
        <v>1788186.29</v>
      </c>
      <c r="F699" t="n">
        <v>7690777.36</v>
      </c>
      <c r="G699" t="n">
        <v>1029.4723</v>
      </c>
      <c r="H699" t="n">
        <v>187.9748</v>
      </c>
      <c r="I699" t="n">
        <v>235.2314</v>
      </c>
      <c r="J699" t="n">
        <v>691.3718</v>
      </c>
      <c r="K699" t="n">
        <v>2020</v>
      </c>
      <c r="L699" t="n">
        <v>2035</v>
      </c>
      <c r="M699" t="n">
        <v>0.5262</v>
      </c>
      <c r="N699" t="n">
        <v>0.2341</v>
      </c>
      <c r="O699" t="n">
        <v>2018</v>
      </c>
      <c r="P699" t="inlineStr"/>
      <c r="Q699" t="inlineStr"/>
      <c r="R699" t="n">
        <v>529.8294</v>
      </c>
      <c r="S699" t="n">
        <v>0.00091413</v>
      </c>
      <c r="T699" t="n">
        <v>0.00096913</v>
      </c>
      <c r="U699" t="n">
        <v>1029.4723</v>
      </c>
      <c r="V699" t="inlineStr">
        <is>
          <t>Provided Total Emissions</t>
        </is>
      </c>
      <c r="W699" t="b">
        <v>1</v>
      </c>
      <c r="X699" t="n">
        <v>1634.6347</v>
      </c>
      <c r="Y699" t="n">
        <v>7453.3631</v>
      </c>
      <c r="Z699" t="n">
        <v>605.1624</v>
      </c>
      <c r="AA699" t="n">
        <v>6423.8908</v>
      </c>
      <c r="AB699" t="n">
        <v>0.587838</v>
      </c>
      <c r="AC699" t="n">
        <v>6.239984</v>
      </c>
      <c r="AD699" t="inlineStr">
        <is>
          <t>High</t>
        </is>
      </c>
      <c r="AE699" t="inlineStr">
        <is>
          <t>None</t>
        </is>
      </c>
      <c r="AF699" t="n">
        <v>0.95</v>
      </c>
      <c r="AG699" t="inlineStr">
        <is>
          <t>Valid</t>
        </is>
      </c>
    </row>
    <row r="700">
      <c r="A700" t="inlineStr">
        <is>
          <t>SUP-0070</t>
        </is>
      </c>
      <c r="B700" t="inlineStr">
        <is>
          <t>Agriculture Supplier 070</t>
        </is>
      </c>
      <c r="C700" t="inlineStr">
        <is>
          <t>Agriculture</t>
        </is>
      </c>
      <c r="D700" t="n">
        <v>2023</v>
      </c>
      <c r="E700" t="n">
        <v>1806214.5</v>
      </c>
      <c r="F700" t="n">
        <v>4842678.04</v>
      </c>
      <c r="G700" t="n">
        <v>1068.5917</v>
      </c>
      <c r="H700" t="n">
        <v>193.1409</v>
      </c>
      <c r="I700" t="n">
        <v>79.4084</v>
      </c>
      <c r="J700" t="n">
        <v>713.1055</v>
      </c>
      <c r="K700" t="n">
        <v>2020</v>
      </c>
      <c r="L700" t="n">
        <v>2035</v>
      </c>
      <c r="M700" t="n">
        <v>0.5262</v>
      </c>
      <c r="N700" t="n">
        <v>0.2341</v>
      </c>
      <c r="O700" t="n">
        <v>2018</v>
      </c>
      <c r="P700" t="inlineStr"/>
      <c r="Q700" t="inlineStr"/>
      <c r="R700" t="n">
        <v>529.8294</v>
      </c>
      <c r="S700" t="n">
        <v>0.00091413</v>
      </c>
      <c r="T700" t="n">
        <v>0.00096913</v>
      </c>
      <c r="U700" t="n">
        <v>1068.5917</v>
      </c>
      <c r="V700" t="inlineStr">
        <is>
          <t>Provided Total Emissions</t>
        </is>
      </c>
      <c r="W700" t="b">
        <v>1</v>
      </c>
      <c r="X700" t="n">
        <v>1651.1149</v>
      </c>
      <c r="Y700" t="n">
        <v>4693.1846</v>
      </c>
      <c r="Z700" t="n">
        <v>582.5232</v>
      </c>
      <c r="AA700" t="n">
        <v>3624.5929</v>
      </c>
      <c r="AB700" t="n">
        <v>0.5451319999999999</v>
      </c>
      <c r="AC700" t="n">
        <v>3.391934</v>
      </c>
      <c r="AD700" t="inlineStr">
        <is>
          <t>High</t>
        </is>
      </c>
      <c r="AE700" t="inlineStr">
        <is>
          <t>None</t>
        </is>
      </c>
      <c r="AF700" t="n">
        <v>0.95</v>
      </c>
      <c r="AG700" t="inlineStr">
        <is>
          <t>Valid</t>
        </is>
      </c>
    </row>
    <row r="701">
      <c r="A701" t="inlineStr">
        <is>
          <t>SUP-0070</t>
        </is>
      </c>
      <c r="B701" t="inlineStr">
        <is>
          <t>Agriculture Supplier 070</t>
        </is>
      </c>
      <c r="C701" t="inlineStr">
        <is>
          <t>Agriculture</t>
        </is>
      </c>
      <c r="D701" t="n">
        <v>2024</v>
      </c>
      <c r="E701" t="n">
        <v>1745636.25</v>
      </c>
      <c r="F701" t="n">
        <v>6872336.88</v>
      </c>
      <c r="G701" t="n">
        <v>1092.2372</v>
      </c>
      <c r="H701" t="n">
        <v>320.9355</v>
      </c>
      <c r="I701" t="n">
        <v>78.02849999999999</v>
      </c>
      <c r="J701" t="n">
        <v>725.5937</v>
      </c>
      <c r="K701" t="n">
        <v>2020</v>
      </c>
      <c r="L701" t="n">
        <v>2035</v>
      </c>
      <c r="M701" t="n">
        <v>0.5262</v>
      </c>
      <c r="N701" t="n">
        <v>0.2341</v>
      </c>
      <c r="O701" t="n">
        <v>2018</v>
      </c>
      <c r="P701" t="inlineStr"/>
      <c r="Q701" t="inlineStr"/>
      <c r="R701" t="n">
        <v>529.8294</v>
      </c>
      <c r="S701" t="n">
        <v>0.00091413</v>
      </c>
      <c r="T701" t="n">
        <v>0.00096913</v>
      </c>
      <c r="U701" t="n">
        <v>1092.2372</v>
      </c>
      <c r="V701" t="inlineStr">
        <is>
          <t>Provided Total Emissions</t>
        </is>
      </c>
      <c r="W701" t="b">
        <v>1</v>
      </c>
      <c r="X701" t="n">
        <v>1595.7385</v>
      </c>
      <c r="Y701" t="n">
        <v>6660.1878</v>
      </c>
      <c r="Z701" t="n">
        <v>503.5013</v>
      </c>
      <c r="AA701" t="n">
        <v>5567.9506</v>
      </c>
      <c r="AB701" t="n">
        <v>0.460982</v>
      </c>
      <c r="AC701" t="n">
        <v>5.097749</v>
      </c>
      <c r="AD701" t="inlineStr">
        <is>
          <t>High</t>
        </is>
      </c>
      <c r="AE701" t="inlineStr">
        <is>
          <t>None</t>
        </is>
      </c>
      <c r="AF701" t="n">
        <v>0.95</v>
      </c>
      <c r="AG701" t="inlineStr">
        <is>
          <t>Valid</t>
        </is>
      </c>
    </row>
    <row r="702">
      <c r="A702" t="inlineStr">
        <is>
          <t>SUP-0071</t>
        </is>
      </c>
      <c r="B702" t="inlineStr">
        <is>
          <t>Chemicals Supplier 071</t>
        </is>
      </c>
      <c r="C702" t="inlineStr">
        <is>
          <t>Chemicals</t>
        </is>
      </c>
      <c r="D702" t="n">
        <v>2015</v>
      </c>
      <c r="E702" t="n">
        <v>22811105.57</v>
      </c>
      <c r="F702" t="n">
        <v>58530529.1</v>
      </c>
      <c r="G702" t="n">
        <v>15764.715</v>
      </c>
      <c r="H702" t="n">
        <v>2834.657</v>
      </c>
      <c r="I702" t="n">
        <v>2267.6755</v>
      </c>
      <c r="J702" t="n">
        <v>9462.730299999999</v>
      </c>
      <c r="K702" t="n">
        <v>2021</v>
      </c>
      <c r="L702" t="n">
        <v>2040</v>
      </c>
      <c r="M702" t="n">
        <v>0.5246</v>
      </c>
      <c r="N702" t="n">
        <v>0.2891</v>
      </c>
      <c r="O702" t="n">
        <v>2019</v>
      </c>
      <c r="P702" t="n">
        <v>2035</v>
      </c>
      <c r="Q702" t="n">
        <v>0.5229</v>
      </c>
      <c r="R702" t="n">
        <v>506.3191</v>
      </c>
      <c r="S702" t="n">
        <v>0.00100149</v>
      </c>
      <c r="T702" t="n">
        <v>0.00047124</v>
      </c>
      <c r="U702" t="n">
        <v>15764.715</v>
      </c>
      <c r="V702" t="inlineStr">
        <is>
          <t>Provided Total Emissions</t>
        </is>
      </c>
      <c r="W702" t="b">
        <v>1</v>
      </c>
      <c r="X702" t="n">
        <v>22845.0941</v>
      </c>
      <c r="Y702" t="n">
        <v>27581.9265</v>
      </c>
      <c r="Z702" t="n">
        <v>7080.3791</v>
      </c>
      <c r="AA702" t="n">
        <v>11817.2115</v>
      </c>
      <c r="AB702" t="n">
        <v>0.449128</v>
      </c>
      <c r="AC702" t="n">
        <v>0.749599</v>
      </c>
      <c r="AD702" t="inlineStr">
        <is>
          <t>High</t>
        </is>
      </c>
      <c r="AE702" t="inlineStr">
        <is>
          <t>None</t>
        </is>
      </c>
      <c r="AF702" t="n">
        <v>0.95</v>
      </c>
      <c r="AG702" t="inlineStr">
        <is>
          <t>Valid</t>
        </is>
      </c>
    </row>
    <row r="703">
      <c r="A703" t="inlineStr">
        <is>
          <t>SUP-0071</t>
        </is>
      </c>
      <c r="B703" t="inlineStr">
        <is>
          <t>Chemicals Supplier 071</t>
        </is>
      </c>
      <c r="C703" t="inlineStr">
        <is>
          <t>Chemicals</t>
        </is>
      </c>
      <c r="D703" t="n">
        <v>2016</v>
      </c>
      <c r="E703" t="n">
        <v>26896940.43</v>
      </c>
      <c r="F703" t="n">
        <v>58075452.16</v>
      </c>
      <c r="G703" t="n">
        <v>17590.8476</v>
      </c>
      <c r="H703" t="n">
        <v>2623.5259</v>
      </c>
      <c r="I703" t="n">
        <v>2828.2184</v>
      </c>
      <c r="J703" t="n">
        <v>10289.4215</v>
      </c>
      <c r="K703" t="n">
        <v>2021</v>
      </c>
      <c r="L703" t="n">
        <v>2040</v>
      </c>
      <c r="M703" t="n">
        <v>0.5246</v>
      </c>
      <c r="N703" t="n">
        <v>0.2891</v>
      </c>
      <c r="O703" t="n">
        <v>2019</v>
      </c>
      <c r="P703" t="n">
        <v>2035</v>
      </c>
      <c r="Q703" t="n">
        <v>0.5229</v>
      </c>
      <c r="R703" t="n">
        <v>506.3191</v>
      </c>
      <c r="S703" t="n">
        <v>0.00100149</v>
      </c>
      <c r="T703" t="n">
        <v>0.00047124</v>
      </c>
      <c r="U703" t="n">
        <v>17590.8476</v>
      </c>
      <c r="V703" t="inlineStr">
        <is>
          <t>Provided Total Emissions</t>
        </is>
      </c>
      <c r="W703" t="b">
        <v>1</v>
      </c>
      <c r="X703" t="n">
        <v>26937.0169</v>
      </c>
      <c r="Y703" t="n">
        <v>27367.4761</v>
      </c>
      <c r="Z703" t="n">
        <v>9346.1693</v>
      </c>
      <c r="AA703" t="n">
        <v>9776.628500000001</v>
      </c>
      <c r="AB703" t="n">
        <v>0.531309</v>
      </c>
      <c r="AC703" t="n">
        <v>0.555779</v>
      </c>
      <c r="AD703" t="inlineStr">
        <is>
          <t>High</t>
        </is>
      </c>
      <c r="AE703" t="inlineStr">
        <is>
          <t>None</t>
        </is>
      </c>
      <c r="AF703" t="n">
        <v>0.95</v>
      </c>
      <c r="AG703" t="inlineStr">
        <is>
          <t>Valid</t>
        </is>
      </c>
    </row>
    <row r="704">
      <c r="A704" t="inlineStr">
        <is>
          <t>SUP-0071</t>
        </is>
      </c>
      <c r="B704" t="inlineStr">
        <is>
          <t>Chemicals Supplier 071</t>
        </is>
      </c>
      <c r="C704" t="inlineStr">
        <is>
          <t>Chemicals</t>
        </is>
      </c>
      <c r="D704" t="n">
        <v>2017</v>
      </c>
      <c r="E704" t="n">
        <v>22742596.66</v>
      </c>
      <c r="F704" t="n">
        <v>72190565.84</v>
      </c>
      <c r="G704" t="n">
        <v>15764.4531</v>
      </c>
      <c r="H704" t="n">
        <v>3035.6635</v>
      </c>
      <c r="I704" t="n">
        <v>2015.3068</v>
      </c>
      <c r="J704" t="n">
        <v>10395.6809</v>
      </c>
      <c r="K704" t="n">
        <v>2021</v>
      </c>
      <c r="L704" t="n">
        <v>2040</v>
      </c>
      <c r="M704" t="n">
        <v>0.5246</v>
      </c>
      <c r="N704" t="n">
        <v>0.2891</v>
      </c>
      <c r="O704" t="n">
        <v>2019</v>
      </c>
      <c r="P704" t="n">
        <v>2035</v>
      </c>
      <c r="Q704" t="n">
        <v>0.5229</v>
      </c>
      <c r="R704" t="n">
        <v>506.3191</v>
      </c>
      <c r="S704" t="n">
        <v>0.00100149</v>
      </c>
      <c r="T704" t="n">
        <v>0.00047124</v>
      </c>
      <c r="U704" t="n">
        <v>15764.4531</v>
      </c>
      <c r="V704" t="inlineStr">
        <is>
          <t>Provided Total Emissions</t>
        </is>
      </c>
      <c r="W704" t="b">
        <v>1</v>
      </c>
      <c r="X704" t="n">
        <v>22776.4831</v>
      </c>
      <c r="Y704" t="n">
        <v>34019.0822</v>
      </c>
      <c r="Z704" t="n">
        <v>7012.03</v>
      </c>
      <c r="AA704" t="n">
        <v>18254.6291</v>
      </c>
      <c r="AB704" t="n">
        <v>0.4448</v>
      </c>
      <c r="AC704" t="n">
        <v>1.157961</v>
      </c>
      <c r="AD704" t="inlineStr">
        <is>
          <t>High</t>
        </is>
      </c>
      <c r="AE704" t="inlineStr">
        <is>
          <t>None</t>
        </is>
      </c>
      <c r="AF704" t="n">
        <v>0.95</v>
      </c>
      <c r="AG704" t="inlineStr">
        <is>
          <t>Valid</t>
        </is>
      </c>
    </row>
    <row r="705">
      <c r="A705" t="inlineStr">
        <is>
          <t>SUP-0071</t>
        </is>
      </c>
      <c r="B705" t="inlineStr">
        <is>
          <t>Chemicals Supplier 071</t>
        </is>
      </c>
      <c r="C705" t="inlineStr">
        <is>
          <t>Chemicals</t>
        </is>
      </c>
      <c r="D705" t="n">
        <v>2018</v>
      </c>
      <c r="E705" t="n">
        <v>28910524.85</v>
      </c>
      <c r="F705" t="n">
        <v>76841563.66</v>
      </c>
      <c r="G705" t="n">
        <v>22080.4409</v>
      </c>
      <c r="H705" t="n">
        <v>5003.0544</v>
      </c>
      <c r="I705" t="n">
        <v>2350.564</v>
      </c>
      <c r="J705" t="n">
        <v>13573.9181</v>
      </c>
      <c r="K705" t="n">
        <v>2021</v>
      </c>
      <c r="L705" t="n">
        <v>2040</v>
      </c>
      <c r="M705" t="n">
        <v>0.5246</v>
      </c>
      <c r="N705" t="n">
        <v>0.2891</v>
      </c>
      <c r="O705" t="n">
        <v>2019</v>
      </c>
      <c r="P705" t="n">
        <v>2035</v>
      </c>
      <c r="Q705" t="n">
        <v>0.5229</v>
      </c>
      <c r="R705" t="n">
        <v>506.3191</v>
      </c>
      <c r="S705" t="n">
        <v>0.00100149</v>
      </c>
      <c r="T705" t="n">
        <v>0.00047124</v>
      </c>
      <c r="U705" t="n">
        <v>22080.4409</v>
      </c>
      <c r="V705" t="inlineStr">
        <is>
          <t>Provided Total Emissions</t>
        </is>
      </c>
      <c r="W705" t="b">
        <v>1</v>
      </c>
      <c r="X705" t="n">
        <v>28953.6015</v>
      </c>
      <c r="Y705" t="n">
        <v>36210.8185</v>
      </c>
      <c r="Z705" t="n">
        <v>6873.1606</v>
      </c>
      <c r="AA705" t="n">
        <v>14130.3776</v>
      </c>
      <c r="AB705" t="n">
        <v>0.311278</v>
      </c>
      <c r="AC705" t="n">
        <v>0.63995</v>
      </c>
      <c r="AD705" t="inlineStr">
        <is>
          <t>High</t>
        </is>
      </c>
      <c r="AE705" t="inlineStr">
        <is>
          <t>None</t>
        </is>
      </c>
      <c r="AF705" t="n">
        <v>0.95</v>
      </c>
      <c r="AG705" t="inlineStr">
        <is>
          <t>Valid</t>
        </is>
      </c>
    </row>
    <row r="706">
      <c r="A706" t="inlineStr">
        <is>
          <t>SUP-0071</t>
        </is>
      </c>
      <c r="B706" t="inlineStr">
        <is>
          <t>Chemicals Supplier 071</t>
        </is>
      </c>
      <c r="C706" t="inlineStr">
        <is>
          <t>Chemicals</t>
        </is>
      </c>
      <c r="D706" t="n">
        <v>2019</v>
      </c>
      <c r="E706" t="n">
        <v>33263938.5</v>
      </c>
      <c r="F706" t="n">
        <v>69217826.81999999</v>
      </c>
      <c r="G706" t="n">
        <v>23403.6238</v>
      </c>
      <c r="H706" t="n">
        <v>5761.8448</v>
      </c>
      <c r="I706" t="n">
        <v>1783.1407</v>
      </c>
      <c r="J706" t="n">
        <v>16364.3809</v>
      </c>
      <c r="K706" t="n">
        <v>2021</v>
      </c>
      <c r="L706" t="n">
        <v>2040</v>
      </c>
      <c r="M706" t="n">
        <v>0.5246</v>
      </c>
      <c r="N706" t="n">
        <v>0.2891</v>
      </c>
      <c r="O706" t="n">
        <v>2019</v>
      </c>
      <c r="P706" t="n">
        <v>2035</v>
      </c>
      <c r="Q706" t="n">
        <v>0.5229</v>
      </c>
      <c r="R706" t="n">
        <v>506.3191</v>
      </c>
      <c r="S706" t="n">
        <v>0.00100149</v>
      </c>
      <c r="T706" t="n">
        <v>0.00047124</v>
      </c>
      <c r="U706" t="n">
        <v>23403.6238</v>
      </c>
      <c r="V706" t="inlineStr">
        <is>
          <t>Provided Total Emissions</t>
        </is>
      </c>
      <c r="W706" t="b">
        <v>1</v>
      </c>
      <c r="X706" t="n">
        <v>33313.5018</v>
      </c>
      <c r="Y706" t="n">
        <v>32618.2087</v>
      </c>
      <c r="Z706" t="n">
        <v>9909.878000000001</v>
      </c>
      <c r="AA706" t="n">
        <v>9214.5849</v>
      </c>
      <c r="AB706" t="n">
        <v>0.423433</v>
      </c>
      <c r="AC706" t="n">
        <v>0.393725</v>
      </c>
      <c r="AD706" t="inlineStr">
        <is>
          <t>High</t>
        </is>
      </c>
      <c r="AE706" t="inlineStr">
        <is>
          <t>None</t>
        </is>
      </c>
      <c r="AF706" t="n">
        <v>0.95</v>
      </c>
      <c r="AG706" t="inlineStr">
        <is>
          <t>Valid</t>
        </is>
      </c>
    </row>
    <row r="707">
      <c r="A707" t="inlineStr">
        <is>
          <t>SUP-0071</t>
        </is>
      </c>
      <c r="B707" t="inlineStr">
        <is>
          <t>Chemicals Supplier 071</t>
        </is>
      </c>
      <c r="C707" t="inlineStr">
        <is>
          <t>Chemicals</t>
        </is>
      </c>
      <c r="D707" t="n">
        <v>2020</v>
      </c>
      <c r="E707" t="n">
        <v>27314148.25</v>
      </c>
      <c r="F707" t="n">
        <v>81276736.59</v>
      </c>
      <c r="G707" t="n">
        <v>16605.1135</v>
      </c>
      <c r="H707" t="n">
        <v>1990.9293</v>
      </c>
      <c r="I707" t="n">
        <v>1831.5292</v>
      </c>
      <c r="J707" t="n">
        <v>11520.5585</v>
      </c>
      <c r="K707" t="n">
        <v>2021</v>
      </c>
      <c r="L707" t="n">
        <v>2040</v>
      </c>
      <c r="M707" t="n">
        <v>0.5246</v>
      </c>
      <c r="N707" t="n">
        <v>0.2891</v>
      </c>
      <c r="O707" t="n">
        <v>2019</v>
      </c>
      <c r="P707" t="n">
        <v>2035</v>
      </c>
      <c r="Q707" t="n">
        <v>0.5229</v>
      </c>
      <c r="R707" t="n">
        <v>506.3191</v>
      </c>
      <c r="S707" t="n">
        <v>0.00100149</v>
      </c>
      <c r="T707" t="n">
        <v>0.00047124</v>
      </c>
      <c r="U707" t="n">
        <v>16605.1135</v>
      </c>
      <c r="V707" t="inlineStr">
        <is>
          <t>Provided Total Emissions</t>
        </is>
      </c>
      <c r="W707" t="b">
        <v>1</v>
      </c>
      <c r="X707" t="n">
        <v>27354.8463</v>
      </c>
      <c r="Y707" t="n">
        <v>38300.8494</v>
      </c>
      <c r="Z707" t="n">
        <v>10749.7328</v>
      </c>
      <c r="AA707" t="n">
        <v>21695.7359</v>
      </c>
      <c r="AB707" t="n">
        <v>0.647375</v>
      </c>
      <c r="AC707" t="n">
        <v>1.30657</v>
      </c>
      <c r="AD707" t="inlineStr">
        <is>
          <t>High</t>
        </is>
      </c>
      <c r="AE707" t="inlineStr">
        <is>
          <t>None</t>
        </is>
      </c>
      <c r="AF707" t="n">
        <v>0.95</v>
      </c>
      <c r="AG707" t="inlineStr">
        <is>
          <t>Valid</t>
        </is>
      </c>
    </row>
    <row r="708">
      <c r="A708" t="inlineStr">
        <is>
          <t>SUP-0071</t>
        </is>
      </c>
      <c r="B708" t="inlineStr">
        <is>
          <t>Chemicals Supplier 071</t>
        </is>
      </c>
      <c r="C708" t="inlineStr">
        <is>
          <t>Chemicals</t>
        </is>
      </c>
      <c r="D708" t="n">
        <v>2021</v>
      </c>
      <c r="E708" t="n">
        <v>34238844.19</v>
      </c>
      <c r="F708" t="n">
        <v>85065897.43000001</v>
      </c>
      <c r="G708" t="n">
        <v>23855.8461</v>
      </c>
      <c r="H708" t="n">
        <v>2965.3576</v>
      </c>
      <c r="I708" t="n">
        <v>2821.8846</v>
      </c>
      <c r="J708" t="n">
        <v>18110.2081</v>
      </c>
      <c r="K708" t="n">
        <v>2021</v>
      </c>
      <c r="L708" t="n">
        <v>2040</v>
      </c>
      <c r="M708" t="n">
        <v>0.5246</v>
      </c>
      <c r="N708" t="n">
        <v>0.2891</v>
      </c>
      <c r="O708" t="n">
        <v>2019</v>
      </c>
      <c r="P708" t="n">
        <v>2035</v>
      </c>
      <c r="Q708" t="n">
        <v>0.5229</v>
      </c>
      <c r="R708" t="n">
        <v>506.3191</v>
      </c>
      <c r="S708" t="n">
        <v>0.00100149</v>
      </c>
      <c r="T708" t="n">
        <v>0.00047124</v>
      </c>
      <c r="U708" t="n">
        <v>23855.8461</v>
      </c>
      <c r="V708" t="inlineStr">
        <is>
          <t>Provided Total Emissions</t>
        </is>
      </c>
      <c r="W708" t="b">
        <v>1</v>
      </c>
      <c r="X708" t="n">
        <v>34289.8601</v>
      </c>
      <c r="Y708" t="n">
        <v>40086.4535</v>
      </c>
      <c r="Z708" t="n">
        <v>10434.014</v>
      </c>
      <c r="AA708" t="n">
        <v>16230.6074</v>
      </c>
      <c r="AB708" t="n">
        <v>0.437378</v>
      </c>
      <c r="AC708" t="n">
        <v>0.680362</v>
      </c>
      <c r="AD708" t="inlineStr">
        <is>
          <t>High</t>
        </is>
      </c>
      <c r="AE708" t="inlineStr">
        <is>
          <t>None</t>
        </is>
      </c>
      <c r="AF708" t="n">
        <v>0.95</v>
      </c>
      <c r="AG708" t="inlineStr">
        <is>
          <t>Valid</t>
        </is>
      </c>
    </row>
    <row r="709">
      <c r="A709" t="inlineStr">
        <is>
          <t>SUP-0071</t>
        </is>
      </c>
      <c r="B709" t="inlineStr">
        <is>
          <t>Chemicals Supplier 071</t>
        </is>
      </c>
      <c r="C709" t="inlineStr">
        <is>
          <t>Chemicals</t>
        </is>
      </c>
      <c r="D709" t="n">
        <v>2022</v>
      </c>
      <c r="E709" t="n">
        <v>35596223.75</v>
      </c>
      <c r="F709" t="n">
        <v>81356766.12</v>
      </c>
      <c r="G709" t="n">
        <v>19196.8338</v>
      </c>
      <c r="H709" t="n">
        <v>3652.9592</v>
      </c>
      <c r="I709" t="n">
        <v>2385.8163</v>
      </c>
      <c r="J709" t="n">
        <v>13395.4594</v>
      </c>
      <c r="K709" t="n">
        <v>2021</v>
      </c>
      <c r="L709" t="n">
        <v>2040</v>
      </c>
      <c r="M709" t="n">
        <v>0.5246</v>
      </c>
      <c r="N709" t="n">
        <v>0.2891</v>
      </c>
      <c r="O709" t="n">
        <v>2019</v>
      </c>
      <c r="P709" t="n">
        <v>2035</v>
      </c>
      <c r="Q709" t="n">
        <v>0.5229</v>
      </c>
      <c r="R709" t="n">
        <v>506.3191</v>
      </c>
      <c r="S709" t="n">
        <v>0.00100149</v>
      </c>
      <c r="T709" t="n">
        <v>0.00047124</v>
      </c>
      <c r="U709" t="n">
        <v>19196.8338</v>
      </c>
      <c r="V709" t="inlineStr">
        <is>
          <t>Provided Total Emissions</t>
        </is>
      </c>
      <c r="W709" t="b">
        <v>1</v>
      </c>
      <c r="X709" t="n">
        <v>35649.2621</v>
      </c>
      <c r="Y709" t="n">
        <v>38338.5625</v>
      </c>
      <c r="Z709" t="n">
        <v>16452.4283</v>
      </c>
      <c r="AA709" t="n">
        <v>19141.7287</v>
      </c>
      <c r="AB709" t="n">
        <v>0.857039</v>
      </c>
      <c r="AC709" t="n">
        <v>0.997129</v>
      </c>
      <c r="AD709" t="inlineStr">
        <is>
          <t>High</t>
        </is>
      </c>
      <c r="AE709" t="inlineStr">
        <is>
          <t>None</t>
        </is>
      </c>
      <c r="AF709" t="n">
        <v>0.95</v>
      </c>
      <c r="AG709" t="inlineStr">
        <is>
          <t>Valid</t>
        </is>
      </c>
    </row>
    <row r="710">
      <c r="A710" t="inlineStr">
        <is>
          <t>SUP-0071</t>
        </is>
      </c>
      <c r="B710" t="inlineStr">
        <is>
          <t>Chemicals Supplier 071</t>
        </is>
      </c>
      <c r="C710" t="inlineStr">
        <is>
          <t>Chemicals</t>
        </is>
      </c>
      <c r="D710" t="n">
        <v>2023</v>
      </c>
      <c r="E710" t="n">
        <v>35181325.06</v>
      </c>
      <c r="F710" t="n">
        <v>126853573.13</v>
      </c>
      <c r="G710" t="n">
        <v>17332.5614</v>
      </c>
      <c r="H710" t="n">
        <v>4377.128</v>
      </c>
      <c r="I710" t="n">
        <v>2751.7918</v>
      </c>
      <c r="J710" t="n">
        <v>10302.1126</v>
      </c>
      <c r="K710" t="n">
        <v>2021</v>
      </c>
      <c r="L710" t="n">
        <v>2040</v>
      </c>
      <c r="M710" t="n">
        <v>0.5246</v>
      </c>
      <c r="N710" t="n">
        <v>0.2891</v>
      </c>
      <c r="O710" t="n">
        <v>2019</v>
      </c>
      <c r="P710" t="n">
        <v>2035</v>
      </c>
      <c r="Q710" t="n">
        <v>0.5229</v>
      </c>
      <c r="R710" t="n">
        <v>506.3191</v>
      </c>
      <c r="S710" t="n">
        <v>0.00100149</v>
      </c>
      <c r="T710" t="n">
        <v>0.00047124</v>
      </c>
      <c r="U710" t="n">
        <v>17332.5614</v>
      </c>
      <c r="V710" t="inlineStr">
        <is>
          <t>Provided Total Emissions</t>
        </is>
      </c>
      <c r="W710" t="b">
        <v>1</v>
      </c>
      <c r="X710" t="n">
        <v>35233.7452</v>
      </c>
      <c r="Y710" t="n">
        <v>59778.4778</v>
      </c>
      <c r="Z710" t="n">
        <v>17901.1838</v>
      </c>
      <c r="AA710" t="n">
        <v>42445.9164</v>
      </c>
      <c r="AB710" t="n">
        <v>1.032807</v>
      </c>
      <c r="AC710" t="n">
        <v>2.448912</v>
      </c>
      <c r="AD710" t="inlineStr">
        <is>
          <t>High</t>
        </is>
      </c>
      <c r="AE710" t="inlineStr">
        <is>
          <t>None</t>
        </is>
      </c>
      <c r="AF710" t="n">
        <v>0.95</v>
      </c>
      <c r="AG710" t="inlineStr">
        <is>
          <t>Valid</t>
        </is>
      </c>
    </row>
    <row r="711">
      <c r="A711" t="inlineStr">
        <is>
          <t>SUP-0071</t>
        </is>
      </c>
      <c r="B711" t="inlineStr">
        <is>
          <t>Chemicals Supplier 071</t>
        </is>
      </c>
      <c r="C711" t="inlineStr">
        <is>
          <t>Chemicals</t>
        </is>
      </c>
      <c r="D711" t="n">
        <v>2024</v>
      </c>
      <c r="E711" t="n">
        <v>43200087.82</v>
      </c>
      <c r="F711" t="n">
        <v>123558713.2</v>
      </c>
      <c r="G711" t="n">
        <v>21541.644</v>
      </c>
      <c r="H711" t="n">
        <v>1955.2305</v>
      </c>
      <c r="I711" t="n">
        <v>4891.8038</v>
      </c>
      <c r="J711" t="n">
        <v>16048.01</v>
      </c>
      <c r="K711" t="n">
        <v>2021</v>
      </c>
      <c r="L711" t="n">
        <v>2040</v>
      </c>
      <c r="M711" t="n">
        <v>0.5246</v>
      </c>
      <c r="N711" t="n">
        <v>0.2891</v>
      </c>
      <c r="O711" t="n">
        <v>2019</v>
      </c>
      <c r="P711" t="n">
        <v>2035</v>
      </c>
      <c r="Q711" t="n">
        <v>0.5229</v>
      </c>
      <c r="R711" t="n">
        <v>506.3191</v>
      </c>
      <c r="S711" t="n">
        <v>0.00100149</v>
      </c>
      <c r="T711" t="n">
        <v>0.00047124</v>
      </c>
      <c r="U711" t="n">
        <v>21541.644</v>
      </c>
      <c r="V711" t="inlineStr">
        <is>
          <t>Provided Total Emissions</t>
        </is>
      </c>
      <c r="W711" t="b">
        <v>1</v>
      </c>
      <c r="X711" t="n">
        <v>43264.456</v>
      </c>
      <c r="Y711" t="n">
        <v>58225.808</v>
      </c>
      <c r="Z711" t="n">
        <v>21722.812</v>
      </c>
      <c r="AA711" t="n">
        <v>36684.164</v>
      </c>
      <c r="AB711" t="n">
        <v>1.00841</v>
      </c>
      <c r="AC711" t="n">
        <v>1.702942</v>
      </c>
      <c r="AD711" t="inlineStr">
        <is>
          <t>High</t>
        </is>
      </c>
      <c r="AE711" t="inlineStr">
        <is>
          <t>None</t>
        </is>
      </c>
      <c r="AF711" t="n">
        <v>0.95</v>
      </c>
      <c r="AG711" t="inlineStr">
        <is>
          <t>Valid</t>
        </is>
      </c>
    </row>
    <row r="712">
      <c r="A712" t="inlineStr">
        <is>
          <t>SUP-0072</t>
        </is>
      </c>
      <c r="B712" t="inlineStr">
        <is>
          <t>Electronics Supplier 072</t>
        </is>
      </c>
      <c r="C712" t="inlineStr">
        <is>
          <t>Electronics</t>
        </is>
      </c>
      <c r="D712" t="n">
        <v>2015</v>
      </c>
      <c r="E712" t="n">
        <v>10506325.85</v>
      </c>
      <c r="F712" t="n">
        <v>38913778.26</v>
      </c>
      <c r="G712" t="n">
        <v>11993.606</v>
      </c>
      <c r="H712" t="n">
        <v>1102.629</v>
      </c>
      <c r="I712" t="n">
        <v>2500.1968</v>
      </c>
      <c r="J712" t="n">
        <v>8727.2613</v>
      </c>
      <c r="K712" t="n">
        <v>2018</v>
      </c>
      <c r="L712" t="n">
        <v>2040</v>
      </c>
      <c r="M712" t="n">
        <v>0.5726</v>
      </c>
      <c r="N712" t="n">
        <v>0.3086</v>
      </c>
      <c r="O712" t="n">
        <v>2018</v>
      </c>
      <c r="P712" t="n">
        <v>2040</v>
      </c>
      <c r="Q712" t="n">
        <v>0.3424</v>
      </c>
      <c r="R712" t="n">
        <v>635.1588</v>
      </c>
      <c r="S712" t="n">
        <v>0.00086105</v>
      </c>
      <c r="T712" t="n">
        <v>0.00013947</v>
      </c>
      <c r="U712" t="n">
        <v>11993.606</v>
      </c>
      <c r="V712" t="inlineStr">
        <is>
          <t>Provided Total Emissions</t>
        </is>
      </c>
      <c r="W712" t="b">
        <v>1</v>
      </c>
      <c r="X712" t="n">
        <v>9046.4719</v>
      </c>
      <c r="Y712" t="n">
        <v>5427.3047</v>
      </c>
      <c r="Z712" t="n">
        <v>-2947.1341</v>
      </c>
      <c r="AA712" t="n">
        <v>-6566.3013</v>
      </c>
      <c r="AB712" t="n">
        <v>-0.245725</v>
      </c>
      <c r="AC712" t="n">
        <v>-0.5474830000000001</v>
      </c>
      <c r="AD712" t="inlineStr">
        <is>
          <t>High</t>
        </is>
      </c>
      <c r="AE712" t="inlineStr">
        <is>
          <t>None</t>
        </is>
      </c>
      <c r="AF712" t="n">
        <v>0.95</v>
      </c>
      <c r="AG712" t="inlineStr">
        <is>
          <t>Valid</t>
        </is>
      </c>
    </row>
    <row r="713">
      <c r="A713" t="inlineStr">
        <is>
          <t>SUP-0072</t>
        </is>
      </c>
      <c r="B713" t="inlineStr">
        <is>
          <t>Electronics Supplier 072</t>
        </is>
      </c>
      <c r="C713" t="inlineStr">
        <is>
          <t>Electronics</t>
        </is>
      </c>
      <c r="D713" t="n">
        <v>2016</v>
      </c>
      <c r="E713" t="n">
        <v>11713705.18</v>
      </c>
      <c r="F713" t="n">
        <v>41959310.29</v>
      </c>
      <c r="G713" t="n">
        <v>12183.6758</v>
      </c>
      <c r="H713" t="n">
        <v>1278.7069</v>
      </c>
      <c r="I713" t="n">
        <v>2056.5272</v>
      </c>
      <c r="J713" t="n">
        <v>8547.5137</v>
      </c>
      <c r="K713" t="n">
        <v>2018</v>
      </c>
      <c r="L713" t="n">
        <v>2040</v>
      </c>
      <c r="M713" t="n">
        <v>0.5726</v>
      </c>
      <c r="N713" t="n">
        <v>0.3086</v>
      </c>
      <c r="O713" t="n">
        <v>2018</v>
      </c>
      <c r="P713" t="n">
        <v>2040</v>
      </c>
      <c r="Q713" t="n">
        <v>0.3424</v>
      </c>
      <c r="R713" t="n">
        <v>635.1588</v>
      </c>
      <c r="S713" t="n">
        <v>0.00086105</v>
      </c>
      <c r="T713" t="n">
        <v>0.00013947</v>
      </c>
      <c r="U713" t="n">
        <v>12183.6758</v>
      </c>
      <c r="V713" t="inlineStr">
        <is>
          <t>Provided Total Emissions</t>
        </is>
      </c>
      <c r="W713" t="b">
        <v>1</v>
      </c>
      <c r="X713" t="n">
        <v>10086.0858</v>
      </c>
      <c r="Y713" t="n">
        <v>5852.065</v>
      </c>
      <c r="Z713" t="n">
        <v>-2097.59</v>
      </c>
      <c r="AA713" t="n">
        <v>-6331.6108</v>
      </c>
      <c r="AB713" t="n">
        <v>-0.172164</v>
      </c>
      <c r="AC713" t="n">
        <v>-0.51968</v>
      </c>
      <c r="AD713" t="inlineStr">
        <is>
          <t>High</t>
        </is>
      </c>
      <c r="AE713" t="inlineStr">
        <is>
          <t>None</t>
        </is>
      </c>
      <c r="AF713" t="n">
        <v>0.95</v>
      </c>
      <c r="AG713" t="inlineStr">
        <is>
          <t>Valid</t>
        </is>
      </c>
    </row>
    <row r="714">
      <c r="A714" t="inlineStr">
        <is>
          <t>SUP-0072</t>
        </is>
      </c>
      <c r="B714" t="inlineStr">
        <is>
          <t>Electronics Supplier 072</t>
        </is>
      </c>
      <c r="C714" t="inlineStr">
        <is>
          <t>Electronics</t>
        </is>
      </c>
      <c r="D714" t="n">
        <v>2017</v>
      </c>
      <c r="E714" t="n">
        <v>11695391.97</v>
      </c>
      <c r="F714" t="n">
        <v>33854957.91</v>
      </c>
      <c r="G714" t="n">
        <v>11398.2178</v>
      </c>
      <c r="H714" t="n">
        <v>1192.4761</v>
      </c>
      <c r="I714" t="n">
        <v>2477.0986</v>
      </c>
      <c r="J714" t="n">
        <v>7533.0768</v>
      </c>
      <c r="K714" t="n">
        <v>2018</v>
      </c>
      <c r="L714" t="n">
        <v>2040</v>
      </c>
      <c r="M714" t="n">
        <v>0.5726</v>
      </c>
      <c r="N714" t="n">
        <v>0.3086</v>
      </c>
      <c r="O714" t="n">
        <v>2018</v>
      </c>
      <c r="P714" t="n">
        <v>2040</v>
      </c>
      <c r="Q714" t="n">
        <v>0.3424</v>
      </c>
      <c r="R714" t="n">
        <v>635.1588</v>
      </c>
      <c r="S714" t="n">
        <v>0.00086105</v>
      </c>
      <c r="T714" t="n">
        <v>0.00013947</v>
      </c>
      <c r="U714" t="n">
        <v>11398.2178</v>
      </c>
      <c r="V714" t="inlineStr">
        <is>
          <t>Provided Total Emissions</t>
        </is>
      </c>
      <c r="W714" t="b">
        <v>1</v>
      </c>
      <c r="X714" t="n">
        <v>10070.3173</v>
      </c>
      <c r="Y714" t="n">
        <v>4721.751</v>
      </c>
      <c r="Z714" t="n">
        <v>-1327.9005</v>
      </c>
      <c r="AA714" t="n">
        <v>-6676.4668</v>
      </c>
      <c r="AB714" t="n">
        <v>-0.116501</v>
      </c>
      <c r="AC714" t="n">
        <v>-0.585747</v>
      </c>
      <c r="AD714" t="inlineStr">
        <is>
          <t>High</t>
        </is>
      </c>
      <c r="AE714" t="inlineStr">
        <is>
          <t>None</t>
        </is>
      </c>
      <c r="AF714" t="n">
        <v>0.95</v>
      </c>
      <c r="AG714" t="inlineStr">
        <is>
          <t>Valid</t>
        </is>
      </c>
    </row>
    <row r="715">
      <c r="A715" t="inlineStr">
        <is>
          <t>SUP-0072</t>
        </is>
      </c>
      <c r="B715" t="inlineStr">
        <is>
          <t>Electronics Supplier 072</t>
        </is>
      </c>
      <c r="C715" t="inlineStr">
        <is>
          <t>Electronics</t>
        </is>
      </c>
      <c r="D715" t="n">
        <v>2018</v>
      </c>
      <c r="E715" t="n">
        <v>9854888.34</v>
      </c>
      <c r="F715" t="n">
        <v>41561339.73</v>
      </c>
      <c r="G715" t="n">
        <v>10423.0333</v>
      </c>
      <c r="H715" t="n">
        <v>1230.3426</v>
      </c>
      <c r="I715" t="n">
        <v>900.4161</v>
      </c>
      <c r="J715" t="n">
        <v>8604.0663</v>
      </c>
      <c r="K715" t="n">
        <v>2018</v>
      </c>
      <c r="L715" t="n">
        <v>2040</v>
      </c>
      <c r="M715" t="n">
        <v>0.5726</v>
      </c>
      <c r="N715" t="n">
        <v>0.3086</v>
      </c>
      <c r="O715" t="n">
        <v>2018</v>
      </c>
      <c r="P715" t="n">
        <v>2040</v>
      </c>
      <c r="Q715" t="n">
        <v>0.3424</v>
      </c>
      <c r="R715" t="n">
        <v>635.1588</v>
      </c>
      <c r="S715" t="n">
        <v>0.00086105</v>
      </c>
      <c r="T715" t="n">
        <v>0.00013947</v>
      </c>
      <c r="U715" t="n">
        <v>10423.0333</v>
      </c>
      <c r="V715" t="inlineStr">
        <is>
          <t>Provided Total Emissions</t>
        </is>
      </c>
      <c r="W715" t="b">
        <v>1</v>
      </c>
      <c r="X715" t="n">
        <v>8485.551600000001</v>
      </c>
      <c r="Y715" t="n">
        <v>5796.5601</v>
      </c>
      <c r="Z715" t="n">
        <v>-1937.4817</v>
      </c>
      <c r="AA715" t="n">
        <v>-4626.4732</v>
      </c>
      <c r="AB715" t="n">
        <v>-0.185885</v>
      </c>
      <c r="AC715" t="n">
        <v>-0.44387</v>
      </c>
      <c r="AD715" t="inlineStr">
        <is>
          <t>High</t>
        </is>
      </c>
      <c r="AE715" t="inlineStr">
        <is>
          <t>None</t>
        </is>
      </c>
      <c r="AF715" t="n">
        <v>0.95</v>
      </c>
      <c r="AG715" t="inlineStr">
        <is>
          <t>Valid</t>
        </is>
      </c>
    </row>
    <row r="716">
      <c r="A716" t="inlineStr">
        <is>
          <t>SUP-0072</t>
        </is>
      </c>
      <c r="B716" t="inlineStr">
        <is>
          <t>Electronics Supplier 072</t>
        </is>
      </c>
      <c r="C716" t="inlineStr">
        <is>
          <t>Electronics</t>
        </is>
      </c>
      <c r="D716" t="n">
        <v>2019</v>
      </c>
      <c r="E716" t="n">
        <v>13217924.6</v>
      </c>
      <c r="F716" t="n">
        <v>55982753.74</v>
      </c>
      <c r="G716" t="n">
        <v>14716.8561</v>
      </c>
      <c r="H716" t="n">
        <v>1694.6308</v>
      </c>
      <c r="I716" t="n">
        <v>2755.4922</v>
      </c>
      <c r="J716" t="n">
        <v>10292.8157</v>
      </c>
      <c r="K716" t="n">
        <v>2018</v>
      </c>
      <c r="L716" t="n">
        <v>2040</v>
      </c>
      <c r="M716" t="n">
        <v>0.5726</v>
      </c>
      <c r="N716" t="n">
        <v>0.3086</v>
      </c>
      <c r="O716" t="n">
        <v>2018</v>
      </c>
      <c r="P716" t="n">
        <v>2040</v>
      </c>
      <c r="Q716" t="n">
        <v>0.3424</v>
      </c>
      <c r="R716" t="n">
        <v>635.1588</v>
      </c>
      <c r="S716" t="n">
        <v>0.00086105</v>
      </c>
      <c r="T716" t="n">
        <v>0.00013947</v>
      </c>
      <c r="U716" t="n">
        <v>14716.8561</v>
      </c>
      <c r="V716" t="inlineStr">
        <is>
          <t>Provided Total Emissions</t>
        </is>
      </c>
      <c r="W716" t="b">
        <v>1</v>
      </c>
      <c r="X716" t="n">
        <v>11381.294</v>
      </c>
      <c r="Y716" t="n">
        <v>7807.9147</v>
      </c>
      <c r="Z716" t="n">
        <v>-3335.5621</v>
      </c>
      <c r="AA716" t="n">
        <v>-6908.9414</v>
      </c>
      <c r="AB716" t="n">
        <v>-0.226649</v>
      </c>
      <c r="AC716" t="n">
        <v>-0.469458</v>
      </c>
      <c r="AD716" t="inlineStr">
        <is>
          <t>High</t>
        </is>
      </c>
      <c r="AE716" t="inlineStr">
        <is>
          <t>None</t>
        </is>
      </c>
      <c r="AF716" t="n">
        <v>0.95</v>
      </c>
      <c r="AG716" t="inlineStr">
        <is>
          <t>Valid</t>
        </is>
      </c>
    </row>
    <row r="717">
      <c r="A717" t="inlineStr">
        <is>
          <t>SUP-0072</t>
        </is>
      </c>
      <c r="B717" t="inlineStr">
        <is>
          <t>Electronics Supplier 072</t>
        </is>
      </c>
      <c r="C717" t="inlineStr">
        <is>
          <t>Electronics</t>
        </is>
      </c>
      <c r="D717" t="n">
        <v>2020</v>
      </c>
      <c r="E717" t="n">
        <v>15624527.34</v>
      </c>
      <c r="F717" t="n">
        <v>45487008.59</v>
      </c>
      <c r="G717" t="n">
        <v>16658.6488</v>
      </c>
      <c r="H717" t="n">
        <v>1863.6767</v>
      </c>
      <c r="I717" t="n">
        <v>2603.4154</v>
      </c>
      <c r="J717" t="n">
        <v>10868.3376</v>
      </c>
      <c r="K717" t="n">
        <v>2018</v>
      </c>
      <c r="L717" t="n">
        <v>2040</v>
      </c>
      <c r="M717" t="n">
        <v>0.5726</v>
      </c>
      <c r="N717" t="n">
        <v>0.3086</v>
      </c>
      <c r="O717" t="n">
        <v>2018</v>
      </c>
      <c r="P717" t="n">
        <v>2040</v>
      </c>
      <c r="Q717" t="n">
        <v>0.3424</v>
      </c>
      <c r="R717" t="n">
        <v>635.1588</v>
      </c>
      <c r="S717" t="n">
        <v>0.00086105</v>
      </c>
      <c r="T717" t="n">
        <v>0.00013947</v>
      </c>
      <c r="U717" t="n">
        <v>16658.6488</v>
      </c>
      <c r="V717" t="inlineStr">
        <is>
          <t>Provided Total Emissions</t>
        </is>
      </c>
      <c r="W717" t="b">
        <v>1</v>
      </c>
      <c r="X717" t="n">
        <v>13453.4993</v>
      </c>
      <c r="Y717" t="n">
        <v>6344.0731</v>
      </c>
      <c r="Z717" t="n">
        <v>-3205.1495</v>
      </c>
      <c r="AA717" t="n">
        <v>-10314.5757</v>
      </c>
      <c r="AB717" t="n">
        <v>-0.192402</v>
      </c>
      <c r="AC717" t="n">
        <v>-0.6191719999999999</v>
      </c>
      <c r="AD717" t="inlineStr">
        <is>
          <t>High</t>
        </is>
      </c>
      <c r="AE717" t="inlineStr">
        <is>
          <t>None</t>
        </is>
      </c>
      <c r="AF717" t="n">
        <v>0.95</v>
      </c>
      <c r="AG717" t="inlineStr">
        <is>
          <t>Valid</t>
        </is>
      </c>
    </row>
    <row r="718">
      <c r="A718" t="inlineStr">
        <is>
          <t>SUP-0072</t>
        </is>
      </c>
      <c r="B718" t="inlineStr">
        <is>
          <t>Electronics Supplier 072</t>
        </is>
      </c>
      <c r="C718" t="inlineStr">
        <is>
          <t>Electronics</t>
        </is>
      </c>
      <c r="D718" t="n">
        <v>2021</v>
      </c>
      <c r="E718" t="n">
        <v>16321412.08</v>
      </c>
      <c r="F718" t="n">
        <v>61368838.08</v>
      </c>
      <c r="G718" t="n">
        <v>15590.0088</v>
      </c>
      <c r="H718" t="n">
        <v>3499.3135</v>
      </c>
      <c r="I718" t="n">
        <v>3390.294</v>
      </c>
      <c r="J718" t="n">
        <v>8520.047200000001</v>
      </c>
      <c r="K718" t="n">
        <v>2018</v>
      </c>
      <c r="L718" t="n">
        <v>2040</v>
      </c>
      <c r="M718" t="n">
        <v>0.5726</v>
      </c>
      <c r="N718" t="n">
        <v>0.3086</v>
      </c>
      <c r="O718" t="n">
        <v>2018</v>
      </c>
      <c r="P718" t="n">
        <v>2040</v>
      </c>
      <c r="Q718" t="n">
        <v>0.3424</v>
      </c>
      <c r="R718" t="n">
        <v>635.1588</v>
      </c>
      <c r="S718" t="n">
        <v>0.00086105</v>
      </c>
      <c r="T718" t="n">
        <v>0.00013947</v>
      </c>
      <c r="U718" t="n">
        <v>15590.0088</v>
      </c>
      <c r="V718" t="inlineStr">
        <is>
          <t>Provided Total Emissions</t>
        </is>
      </c>
      <c r="W718" t="b">
        <v>1</v>
      </c>
      <c r="X718" t="n">
        <v>14053.5519</v>
      </c>
      <c r="Y718" t="n">
        <v>8559.111800000001</v>
      </c>
      <c r="Z718" t="n">
        <v>-1536.4569</v>
      </c>
      <c r="AA718" t="n">
        <v>-7030.897</v>
      </c>
      <c r="AB718" t="n">
        <v>-0.098554</v>
      </c>
      <c r="AC718" t="n">
        <v>-0.450987</v>
      </c>
      <c r="AD718" t="inlineStr">
        <is>
          <t>High</t>
        </is>
      </c>
      <c r="AE718" t="inlineStr">
        <is>
          <t>None</t>
        </is>
      </c>
      <c r="AF718" t="n">
        <v>0.95</v>
      </c>
      <c r="AG718" t="inlineStr">
        <is>
          <t>Valid</t>
        </is>
      </c>
    </row>
    <row r="719">
      <c r="A719" t="inlineStr">
        <is>
          <t>SUP-0072</t>
        </is>
      </c>
      <c r="B719" t="inlineStr">
        <is>
          <t>Electronics Supplier 072</t>
        </is>
      </c>
      <c r="C719" t="inlineStr">
        <is>
          <t>Electronics</t>
        </is>
      </c>
      <c r="D719" t="n">
        <v>2022</v>
      </c>
      <c r="E719" t="n">
        <v>19273186.87</v>
      </c>
      <c r="F719" t="n">
        <v>67345667.16</v>
      </c>
      <c r="G719" t="n">
        <v>16969.0324</v>
      </c>
      <c r="H719" t="n">
        <v>5275.4986</v>
      </c>
      <c r="I719" t="n">
        <v>2117.3728</v>
      </c>
      <c r="J719" t="n">
        <v>11150.0859</v>
      </c>
      <c r="K719" t="n">
        <v>2018</v>
      </c>
      <c r="L719" t="n">
        <v>2040</v>
      </c>
      <c r="M719" t="n">
        <v>0.5726</v>
      </c>
      <c r="N719" t="n">
        <v>0.3086</v>
      </c>
      <c r="O719" t="n">
        <v>2018</v>
      </c>
      <c r="P719" t="n">
        <v>2040</v>
      </c>
      <c r="Q719" t="n">
        <v>0.3424</v>
      </c>
      <c r="R719" t="n">
        <v>635.1588</v>
      </c>
      <c r="S719" t="n">
        <v>0.00086105</v>
      </c>
      <c r="T719" t="n">
        <v>0.00013947</v>
      </c>
      <c r="U719" t="n">
        <v>16969.0324</v>
      </c>
      <c r="V719" t="inlineStr">
        <is>
          <t>Provided Total Emissions</t>
        </is>
      </c>
      <c r="W719" t="b">
        <v>1</v>
      </c>
      <c r="X719" t="n">
        <v>16595.1776</v>
      </c>
      <c r="Y719" t="n">
        <v>9392.700199999999</v>
      </c>
      <c r="Z719" t="n">
        <v>-373.8548</v>
      </c>
      <c r="AA719" t="n">
        <v>-7576.3322</v>
      </c>
      <c r="AB719" t="n">
        <v>-0.022032</v>
      </c>
      <c r="AC719" t="n">
        <v>-0.44648</v>
      </c>
      <c r="AD719" t="inlineStr">
        <is>
          <t>High</t>
        </is>
      </c>
      <c r="AE719" t="inlineStr">
        <is>
          <t>None</t>
        </is>
      </c>
      <c r="AF719" t="n">
        <v>0.95</v>
      </c>
      <c r="AG719" t="inlineStr">
        <is>
          <t>Valid</t>
        </is>
      </c>
    </row>
    <row r="720">
      <c r="A720" t="inlineStr">
        <is>
          <t>SUP-0072</t>
        </is>
      </c>
      <c r="B720" t="inlineStr">
        <is>
          <t>Electronics Supplier 072</t>
        </is>
      </c>
      <c r="C720" t="inlineStr">
        <is>
          <t>Electronics</t>
        </is>
      </c>
      <c r="D720" t="n">
        <v>2023</v>
      </c>
      <c r="E720" t="n">
        <v>18986242.52</v>
      </c>
      <c r="F720" t="n">
        <v>60624393.09</v>
      </c>
      <c r="G720" t="n">
        <v>16352.585</v>
      </c>
      <c r="H720" t="n">
        <v>2428.0496</v>
      </c>
      <c r="I720" t="n">
        <v>2728.128</v>
      </c>
      <c r="J720" t="n">
        <v>11560.2403</v>
      </c>
      <c r="K720" t="n">
        <v>2018</v>
      </c>
      <c r="L720" t="n">
        <v>2040</v>
      </c>
      <c r="M720" t="n">
        <v>0.5726</v>
      </c>
      <c r="N720" t="n">
        <v>0.3086</v>
      </c>
      <c r="O720" t="n">
        <v>2018</v>
      </c>
      <c r="P720" t="n">
        <v>2040</v>
      </c>
      <c r="Q720" t="n">
        <v>0.3424</v>
      </c>
      <c r="R720" t="n">
        <v>635.1588</v>
      </c>
      <c r="S720" t="n">
        <v>0.00086105</v>
      </c>
      <c r="T720" t="n">
        <v>0.00013947</v>
      </c>
      <c r="U720" t="n">
        <v>16352.585</v>
      </c>
      <c r="V720" t="inlineStr">
        <is>
          <t>Provided Total Emissions</t>
        </is>
      </c>
      <c r="W720" t="b">
        <v>1</v>
      </c>
      <c r="X720" t="n">
        <v>16348.1041</v>
      </c>
      <c r="Y720" t="n">
        <v>8455.284100000001</v>
      </c>
      <c r="Z720" t="n">
        <v>-4.4809</v>
      </c>
      <c r="AA720" t="n">
        <v>-7897.3009</v>
      </c>
      <c r="AB720" t="n">
        <v>-0.000274</v>
      </c>
      <c r="AC720" t="n">
        <v>-0.482939</v>
      </c>
      <c r="AD720" t="inlineStr">
        <is>
          <t>High</t>
        </is>
      </c>
      <c r="AE720" t="inlineStr">
        <is>
          <t>None</t>
        </is>
      </c>
      <c r="AF720" t="n">
        <v>0.95</v>
      </c>
      <c r="AG720" t="inlineStr">
        <is>
          <t>Valid</t>
        </is>
      </c>
    </row>
    <row r="721">
      <c r="A721" t="inlineStr">
        <is>
          <t>SUP-0072</t>
        </is>
      </c>
      <c r="B721" t="inlineStr">
        <is>
          <t>Electronics Supplier 072</t>
        </is>
      </c>
      <c r="C721" t="inlineStr">
        <is>
          <t>Electronics</t>
        </is>
      </c>
      <c r="D721" t="n">
        <v>2024</v>
      </c>
      <c r="E721" t="n">
        <v>22159283.79</v>
      </c>
      <c r="F721" t="n">
        <v>64594775.65</v>
      </c>
      <c r="G721" t="n">
        <v>13727.7422</v>
      </c>
      <c r="H721" t="n">
        <v>3736.5444</v>
      </c>
      <c r="I721" t="n">
        <v>2668.0744</v>
      </c>
      <c r="J721" t="n">
        <v>6799.6499</v>
      </c>
      <c r="K721" t="n">
        <v>2018</v>
      </c>
      <c r="L721" t="n">
        <v>2040</v>
      </c>
      <c r="M721" t="n">
        <v>0.5726</v>
      </c>
      <c r="N721" t="n">
        <v>0.3086</v>
      </c>
      <c r="O721" t="n">
        <v>2018</v>
      </c>
      <c r="P721" t="n">
        <v>2040</v>
      </c>
      <c r="Q721" t="n">
        <v>0.3424</v>
      </c>
      <c r="R721" t="n">
        <v>635.1588</v>
      </c>
      <c r="S721" t="n">
        <v>0.00086105</v>
      </c>
      <c r="T721" t="n">
        <v>0.00013947</v>
      </c>
      <c r="U721" t="n">
        <v>13727.7422</v>
      </c>
      <c r="V721" t="inlineStr">
        <is>
          <t>Provided Total Emissions</t>
        </is>
      </c>
      <c r="W721" t="b">
        <v>1</v>
      </c>
      <c r="X721" t="n">
        <v>19080.2513</v>
      </c>
      <c r="Y721" t="n">
        <v>9009.0334</v>
      </c>
      <c r="Z721" t="n">
        <v>5352.5091</v>
      </c>
      <c r="AA721" t="n">
        <v>-4718.7088</v>
      </c>
      <c r="AB721" t="n">
        <v>0.389905</v>
      </c>
      <c r="AC721" t="n">
        <v>-0.343735</v>
      </c>
      <c r="AD721" t="inlineStr">
        <is>
          <t>High</t>
        </is>
      </c>
      <c r="AE721" t="inlineStr">
        <is>
          <t>None</t>
        </is>
      </c>
      <c r="AF721" t="n">
        <v>0.95</v>
      </c>
      <c r="AG721" t="inlineStr">
        <is>
          <t>Valid</t>
        </is>
      </c>
    </row>
    <row r="722">
      <c r="A722" t="inlineStr">
        <is>
          <t>SUP-0073</t>
        </is>
      </c>
      <c r="B722" t="inlineStr">
        <is>
          <t>Packaging Supplier 073</t>
        </is>
      </c>
      <c r="C722" t="inlineStr">
        <is>
          <t>Packaging</t>
        </is>
      </c>
      <c r="D722" t="n">
        <v>2015</v>
      </c>
      <c r="E722" t="n">
        <v>14763853.08</v>
      </c>
      <c r="F722" t="n">
        <v>96943142.7</v>
      </c>
      <c r="G722" t="n">
        <v>18889.0839</v>
      </c>
      <c r="H722" t="n">
        <v>5106.4273</v>
      </c>
      <c r="I722" t="n">
        <v>1903.5881</v>
      </c>
      <c r="J722" t="n">
        <v>12997.7075</v>
      </c>
      <c r="K722" t="n">
        <v>2021</v>
      </c>
      <c r="L722" t="n">
        <v>2030</v>
      </c>
      <c r="M722" t="n">
        <v>0.6005</v>
      </c>
      <c r="N722" t="n">
        <v>0.3773</v>
      </c>
      <c r="O722" t="n">
        <v>2018</v>
      </c>
      <c r="P722" t="n">
        <v>2040</v>
      </c>
      <c r="Q722" t="n">
        <v>0.3112</v>
      </c>
      <c r="R722" t="n">
        <v>702.4188</v>
      </c>
      <c r="S722" t="n">
        <v>0.0010803</v>
      </c>
      <c r="T722" t="n">
        <v>0.00078946</v>
      </c>
      <c r="U722" t="n">
        <v>18889.0839</v>
      </c>
      <c r="V722" t="inlineStr">
        <is>
          <t>Provided Total Emissions</t>
        </is>
      </c>
      <c r="W722" t="b">
        <v>1</v>
      </c>
      <c r="X722" t="n">
        <v>15949.3905</v>
      </c>
      <c r="Y722" t="n">
        <v>76532.7334</v>
      </c>
      <c r="Z722" t="n">
        <v>-2939.6934</v>
      </c>
      <c r="AA722" t="n">
        <v>57643.6495</v>
      </c>
      <c r="AB722" t="n">
        <v>-0.155629</v>
      </c>
      <c r="AC722" t="n">
        <v>3.051691</v>
      </c>
      <c r="AD722" t="inlineStr">
        <is>
          <t>High</t>
        </is>
      </c>
      <c r="AE722" t="inlineStr">
        <is>
          <t>None</t>
        </is>
      </c>
      <c r="AF722" t="n">
        <v>0.95</v>
      </c>
      <c r="AG722" t="inlineStr">
        <is>
          <t>Valid</t>
        </is>
      </c>
    </row>
    <row r="723">
      <c r="A723" t="inlineStr">
        <is>
          <t>SUP-0073</t>
        </is>
      </c>
      <c r="B723" t="inlineStr">
        <is>
          <t>Packaging Supplier 073</t>
        </is>
      </c>
      <c r="C723" t="inlineStr">
        <is>
          <t>Packaging</t>
        </is>
      </c>
      <c r="D723" t="n">
        <v>2016</v>
      </c>
      <c r="E723" t="n">
        <v>13608726.9</v>
      </c>
      <c r="F723" t="n">
        <v>88868715.45999999</v>
      </c>
      <c r="G723" t="n">
        <v>18233.9659</v>
      </c>
      <c r="H723" t="n">
        <v>2040.7975</v>
      </c>
      <c r="I723" t="n">
        <v>2975.3223</v>
      </c>
      <c r="J723" t="n">
        <v>12338.0173</v>
      </c>
      <c r="K723" t="n">
        <v>2021</v>
      </c>
      <c r="L723" t="n">
        <v>2030</v>
      </c>
      <c r="M723" t="n">
        <v>0.6005</v>
      </c>
      <c r="N723" t="n">
        <v>0.3773</v>
      </c>
      <c r="O723" t="n">
        <v>2018</v>
      </c>
      <c r="P723" t="n">
        <v>2040</v>
      </c>
      <c r="Q723" t="n">
        <v>0.3112</v>
      </c>
      <c r="R723" t="n">
        <v>702.4188</v>
      </c>
      <c r="S723" t="n">
        <v>0.0010803</v>
      </c>
      <c r="T723" t="n">
        <v>0.00078946</v>
      </c>
      <c r="U723" t="n">
        <v>18233.9659</v>
      </c>
      <c r="V723" t="inlineStr">
        <is>
          <t>Provided Total Emissions</t>
        </is>
      </c>
      <c r="W723" t="b">
        <v>1</v>
      </c>
      <c r="X723" t="n">
        <v>14701.5077</v>
      </c>
      <c r="Y723" t="n">
        <v>70158.29610000001</v>
      </c>
      <c r="Z723" t="n">
        <v>-3532.4582</v>
      </c>
      <c r="AA723" t="n">
        <v>51924.3302</v>
      </c>
      <c r="AB723" t="n">
        <v>-0.19373</v>
      </c>
      <c r="AC723" t="n">
        <v>2.847671</v>
      </c>
      <c r="AD723" t="inlineStr">
        <is>
          <t>High</t>
        </is>
      </c>
      <c r="AE723" t="inlineStr">
        <is>
          <t>None</t>
        </is>
      </c>
      <c r="AF723" t="n">
        <v>0.95</v>
      </c>
      <c r="AG723" t="inlineStr">
        <is>
          <t>Valid</t>
        </is>
      </c>
    </row>
    <row r="724">
      <c r="A724" t="inlineStr">
        <is>
          <t>SUP-0073</t>
        </is>
      </c>
      <c r="B724" t="inlineStr">
        <is>
          <t>Packaging Supplier 073</t>
        </is>
      </c>
      <c r="C724" t="inlineStr">
        <is>
          <t>Packaging</t>
        </is>
      </c>
      <c r="D724" t="n">
        <v>2017</v>
      </c>
      <c r="E724" t="n">
        <v>15114078.75</v>
      </c>
      <c r="F724" t="n">
        <v>112041874.21</v>
      </c>
      <c r="G724" t="n">
        <v>24298.0792</v>
      </c>
      <c r="H724" t="n">
        <v>5831.9716</v>
      </c>
      <c r="I724" t="n">
        <v>3333.403</v>
      </c>
      <c r="J724" t="n">
        <v>14693.1021</v>
      </c>
      <c r="K724" t="n">
        <v>2021</v>
      </c>
      <c r="L724" t="n">
        <v>2030</v>
      </c>
      <c r="M724" t="n">
        <v>0.6005</v>
      </c>
      <c r="N724" t="n">
        <v>0.3773</v>
      </c>
      <c r="O724" t="n">
        <v>2018</v>
      </c>
      <c r="P724" t="n">
        <v>2040</v>
      </c>
      <c r="Q724" t="n">
        <v>0.3112</v>
      </c>
      <c r="R724" t="n">
        <v>702.4188</v>
      </c>
      <c r="S724" t="n">
        <v>0.0010803</v>
      </c>
      <c r="T724" t="n">
        <v>0.00078946</v>
      </c>
      <c r="U724" t="n">
        <v>24298.0792</v>
      </c>
      <c r="V724" t="inlineStr">
        <is>
          <t>Provided Total Emissions</t>
        </is>
      </c>
      <c r="W724" t="b">
        <v>1</v>
      </c>
      <c r="X724" t="n">
        <v>16327.7393</v>
      </c>
      <c r="Y724" t="n">
        <v>88452.57799999999</v>
      </c>
      <c r="Z724" t="n">
        <v>-7970.3399</v>
      </c>
      <c r="AA724" t="n">
        <v>64154.4988</v>
      </c>
      <c r="AB724" t="n">
        <v>-0.328023</v>
      </c>
      <c r="AC724" t="n">
        <v>2.640312</v>
      </c>
      <c r="AD724" t="inlineStr">
        <is>
          <t>High</t>
        </is>
      </c>
      <c r="AE724" t="inlineStr">
        <is>
          <t>None</t>
        </is>
      </c>
      <c r="AF724" t="n">
        <v>0.95</v>
      </c>
      <c r="AG724" t="inlineStr">
        <is>
          <t>Valid</t>
        </is>
      </c>
    </row>
    <row r="725">
      <c r="A725" t="inlineStr">
        <is>
          <t>SUP-0073</t>
        </is>
      </c>
      <c r="B725" t="inlineStr">
        <is>
          <t>Packaging Supplier 073</t>
        </is>
      </c>
      <c r="C725" t="inlineStr">
        <is>
          <t>Packaging</t>
        </is>
      </c>
      <c r="D725" t="n">
        <v>2018</v>
      </c>
      <c r="E725" t="n">
        <v>13828838.91</v>
      </c>
      <c r="F725" t="n">
        <v>100302801.31</v>
      </c>
      <c r="G725" t="n">
        <v>21391.4834</v>
      </c>
      <c r="H725" t="n">
        <v>3967.866</v>
      </c>
      <c r="I725" t="n">
        <v>3829.063</v>
      </c>
      <c r="J725" t="n">
        <v>13545.5182</v>
      </c>
      <c r="K725" t="n">
        <v>2021</v>
      </c>
      <c r="L725" t="n">
        <v>2030</v>
      </c>
      <c r="M725" t="n">
        <v>0.6005</v>
      </c>
      <c r="N725" t="n">
        <v>0.3773</v>
      </c>
      <c r="O725" t="n">
        <v>2018</v>
      </c>
      <c r="P725" t="n">
        <v>2040</v>
      </c>
      <c r="Q725" t="n">
        <v>0.3112</v>
      </c>
      <c r="R725" t="n">
        <v>702.4188</v>
      </c>
      <c r="S725" t="n">
        <v>0.0010803</v>
      </c>
      <c r="T725" t="n">
        <v>0.00078946</v>
      </c>
      <c r="U725" t="n">
        <v>21391.4834</v>
      </c>
      <c r="V725" t="inlineStr">
        <is>
          <t>Provided Total Emissions</t>
        </is>
      </c>
      <c r="W725" t="b">
        <v>1</v>
      </c>
      <c r="X725" t="n">
        <v>14939.2947</v>
      </c>
      <c r="Y725" t="n">
        <v>79185.04949999999</v>
      </c>
      <c r="Z725" t="n">
        <v>-6452.1887</v>
      </c>
      <c r="AA725" t="n">
        <v>57793.5661</v>
      </c>
      <c r="AB725" t="n">
        <v>-0.301624</v>
      </c>
      <c r="AC725" t="n">
        <v>2.701709</v>
      </c>
      <c r="AD725" t="inlineStr">
        <is>
          <t>High</t>
        </is>
      </c>
      <c r="AE725" t="inlineStr">
        <is>
          <t>None</t>
        </is>
      </c>
      <c r="AF725" t="n">
        <v>0.95</v>
      </c>
      <c r="AG725" t="inlineStr">
        <is>
          <t>Valid</t>
        </is>
      </c>
    </row>
    <row r="726">
      <c r="A726" t="inlineStr">
        <is>
          <t>SUP-0073</t>
        </is>
      </c>
      <c r="B726" t="inlineStr">
        <is>
          <t>Packaging Supplier 073</t>
        </is>
      </c>
      <c r="C726" t="inlineStr">
        <is>
          <t>Packaging</t>
        </is>
      </c>
      <c r="D726" t="n">
        <v>2019</v>
      </c>
      <c r="E726" t="n">
        <v>15911519.93</v>
      </c>
      <c r="F726" t="n">
        <v>91051393.53</v>
      </c>
      <c r="G726" t="n">
        <v>22972.6716</v>
      </c>
      <c r="H726" t="n">
        <v>6447.0033</v>
      </c>
      <c r="I726" t="n">
        <v>1785.6175</v>
      </c>
      <c r="J726" t="n">
        <v>14440.3642</v>
      </c>
      <c r="K726" t="n">
        <v>2021</v>
      </c>
      <c r="L726" t="n">
        <v>2030</v>
      </c>
      <c r="M726" t="n">
        <v>0.6005</v>
      </c>
      <c r="N726" t="n">
        <v>0.3773</v>
      </c>
      <c r="O726" t="n">
        <v>2018</v>
      </c>
      <c r="P726" t="n">
        <v>2040</v>
      </c>
      <c r="Q726" t="n">
        <v>0.3112</v>
      </c>
      <c r="R726" t="n">
        <v>702.4188</v>
      </c>
      <c r="S726" t="n">
        <v>0.0010803</v>
      </c>
      <c r="T726" t="n">
        <v>0.00078946</v>
      </c>
      <c r="U726" t="n">
        <v>22972.6716</v>
      </c>
      <c r="V726" t="inlineStr">
        <is>
          <t>Provided Total Emissions</t>
        </is>
      </c>
      <c r="W726" t="b">
        <v>1</v>
      </c>
      <c r="X726" t="n">
        <v>17189.215</v>
      </c>
      <c r="Y726" t="n">
        <v>71881.43309999999</v>
      </c>
      <c r="Z726" t="n">
        <v>-5783.4566</v>
      </c>
      <c r="AA726" t="n">
        <v>48908.7615</v>
      </c>
      <c r="AB726" t="n">
        <v>-0.251754</v>
      </c>
      <c r="AC726" t="n">
        <v>2.128998</v>
      </c>
      <c r="AD726" t="inlineStr">
        <is>
          <t>High</t>
        </is>
      </c>
      <c r="AE726" t="inlineStr">
        <is>
          <t>None</t>
        </is>
      </c>
      <c r="AF726" t="n">
        <v>0.95</v>
      </c>
      <c r="AG726" t="inlineStr">
        <is>
          <t>Valid</t>
        </is>
      </c>
    </row>
    <row r="727">
      <c r="A727" t="inlineStr">
        <is>
          <t>SUP-0073</t>
        </is>
      </c>
      <c r="B727" t="inlineStr">
        <is>
          <t>Packaging Supplier 073</t>
        </is>
      </c>
      <c r="C727" t="inlineStr">
        <is>
          <t>Packaging</t>
        </is>
      </c>
      <c r="D727" t="n">
        <v>2020</v>
      </c>
      <c r="E727" t="n">
        <v>13397661.17</v>
      </c>
      <c r="F727" t="n">
        <v>98725708.11</v>
      </c>
      <c r="G727" t="n">
        <v>18879.8321</v>
      </c>
      <c r="H727" t="n">
        <v>3364.4304</v>
      </c>
      <c r="I727" t="n">
        <v>3075.4877</v>
      </c>
      <c r="J727" t="n">
        <v>10997.9805</v>
      </c>
      <c r="K727" t="n">
        <v>2021</v>
      </c>
      <c r="L727" t="n">
        <v>2030</v>
      </c>
      <c r="M727" t="n">
        <v>0.6005</v>
      </c>
      <c r="N727" t="n">
        <v>0.3773</v>
      </c>
      <c r="O727" t="n">
        <v>2018</v>
      </c>
      <c r="P727" t="n">
        <v>2040</v>
      </c>
      <c r="Q727" t="n">
        <v>0.3112</v>
      </c>
      <c r="R727" t="n">
        <v>702.4188</v>
      </c>
      <c r="S727" t="n">
        <v>0.0010803</v>
      </c>
      <c r="T727" t="n">
        <v>0.00078946</v>
      </c>
      <c r="U727" t="n">
        <v>18879.8321</v>
      </c>
      <c r="V727" t="inlineStr">
        <is>
          <t>Provided Total Emissions</t>
        </is>
      </c>
      <c r="W727" t="b">
        <v>1</v>
      </c>
      <c r="X727" t="n">
        <v>14473.4934</v>
      </c>
      <c r="Y727" t="n">
        <v>77939.9975</v>
      </c>
      <c r="Z727" t="n">
        <v>-4406.3387</v>
      </c>
      <c r="AA727" t="n">
        <v>59060.1654</v>
      </c>
      <c r="AB727" t="n">
        <v>-0.233389</v>
      </c>
      <c r="AC727" t="n">
        <v>3.128215</v>
      </c>
      <c r="AD727" t="inlineStr">
        <is>
          <t>High</t>
        </is>
      </c>
      <c r="AE727" t="inlineStr">
        <is>
          <t>None</t>
        </is>
      </c>
      <c r="AF727" t="n">
        <v>0.95</v>
      </c>
      <c r="AG727" t="inlineStr">
        <is>
          <t>Valid</t>
        </is>
      </c>
    </row>
    <row r="728">
      <c r="A728" t="inlineStr">
        <is>
          <t>SUP-0073</t>
        </is>
      </c>
      <c r="B728" t="inlineStr">
        <is>
          <t>Packaging Supplier 073</t>
        </is>
      </c>
      <c r="C728" t="inlineStr">
        <is>
          <t>Packaging</t>
        </is>
      </c>
      <c r="D728" t="n">
        <v>2021</v>
      </c>
      <c r="E728" t="n">
        <v>12463830.73</v>
      </c>
      <c r="F728" t="n">
        <v>117255240.41</v>
      </c>
      <c r="G728" t="n">
        <v>17473.4283</v>
      </c>
      <c r="H728" t="n">
        <v>2868.2018</v>
      </c>
      <c r="I728" t="n">
        <v>3619.7011</v>
      </c>
      <c r="J728" t="n">
        <v>11085.9625</v>
      </c>
      <c r="K728" t="n">
        <v>2021</v>
      </c>
      <c r="L728" t="n">
        <v>2030</v>
      </c>
      <c r="M728" t="n">
        <v>0.6005</v>
      </c>
      <c r="N728" t="n">
        <v>0.3773</v>
      </c>
      <c r="O728" t="n">
        <v>2018</v>
      </c>
      <c r="P728" t="n">
        <v>2040</v>
      </c>
      <c r="Q728" t="n">
        <v>0.3112</v>
      </c>
      <c r="R728" t="n">
        <v>702.4188</v>
      </c>
      <c r="S728" t="n">
        <v>0.0010803</v>
      </c>
      <c r="T728" t="n">
        <v>0.00078946</v>
      </c>
      <c r="U728" t="n">
        <v>17473.4283</v>
      </c>
      <c r="V728" t="inlineStr">
        <is>
          <t>Provided Total Emissions</t>
        </is>
      </c>
      <c r="W728" t="b">
        <v>1</v>
      </c>
      <c r="X728" t="n">
        <v>13464.6763</v>
      </c>
      <c r="Y728" t="n">
        <v>92568.3221</v>
      </c>
      <c r="Z728" t="n">
        <v>-4008.752</v>
      </c>
      <c r="AA728" t="n">
        <v>75094.89380000001</v>
      </c>
      <c r="AB728" t="n">
        <v>-0.22942</v>
      </c>
      <c r="AC728" t="n">
        <v>4.297662</v>
      </c>
      <c r="AD728" t="inlineStr">
        <is>
          <t>High</t>
        </is>
      </c>
      <c r="AE728" t="inlineStr">
        <is>
          <t>None</t>
        </is>
      </c>
      <c r="AF728" t="n">
        <v>0.95</v>
      </c>
      <c r="AG728" t="inlineStr">
        <is>
          <t>Valid</t>
        </is>
      </c>
    </row>
    <row r="729">
      <c r="A729" t="inlineStr">
        <is>
          <t>SUP-0073</t>
        </is>
      </c>
      <c r="B729" t="inlineStr">
        <is>
          <t>Packaging Supplier 073</t>
        </is>
      </c>
      <c r="C729" t="inlineStr">
        <is>
          <t>Packaging</t>
        </is>
      </c>
      <c r="D729" t="n">
        <v>2022</v>
      </c>
      <c r="E729" t="n">
        <v>16374375.22</v>
      </c>
      <c r="F729" t="n">
        <v>126387017.34</v>
      </c>
      <c r="G729" t="n">
        <v>19625.1774</v>
      </c>
      <c r="H729" t="n">
        <v>3700.3488</v>
      </c>
      <c r="I729" t="n">
        <v>2778.0769</v>
      </c>
      <c r="J729" t="n">
        <v>12609.0802</v>
      </c>
      <c r="K729" t="n">
        <v>2021</v>
      </c>
      <c r="L729" t="n">
        <v>2030</v>
      </c>
      <c r="M729" t="n">
        <v>0.6005</v>
      </c>
      <c r="N729" t="n">
        <v>0.3773</v>
      </c>
      <c r="O729" t="n">
        <v>2018</v>
      </c>
      <c r="P729" t="n">
        <v>2040</v>
      </c>
      <c r="Q729" t="n">
        <v>0.3112</v>
      </c>
      <c r="R729" t="n">
        <v>702.4188</v>
      </c>
      <c r="S729" t="n">
        <v>0.0010803</v>
      </c>
      <c r="T729" t="n">
        <v>0.00078946</v>
      </c>
      <c r="U729" t="n">
        <v>19625.1774</v>
      </c>
      <c r="V729" t="inlineStr">
        <is>
          <t>Provided Total Emissions</t>
        </is>
      </c>
      <c r="W729" t="b">
        <v>1</v>
      </c>
      <c r="X729" t="n">
        <v>17689.2376</v>
      </c>
      <c r="Y729" t="n">
        <v>99777.4947</v>
      </c>
      <c r="Z729" t="n">
        <v>-1935.9398</v>
      </c>
      <c r="AA729" t="n">
        <v>80152.3173</v>
      </c>
      <c r="AB729" t="n">
        <v>-0.098646</v>
      </c>
      <c r="AC729" t="n">
        <v>4.084158</v>
      </c>
      <c r="AD729" t="inlineStr">
        <is>
          <t>High</t>
        </is>
      </c>
      <c r="AE729" t="inlineStr">
        <is>
          <t>None</t>
        </is>
      </c>
      <c r="AF729" t="n">
        <v>0.95</v>
      </c>
      <c r="AG729" t="inlineStr">
        <is>
          <t>Valid</t>
        </is>
      </c>
    </row>
    <row r="730">
      <c r="A730" t="inlineStr">
        <is>
          <t>SUP-0073</t>
        </is>
      </c>
      <c r="B730" t="inlineStr">
        <is>
          <t>Packaging Supplier 073</t>
        </is>
      </c>
      <c r="C730" t="inlineStr">
        <is>
          <t>Packaging</t>
        </is>
      </c>
      <c r="D730" t="n">
        <v>2023</v>
      </c>
      <c r="E730" t="n">
        <v>12528358.29</v>
      </c>
      <c r="F730" t="n">
        <v>124295264.58</v>
      </c>
      <c r="G730" t="n">
        <v>14945.5376</v>
      </c>
      <c r="H730" t="n">
        <v>3368.1631</v>
      </c>
      <c r="I730" t="n">
        <v>1286.3832</v>
      </c>
      <c r="J730" t="n">
        <v>9194.580400000001</v>
      </c>
      <c r="K730" t="n">
        <v>2021</v>
      </c>
      <c r="L730" t="n">
        <v>2030</v>
      </c>
      <c r="M730" t="n">
        <v>0.6005</v>
      </c>
      <c r="N730" t="n">
        <v>0.3773</v>
      </c>
      <c r="O730" t="n">
        <v>2018</v>
      </c>
      <c r="P730" t="n">
        <v>2040</v>
      </c>
      <c r="Q730" t="n">
        <v>0.3112</v>
      </c>
      <c r="R730" t="n">
        <v>702.4188</v>
      </c>
      <c r="S730" t="n">
        <v>0.0010803</v>
      </c>
      <c r="T730" t="n">
        <v>0.00078946</v>
      </c>
      <c r="U730" t="n">
        <v>14945.5376</v>
      </c>
      <c r="V730" t="inlineStr">
        <is>
          <t>Provided Total Emissions</t>
        </is>
      </c>
      <c r="W730" t="b">
        <v>1</v>
      </c>
      <c r="X730" t="n">
        <v>13534.3855</v>
      </c>
      <c r="Y730" t="n">
        <v>98126.13959999999</v>
      </c>
      <c r="Z730" t="n">
        <v>-1411.1521</v>
      </c>
      <c r="AA730" t="n">
        <v>83180.602</v>
      </c>
      <c r="AB730" t="n">
        <v>-0.09442</v>
      </c>
      <c r="AC730" t="n">
        <v>5.565581</v>
      </c>
      <c r="AD730" t="inlineStr">
        <is>
          <t>High</t>
        </is>
      </c>
      <c r="AE730" t="inlineStr">
        <is>
          <t>None</t>
        </is>
      </c>
      <c r="AF730" t="n">
        <v>0.95</v>
      </c>
      <c r="AG730" t="inlineStr">
        <is>
          <t>Valid</t>
        </is>
      </c>
    </row>
    <row r="731">
      <c r="A731" t="inlineStr">
        <is>
          <t>SUP-0073</t>
        </is>
      </c>
      <c r="B731" t="inlineStr">
        <is>
          <t>Packaging Supplier 073</t>
        </is>
      </c>
      <c r="C731" t="inlineStr">
        <is>
          <t>Packaging</t>
        </is>
      </c>
      <c r="D731" t="n">
        <v>2024</v>
      </c>
      <c r="E731" t="n">
        <v>14423624.23</v>
      </c>
      <c r="F731" t="n">
        <v>120436061.57</v>
      </c>
      <c r="G731" t="n">
        <v>16015.2073</v>
      </c>
      <c r="H731" t="n">
        <v>3724.4673</v>
      </c>
      <c r="I731" t="n">
        <v>3199.0057</v>
      </c>
      <c r="J731" t="n">
        <v>8740.0867</v>
      </c>
      <c r="K731" t="n">
        <v>2021</v>
      </c>
      <c r="L731" t="n">
        <v>2030</v>
      </c>
      <c r="M731" t="n">
        <v>0.6005</v>
      </c>
      <c r="N731" t="n">
        <v>0.3773</v>
      </c>
      <c r="O731" t="n">
        <v>2018</v>
      </c>
      <c r="P731" t="n">
        <v>2040</v>
      </c>
      <c r="Q731" t="n">
        <v>0.3112</v>
      </c>
      <c r="R731" t="n">
        <v>702.4188</v>
      </c>
      <c r="S731" t="n">
        <v>0.0010803</v>
      </c>
      <c r="T731" t="n">
        <v>0.00078946</v>
      </c>
      <c r="U731" t="n">
        <v>16015.2073</v>
      </c>
      <c r="V731" t="inlineStr">
        <is>
          <t>Provided Total Emissions</t>
        </is>
      </c>
      <c r="W731" t="b">
        <v>1</v>
      </c>
      <c r="X731" t="n">
        <v>15581.8413</v>
      </c>
      <c r="Y731" t="n">
        <v>95079.4532</v>
      </c>
      <c r="Z731" t="n">
        <v>-433.366</v>
      </c>
      <c r="AA731" t="n">
        <v>79064.24589999999</v>
      </c>
      <c r="AB731" t="n">
        <v>-0.02706</v>
      </c>
      <c r="AC731" t="n">
        <v>4.936823</v>
      </c>
      <c r="AD731" t="inlineStr">
        <is>
          <t>High</t>
        </is>
      </c>
      <c r="AE731" t="inlineStr">
        <is>
          <t>None</t>
        </is>
      </c>
      <c r="AF731" t="n">
        <v>0.95</v>
      </c>
      <c r="AG731" t="inlineStr">
        <is>
          <t>Valid</t>
        </is>
      </c>
    </row>
    <row r="732">
      <c r="A732" t="inlineStr">
        <is>
          <t>SUP-0074</t>
        </is>
      </c>
      <c r="B732" t="inlineStr">
        <is>
          <t>Agriculture Supplier 074</t>
        </is>
      </c>
      <c r="C732" t="inlineStr">
        <is>
          <t>Agriculture</t>
        </is>
      </c>
      <c r="D732" t="n">
        <v>2015</v>
      </c>
      <c r="E732" t="n">
        <v>22066820.31</v>
      </c>
      <c r="F732" t="n">
        <v>103194090.45</v>
      </c>
      <c r="G732" t="n">
        <v>26221.5934</v>
      </c>
      <c r="H732" t="n">
        <v>2146.9381</v>
      </c>
      <c r="I732" t="n">
        <v>1702.4555</v>
      </c>
      <c r="J732" t="n">
        <v>22604.1755</v>
      </c>
      <c r="K732" t="n">
        <v>2020</v>
      </c>
      <c r="L732" t="n">
        <v>2040</v>
      </c>
      <c r="M732" t="n">
        <v>0.5813</v>
      </c>
      <c r="N732" t="n">
        <v>0.2506</v>
      </c>
      <c r="O732" t="n">
        <v>2018</v>
      </c>
      <c r="P732" t="inlineStr"/>
      <c r="Q732" t="inlineStr"/>
      <c r="R732" t="n">
        <v>529.8294</v>
      </c>
      <c r="S732" t="n">
        <v>0.00091413</v>
      </c>
      <c r="T732" t="n">
        <v>0.00096913</v>
      </c>
      <c r="U732" t="n">
        <v>26221.5934</v>
      </c>
      <c r="V732" t="inlineStr">
        <is>
          <t>Provided Total Emissions</t>
        </is>
      </c>
      <c r="W732" t="b">
        <v>1</v>
      </c>
      <c r="X732" t="n">
        <v>20171.9424</v>
      </c>
      <c r="Y732" t="n">
        <v>100008.4889</v>
      </c>
      <c r="Z732" t="n">
        <v>-6049.651</v>
      </c>
      <c r="AA732" t="n">
        <v>73786.8955</v>
      </c>
      <c r="AB732" t="n">
        <v>-0.230713</v>
      </c>
      <c r="AC732" t="n">
        <v>2.813975</v>
      </c>
      <c r="AD732" t="inlineStr">
        <is>
          <t>High</t>
        </is>
      </c>
      <c r="AE732" t="inlineStr">
        <is>
          <t>None</t>
        </is>
      </c>
      <c r="AF732" t="n">
        <v>0.95</v>
      </c>
      <c r="AG732" t="inlineStr">
        <is>
          <t>Valid</t>
        </is>
      </c>
    </row>
    <row r="733">
      <c r="A733" t="inlineStr">
        <is>
          <t>SUP-0074</t>
        </is>
      </c>
      <c r="B733" t="inlineStr">
        <is>
          <t>Agriculture Supplier 074</t>
        </is>
      </c>
      <c r="C733" t="inlineStr">
        <is>
          <t>Agriculture</t>
        </is>
      </c>
      <c r="D733" t="n">
        <v>2016</v>
      </c>
      <c r="E733" t="n">
        <v>20601719.28</v>
      </c>
      <c r="F733" t="n">
        <v>123472065.37</v>
      </c>
      <c r="G733" t="n">
        <v>27567.0959</v>
      </c>
      <c r="H733" t="n">
        <v>6188.2995</v>
      </c>
      <c r="I733" t="n">
        <v>3029.1854</v>
      </c>
      <c r="J733" t="n">
        <v>18823.1088</v>
      </c>
      <c r="K733" t="n">
        <v>2020</v>
      </c>
      <c r="L733" t="n">
        <v>2040</v>
      </c>
      <c r="M733" t="n">
        <v>0.5813</v>
      </c>
      <c r="N733" t="n">
        <v>0.2506</v>
      </c>
      <c r="O733" t="n">
        <v>2018</v>
      </c>
      <c r="P733" t="inlineStr"/>
      <c r="Q733" t="inlineStr"/>
      <c r="R733" t="n">
        <v>529.8294</v>
      </c>
      <c r="S733" t="n">
        <v>0.00091413</v>
      </c>
      <c r="T733" t="n">
        <v>0.00096913</v>
      </c>
      <c r="U733" t="n">
        <v>27567.0959</v>
      </c>
      <c r="V733" t="inlineStr">
        <is>
          <t>Provided Total Emissions</t>
        </is>
      </c>
      <c r="W733" t="b">
        <v>1</v>
      </c>
      <c r="X733" t="n">
        <v>18832.6496</v>
      </c>
      <c r="Y733" t="n">
        <v>119660.4827</v>
      </c>
      <c r="Z733" t="n">
        <v>-8734.4463</v>
      </c>
      <c r="AA733" t="n">
        <v>92093.38679999999</v>
      </c>
      <c r="AB733" t="n">
        <v>-0.316843</v>
      </c>
      <c r="AC733" t="n">
        <v>3.3407</v>
      </c>
      <c r="AD733" t="inlineStr">
        <is>
          <t>High</t>
        </is>
      </c>
      <c r="AE733" t="inlineStr">
        <is>
          <t>None</t>
        </is>
      </c>
      <c r="AF733" t="n">
        <v>0.95</v>
      </c>
      <c r="AG733" t="inlineStr">
        <is>
          <t>Valid</t>
        </is>
      </c>
    </row>
    <row r="734">
      <c r="A734" t="inlineStr">
        <is>
          <t>SUP-0074</t>
        </is>
      </c>
      <c r="B734" t="inlineStr">
        <is>
          <t>Agriculture Supplier 074</t>
        </is>
      </c>
      <c r="C734" t="inlineStr">
        <is>
          <t>Agriculture</t>
        </is>
      </c>
      <c r="D734" t="n">
        <v>2017</v>
      </c>
      <c r="E734" t="n">
        <v>21953336.91</v>
      </c>
      <c r="F734" t="n">
        <v>107664624.98</v>
      </c>
      <c r="G734" t="n">
        <v>31110.7614</v>
      </c>
      <c r="H734" t="n">
        <v>3451.2307</v>
      </c>
      <c r="I734" t="n">
        <v>6663.1547</v>
      </c>
      <c r="J734" t="n">
        <v>21957.0002</v>
      </c>
      <c r="K734" t="n">
        <v>2020</v>
      </c>
      <c r="L734" t="n">
        <v>2040</v>
      </c>
      <c r="M734" t="n">
        <v>0.5813</v>
      </c>
      <c r="N734" t="n">
        <v>0.2506</v>
      </c>
      <c r="O734" t="n">
        <v>2018</v>
      </c>
      <c r="P734" t="inlineStr"/>
      <c r="Q734" t="inlineStr"/>
      <c r="R734" t="n">
        <v>529.8294</v>
      </c>
      <c r="S734" t="n">
        <v>0.00091413</v>
      </c>
      <c r="T734" t="n">
        <v>0.00096913</v>
      </c>
      <c r="U734" t="n">
        <v>31110.7614</v>
      </c>
      <c r="V734" t="inlineStr">
        <is>
          <t>Provided Total Emissions</t>
        </is>
      </c>
      <c r="W734" t="b">
        <v>1</v>
      </c>
      <c r="X734" t="n">
        <v>20068.2039</v>
      </c>
      <c r="Y734" t="n">
        <v>104341.018</v>
      </c>
      <c r="Z734" t="n">
        <v>-11042.5575</v>
      </c>
      <c r="AA734" t="n">
        <v>73230.25659999999</v>
      </c>
      <c r="AB734" t="n">
        <v>-0.354943</v>
      </c>
      <c r="AC734" t="n">
        <v>2.353856</v>
      </c>
      <c r="AD734" t="inlineStr">
        <is>
          <t>High</t>
        </is>
      </c>
      <c r="AE734" t="inlineStr">
        <is>
          <t>None</t>
        </is>
      </c>
      <c r="AF734" t="n">
        <v>0.95</v>
      </c>
      <c r="AG734" t="inlineStr">
        <is>
          <t>Valid</t>
        </is>
      </c>
    </row>
    <row r="735">
      <c r="A735" t="inlineStr">
        <is>
          <t>SUP-0074</t>
        </is>
      </c>
      <c r="B735" t="inlineStr">
        <is>
          <t>Agriculture Supplier 074</t>
        </is>
      </c>
      <c r="C735" t="inlineStr">
        <is>
          <t>Agriculture</t>
        </is>
      </c>
      <c r="D735" t="n">
        <v>2018</v>
      </c>
      <c r="E735" t="n">
        <v>22806996.51</v>
      </c>
      <c r="F735" t="n">
        <v>116934469.44</v>
      </c>
      <c r="G735" t="n">
        <v>28110.6496</v>
      </c>
      <c r="H735" t="n">
        <v>5987.0206</v>
      </c>
      <c r="I735" t="n">
        <v>5465.9718</v>
      </c>
      <c r="J735" t="n">
        <v>16720.1208</v>
      </c>
      <c r="K735" t="n">
        <v>2020</v>
      </c>
      <c r="L735" t="n">
        <v>2040</v>
      </c>
      <c r="M735" t="n">
        <v>0.5813</v>
      </c>
      <c r="N735" t="n">
        <v>0.2506</v>
      </c>
      <c r="O735" t="n">
        <v>2018</v>
      </c>
      <c r="P735" t="inlineStr"/>
      <c r="Q735" t="inlineStr"/>
      <c r="R735" t="n">
        <v>529.8294</v>
      </c>
      <c r="S735" t="n">
        <v>0.00091413</v>
      </c>
      <c r="T735" t="n">
        <v>0.00096913</v>
      </c>
      <c r="U735" t="n">
        <v>28110.6496</v>
      </c>
      <c r="V735" t="inlineStr">
        <is>
          <t>Provided Total Emissions</t>
        </is>
      </c>
      <c r="W735" t="b">
        <v>1</v>
      </c>
      <c r="X735" t="n">
        <v>20848.5597</v>
      </c>
      <c r="Y735" t="n">
        <v>113324.7024</v>
      </c>
      <c r="Z735" t="n">
        <v>-7262.0899</v>
      </c>
      <c r="AA735" t="n">
        <v>85214.0528</v>
      </c>
      <c r="AB735" t="n">
        <v>-0.258339</v>
      </c>
      <c r="AC735" t="n">
        <v>3.03138</v>
      </c>
      <c r="AD735" t="inlineStr">
        <is>
          <t>High</t>
        </is>
      </c>
      <c r="AE735" t="inlineStr">
        <is>
          <t>None</t>
        </is>
      </c>
      <c r="AF735" t="n">
        <v>0.95</v>
      </c>
      <c r="AG735" t="inlineStr">
        <is>
          <t>Valid</t>
        </is>
      </c>
    </row>
    <row r="736">
      <c r="A736" t="inlineStr">
        <is>
          <t>SUP-0074</t>
        </is>
      </c>
      <c r="B736" t="inlineStr">
        <is>
          <t>Agriculture Supplier 074</t>
        </is>
      </c>
      <c r="C736" t="inlineStr">
        <is>
          <t>Agriculture</t>
        </is>
      </c>
      <c r="D736" t="n">
        <v>2019</v>
      </c>
      <c r="E736" t="n">
        <v>24407587.57</v>
      </c>
      <c r="F736" t="n">
        <v>114335846.34</v>
      </c>
      <c r="G736" t="n">
        <v>28665.822</v>
      </c>
      <c r="H736" t="n">
        <v>4540.3293</v>
      </c>
      <c r="I736" t="n">
        <v>1902.8637</v>
      </c>
      <c r="J736" t="n">
        <v>21579.2891</v>
      </c>
      <c r="K736" t="n">
        <v>2020</v>
      </c>
      <c r="L736" t="n">
        <v>2040</v>
      </c>
      <c r="M736" t="n">
        <v>0.5813</v>
      </c>
      <c r="N736" t="n">
        <v>0.2506</v>
      </c>
      <c r="O736" t="n">
        <v>2018</v>
      </c>
      <c r="P736" t="inlineStr"/>
      <c r="Q736" t="inlineStr"/>
      <c r="R736" t="n">
        <v>529.8294</v>
      </c>
      <c r="S736" t="n">
        <v>0.00091413</v>
      </c>
      <c r="T736" t="n">
        <v>0.00096913</v>
      </c>
      <c r="U736" t="n">
        <v>28665.822</v>
      </c>
      <c r="V736" t="inlineStr">
        <is>
          <t>Provided Total Emissions</t>
        </is>
      </c>
      <c r="W736" t="b">
        <v>1</v>
      </c>
      <c r="X736" t="n">
        <v>22311.708</v>
      </c>
      <c r="Y736" t="n">
        <v>110806.2988</v>
      </c>
      <c r="Z736" t="n">
        <v>-6354.114</v>
      </c>
      <c r="AA736" t="n">
        <v>82140.4768</v>
      </c>
      <c r="AB736" t="n">
        <v>-0.221662</v>
      </c>
      <c r="AC736" t="n">
        <v>2.86545</v>
      </c>
      <c r="AD736" t="inlineStr">
        <is>
          <t>High</t>
        </is>
      </c>
      <c r="AE736" t="inlineStr">
        <is>
          <t>None</t>
        </is>
      </c>
      <c r="AF736" t="n">
        <v>0.95</v>
      </c>
      <c r="AG736" t="inlineStr">
        <is>
          <t>Valid</t>
        </is>
      </c>
    </row>
    <row r="737">
      <c r="A737" t="inlineStr">
        <is>
          <t>SUP-0074</t>
        </is>
      </c>
      <c r="B737" t="inlineStr">
        <is>
          <t>Agriculture Supplier 074</t>
        </is>
      </c>
      <c r="C737" t="inlineStr">
        <is>
          <t>Agriculture</t>
        </is>
      </c>
      <c r="D737" t="n">
        <v>2020</v>
      </c>
      <c r="E737" t="n">
        <v>20523007.49</v>
      </c>
      <c r="F737" t="n">
        <v>121888896.83</v>
      </c>
      <c r="G737" t="n">
        <v>26164.4453</v>
      </c>
      <c r="H737" t="n">
        <v>6199.5748</v>
      </c>
      <c r="I737" t="n">
        <v>3723.7017</v>
      </c>
      <c r="J737" t="n">
        <v>15338.7353</v>
      </c>
      <c r="K737" t="n">
        <v>2020</v>
      </c>
      <c r="L737" t="n">
        <v>2040</v>
      </c>
      <c r="M737" t="n">
        <v>0.5813</v>
      </c>
      <c r="N737" t="n">
        <v>0.2506</v>
      </c>
      <c r="O737" t="n">
        <v>2018</v>
      </c>
      <c r="P737" t="inlineStr"/>
      <c r="Q737" t="inlineStr"/>
      <c r="R737" t="n">
        <v>529.8294</v>
      </c>
      <c r="S737" t="n">
        <v>0.00091413</v>
      </c>
      <c r="T737" t="n">
        <v>0.00096913</v>
      </c>
      <c r="U737" t="n">
        <v>26164.4453</v>
      </c>
      <c r="V737" t="inlineStr">
        <is>
          <t>Provided Total Emissions</t>
        </is>
      </c>
      <c r="W737" t="b">
        <v>1</v>
      </c>
      <c r="X737" t="n">
        <v>18760.6968</v>
      </c>
      <c r="Y737" t="n">
        <v>118126.1866</v>
      </c>
      <c r="Z737" t="n">
        <v>-7403.7485</v>
      </c>
      <c r="AA737" t="n">
        <v>91961.74129999999</v>
      </c>
      <c r="AB737" t="n">
        <v>-0.28297</v>
      </c>
      <c r="AC737" t="n">
        <v>3.51476</v>
      </c>
      <c r="AD737" t="inlineStr">
        <is>
          <t>High</t>
        </is>
      </c>
      <c r="AE737" t="inlineStr">
        <is>
          <t>None</t>
        </is>
      </c>
      <c r="AF737" t="n">
        <v>0.95</v>
      </c>
      <c r="AG737" t="inlineStr">
        <is>
          <t>Valid</t>
        </is>
      </c>
    </row>
    <row r="738">
      <c r="A738" t="inlineStr">
        <is>
          <t>SUP-0074</t>
        </is>
      </c>
      <c r="B738" t="inlineStr">
        <is>
          <t>Agriculture Supplier 074</t>
        </is>
      </c>
      <c r="C738" t="inlineStr">
        <is>
          <t>Agriculture</t>
        </is>
      </c>
      <c r="D738" t="n">
        <v>2021</v>
      </c>
      <c r="E738" t="n">
        <v>20727221.38</v>
      </c>
      <c r="F738" t="n">
        <v>154544008.75</v>
      </c>
      <c r="G738" t="n">
        <v>21763.6077</v>
      </c>
      <c r="H738" t="n">
        <v>3578.079</v>
      </c>
      <c r="I738" t="n">
        <v>4238.6447</v>
      </c>
      <c r="J738" t="n">
        <v>13610.5658</v>
      </c>
      <c r="K738" t="n">
        <v>2020</v>
      </c>
      <c r="L738" t="n">
        <v>2040</v>
      </c>
      <c r="M738" t="n">
        <v>0.5813</v>
      </c>
      <c r="N738" t="n">
        <v>0.2506</v>
      </c>
      <c r="O738" t="n">
        <v>2018</v>
      </c>
      <c r="P738" t="inlineStr"/>
      <c r="Q738" t="inlineStr"/>
      <c r="R738" t="n">
        <v>529.8294</v>
      </c>
      <c r="S738" t="n">
        <v>0.00091413</v>
      </c>
      <c r="T738" t="n">
        <v>0.00096913</v>
      </c>
      <c r="U738" t="n">
        <v>21763.6077</v>
      </c>
      <c r="V738" t="inlineStr">
        <is>
          <t>Provided Total Emissions</t>
        </is>
      </c>
      <c r="W738" t="b">
        <v>1</v>
      </c>
      <c r="X738" t="n">
        <v>18947.3749</v>
      </c>
      <c r="Y738" t="n">
        <v>149773.2352</v>
      </c>
      <c r="Z738" t="n">
        <v>-2816.2328</v>
      </c>
      <c r="AA738" t="n">
        <v>128009.6275</v>
      </c>
      <c r="AB738" t="n">
        <v>-0.129401</v>
      </c>
      <c r="AC738" t="n">
        <v>5.88182</v>
      </c>
      <c r="AD738" t="inlineStr">
        <is>
          <t>High</t>
        </is>
      </c>
      <c r="AE738" t="inlineStr">
        <is>
          <t>None</t>
        </is>
      </c>
      <c r="AF738" t="n">
        <v>0.95</v>
      </c>
      <c r="AG738" t="inlineStr">
        <is>
          <t>Valid</t>
        </is>
      </c>
    </row>
    <row r="739">
      <c r="A739" t="inlineStr">
        <is>
          <t>SUP-0074</t>
        </is>
      </c>
      <c r="B739" t="inlineStr">
        <is>
          <t>Agriculture Supplier 074</t>
        </is>
      </c>
      <c r="C739" t="inlineStr">
        <is>
          <t>Agriculture</t>
        </is>
      </c>
      <c r="D739" t="n">
        <v>2022</v>
      </c>
      <c r="E739" t="n">
        <v>22659679.26</v>
      </c>
      <c r="F739" t="n">
        <v>116520266.46</v>
      </c>
      <c r="G739" t="n">
        <v>21744.9428</v>
      </c>
      <c r="H739" t="n">
        <v>2542.0176</v>
      </c>
      <c r="I739" t="n">
        <v>3649.309</v>
      </c>
      <c r="J739" t="n">
        <v>17014.1927</v>
      </c>
      <c r="K739" t="n">
        <v>2020</v>
      </c>
      <c r="L739" t="n">
        <v>2040</v>
      </c>
      <c r="M739" t="n">
        <v>0.5813</v>
      </c>
      <c r="N739" t="n">
        <v>0.2506</v>
      </c>
      <c r="O739" t="n">
        <v>2018</v>
      </c>
      <c r="P739" t="inlineStr"/>
      <c r="Q739" t="inlineStr"/>
      <c r="R739" t="n">
        <v>529.8294</v>
      </c>
      <c r="S739" t="n">
        <v>0.00091413</v>
      </c>
      <c r="T739" t="n">
        <v>0.00096913</v>
      </c>
      <c r="U739" t="n">
        <v>21744.9428</v>
      </c>
      <c r="V739" t="inlineStr">
        <is>
          <t>Provided Total Emissions</t>
        </is>
      </c>
      <c r="W739" t="b">
        <v>1</v>
      </c>
      <c r="X739" t="n">
        <v>20713.8926</v>
      </c>
      <c r="Y739" t="n">
        <v>112923.2858</v>
      </c>
      <c r="Z739" t="n">
        <v>-1031.0502</v>
      </c>
      <c r="AA739" t="n">
        <v>91178.34299999999</v>
      </c>
      <c r="AB739" t="n">
        <v>-0.047416</v>
      </c>
      <c r="AC739" t="n">
        <v>4.193083</v>
      </c>
      <c r="AD739" t="inlineStr">
        <is>
          <t>High</t>
        </is>
      </c>
      <c r="AE739" t="inlineStr">
        <is>
          <t>None</t>
        </is>
      </c>
      <c r="AF739" t="n">
        <v>0.95</v>
      </c>
      <c r="AG739" t="inlineStr">
        <is>
          <t>Valid</t>
        </is>
      </c>
    </row>
    <row r="740">
      <c r="A740" t="inlineStr">
        <is>
          <t>SUP-0074</t>
        </is>
      </c>
      <c r="B740" t="inlineStr">
        <is>
          <t>Agriculture Supplier 074</t>
        </is>
      </c>
      <c r="C740" t="inlineStr">
        <is>
          <t>Agriculture</t>
        </is>
      </c>
      <c r="D740" t="n">
        <v>2023</v>
      </c>
      <c r="E740" t="n">
        <v>20439950.93</v>
      </c>
      <c r="F740" t="n">
        <v>155159175.41</v>
      </c>
      <c r="G740" t="n">
        <v>19763.98</v>
      </c>
      <c r="H740" t="n">
        <v>3662.0269</v>
      </c>
      <c r="I740" t="n">
        <v>4447.0621</v>
      </c>
      <c r="J740" t="n">
        <v>11983.2568</v>
      </c>
      <c r="K740" t="n">
        <v>2020</v>
      </c>
      <c r="L740" t="n">
        <v>2040</v>
      </c>
      <c r="M740" t="n">
        <v>0.5813</v>
      </c>
      <c r="N740" t="n">
        <v>0.2506</v>
      </c>
      <c r="O740" t="n">
        <v>2018</v>
      </c>
      <c r="P740" t="inlineStr"/>
      <c r="Q740" t="inlineStr"/>
      <c r="R740" t="n">
        <v>529.8294</v>
      </c>
      <c r="S740" t="n">
        <v>0.00091413</v>
      </c>
      <c r="T740" t="n">
        <v>0.00096913</v>
      </c>
      <c r="U740" t="n">
        <v>19763.98</v>
      </c>
      <c r="V740" t="inlineStr">
        <is>
          <t>Provided Total Emissions</t>
        </is>
      </c>
      <c r="W740" t="b">
        <v>1</v>
      </c>
      <c r="X740" t="n">
        <v>18684.7723</v>
      </c>
      <c r="Y740" t="n">
        <v>150369.4117</v>
      </c>
      <c r="Z740" t="n">
        <v>-1079.2077</v>
      </c>
      <c r="AA740" t="n">
        <v>130605.4317</v>
      </c>
      <c r="AB740" t="n">
        <v>-0.054605</v>
      </c>
      <c r="AC740" t="n">
        <v>6.608256</v>
      </c>
      <c r="AD740" t="inlineStr">
        <is>
          <t>High</t>
        </is>
      </c>
      <c r="AE740" t="inlineStr">
        <is>
          <t>None</t>
        </is>
      </c>
      <c r="AF740" t="n">
        <v>0.95</v>
      </c>
      <c r="AG740" t="inlineStr">
        <is>
          <t>Valid</t>
        </is>
      </c>
    </row>
    <row r="741">
      <c r="A741" t="inlineStr">
        <is>
          <t>SUP-0074</t>
        </is>
      </c>
      <c r="B741" t="inlineStr">
        <is>
          <t>Agriculture Supplier 074</t>
        </is>
      </c>
      <c r="C741" t="inlineStr">
        <is>
          <t>Agriculture</t>
        </is>
      </c>
      <c r="D741" t="n">
        <v>2024</v>
      </c>
      <c r="E741" t="n">
        <v>24196428.53</v>
      </c>
      <c r="F741" t="n">
        <v>112116291.4</v>
      </c>
      <c r="G741" t="n">
        <v>30189.7905</v>
      </c>
      <c r="H741" t="n">
        <v>8412.352199999999</v>
      </c>
      <c r="I741" t="n">
        <v>3688.8515</v>
      </c>
      <c r="J741" t="n">
        <v>18908.2226</v>
      </c>
      <c r="K741" t="n">
        <v>2020</v>
      </c>
      <c r="L741" t="n">
        <v>2040</v>
      </c>
      <c r="M741" t="n">
        <v>0.5813</v>
      </c>
      <c r="N741" t="n">
        <v>0.2506</v>
      </c>
      <c r="O741" t="n">
        <v>2018</v>
      </c>
      <c r="P741" t="inlineStr"/>
      <c r="Q741" t="inlineStr"/>
      <c r="R741" t="n">
        <v>529.8294</v>
      </c>
      <c r="S741" t="n">
        <v>0.00091413</v>
      </c>
      <c r="T741" t="n">
        <v>0.00096913</v>
      </c>
      <c r="U741" t="n">
        <v>30189.7905</v>
      </c>
      <c r="V741" t="inlineStr">
        <is>
          <t>Provided Total Emissions</t>
        </is>
      </c>
      <c r="W741" t="b">
        <v>1</v>
      </c>
      <c r="X741" t="n">
        <v>22118.6812</v>
      </c>
      <c r="Y741" t="n">
        <v>108655.2615</v>
      </c>
      <c r="Z741" t="n">
        <v>-8071.1093</v>
      </c>
      <c r="AA741" t="n">
        <v>78465.47100000001</v>
      </c>
      <c r="AB741" t="n">
        <v>-0.267346</v>
      </c>
      <c r="AC741" t="n">
        <v>2.599073</v>
      </c>
      <c r="AD741" t="inlineStr">
        <is>
          <t>High</t>
        </is>
      </c>
      <c r="AE741" t="inlineStr">
        <is>
          <t>None</t>
        </is>
      </c>
      <c r="AF741" t="n">
        <v>0.95</v>
      </c>
      <c r="AG741" t="inlineStr">
        <is>
          <t>Valid</t>
        </is>
      </c>
    </row>
    <row r="742">
      <c r="A742" t="inlineStr">
        <is>
          <t>SUP-0075</t>
        </is>
      </c>
      <c r="B742" t="inlineStr">
        <is>
          <t>Metals Supplier 075</t>
        </is>
      </c>
      <c r="C742" t="inlineStr">
        <is>
          <t>Metals</t>
        </is>
      </c>
      <c r="D742" t="n">
        <v>2015</v>
      </c>
      <c r="E742" t="n">
        <v>16974646.7</v>
      </c>
      <c r="F742" t="n">
        <v>68912077.37</v>
      </c>
      <c r="G742" t="n">
        <v>23663.2792</v>
      </c>
      <c r="H742" t="n">
        <v>6789.6953</v>
      </c>
      <c r="I742" t="n">
        <v>2035.5996</v>
      </c>
      <c r="J742" t="n">
        <v>16409.9462</v>
      </c>
      <c r="K742" t="n">
        <v>2021</v>
      </c>
      <c r="L742" t="n">
        <v>2030</v>
      </c>
      <c r="M742" t="n">
        <v>0.5861</v>
      </c>
      <c r="N742" t="n">
        <v>0.2598</v>
      </c>
      <c r="O742" t="n">
        <v>2019</v>
      </c>
      <c r="P742" t="n">
        <v>2030</v>
      </c>
      <c r="Q742" t="n">
        <v>0.3852</v>
      </c>
      <c r="R742" t="n">
        <v>158.2904</v>
      </c>
      <c r="S742" t="n">
        <v>0.00100695</v>
      </c>
      <c r="T742" t="n">
        <v>0.00065008</v>
      </c>
      <c r="U742" t="n">
        <v>23663.2792</v>
      </c>
      <c r="V742" t="inlineStr">
        <is>
          <t>Provided Total Emissions</t>
        </is>
      </c>
      <c r="W742" t="b">
        <v>1</v>
      </c>
      <c r="X742" t="n">
        <v>17092.6205</v>
      </c>
      <c r="Y742" t="n">
        <v>44798.3633</v>
      </c>
      <c r="Z742" t="n">
        <v>-6570.6587</v>
      </c>
      <c r="AA742" t="n">
        <v>21135.0841</v>
      </c>
      <c r="AB742" t="n">
        <v>-0.277673</v>
      </c>
      <c r="AC742" t="n">
        <v>0.89316</v>
      </c>
      <c r="AD742" t="inlineStr">
        <is>
          <t>High</t>
        </is>
      </c>
      <c r="AE742" t="inlineStr">
        <is>
          <t>None</t>
        </is>
      </c>
      <c r="AF742" t="n">
        <v>0.95</v>
      </c>
      <c r="AG742" t="inlineStr">
        <is>
          <t>Valid</t>
        </is>
      </c>
    </row>
    <row r="743">
      <c r="A743" t="inlineStr">
        <is>
          <t>SUP-0075</t>
        </is>
      </c>
      <c r="B743" t="inlineStr">
        <is>
          <t>Metals Supplier 075</t>
        </is>
      </c>
      <c r="C743" t="inlineStr">
        <is>
          <t>Metals</t>
        </is>
      </c>
      <c r="D743" t="n">
        <v>2016</v>
      </c>
      <c r="E743" t="n">
        <v>19931681.67</v>
      </c>
      <c r="F743" t="n">
        <v>56470123.7</v>
      </c>
      <c r="G743" t="n">
        <v>19194.7755</v>
      </c>
      <c r="H743" t="n">
        <v>3885.8102</v>
      </c>
      <c r="I743" t="n">
        <v>3384.3531</v>
      </c>
      <c r="J743" t="n">
        <v>12638.9708</v>
      </c>
      <c r="K743" t="n">
        <v>2021</v>
      </c>
      <c r="L743" t="n">
        <v>2030</v>
      </c>
      <c r="M743" t="n">
        <v>0.5861</v>
      </c>
      <c r="N743" t="n">
        <v>0.2598</v>
      </c>
      <c r="O743" t="n">
        <v>2019</v>
      </c>
      <c r="P743" t="n">
        <v>2030</v>
      </c>
      <c r="Q743" t="n">
        <v>0.3852</v>
      </c>
      <c r="R743" t="n">
        <v>158.2904</v>
      </c>
      <c r="S743" t="n">
        <v>0.00100695</v>
      </c>
      <c r="T743" t="n">
        <v>0.00065008</v>
      </c>
      <c r="U743" t="n">
        <v>19194.7755</v>
      </c>
      <c r="V743" t="inlineStr">
        <is>
          <t>Provided Total Emissions</t>
        </is>
      </c>
      <c r="W743" t="b">
        <v>1</v>
      </c>
      <c r="X743" t="n">
        <v>20070.2069</v>
      </c>
      <c r="Y743" t="n">
        <v>36710.098</v>
      </c>
      <c r="Z743" t="n">
        <v>875.4314000000001</v>
      </c>
      <c r="AA743" t="n">
        <v>17515.3225</v>
      </c>
      <c r="AB743" t="n">
        <v>0.045608</v>
      </c>
      <c r="AC743" t="n">
        <v>0.912505</v>
      </c>
      <c r="AD743" t="inlineStr">
        <is>
          <t>High</t>
        </is>
      </c>
      <c r="AE743" t="inlineStr">
        <is>
          <t>None</t>
        </is>
      </c>
      <c r="AF743" t="n">
        <v>0.95</v>
      </c>
      <c r="AG743" t="inlineStr">
        <is>
          <t>Valid</t>
        </is>
      </c>
    </row>
    <row r="744">
      <c r="A744" t="inlineStr">
        <is>
          <t>SUP-0075</t>
        </is>
      </c>
      <c r="B744" t="inlineStr">
        <is>
          <t>Metals Supplier 075</t>
        </is>
      </c>
      <c r="C744" t="inlineStr">
        <is>
          <t>Metals</t>
        </is>
      </c>
      <c r="D744" t="n">
        <v>2017</v>
      </c>
      <c r="E744" t="n">
        <v>18155513.65</v>
      </c>
      <c r="F744" t="n">
        <v>49494987.18</v>
      </c>
      <c r="G744" t="n">
        <v>25222.6998</v>
      </c>
      <c r="H744" t="n">
        <v>4915.2486</v>
      </c>
      <c r="I744" t="n">
        <v>2349.5925</v>
      </c>
      <c r="J744" t="n">
        <v>16308.1413</v>
      </c>
      <c r="K744" t="n">
        <v>2021</v>
      </c>
      <c r="L744" t="n">
        <v>2030</v>
      </c>
      <c r="M744" t="n">
        <v>0.5861</v>
      </c>
      <c r="N744" t="n">
        <v>0.2598</v>
      </c>
      <c r="O744" t="n">
        <v>2019</v>
      </c>
      <c r="P744" t="n">
        <v>2030</v>
      </c>
      <c r="Q744" t="n">
        <v>0.3852</v>
      </c>
      <c r="R744" t="n">
        <v>158.2904</v>
      </c>
      <c r="S744" t="n">
        <v>0.00100695</v>
      </c>
      <c r="T744" t="n">
        <v>0.00065008</v>
      </c>
      <c r="U744" t="n">
        <v>25222.6998</v>
      </c>
      <c r="V744" t="inlineStr">
        <is>
          <t>Provided Total Emissions</t>
        </is>
      </c>
      <c r="W744" t="b">
        <v>1</v>
      </c>
      <c r="X744" t="n">
        <v>18281.6945</v>
      </c>
      <c r="Y744" t="n">
        <v>32175.7013</v>
      </c>
      <c r="Z744" t="n">
        <v>-6941.0053</v>
      </c>
      <c r="AA744" t="n">
        <v>6953.0015</v>
      </c>
      <c r="AB744" t="n">
        <v>-0.275189</v>
      </c>
      <c r="AC744" t="n">
        <v>0.275664</v>
      </c>
      <c r="AD744" t="inlineStr">
        <is>
          <t>High</t>
        </is>
      </c>
      <c r="AE744" t="inlineStr">
        <is>
          <t>None</t>
        </is>
      </c>
      <c r="AF744" t="n">
        <v>0.95</v>
      </c>
      <c r="AG744" t="inlineStr">
        <is>
          <t>Valid</t>
        </is>
      </c>
    </row>
    <row r="745">
      <c r="A745" t="inlineStr">
        <is>
          <t>SUP-0075</t>
        </is>
      </c>
      <c r="B745" t="inlineStr">
        <is>
          <t>Metals Supplier 075</t>
        </is>
      </c>
      <c r="C745" t="inlineStr">
        <is>
          <t>Metals</t>
        </is>
      </c>
      <c r="D745" t="n">
        <v>2018</v>
      </c>
      <c r="E745" t="n">
        <v>16218298.51</v>
      </c>
      <c r="F745" t="n">
        <v>51578881.31</v>
      </c>
      <c r="G745" t="n">
        <v>21064.122</v>
      </c>
      <c r="H745" t="n">
        <v>4554.925</v>
      </c>
      <c r="I745" t="n">
        <v>3827.8203</v>
      </c>
      <c r="J745" t="n">
        <v>12173.651</v>
      </c>
      <c r="K745" t="n">
        <v>2021</v>
      </c>
      <c r="L745" t="n">
        <v>2030</v>
      </c>
      <c r="M745" t="n">
        <v>0.5861</v>
      </c>
      <c r="N745" t="n">
        <v>0.2598</v>
      </c>
      <c r="O745" t="n">
        <v>2019</v>
      </c>
      <c r="P745" t="n">
        <v>2030</v>
      </c>
      <c r="Q745" t="n">
        <v>0.3852</v>
      </c>
      <c r="R745" t="n">
        <v>158.2904</v>
      </c>
      <c r="S745" t="n">
        <v>0.00100695</v>
      </c>
      <c r="T745" t="n">
        <v>0.00065008</v>
      </c>
      <c r="U745" t="n">
        <v>21064.122</v>
      </c>
      <c r="V745" t="inlineStr">
        <is>
          <t>Provided Total Emissions</t>
        </is>
      </c>
      <c r="W745" t="b">
        <v>1</v>
      </c>
      <c r="X745" t="n">
        <v>16331.0157</v>
      </c>
      <c r="Y745" t="n">
        <v>33530.3992</v>
      </c>
      <c r="Z745" t="n">
        <v>-4733.1063</v>
      </c>
      <c r="AA745" t="n">
        <v>12466.2772</v>
      </c>
      <c r="AB745" t="n">
        <v>-0.2247</v>
      </c>
      <c r="AC745" t="n">
        <v>0.591825</v>
      </c>
      <c r="AD745" t="inlineStr">
        <is>
          <t>High</t>
        </is>
      </c>
      <c r="AE745" t="inlineStr">
        <is>
          <t>None</t>
        </is>
      </c>
      <c r="AF745" t="n">
        <v>0.95</v>
      </c>
      <c r="AG745" t="inlineStr">
        <is>
          <t>Valid</t>
        </is>
      </c>
    </row>
    <row r="746">
      <c r="A746" t="inlineStr">
        <is>
          <t>SUP-0075</t>
        </is>
      </c>
      <c r="B746" t="inlineStr">
        <is>
          <t>Metals Supplier 075</t>
        </is>
      </c>
      <c r="C746" t="inlineStr">
        <is>
          <t>Metals</t>
        </is>
      </c>
      <c r="D746" t="n">
        <v>2019</v>
      </c>
      <c r="E746" t="n">
        <v>17532435.07</v>
      </c>
      <c r="F746" t="n">
        <v>45919650.68</v>
      </c>
      <c r="G746" t="n">
        <v>20647.6652</v>
      </c>
      <c r="H746" t="n">
        <v>4330.8964</v>
      </c>
      <c r="I746" t="n">
        <v>1660.6249</v>
      </c>
      <c r="J746" t="n">
        <v>14448.4514</v>
      </c>
      <c r="K746" t="n">
        <v>2021</v>
      </c>
      <c r="L746" t="n">
        <v>2030</v>
      </c>
      <c r="M746" t="n">
        <v>0.5861</v>
      </c>
      <c r="N746" t="n">
        <v>0.2598</v>
      </c>
      <c r="O746" t="n">
        <v>2019</v>
      </c>
      <c r="P746" t="n">
        <v>2030</v>
      </c>
      <c r="Q746" t="n">
        <v>0.3852</v>
      </c>
      <c r="R746" t="n">
        <v>158.2904</v>
      </c>
      <c r="S746" t="n">
        <v>0.00100695</v>
      </c>
      <c r="T746" t="n">
        <v>0.00065008</v>
      </c>
      <c r="U746" t="n">
        <v>20647.6652</v>
      </c>
      <c r="V746" t="inlineStr">
        <is>
          <t>Provided Total Emissions</t>
        </is>
      </c>
      <c r="W746" t="b">
        <v>1</v>
      </c>
      <c r="X746" t="n">
        <v>17654.2855</v>
      </c>
      <c r="Y746" t="n">
        <v>29851.4465</v>
      </c>
      <c r="Z746" t="n">
        <v>-2993.3797</v>
      </c>
      <c r="AA746" t="n">
        <v>9203.781300000001</v>
      </c>
      <c r="AB746" t="n">
        <v>-0.144974</v>
      </c>
      <c r="AC746" t="n">
        <v>0.445754</v>
      </c>
      <c r="AD746" t="inlineStr">
        <is>
          <t>High</t>
        </is>
      </c>
      <c r="AE746" t="inlineStr">
        <is>
          <t>None</t>
        </is>
      </c>
      <c r="AF746" t="n">
        <v>0.95</v>
      </c>
      <c r="AG746" t="inlineStr">
        <is>
          <t>Valid</t>
        </is>
      </c>
    </row>
    <row r="747">
      <c r="A747" t="inlineStr">
        <is>
          <t>SUP-0075</t>
        </is>
      </c>
      <c r="B747" t="inlineStr">
        <is>
          <t>Metals Supplier 075</t>
        </is>
      </c>
      <c r="C747" t="inlineStr">
        <is>
          <t>Metals</t>
        </is>
      </c>
      <c r="D747" t="n">
        <v>2020</v>
      </c>
      <c r="E747" t="n">
        <v>13904862.83</v>
      </c>
      <c r="F747" t="n">
        <v>59799561.41</v>
      </c>
      <c r="G747" t="n">
        <v>19213.079</v>
      </c>
      <c r="H747" t="n">
        <v>3378.5212</v>
      </c>
      <c r="I747" t="n">
        <v>3074.297</v>
      </c>
      <c r="J747" t="n">
        <v>13057.7312</v>
      </c>
      <c r="K747" t="n">
        <v>2021</v>
      </c>
      <c r="L747" t="n">
        <v>2030</v>
      </c>
      <c r="M747" t="n">
        <v>0.5861</v>
      </c>
      <c r="N747" t="n">
        <v>0.2598</v>
      </c>
      <c r="O747" t="n">
        <v>2019</v>
      </c>
      <c r="P747" t="n">
        <v>2030</v>
      </c>
      <c r="Q747" t="n">
        <v>0.3852</v>
      </c>
      <c r="R747" t="n">
        <v>158.2904</v>
      </c>
      <c r="S747" t="n">
        <v>0.00100695</v>
      </c>
      <c r="T747" t="n">
        <v>0.00065008</v>
      </c>
      <c r="U747" t="n">
        <v>19213.079</v>
      </c>
      <c r="V747" t="inlineStr">
        <is>
          <t>Provided Total Emissions</t>
        </is>
      </c>
      <c r="W747" t="b">
        <v>1</v>
      </c>
      <c r="X747" t="n">
        <v>14001.5016</v>
      </c>
      <c r="Y747" t="n">
        <v>38874.4989</v>
      </c>
      <c r="Z747" t="n">
        <v>-5211.5774</v>
      </c>
      <c r="AA747" t="n">
        <v>19661.4199</v>
      </c>
      <c r="AB747" t="n">
        <v>-0.271252</v>
      </c>
      <c r="AC747" t="n">
        <v>1.023335</v>
      </c>
      <c r="AD747" t="inlineStr">
        <is>
          <t>High</t>
        </is>
      </c>
      <c r="AE747" t="inlineStr">
        <is>
          <t>None</t>
        </is>
      </c>
      <c r="AF747" t="n">
        <v>0.95</v>
      </c>
      <c r="AG747" t="inlineStr">
        <is>
          <t>Valid</t>
        </is>
      </c>
    </row>
    <row r="748">
      <c r="A748" t="inlineStr">
        <is>
          <t>SUP-0075</t>
        </is>
      </c>
      <c r="B748" t="inlineStr">
        <is>
          <t>Metals Supplier 075</t>
        </is>
      </c>
      <c r="C748" t="inlineStr">
        <is>
          <t>Metals</t>
        </is>
      </c>
      <c r="D748" t="n">
        <v>2021</v>
      </c>
      <c r="E748" t="n">
        <v>15608176.1</v>
      </c>
      <c r="F748" t="n">
        <v>53199684.53</v>
      </c>
      <c r="G748" t="n">
        <v>16696.1315</v>
      </c>
      <c r="H748" t="n">
        <v>2860.135</v>
      </c>
      <c r="I748" t="n">
        <v>2154.6443</v>
      </c>
      <c r="J748" t="n">
        <v>12589.5422</v>
      </c>
      <c r="K748" t="n">
        <v>2021</v>
      </c>
      <c r="L748" t="n">
        <v>2030</v>
      </c>
      <c r="M748" t="n">
        <v>0.5861</v>
      </c>
      <c r="N748" t="n">
        <v>0.2598</v>
      </c>
      <c r="O748" t="n">
        <v>2019</v>
      </c>
      <c r="P748" t="n">
        <v>2030</v>
      </c>
      <c r="Q748" t="n">
        <v>0.3852</v>
      </c>
      <c r="R748" t="n">
        <v>158.2904</v>
      </c>
      <c r="S748" t="n">
        <v>0.00100695</v>
      </c>
      <c r="T748" t="n">
        <v>0.00065008</v>
      </c>
      <c r="U748" t="n">
        <v>16696.1315</v>
      </c>
      <c r="V748" t="inlineStr">
        <is>
          <t>Provided Total Emissions</t>
        </is>
      </c>
      <c r="W748" t="b">
        <v>1</v>
      </c>
      <c r="X748" t="n">
        <v>15716.6529</v>
      </c>
      <c r="Y748" t="n">
        <v>34584.0509</v>
      </c>
      <c r="Z748" t="n">
        <v>-979.4786</v>
      </c>
      <c r="AA748" t="n">
        <v>17887.9194</v>
      </c>
      <c r="AB748" t="n">
        <v>-0.058665</v>
      </c>
      <c r="AC748" t="n">
        <v>1.071381</v>
      </c>
      <c r="AD748" t="inlineStr">
        <is>
          <t>High</t>
        </is>
      </c>
      <c r="AE748" t="inlineStr">
        <is>
          <t>None</t>
        </is>
      </c>
      <c r="AF748" t="n">
        <v>0.95</v>
      </c>
      <c r="AG748" t="inlineStr">
        <is>
          <t>Valid</t>
        </is>
      </c>
    </row>
    <row r="749">
      <c r="A749" t="inlineStr">
        <is>
          <t>SUP-0075</t>
        </is>
      </c>
      <c r="B749" t="inlineStr">
        <is>
          <t>Metals Supplier 075</t>
        </is>
      </c>
      <c r="C749" t="inlineStr">
        <is>
          <t>Metals</t>
        </is>
      </c>
      <c r="D749" t="n">
        <v>2022</v>
      </c>
      <c r="E749" t="n">
        <v>15062877.65</v>
      </c>
      <c r="F749" t="n">
        <v>59966768.08</v>
      </c>
      <c r="G749" t="n">
        <v>17156.6499</v>
      </c>
      <c r="H749" t="n">
        <v>1896.2261</v>
      </c>
      <c r="I749" t="n">
        <v>1401.7823</v>
      </c>
      <c r="J749" t="n">
        <v>12578.5343</v>
      </c>
      <c r="K749" t="n">
        <v>2021</v>
      </c>
      <c r="L749" t="n">
        <v>2030</v>
      </c>
      <c r="M749" t="n">
        <v>0.5861</v>
      </c>
      <c r="N749" t="n">
        <v>0.2598</v>
      </c>
      <c r="O749" t="n">
        <v>2019</v>
      </c>
      <c r="P749" t="n">
        <v>2030</v>
      </c>
      <c r="Q749" t="n">
        <v>0.3852</v>
      </c>
      <c r="R749" t="n">
        <v>158.2904</v>
      </c>
      <c r="S749" t="n">
        <v>0.00100695</v>
      </c>
      <c r="T749" t="n">
        <v>0.00065008</v>
      </c>
      <c r="U749" t="n">
        <v>17156.6499</v>
      </c>
      <c r="V749" t="inlineStr">
        <is>
          <t>Provided Total Emissions</t>
        </is>
      </c>
      <c r="W749" t="b">
        <v>1</v>
      </c>
      <c r="X749" t="n">
        <v>15167.5646</v>
      </c>
      <c r="Y749" t="n">
        <v>38983.1966</v>
      </c>
      <c r="Z749" t="n">
        <v>-1989.0853</v>
      </c>
      <c r="AA749" t="n">
        <v>21826.5467</v>
      </c>
      <c r="AB749" t="n">
        <v>-0.115937</v>
      </c>
      <c r="AC749" t="n">
        <v>1.272192</v>
      </c>
      <c r="AD749" t="inlineStr">
        <is>
          <t>High</t>
        </is>
      </c>
      <c r="AE749" t="inlineStr">
        <is>
          <t>None</t>
        </is>
      </c>
      <c r="AF749" t="n">
        <v>0.95</v>
      </c>
      <c r="AG749" t="inlineStr">
        <is>
          <t>Valid</t>
        </is>
      </c>
    </row>
    <row r="750">
      <c r="A750" t="inlineStr">
        <is>
          <t>SUP-0075</t>
        </is>
      </c>
      <c r="B750" t="inlineStr">
        <is>
          <t>Metals Supplier 075</t>
        </is>
      </c>
      <c r="C750" t="inlineStr">
        <is>
          <t>Metals</t>
        </is>
      </c>
      <c r="D750" t="n">
        <v>2023</v>
      </c>
      <c r="E750" t="n">
        <v>16227896.34</v>
      </c>
      <c r="F750" t="n">
        <v>50345238.2</v>
      </c>
      <c r="G750" t="n">
        <v>17558.3938</v>
      </c>
      <c r="H750" t="n">
        <v>3766.0546</v>
      </c>
      <c r="I750" t="n">
        <v>3637.8733</v>
      </c>
      <c r="J750" t="n">
        <v>9477.8441</v>
      </c>
      <c r="K750" t="n">
        <v>2021</v>
      </c>
      <c r="L750" t="n">
        <v>2030</v>
      </c>
      <c r="M750" t="n">
        <v>0.5861</v>
      </c>
      <c r="N750" t="n">
        <v>0.2598</v>
      </c>
      <c r="O750" t="n">
        <v>2019</v>
      </c>
      <c r="P750" t="n">
        <v>2030</v>
      </c>
      <c r="Q750" t="n">
        <v>0.3852</v>
      </c>
      <c r="R750" t="n">
        <v>158.2904</v>
      </c>
      <c r="S750" t="n">
        <v>0.00100695</v>
      </c>
      <c r="T750" t="n">
        <v>0.00065008</v>
      </c>
      <c r="U750" t="n">
        <v>17558.3938</v>
      </c>
      <c r="V750" t="inlineStr">
        <is>
          <t>Provided Total Emissions</t>
        </is>
      </c>
      <c r="W750" t="b">
        <v>1</v>
      </c>
      <c r="X750" t="n">
        <v>16340.6802</v>
      </c>
      <c r="Y750" t="n">
        <v>32728.4324</v>
      </c>
      <c r="Z750" t="n">
        <v>-1217.7136</v>
      </c>
      <c r="AA750" t="n">
        <v>15170.0386</v>
      </c>
      <c r="AB750" t="n">
        <v>-0.069352</v>
      </c>
      <c r="AC750" t="n">
        <v>0.863976</v>
      </c>
      <c r="AD750" t="inlineStr">
        <is>
          <t>High</t>
        </is>
      </c>
      <c r="AE750" t="inlineStr">
        <is>
          <t>None</t>
        </is>
      </c>
      <c r="AF750" t="n">
        <v>0.95</v>
      </c>
      <c r="AG750" t="inlineStr">
        <is>
          <t>Valid</t>
        </is>
      </c>
    </row>
    <row r="751">
      <c r="A751" t="inlineStr">
        <is>
          <t>SUP-0075</t>
        </is>
      </c>
      <c r="B751" t="inlineStr">
        <is>
          <t>Metals Supplier 075</t>
        </is>
      </c>
      <c r="C751" t="inlineStr">
        <is>
          <t>Metals</t>
        </is>
      </c>
      <c r="D751" t="n">
        <v>2024</v>
      </c>
      <c r="E751" t="n">
        <v>15218241.83</v>
      </c>
      <c r="F751" t="n">
        <v>48232106.23</v>
      </c>
      <c r="G751" t="n">
        <v>19104.6888</v>
      </c>
      <c r="H751" t="n">
        <v>4592.6116</v>
      </c>
      <c r="I751" t="n">
        <v>2530.4429</v>
      </c>
      <c r="J751" t="n">
        <v>10865.5764</v>
      </c>
      <c r="K751" t="n">
        <v>2021</v>
      </c>
      <c r="L751" t="n">
        <v>2030</v>
      </c>
      <c r="M751" t="n">
        <v>0.5861</v>
      </c>
      <c r="N751" t="n">
        <v>0.2598</v>
      </c>
      <c r="O751" t="n">
        <v>2019</v>
      </c>
      <c r="P751" t="n">
        <v>2030</v>
      </c>
      <c r="Q751" t="n">
        <v>0.3852</v>
      </c>
      <c r="R751" t="n">
        <v>158.2904</v>
      </c>
      <c r="S751" t="n">
        <v>0.00100695</v>
      </c>
      <c r="T751" t="n">
        <v>0.00065008</v>
      </c>
      <c r="U751" t="n">
        <v>19104.6888</v>
      </c>
      <c r="V751" t="inlineStr">
        <is>
          <t>Provided Total Emissions</t>
        </is>
      </c>
      <c r="W751" t="b">
        <v>1</v>
      </c>
      <c r="X751" t="n">
        <v>15324.0086</v>
      </c>
      <c r="Y751" t="n">
        <v>31354.7276</v>
      </c>
      <c r="Z751" t="n">
        <v>-3780.6802</v>
      </c>
      <c r="AA751" t="n">
        <v>12250.0388</v>
      </c>
      <c r="AB751" t="n">
        <v>-0.197893</v>
      </c>
      <c r="AC751" t="n">
        <v>0.6412060000000001</v>
      </c>
      <c r="AD751" t="inlineStr">
        <is>
          <t>High</t>
        </is>
      </c>
      <c r="AE751" t="inlineStr">
        <is>
          <t>None</t>
        </is>
      </c>
      <c r="AF751" t="n">
        <v>0.95</v>
      </c>
      <c r="AG751" t="inlineStr">
        <is>
          <t>Valid</t>
        </is>
      </c>
    </row>
    <row r="752">
      <c r="A752" t="inlineStr">
        <is>
          <t>SUP-0076</t>
        </is>
      </c>
      <c r="B752" t="inlineStr">
        <is>
          <t>Chemicals Supplier 076</t>
        </is>
      </c>
      <c r="C752" t="inlineStr">
        <is>
          <t>Chemicals</t>
        </is>
      </c>
      <c r="D752" t="n">
        <v>2015</v>
      </c>
      <c r="E752" t="n">
        <v>12866678.52</v>
      </c>
      <c r="F752" t="n">
        <v>38461948.58</v>
      </c>
      <c r="G752" t="n">
        <v>10881.0078</v>
      </c>
      <c r="H752" t="n">
        <v>1507.5678</v>
      </c>
      <c r="I752" t="n">
        <v>1351.7503</v>
      </c>
      <c r="J752" t="n">
        <v>8261.619199999999</v>
      </c>
      <c r="K752" t="n">
        <v>2018</v>
      </c>
      <c r="L752" t="n">
        <v>2035</v>
      </c>
      <c r="M752" t="n">
        <v>0.4347</v>
      </c>
      <c r="N752" t="n">
        <v>0.1718</v>
      </c>
      <c r="O752" t="n">
        <v>2019</v>
      </c>
      <c r="P752" t="n">
        <v>2035</v>
      </c>
      <c r="Q752" t="n">
        <v>0.5229</v>
      </c>
      <c r="R752" t="n">
        <v>506.3191</v>
      </c>
      <c r="S752" t="n">
        <v>0.00100149</v>
      </c>
      <c r="T752" t="n">
        <v>0.00047124</v>
      </c>
      <c r="U752" t="n">
        <v>10881.0078</v>
      </c>
      <c r="V752" t="inlineStr">
        <is>
          <t>Provided Total Emissions</t>
        </is>
      </c>
      <c r="W752" t="b">
        <v>1</v>
      </c>
      <c r="X752" t="n">
        <v>12885.8499</v>
      </c>
      <c r="Y752" t="n">
        <v>18124.8086</v>
      </c>
      <c r="Z752" t="n">
        <v>2004.8421</v>
      </c>
      <c r="AA752" t="n">
        <v>7243.8008</v>
      </c>
      <c r="AB752" t="n">
        <v>0.184252</v>
      </c>
      <c r="AC752" t="n">
        <v>0.665729</v>
      </c>
      <c r="AD752" t="inlineStr">
        <is>
          <t>High</t>
        </is>
      </c>
      <c r="AE752" t="inlineStr">
        <is>
          <t>None</t>
        </is>
      </c>
      <c r="AF752" t="n">
        <v>0.95</v>
      </c>
      <c r="AG752" t="inlineStr">
        <is>
          <t>Valid</t>
        </is>
      </c>
    </row>
    <row r="753">
      <c r="A753" t="inlineStr">
        <is>
          <t>SUP-0076</t>
        </is>
      </c>
      <c r="B753" t="inlineStr">
        <is>
          <t>Chemicals Supplier 076</t>
        </is>
      </c>
      <c r="C753" t="inlineStr">
        <is>
          <t>Chemicals</t>
        </is>
      </c>
      <c r="D753" t="n">
        <v>2016</v>
      </c>
      <c r="E753" t="n">
        <v>13227015.44</v>
      </c>
      <c r="F753" t="n">
        <v>42904166.91</v>
      </c>
      <c r="G753" t="n">
        <v>14292.8563</v>
      </c>
      <c r="H753" t="n">
        <v>2150.8079</v>
      </c>
      <c r="I753" t="n">
        <v>1286.8113</v>
      </c>
      <c r="J753" t="n">
        <v>10290.9884</v>
      </c>
      <c r="K753" t="n">
        <v>2018</v>
      </c>
      <c r="L753" t="n">
        <v>2035</v>
      </c>
      <c r="M753" t="n">
        <v>0.4347</v>
      </c>
      <c r="N753" t="n">
        <v>0.1718</v>
      </c>
      <c r="O753" t="n">
        <v>2019</v>
      </c>
      <c r="P753" t="n">
        <v>2035</v>
      </c>
      <c r="Q753" t="n">
        <v>0.5229</v>
      </c>
      <c r="R753" t="n">
        <v>506.3191</v>
      </c>
      <c r="S753" t="n">
        <v>0.00100149</v>
      </c>
      <c r="T753" t="n">
        <v>0.00047124</v>
      </c>
      <c r="U753" t="n">
        <v>14292.8563</v>
      </c>
      <c r="V753" t="inlineStr">
        <is>
          <t>Provided Total Emissions</t>
        </is>
      </c>
      <c r="W753" t="b">
        <v>1</v>
      </c>
      <c r="X753" t="n">
        <v>13246.7237</v>
      </c>
      <c r="Y753" t="n">
        <v>20218.1596</v>
      </c>
      <c r="Z753" t="n">
        <v>-1046.1326</v>
      </c>
      <c r="AA753" t="n">
        <v>5925.3033</v>
      </c>
      <c r="AB753" t="n">
        <v>-0.07319299999999999</v>
      </c>
      <c r="AC753" t="n">
        <v>0.414564</v>
      </c>
      <c r="AD753" t="inlineStr">
        <is>
          <t>High</t>
        </is>
      </c>
      <c r="AE753" t="inlineStr">
        <is>
          <t>None</t>
        </is>
      </c>
      <c r="AF753" t="n">
        <v>0.95</v>
      </c>
      <c r="AG753" t="inlineStr">
        <is>
          <t>Valid</t>
        </is>
      </c>
    </row>
    <row r="754">
      <c r="A754" t="inlineStr">
        <is>
          <t>SUP-0076</t>
        </is>
      </c>
      <c r="B754" t="inlineStr">
        <is>
          <t>Chemicals Supplier 076</t>
        </is>
      </c>
      <c r="C754" t="inlineStr">
        <is>
          <t>Chemicals</t>
        </is>
      </c>
      <c r="D754" t="n">
        <v>2017</v>
      </c>
      <c r="E754" t="n">
        <v>13231531.92</v>
      </c>
      <c r="F754" t="n">
        <v>41134614.74</v>
      </c>
      <c r="G754" t="n">
        <v>11999.159</v>
      </c>
      <c r="H754" t="n">
        <v>1135.2537</v>
      </c>
      <c r="I754" t="n">
        <v>2009.3878</v>
      </c>
      <c r="J754" t="n">
        <v>8605.7251</v>
      </c>
      <c r="K754" t="n">
        <v>2018</v>
      </c>
      <c r="L754" t="n">
        <v>2035</v>
      </c>
      <c r="M754" t="n">
        <v>0.4347</v>
      </c>
      <c r="N754" t="n">
        <v>0.1718</v>
      </c>
      <c r="O754" t="n">
        <v>2019</v>
      </c>
      <c r="P754" t="n">
        <v>2035</v>
      </c>
      <c r="Q754" t="n">
        <v>0.5229</v>
      </c>
      <c r="R754" t="n">
        <v>506.3191</v>
      </c>
      <c r="S754" t="n">
        <v>0.00100149</v>
      </c>
      <c r="T754" t="n">
        <v>0.00047124</v>
      </c>
      <c r="U754" t="n">
        <v>11999.159</v>
      </c>
      <c r="V754" t="inlineStr">
        <is>
          <t>Provided Total Emissions</t>
        </is>
      </c>
      <c r="W754" t="b">
        <v>1</v>
      </c>
      <c r="X754" t="n">
        <v>13251.2469</v>
      </c>
      <c r="Y754" t="n">
        <v>19384.2759</v>
      </c>
      <c r="Z754" t="n">
        <v>1252.0879</v>
      </c>
      <c r="AA754" t="n">
        <v>7385.1169</v>
      </c>
      <c r="AB754" t="n">
        <v>0.104348</v>
      </c>
      <c r="AC754" t="n">
        <v>0.61547</v>
      </c>
      <c r="AD754" t="inlineStr">
        <is>
          <t>High</t>
        </is>
      </c>
      <c r="AE754" t="inlineStr">
        <is>
          <t>None</t>
        </is>
      </c>
      <c r="AF754" t="n">
        <v>0.95</v>
      </c>
      <c r="AG754" t="inlineStr">
        <is>
          <t>Valid</t>
        </is>
      </c>
    </row>
    <row r="755">
      <c r="A755" t="inlineStr">
        <is>
          <t>SUP-0076</t>
        </is>
      </c>
      <c r="B755" t="inlineStr">
        <is>
          <t>Chemicals Supplier 076</t>
        </is>
      </c>
      <c r="C755" t="inlineStr">
        <is>
          <t>Chemicals</t>
        </is>
      </c>
      <c r="D755" t="n">
        <v>2018</v>
      </c>
      <c r="E755" t="n">
        <v>13981725.11</v>
      </c>
      <c r="F755" t="n">
        <v>38408987.69</v>
      </c>
      <c r="G755" t="n">
        <v>12639.7671</v>
      </c>
      <c r="H755" t="n">
        <v>1272.7909</v>
      </c>
      <c r="I755" t="n">
        <v>2073.7099</v>
      </c>
      <c r="J755" t="n">
        <v>8636.152400000001</v>
      </c>
      <c r="K755" t="n">
        <v>2018</v>
      </c>
      <c r="L755" t="n">
        <v>2035</v>
      </c>
      <c r="M755" t="n">
        <v>0.4347</v>
      </c>
      <c r="N755" t="n">
        <v>0.1718</v>
      </c>
      <c r="O755" t="n">
        <v>2019</v>
      </c>
      <c r="P755" t="n">
        <v>2035</v>
      </c>
      <c r="Q755" t="n">
        <v>0.5229</v>
      </c>
      <c r="R755" t="n">
        <v>506.3191</v>
      </c>
      <c r="S755" t="n">
        <v>0.00100149</v>
      </c>
      <c r="T755" t="n">
        <v>0.00047124</v>
      </c>
      <c r="U755" t="n">
        <v>12639.7671</v>
      </c>
      <c r="V755" t="inlineStr">
        <is>
          <t>Provided Total Emissions</t>
        </is>
      </c>
      <c r="W755" t="b">
        <v>1</v>
      </c>
      <c r="X755" t="n">
        <v>14002.5579</v>
      </c>
      <c r="Y755" t="n">
        <v>18099.8514</v>
      </c>
      <c r="Z755" t="n">
        <v>1362.7908</v>
      </c>
      <c r="AA755" t="n">
        <v>5460.0843</v>
      </c>
      <c r="AB755" t="n">
        <v>0.107818</v>
      </c>
      <c r="AC755" t="n">
        <v>0.431977</v>
      </c>
      <c r="AD755" t="inlineStr">
        <is>
          <t>High</t>
        </is>
      </c>
      <c r="AE755" t="inlineStr">
        <is>
          <t>None</t>
        </is>
      </c>
      <c r="AF755" t="n">
        <v>0.95</v>
      </c>
      <c r="AG755" t="inlineStr">
        <is>
          <t>Valid</t>
        </is>
      </c>
    </row>
    <row r="756">
      <c r="A756" t="inlineStr">
        <is>
          <t>SUP-0076</t>
        </is>
      </c>
      <c r="B756" t="inlineStr">
        <is>
          <t>Chemicals Supplier 076</t>
        </is>
      </c>
      <c r="C756" t="inlineStr">
        <is>
          <t>Chemicals</t>
        </is>
      </c>
      <c r="D756" t="n">
        <v>2019</v>
      </c>
      <c r="E756" t="n">
        <v>11992391.28</v>
      </c>
      <c r="F756" t="n">
        <v>43227910.94</v>
      </c>
      <c r="G756" t="n">
        <v>15627.347</v>
      </c>
      <c r="H756" t="n">
        <v>1918.5885</v>
      </c>
      <c r="I756" t="n">
        <v>1204.9355</v>
      </c>
      <c r="J756" t="n">
        <v>11881.4883</v>
      </c>
      <c r="K756" t="n">
        <v>2018</v>
      </c>
      <c r="L756" t="n">
        <v>2035</v>
      </c>
      <c r="M756" t="n">
        <v>0.4347</v>
      </c>
      <c r="N756" t="n">
        <v>0.1718</v>
      </c>
      <c r="O756" t="n">
        <v>2019</v>
      </c>
      <c r="P756" t="n">
        <v>2035</v>
      </c>
      <c r="Q756" t="n">
        <v>0.5229</v>
      </c>
      <c r="R756" t="n">
        <v>506.3191</v>
      </c>
      <c r="S756" t="n">
        <v>0.00100149</v>
      </c>
      <c r="T756" t="n">
        <v>0.00047124</v>
      </c>
      <c r="U756" t="n">
        <v>15627.347</v>
      </c>
      <c r="V756" t="inlineStr">
        <is>
          <t>Provided Total Emissions</t>
        </is>
      </c>
      <c r="W756" t="b">
        <v>1</v>
      </c>
      <c r="X756" t="n">
        <v>12010.2599</v>
      </c>
      <c r="Y756" t="n">
        <v>20370.7208</v>
      </c>
      <c r="Z756" t="n">
        <v>-3617.0871</v>
      </c>
      <c r="AA756" t="n">
        <v>4743.3738</v>
      </c>
      <c r="AB756" t="n">
        <v>-0.231459</v>
      </c>
      <c r="AC756" t="n">
        <v>0.30353</v>
      </c>
      <c r="AD756" t="inlineStr">
        <is>
          <t>High</t>
        </is>
      </c>
      <c r="AE756" t="inlineStr">
        <is>
          <t>None</t>
        </is>
      </c>
      <c r="AF756" t="n">
        <v>0.95</v>
      </c>
      <c r="AG756" t="inlineStr">
        <is>
          <t>Valid</t>
        </is>
      </c>
    </row>
    <row r="757">
      <c r="A757" t="inlineStr">
        <is>
          <t>SUP-0076</t>
        </is>
      </c>
      <c r="B757" t="inlineStr">
        <is>
          <t>Chemicals Supplier 076</t>
        </is>
      </c>
      <c r="C757" t="inlineStr">
        <is>
          <t>Chemicals</t>
        </is>
      </c>
      <c r="D757" t="n">
        <v>2020</v>
      </c>
      <c r="E757" t="n">
        <v>15728020.93</v>
      </c>
      <c r="F757" t="n">
        <v>43223165.75</v>
      </c>
      <c r="G757" t="n">
        <v>15633.8994</v>
      </c>
      <c r="H757" t="n">
        <v>3659.3994</v>
      </c>
      <c r="I757" t="n">
        <v>2234.8877</v>
      </c>
      <c r="J757" t="n">
        <v>9611.721600000001</v>
      </c>
      <c r="K757" t="n">
        <v>2018</v>
      </c>
      <c r="L757" t="n">
        <v>2035</v>
      </c>
      <c r="M757" t="n">
        <v>0.4347</v>
      </c>
      <c r="N757" t="n">
        <v>0.1718</v>
      </c>
      <c r="O757" t="n">
        <v>2019</v>
      </c>
      <c r="P757" t="n">
        <v>2035</v>
      </c>
      <c r="Q757" t="n">
        <v>0.5229</v>
      </c>
      <c r="R757" t="n">
        <v>506.3191</v>
      </c>
      <c r="S757" t="n">
        <v>0.00100149</v>
      </c>
      <c r="T757" t="n">
        <v>0.00047124</v>
      </c>
      <c r="U757" t="n">
        <v>15633.8994</v>
      </c>
      <c r="V757" t="inlineStr">
        <is>
          <t>Provided Total Emissions</t>
        </is>
      </c>
      <c r="W757" t="b">
        <v>1</v>
      </c>
      <c r="X757" t="n">
        <v>15751.4557</v>
      </c>
      <c r="Y757" t="n">
        <v>20368.4846</v>
      </c>
      <c r="Z757" t="n">
        <v>117.5563</v>
      </c>
      <c r="AA757" t="n">
        <v>4734.5852</v>
      </c>
      <c r="AB757" t="n">
        <v>0.007519</v>
      </c>
      <c r="AC757" t="n">
        <v>0.302841</v>
      </c>
      <c r="AD757" t="inlineStr">
        <is>
          <t>High</t>
        </is>
      </c>
      <c r="AE757" t="inlineStr">
        <is>
          <t>None</t>
        </is>
      </c>
      <c r="AF757" t="n">
        <v>0.95</v>
      </c>
      <c r="AG757" t="inlineStr">
        <is>
          <t>Valid</t>
        </is>
      </c>
    </row>
    <row r="758">
      <c r="A758" t="inlineStr">
        <is>
          <t>SUP-0076</t>
        </is>
      </c>
      <c r="B758" t="inlineStr">
        <is>
          <t>Chemicals Supplier 076</t>
        </is>
      </c>
      <c r="C758" t="inlineStr">
        <is>
          <t>Chemicals</t>
        </is>
      </c>
      <c r="D758" t="n">
        <v>2021</v>
      </c>
      <c r="E758" t="n">
        <v>14472960.57</v>
      </c>
      <c r="F758" t="n">
        <v>47484900.29</v>
      </c>
      <c r="G758" t="n">
        <v>17242.9658</v>
      </c>
      <c r="H758" t="n">
        <v>3217.1797</v>
      </c>
      <c r="I758" t="n">
        <v>2342.9038</v>
      </c>
      <c r="J758" t="n">
        <v>12472.6953</v>
      </c>
      <c r="K758" t="n">
        <v>2018</v>
      </c>
      <c r="L758" t="n">
        <v>2035</v>
      </c>
      <c r="M758" t="n">
        <v>0.4347</v>
      </c>
      <c r="N758" t="n">
        <v>0.1718</v>
      </c>
      <c r="O758" t="n">
        <v>2019</v>
      </c>
      <c r="P758" t="n">
        <v>2035</v>
      </c>
      <c r="Q758" t="n">
        <v>0.5229</v>
      </c>
      <c r="R758" t="n">
        <v>506.3191</v>
      </c>
      <c r="S758" t="n">
        <v>0.00100149</v>
      </c>
      <c r="T758" t="n">
        <v>0.00047124</v>
      </c>
      <c r="U758" t="n">
        <v>17242.9658</v>
      </c>
      <c r="V758" t="inlineStr">
        <is>
          <t>Provided Total Emissions</t>
        </is>
      </c>
      <c r="W758" t="b">
        <v>1</v>
      </c>
      <c r="X758" t="n">
        <v>14494.5253</v>
      </c>
      <c r="Y758" t="n">
        <v>22376.7844</v>
      </c>
      <c r="Z758" t="n">
        <v>-2748.4405</v>
      </c>
      <c r="AA758" t="n">
        <v>5133.8186</v>
      </c>
      <c r="AB758" t="n">
        <v>-0.159395</v>
      </c>
      <c r="AC758" t="n">
        <v>0.297734</v>
      </c>
      <c r="AD758" t="inlineStr">
        <is>
          <t>High</t>
        </is>
      </c>
      <c r="AE758" t="inlineStr">
        <is>
          <t>None</t>
        </is>
      </c>
      <c r="AF758" t="n">
        <v>0.95</v>
      </c>
      <c r="AG758" t="inlineStr">
        <is>
          <t>Valid</t>
        </is>
      </c>
    </row>
    <row r="759">
      <c r="A759" t="inlineStr">
        <is>
          <t>SUP-0076</t>
        </is>
      </c>
      <c r="B759" t="inlineStr">
        <is>
          <t>Chemicals Supplier 076</t>
        </is>
      </c>
      <c r="C759" t="inlineStr">
        <is>
          <t>Chemicals</t>
        </is>
      </c>
      <c r="D759" t="n">
        <v>2022</v>
      </c>
      <c r="E759" t="n">
        <v>15330857.59</v>
      </c>
      <c r="F759" t="n">
        <v>39673600.74</v>
      </c>
      <c r="G759" t="n">
        <v>12664.0205</v>
      </c>
      <c r="H759" t="n">
        <v>1012.0744</v>
      </c>
      <c r="I759" t="n">
        <v>825.3565</v>
      </c>
      <c r="J759" t="n">
        <v>10993.7916</v>
      </c>
      <c r="K759" t="n">
        <v>2018</v>
      </c>
      <c r="L759" t="n">
        <v>2035</v>
      </c>
      <c r="M759" t="n">
        <v>0.4347</v>
      </c>
      <c r="N759" t="n">
        <v>0.1718</v>
      </c>
      <c r="O759" t="n">
        <v>2019</v>
      </c>
      <c r="P759" t="n">
        <v>2035</v>
      </c>
      <c r="Q759" t="n">
        <v>0.5229</v>
      </c>
      <c r="R759" t="n">
        <v>506.3191</v>
      </c>
      <c r="S759" t="n">
        <v>0.00100149</v>
      </c>
      <c r="T759" t="n">
        <v>0.00047124</v>
      </c>
      <c r="U759" t="n">
        <v>12664.0205</v>
      </c>
      <c r="V759" t="inlineStr">
        <is>
          <t>Provided Total Emissions</t>
        </is>
      </c>
      <c r="W759" t="b">
        <v>1</v>
      </c>
      <c r="X759" t="n">
        <v>15353.7006</v>
      </c>
      <c r="Y759" t="n">
        <v>18695.7876</v>
      </c>
      <c r="Z759" t="n">
        <v>2689.6801</v>
      </c>
      <c r="AA759" t="n">
        <v>6031.7671</v>
      </c>
      <c r="AB759" t="n">
        <v>0.212388</v>
      </c>
      <c r="AC759" t="n">
        <v>0.476292</v>
      </c>
      <c r="AD759" t="inlineStr">
        <is>
          <t>High</t>
        </is>
      </c>
      <c r="AE759" t="inlineStr">
        <is>
          <t>None</t>
        </is>
      </c>
      <c r="AF759" t="n">
        <v>0.95</v>
      </c>
      <c r="AG759" t="inlineStr">
        <is>
          <t>Valid</t>
        </is>
      </c>
    </row>
    <row r="760">
      <c r="A760" t="inlineStr">
        <is>
          <t>SUP-0076</t>
        </is>
      </c>
      <c r="B760" t="inlineStr">
        <is>
          <t>Chemicals Supplier 076</t>
        </is>
      </c>
      <c r="C760" t="inlineStr">
        <is>
          <t>Chemicals</t>
        </is>
      </c>
      <c r="D760" t="n">
        <v>2023</v>
      </c>
      <c r="E760" t="n">
        <v>13391394.83</v>
      </c>
      <c r="F760" t="n">
        <v>44386551.72</v>
      </c>
      <c r="G760" t="n">
        <v>13654.4523</v>
      </c>
      <c r="H760" t="n">
        <v>2480.0389</v>
      </c>
      <c r="I760" t="n">
        <v>2812.3615</v>
      </c>
      <c r="J760" t="n">
        <v>8485.3076</v>
      </c>
      <c r="K760" t="n">
        <v>2018</v>
      </c>
      <c r="L760" t="n">
        <v>2035</v>
      </c>
      <c r="M760" t="n">
        <v>0.4347</v>
      </c>
      <c r="N760" t="n">
        <v>0.1718</v>
      </c>
      <c r="O760" t="n">
        <v>2019</v>
      </c>
      <c r="P760" t="n">
        <v>2035</v>
      </c>
      <c r="Q760" t="n">
        <v>0.5229</v>
      </c>
      <c r="R760" t="n">
        <v>506.3191</v>
      </c>
      <c r="S760" t="n">
        <v>0.00100149</v>
      </c>
      <c r="T760" t="n">
        <v>0.00047124</v>
      </c>
      <c r="U760" t="n">
        <v>13654.4523</v>
      </c>
      <c r="V760" t="inlineStr">
        <is>
          <t>Provided Total Emissions</t>
        </is>
      </c>
      <c r="W760" t="b">
        <v>1</v>
      </c>
      <c r="X760" t="n">
        <v>13411.348</v>
      </c>
      <c r="Y760" t="n">
        <v>20916.7186</v>
      </c>
      <c r="Z760" t="n">
        <v>-243.1043</v>
      </c>
      <c r="AA760" t="n">
        <v>7262.2663</v>
      </c>
      <c r="AB760" t="n">
        <v>-0.017804</v>
      </c>
      <c r="AC760" t="n">
        <v>0.531861</v>
      </c>
      <c r="AD760" t="inlineStr">
        <is>
          <t>High</t>
        </is>
      </c>
      <c r="AE760" t="inlineStr">
        <is>
          <t>None</t>
        </is>
      </c>
      <c r="AF760" t="n">
        <v>0.95</v>
      </c>
      <c r="AG760" t="inlineStr">
        <is>
          <t>Valid</t>
        </is>
      </c>
    </row>
    <row r="761">
      <c r="A761" t="inlineStr">
        <is>
          <t>SUP-0076</t>
        </is>
      </c>
      <c r="B761" t="inlineStr">
        <is>
          <t>Chemicals Supplier 076</t>
        </is>
      </c>
      <c r="C761" t="inlineStr">
        <is>
          <t>Chemicals</t>
        </is>
      </c>
      <c r="D761" t="n">
        <v>2024</v>
      </c>
      <c r="E761" t="n">
        <v>15916390.39</v>
      </c>
      <c r="F761" t="n">
        <v>63998237.61</v>
      </c>
      <c r="G761" t="n">
        <v>21781.5845</v>
      </c>
      <c r="H761" t="n">
        <v>5125.7204</v>
      </c>
      <c r="I761" t="n">
        <v>2293.7183</v>
      </c>
      <c r="J761" t="n">
        <v>14465.8495</v>
      </c>
      <c r="K761" t="n">
        <v>2018</v>
      </c>
      <c r="L761" t="n">
        <v>2035</v>
      </c>
      <c r="M761" t="n">
        <v>0.4347</v>
      </c>
      <c r="N761" t="n">
        <v>0.1718</v>
      </c>
      <c r="O761" t="n">
        <v>2019</v>
      </c>
      <c r="P761" t="n">
        <v>2035</v>
      </c>
      <c r="Q761" t="n">
        <v>0.5229</v>
      </c>
      <c r="R761" t="n">
        <v>506.3191</v>
      </c>
      <c r="S761" t="n">
        <v>0.00100149</v>
      </c>
      <c r="T761" t="n">
        <v>0.00047124</v>
      </c>
      <c r="U761" t="n">
        <v>21781.5845</v>
      </c>
      <c r="V761" t="inlineStr">
        <is>
          <t>Provided Total Emissions</t>
        </is>
      </c>
      <c r="W761" t="b">
        <v>1</v>
      </c>
      <c r="X761" t="n">
        <v>15940.1058</v>
      </c>
      <c r="Y761" t="n">
        <v>30158.5295</v>
      </c>
      <c r="Z761" t="n">
        <v>-5841.4787</v>
      </c>
      <c r="AA761" t="n">
        <v>8376.945</v>
      </c>
      <c r="AB761" t="n">
        <v>-0.268184</v>
      </c>
      <c r="AC761" t="n">
        <v>0.384588</v>
      </c>
      <c r="AD761" t="inlineStr">
        <is>
          <t>High</t>
        </is>
      </c>
      <c r="AE761" t="inlineStr">
        <is>
          <t>None</t>
        </is>
      </c>
      <c r="AF761" t="n">
        <v>0.95</v>
      </c>
      <c r="AG761" t="inlineStr">
        <is>
          <t>Valid</t>
        </is>
      </c>
    </row>
    <row r="762">
      <c r="A762" t="inlineStr">
        <is>
          <t>SUP-0077</t>
        </is>
      </c>
      <c r="B762" t="inlineStr">
        <is>
          <t>Packaging Supplier 077</t>
        </is>
      </c>
      <c r="C762" t="inlineStr">
        <is>
          <t>Packaging</t>
        </is>
      </c>
      <c r="D762" t="n">
        <v>2015</v>
      </c>
      <c r="E762" t="n">
        <v>386082.37</v>
      </c>
      <c r="F762" t="n">
        <v>1876788.48</v>
      </c>
      <c r="G762" t="n">
        <v>318.8556</v>
      </c>
      <c r="H762" t="n">
        <v>58.6678</v>
      </c>
      <c r="I762" t="n">
        <v>54.9768</v>
      </c>
      <c r="J762" t="n">
        <v>214.9952</v>
      </c>
      <c r="K762" t="n">
        <v>2018</v>
      </c>
      <c r="L762" t="n">
        <v>2030</v>
      </c>
      <c r="M762" t="n">
        <v>0.6421</v>
      </c>
      <c r="N762" t="n">
        <v>0.3614</v>
      </c>
      <c r="O762" t="n">
        <v>2018</v>
      </c>
      <c r="P762" t="n">
        <v>2040</v>
      </c>
      <c r="Q762" t="n">
        <v>0.3112</v>
      </c>
      <c r="R762" t="n">
        <v>702.4188</v>
      </c>
      <c r="S762" t="n">
        <v>0.0010803</v>
      </c>
      <c r="T762" t="n">
        <v>0.00078946</v>
      </c>
      <c r="U762" t="n">
        <v>318.8556</v>
      </c>
      <c r="V762" t="inlineStr">
        <is>
          <t>Provided Total Emissions</t>
        </is>
      </c>
      <c r="W762" t="b">
        <v>1</v>
      </c>
      <c r="X762" t="n">
        <v>417.0848</v>
      </c>
      <c r="Y762" t="n">
        <v>1481.6494</v>
      </c>
      <c r="Z762" t="n">
        <v>98.22920000000001</v>
      </c>
      <c r="AA762" t="n">
        <v>1162.7938</v>
      </c>
      <c r="AB762" t="n">
        <v>0.308068</v>
      </c>
      <c r="AC762" t="n">
        <v>3.646772</v>
      </c>
      <c r="AD762" t="inlineStr">
        <is>
          <t>High</t>
        </is>
      </c>
      <c r="AE762" t="inlineStr">
        <is>
          <t>None</t>
        </is>
      </c>
      <c r="AF762" t="n">
        <v>0.95</v>
      </c>
      <c r="AG762" t="inlineStr">
        <is>
          <t>Valid</t>
        </is>
      </c>
    </row>
    <row r="763">
      <c r="A763" t="inlineStr">
        <is>
          <t>SUP-0077</t>
        </is>
      </c>
      <c r="B763" t="inlineStr">
        <is>
          <t>Packaging Supplier 077</t>
        </is>
      </c>
      <c r="C763" t="inlineStr">
        <is>
          <t>Packaging</t>
        </is>
      </c>
      <c r="D763" t="n">
        <v>2016</v>
      </c>
      <c r="E763" t="n">
        <v>388236.44</v>
      </c>
      <c r="F763" t="n">
        <v>2305606.69</v>
      </c>
      <c r="G763" t="n">
        <v>307.4867</v>
      </c>
      <c r="H763" t="n">
        <v>35.5216</v>
      </c>
      <c r="I763" t="n">
        <v>47.4897</v>
      </c>
      <c r="J763" t="n">
        <v>230.5924</v>
      </c>
      <c r="K763" t="n">
        <v>2018</v>
      </c>
      <c r="L763" t="n">
        <v>2030</v>
      </c>
      <c r="M763" t="n">
        <v>0.6421</v>
      </c>
      <c r="N763" t="n">
        <v>0.3614</v>
      </c>
      <c r="O763" t="n">
        <v>2018</v>
      </c>
      <c r="P763" t="n">
        <v>2040</v>
      </c>
      <c r="Q763" t="n">
        <v>0.3112</v>
      </c>
      <c r="R763" t="n">
        <v>702.4188</v>
      </c>
      <c r="S763" t="n">
        <v>0.0010803</v>
      </c>
      <c r="T763" t="n">
        <v>0.00078946</v>
      </c>
      <c r="U763" t="n">
        <v>307.4867</v>
      </c>
      <c r="V763" t="inlineStr">
        <is>
          <t>Provided Total Emissions</t>
        </is>
      </c>
      <c r="W763" t="b">
        <v>1</v>
      </c>
      <c r="X763" t="n">
        <v>419.4118</v>
      </c>
      <c r="Y763" t="n">
        <v>1820.1843</v>
      </c>
      <c r="Z763" t="n">
        <v>111.9251</v>
      </c>
      <c r="AA763" t="n">
        <v>1512.6976</v>
      </c>
      <c r="AB763" t="n">
        <v>0.364</v>
      </c>
      <c r="AC763" t="n">
        <v>4.919554</v>
      </c>
      <c r="AD763" t="inlineStr">
        <is>
          <t>High</t>
        </is>
      </c>
      <c r="AE763" t="inlineStr">
        <is>
          <t>None</t>
        </is>
      </c>
      <c r="AF763" t="n">
        <v>0.95</v>
      </c>
      <c r="AG763" t="inlineStr">
        <is>
          <t>Valid</t>
        </is>
      </c>
    </row>
    <row r="764">
      <c r="A764" t="inlineStr">
        <is>
          <t>SUP-0077</t>
        </is>
      </c>
      <c r="B764" t="inlineStr">
        <is>
          <t>Packaging Supplier 077</t>
        </is>
      </c>
      <c r="C764" t="inlineStr">
        <is>
          <t>Packaging</t>
        </is>
      </c>
      <c r="D764" t="n">
        <v>2017</v>
      </c>
      <c r="E764" t="n">
        <v>436262.43</v>
      </c>
      <c r="F764" t="n">
        <v>2530849.29</v>
      </c>
      <c r="G764" t="n">
        <v>319.0824</v>
      </c>
      <c r="H764" t="n">
        <v>30.948</v>
      </c>
      <c r="I764" t="n">
        <v>25.4746</v>
      </c>
      <c r="J764" t="n">
        <v>274.9959</v>
      </c>
      <c r="K764" t="n">
        <v>2018</v>
      </c>
      <c r="L764" t="n">
        <v>2030</v>
      </c>
      <c r="M764" t="n">
        <v>0.6421</v>
      </c>
      <c r="N764" t="n">
        <v>0.3614</v>
      </c>
      <c r="O764" t="n">
        <v>2018</v>
      </c>
      <c r="P764" t="n">
        <v>2040</v>
      </c>
      <c r="Q764" t="n">
        <v>0.3112</v>
      </c>
      <c r="R764" t="n">
        <v>702.4188</v>
      </c>
      <c r="S764" t="n">
        <v>0.0010803</v>
      </c>
      <c r="T764" t="n">
        <v>0.00078946</v>
      </c>
      <c r="U764" t="n">
        <v>319.0824</v>
      </c>
      <c r="V764" t="inlineStr">
        <is>
          <t>Provided Total Emissions</t>
        </is>
      </c>
      <c r="W764" t="b">
        <v>1</v>
      </c>
      <c r="X764" t="n">
        <v>471.2943</v>
      </c>
      <c r="Y764" t="n">
        <v>1998.0043</v>
      </c>
      <c r="Z764" t="n">
        <v>152.2119</v>
      </c>
      <c r="AA764" t="n">
        <v>1678.9219</v>
      </c>
      <c r="AB764" t="n">
        <v>0.47703</v>
      </c>
      <c r="AC764" t="n">
        <v>5.261719</v>
      </c>
      <c r="AD764" t="inlineStr">
        <is>
          <t>High</t>
        </is>
      </c>
      <c r="AE764" t="inlineStr">
        <is>
          <t>None</t>
        </is>
      </c>
      <c r="AF764" t="n">
        <v>0.95</v>
      </c>
      <c r="AG764" t="inlineStr">
        <is>
          <t>Valid</t>
        </is>
      </c>
    </row>
    <row r="765">
      <c r="A765" t="inlineStr">
        <is>
          <t>SUP-0077</t>
        </is>
      </c>
      <c r="B765" t="inlineStr">
        <is>
          <t>Packaging Supplier 077</t>
        </is>
      </c>
      <c r="C765" t="inlineStr">
        <is>
          <t>Packaging</t>
        </is>
      </c>
      <c r="D765" t="n">
        <v>2018</v>
      </c>
      <c r="E765" t="n">
        <v>390292.95</v>
      </c>
      <c r="F765" t="n">
        <v>2480959.08</v>
      </c>
      <c r="G765" t="n">
        <v>248.6256</v>
      </c>
      <c r="H765" t="n">
        <v>30.115</v>
      </c>
      <c r="I765" t="n">
        <v>34.2874</v>
      </c>
      <c r="J765" t="n">
        <v>167.4944</v>
      </c>
      <c r="K765" t="n">
        <v>2018</v>
      </c>
      <c r="L765" t="n">
        <v>2030</v>
      </c>
      <c r="M765" t="n">
        <v>0.6421</v>
      </c>
      <c r="N765" t="n">
        <v>0.3614</v>
      </c>
      <c r="O765" t="n">
        <v>2018</v>
      </c>
      <c r="P765" t="n">
        <v>2040</v>
      </c>
      <c r="Q765" t="n">
        <v>0.3112</v>
      </c>
      <c r="R765" t="n">
        <v>702.4188</v>
      </c>
      <c r="S765" t="n">
        <v>0.0010803</v>
      </c>
      <c r="T765" t="n">
        <v>0.00078946</v>
      </c>
      <c r="U765" t="n">
        <v>248.6256</v>
      </c>
      <c r="V765" t="inlineStr">
        <is>
          <t>Provided Total Emissions</t>
        </is>
      </c>
      <c r="W765" t="b">
        <v>1</v>
      </c>
      <c r="X765" t="n">
        <v>421.6335</v>
      </c>
      <c r="Y765" t="n">
        <v>1958.618</v>
      </c>
      <c r="Z765" t="n">
        <v>173.0079</v>
      </c>
      <c r="AA765" t="n">
        <v>1709.9924</v>
      </c>
      <c r="AB765" t="n">
        <v>0.6958569999999999</v>
      </c>
      <c r="AC765" t="n">
        <v>6.877781</v>
      </c>
      <c r="AD765" t="inlineStr">
        <is>
          <t>High</t>
        </is>
      </c>
      <c r="AE765" t="inlineStr">
        <is>
          <t>None</t>
        </is>
      </c>
      <c r="AF765" t="n">
        <v>0.95</v>
      </c>
      <c r="AG765" t="inlineStr">
        <is>
          <t>Valid</t>
        </is>
      </c>
    </row>
    <row r="766">
      <c r="A766" t="inlineStr">
        <is>
          <t>SUP-0077</t>
        </is>
      </c>
      <c r="B766" t="inlineStr">
        <is>
          <t>Packaging Supplier 077</t>
        </is>
      </c>
      <c r="C766" t="inlineStr">
        <is>
          <t>Packaging</t>
        </is>
      </c>
      <c r="D766" t="n">
        <v>2019</v>
      </c>
      <c r="E766" t="n">
        <v>385788.43</v>
      </c>
      <c r="F766" t="n">
        <v>3010643.91</v>
      </c>
      <c r="G766" t="n">
        <v>266.2393</v>
      </c>
      <c r="H766" t="n">
        <v>65.4461</v>
      </c>
      <c r="I766" t="n">
        <v>53.1564</v>
      </c>
      <c r="J766" t="n">
        <v>140.5188</v>
      </c>
      <c r="K766" t="n">
        <v>2018</v>
      </c>
      <c r="L766" t="n">
        <v>2030</v>
      </c>
      <c r="M766" t="n">
        <v>0.6421</v>
      </c>
      <c r="N766" t="n">
        <v>0.3614</v>
      </c>
      <c r="O766" t="n">
        <v>2018</v>
      </c>
      <c r="P766" t="n">
        <v>2040</v>
      </c>
      <c r="Q766" t="n">
        <v>0.3112</v>
      </c>
      <c r="R766" t="n">
        <v>702.4188</v>
      </c>
      <c r="S766" t="n">
        <v>0.0010803</v>
      </c>
      <c r="T766" t="n">
        <v>0.00078946</v>
      </c>
      <c r="U766" t="n">
        <v>266.2393</v>
      </c>
      <c r="V766" t="inlineStr">
        <is>
          <t>Provided Total Emissions</t>
        </is>
      </c>
      <c r="W766" t="b">
        <v>1</v>
      </c>
      <c r="X766" t="n">
        <v>416.7672</v>
      </c>
      <c r="Y766" t="n">
        <v>2376.7829</v>
      </c>
      <c r="Z766" t="n">
        <v>150.5279</v>
      </c>
      <c r="AA766" t="n">
        <v>2110.5436</v>
      </c>
      <c r="AB766" t="n">
        <v>0.5653860000000001</v>
      </c>
      <c r="AC766" t="n">
        <v>7.927243</v>
      </c>
      <c r="AD766" t="inlineStr">
        <is>
          <t>High</t>
        </is>
      </c>
      <c r="AE766" t="inlineStr">
        <is>
          <t>None</t>
        </is>
      </c>
      <c r="AF766" t="n">
        <v>0.95</v>
      </c>
      <c r="AG766" t="inlineStr">
        <is>
          <t>Valid</t>
        </is>
      </c>
    </row>
    <row r="767">
      <c r="A767" t="inlineStr">
        <is>
          <t>SUP-0077</t>
        </is>
      </c>
      <c r="B767" t="inlineStr">
        <is>
          <t>Packaging Supplier 077</t>
        </is>
      </c>
      <c r="C767" t="inlineStr">
        <is>
          <t>Packaging</t>
        </is>
      </c>
      <c r="D767" t="n">
        <v>2020</v>
      </c>
      <c r="E767" t="n">
        <v>447902.28</v>
      </c>
      <c r="F767" t="n">
        <v>2098274.26</v>
      </c>
      <c r="G767" t="n">
        <v>337.0618</v>
      </c>
      <c r="H767" t="n">
        <v>53.9184</v>
      </c>
      <c r="I767" t="n">
        <v>29.6485</v>
      </c>
      <c r="J767" t="n">
        <v>255.3002</v>
      </c>
      <c r="K767" t="n">
        <v>2018</v>
      </c>
      <c r="L767" t="n">
        <v>2030</v>
      </c>
      <c r="M767" t="n">
        <v>0.6421</v>
      </c>
      <c r="N767" t="n">
        <v>0.3614</v>
      </c>
      <c r="O767" t="n">
        <v>2018</v>
      </c>
      <c r="P767" t="n">
        <v>2040</v>
      </c>
      <c r="Q767" t="n">
        <v>0.3112</v>
      </c>
      <c r="R767" t="n">
        <v>702.4188</v>
      </c>
      <c r="S767" t="n">
        <v>0.0010803</v>
      </c>
      <c r="T767" t="n">
        <v>0.00078946</v>
      </c>
      <c r="U767" t="n">
        <v>337.0618</v>
      </c>
      <c r="V767" t="inlineStr">
        <is>
          <t>Provided Total Emissions</t>
        </is>
      </c>
      <c r="W767" t="b">
        <v>1</v>
      </c>
      <c r="X767" t="n">
        <v>483.8688</v>
      </c>
      <c r="Y767" t="n">
        <v>1656.5036</v>
      </c>
      <c r="Z767" t="n">
        <v>146.807</v>
      </c>
      <c r="AA767" t="n">
        <v>1319.4418</v>
      </c>
      <c r="AB767" t="n">
        <v>0.435549</v>
      </c>
      <c r="AC767" t="n">
        <v>3.91454</v>
      </c>
      <c r="AD767" t="inlineStr">
        <is>
          <t>High</t>
        </is>
      </c>
      <c r="AE767" t="inlineStr">
        <is>
          <t>None</t>
        </is>
      </c>
      <c r="AF767" t="n">
        <v>0.95</v>
      </c>
      <c r="AG767" t="inlineStr">
        <is>
          <t>Valid</t>
        </is>
      </c>
    </row>
    <row r="768">
      <c r="A768" t="inlineStr">
        <is>
          <t>SUP-0077</t>
        </is>
      </c>
      <c r="B768" t="inlineStr">
        <is>
          <t>Packaging Supplier 077</t>
        </is>
      </c>
      <c r="C768" t="inlineStr">
        <is>
          <t>Packaging</t>
        </is>
      </c>
      <c r="D768" t="n">
        <v>2021</v>
      </c>
      <c r="E768" t="n">
        <v>519938.42</v>
      </c>
      <c r="F768" t="n">
        <v>3100136.59</v>
      </c>
      <c r="G768" t="n">
        <v>345.1167</v>
      </c>
      <c r="H768" t="n">
        <v>86.6527</v>
      </c>
      <c r="I768" t="n">
        <v>70.71129999999999</v>
      </c>
      <c r="J768" t="n">
        <v>185.4901</v>
      </c>
      <c r="K768" t="n">
        <v>2018</v>
      </c>
      <c r="L768" t="n">
        <v>2030</v>
      </c>
      <c r="M768" t="n">
        <v>0.6421</v>
      </c>
      <c r="N768" t="n">
        <v>0.3614</v>
      </c>
      <c r="O768" t="n">
        <v>2018</v>
      </c>
      <c r="P768" t="n">
        <v>2040</v>
      </c>
      <c r="Q768" t="n">
        <v>0.3112</v>
      </c>
      <c r="R768" t="n">
        <v>702.4188</v>
      </c>
      <c r="S768" t="n">
        <v>0.0010803</v>
      </c>
      <c r="T768" t="n">
        <v>0.00078946</v>
      </c>
      <c r="U768" t="n">
        <v>345.1167</v>
      </c>
      <c r="V768" t="inlineStr">
        <is>
          <t>Provided Total Emissions</t>
        </is>
      </c>
      <c r="W768" t="b">
        <v>1</v>
      </c>
      <c r="X768" t="n">
        <v>561.6895</v>
      </c>
      <c r="Y768" t="n">
        <v>2447.4338</v>
      </c>
      <c r="Z768" t="n">
        <v>216.5728</v>
      </c>
      <c r="AA768" t="n">
        <v>2102.3171</v>
      </c>
      <c r="AB768" t="n">
        <v>0.627535</v>
      </c>
      <c r="AC768" t="n">
        <v>6.091612</v>
      </c>
      <c r="AD768" t="inlineStr">
        <is>
          <t>High</t>
        </is>
      </c>
      <c r="AE768" t="inlineStr">
        <is>
          <t>None</t>
        </is>
      </c>
      <c r="AF768" t="n">
        <v>0.95</v>
      </c>
      <c r="AG768" t="inlineStr">
        <is>
          <t>Valid</t>
        </is>
      </c>
    </row>
    <row r="769">
      <c r="A769" t="inlineStr">
        <is>
          <t>SUP-0077</t>
        </is>
      </c>
      <c r="B769" t="inlineStr">
        <is>
          <t>Packaging Supplier 077</t>
        </is>
      </c>
      <c r="C769" t="inlineStr">
        <is>
          <t>Packaging</t>
        </is>
      </c>
      <c r="D769" t="n">
        <v>2022</v>
      </c>
      <c r="E769" t="n">
        <v>625623.27</v>
      </c>
      <c r="F769" t="n">
        <v>2653415.21</v>
      </c>
      <c r="G769" t="n">
        <v>413.6172</v>
      </c>
      <c r="H769" t="n">
        <v>105.934</v>
      </c>
      <c r="I769" t="n">
        <v>49.9278</v>
      </c>
      <c r="J769" t="n">
        <v>228.5003</v>
      </c>
      <c r="K769" t="n">
        <v>2018</v>
      </c>
      <c r="L769" t="n">
        <v>2030</v>
      </c>
      <c r="M769" t="n">
        <v>0.6421</v>
      </c>
      <c r="N769" t="n">
        <v>0.3614</v>
      </c>
      <c r="O769" t="n">
        <v>2018</v>
      </c>
      <c r="P769" t="n">
        <v>2040</v>
      </c>
      <c r="Q769" t="n">
        <v>0.3112</v>
      </c>
      <c r="R769" t="n">
        <v>702.4188</v>
      </c>
      <c r="S769" t="n">
        <v>0.0010803</v>
      </c>
      <c r="T769" t="n">
        <v>0.00078946</v>
      </c>
      <c r="U769" t="n">
        <v>413.6172</v>
      </c>
      <c r="V769" t="inlineStr">
        <is>
          <t>Provided Total Emissions</t>
        </is>
      </c>
      <c r="W769" t="b">
        <v>1</v>
      </c>
      <c r="X769" t="n">
        <v>675.8608</v>
      </c>
      <c r="Y769" t="n">
        <v>2094.7652</v>
      </c>
      <c r="Z769" t="n">
        <v>262.2436</v>
      </c>
      <c r="AA769" t="n">
        <v>1681.148</v>
      </c>
      <c r="AB769" t="n">
        <v>0.6340249999999999</v>
      </c>
      <c r="AC769" t="n">
        <v>4.064502</v>
      </c>
      <c r="AD769" t="inlineStr">
        <is>
          <t>High</t>
        </is>
      </c>
      <c r="AE769" t="inlineStr">
        <is>
          <t>None</t>
        </is>
      </c>
      <c r="AF769" t="n">
        <v>0.95</v>
      </c>
      <c r="AG769" t="inlineStr">
        <is>
          <t>Valid</t>
        </is>
      </c>
    </row>
    <row r="770">
      <c r="A770" t="inlineStr">
        <is>
          <t>SUP-0077</t>
        </is>
      </c>
      <c r="B770" t="inlineStr">
        <is>
          <t>Packaging Supplier 077</t>
        </is>
      </c>
      <c r="C770" t="inlineStr">
        <is>
          <t>Packaging</t>
        </is>
      </c>
      <c r="D770" t="n">
        <v>2023</v>
      </c>
      <c r="E770" t="n">
        <v>609500.67</v>
      </c>
      <c r="F770" t="n">
        <v>3768512.27</v>
      </c>
      <c r="G770" t="n">
        <v>403.8538</v>
      </c>
      <c r="H770" t="n">
        <v>112.4133</v>
      </c>
      <c r="I770" t="n">
        <v>28.1003</v>
      </c>
      <c r="J770" t="n">
        <v>258.8601</v>
      </c>
      <c r="K770" t="n">
        <v>2018</v>
      </c>
      <c r="L770" t="n">
        <v>2030</v>
      </c>
      <c r="M770" t="n">
        <v>0.6421</v>
      </c>
      <c r="N770" t="n">
        <v>0.3614</v>
      </c>
      <c r="O770" t="n">
        <v>2018</v>
      </c>
      <c r="P770" t="n">
        <v>2040</v>
      </c>
      <c r="Q770" t="n">
        <v>0.3112</v>
      </c>
      <c r="R770" t="n">
        <v>702.4188</v>
      </c>
      <c r="S770" t="n">
        <v>0.0010803</v>
      </c>
      <c r="T770" t="n">
        <v>0.00078946</v>
      </c>
      <c r="U770" t="n">
        <v>403.8538</v>
      </c>
      <c r="V770" t="inlineStr">
        <is>
          <t>Provided Total Emissions</t>
        </is>
      </c>
      <c r="W770" t="b">
        <v>1</v>
      </c>
      <c r="X770" t="n">
        <v>658.4435999999999</v>
      </c>
      <c r="Y770" t="n">
        <v>2975.0897</v>
      </c>
      <c r="Z770" t="n">
        <v>254.5898</v>
      </c>
      <c r="AA770" t="n">
        <v>2571.2359</v>
      </c>
      <c r="AB770" t="n">
        <v>0.630401</v>
      </c>
      <c r="AC770" t="n">
        <v>6.366749</v>
      </c>
      <c r="AD770" t="inlineStr">
        <is>
          <t>High</t>
        </is>
      </c>
      <c r="AE770" t="inlineStr">
        <is>
          <t>None</t>
        </is>
      </c>
      <c r="AF770" t="n">
        <v>0.95</v>
      </c>
      <c r="AG770" t="inlineStr">
        <is>
          <t>Valid</t>
        </is>
      </c>
    </row>
    <row r="771">
      <c r="A771" t="inlineStr">
        <is>
          <t>SUP-0077</t>
        </is>
      </c>
      <c r="B771" t="inlineStr">
        <is>
          <t>Packaging Supplier 077</t>
        </is>
      </c>
      <c r="C771" t="inlineStr">
        <is>
          <t>Packaging</t>
        </is>
      </c>
      <c r="D771" t="n">
        <v>2024</v>
      </c>
      <c r="E771" t="n">
        <v>603398.41</v>
      </c>
      <c r="F771" t="n">
        <v>5012554.34</v>
      </c>
      <c r="G771" t="n">
        <v>368.6382</v>
      </c>
      <c r="H771" t="n">
        <v>80.429</v>
      </c>
      <c r="I771" t="n">
        <v>32.5647</v>
      </c>
      <c r="J771" t="n">
        <v>257.7497</v>
      </c>
      <c r="K771" t="n">
        <v>2018</v>
      </c>
      <c r="L771" t="n">
        <v>2030</v>
      </c>
      <c r="M771" t="n">
        <v>0.6421</v>
      </c>
      <c r="N771" t="n">
        <v>0.3614</v>
      </c>
      <c r="O771" t="n">
        <v>2018</v>
      </c>
      <c r="P771" t="n">
        <v>2040</v>
      </c>
      <c r="Q771" t="n">
        <v>0.3112</v>
      </c>
      <c r="R771" t="n">
        <v>702.4188</v>
      </c>
      <c r="S771" t="n">
        <v>0.0010803</v>
      </c>
      <c r="T771" t="n">
        <v>0.00078946</v>
      </c>
      <c r="U771" t="n">
        <v>368.6382</v>
      </c>
      <c r="V771" t="inlineStr">
        <is>
          <t>Provided Total Emissions</t>
        </is>
      </c>
      <c r="W771" t="b">
        <v>1</v>
      </c>
      <c r="X771" t="n">
        <v>651.8513</v>
      </c>
      <c r="Y771" t="n">
        <v>3957.2111</v>
      </c>
      <c r="Z771" t="n">
        <v>283.2131</v>
      </c>
      <c r="AA771" t="n">
        <v>3588.5729</v>
      </c>
      <c r="AB771" t="n">
        <v>0.768268</v>
      </c>
      <c r="AC771" t="n">
        <v>9.734674999999999</v>
      </c>
      <c r="AD771" t="inlineStr">
        <is>
          <t>High</t>
        </is>
      </c>
      <c r="AE771" t="inlineStr">
        <is>
          <t>None</t>
        </is>
      </c>
      <c r="AF771" t="n">
        <v>0.95</v>
      </c>
      <c r="AG771" t="inlineStr">
        <is>
          <t>Valid</t>
        </is>
      </c>
    </row>
    <row r="772">
      <c r="A772" t="inlineStr">
        <is>
          <t>SUP-0078</t>
        </is>
      </c>
      <c r="B772" t="inlineStr">
        <is>
          <t>Metals Supplier 078</t>
        </is>
      </c>
      <c r="C772" t="inlineStr">
        <is>
          <t>Metals</t>
        </is>
      </c>
      <c r="D772" t="n">
        <v>2015</v>
      </c>
      <c r="E772" t="n">
        <v>14585847.49</v>
      </c>
      <c r="F772" t="n">
        <v>99121824.54000001</v>
      </c>
      <c r="G772" t="n">
        <v>16727.625</v>
      </c>
      <c r="H772" t="n">
        <v>3323.3005</v>
      </c>
      <c r="I772" t="n">
        <v>1644.0023</v>
      </c>
      <c r="J772" t="n">
        <v>12700.9707</v>
      </c>
      <c r="K772" t="n">
        <v>2021</v>
      </c>
      <c r="L772" t="n">
        <v>2040</v>
      </c>
      <c r="M772" t="n">
        <v>0.2592</v>
      </c>
      <c r="N772" t="n">
        <v>0.1569</v>
      </c>
      <c r="O772" t="n">
        <v>2019</v>
      </c>
      <c r="P772" t="n">
        <v>2030</v>
      </c>
      <c r="Q772" t="n">
        <v>0.3852</v>
      </c>
      <c r="R772" t="n">
        <v>158.2904</v>
      </c>
      <c r="S772" t="n">
        <v>0.00100695</v>
      </c>
      <c r="T772" t="n">
        <v>0.00065008</v>
      </c>
      <c r="U772" t="n">
        <v>16727.625</v>
      </c>
      <c r="V772" t="inlineStr">
        <is>
          <t>Provided Total Emissions</t>
        </is>
      </c>
      <c r="W772" t="b">
        <v>1</v>
      </c>
      <c r="X772" t="n">
        <v>14687.2191</v>
      </c>
      <c r="Y772" t="n">
        <v>64437.1157</v>
      </c>
      <c r="Z772" t="n">
        <v>-2040.4059</v>
      </c>
      <c r="AA772" t="n">
        <v>47709.4907</v>
      </c>
      <c r="AB772" t="n">
        <v>-0.121978</v>
      </c>
      <c r="AC772" t="n">
        <v>2.852138</v>
      </c>
      <c r="AD772" t="inlineStr">
        <is>
          <t>High</t>
        </is>
      </c>
      <c r="AE772" t="inlineStr">
        <is>
          <t>None</t>
        </is>
      </c>
      <c r="AF772" t="n">
        <v>0.95</v>
      </c>
      <c r="AG772" t="inlineStr">
        <is>
          <t>Valid</t>
        </is>
      </c>
    </row>
    <row r="773">
      <c r="A773" t="inlineStr">
        <is>
          <t>SUP-0078</t>
        </is>
      </c>
      <c r="B773" t="inlineStr">
        <is>
          <t>Metals Supplier 078</t>
        </is>
      </c>
      <c r="C773" t="inlineStr">
        <is>
          <t>Metals</t>
        </is>
      </c>
      <c r="D773" t="n">
        <v>2016</v>
      </c>
      <c r="E773" t="n">
        <v>16144702.76</v>
      </c>
      <c r="F773" t="n">
        <v>93474038.81999999</v>
      </c>
      <c r="G773" t="n">
        <v>14381.2814</v>
      </c>
      <c r="H773" t="n">
        <v>1298.6579</v>
      </c>
      <c r="I773" t="n">
        <v>1922.0779</v>
      </c>
      <c r="J773" t="n">
        <v>10885.529</v>
      </c>
      <c r="K773" t="n">
        <v>2021</v>
      </c>
      <c r="L773" t="n">
        <v>2040</v>
      </c>
      <c r="M773" t="n">
        <v>0.2592</v>
      </c>
      <c r="N773" t="n">
        <v>0.1569</v>
      </c>
      <c r="O773" t="n">
        <v>2019</v>
      </c>
      <c r="P773" t="n">
        <v>2030</v>
      </c>
      <c r="Q773" t="n">
        <v>0.3852</v>
      </c>
      <c r="R773" t="n">
        <v>158.2904</v>
      </c>
      <c r="S773" t="n">
        <v>0.00100695</v>
      </c>
      <c r="T773" t="n">
        <v>0.00065008</v>
      </c>
      <c r="U773" t="n">
        <v>14381.2814</v>
      </c>
      <c r="V773" t="inlineStr">
        <is>
          <t>Provided Total Emissions</t>
        </is>
      </c>
      <c r="W773" t="b">
        <v>1</v>
      </c>
      <c r="X773" t="n">
        <v>16256.9084</v>
      </c>
      <c r="Y773" t="n">
        <v>60765.6032</v>
      </c>
      <c r="Z773" t="n">
        <v>1875.627</v>
      </c>
      <c r="AA773" t="n">
        <v>46384.3218</v>
      </c>
      <c r="AB773" t="n">
        <v>0.130421</v>
      </c>
      <c r="AC773" t="n">
        <v>3.225326</v>
      </c>
      <c r="AD773" t="inlineStr">
        <is>
          <t>High</t>
        </is>
      </c>
      <c r="AE773" t="inlineStr">
        <is>
          <t>None</t>
        </is>
      </c>
      <c r="AF773" t="n">
        <v>0.95</v>
      </c>
      <c r="AG773" t="inlineStr">
        <is>
          <t>Valid</t>
        </is>
      </c>
    </row>
    <row r="774">
      <c r="A774" t="inlineStr">
        <is>
          <t>SUP-0078</t>
        </is>
      </c>
      <c r="B774" t="inlineStr">
        <is>
          <t>Metals Supplier 078</t>
        </is>
      </c>
      <c r="C774" t="inlineStr">
        <is>
          <t>Metals</t>
        </is>
      </c>
      <c r="D774" t="n">
        <v>2017</v>
      </c>
      <c r="E774" t="n">
        <v>13468426.16</v>
      </c>
      <c r="F774" t="n">
        <v>114665498.83</v>
      </c>
      <c r="G774" t="n">
        <v>15148.6706</v>
      </c>
      <c r="H774" t="n">
        <v>2087.7518</v>
      </c>
      <c r="I774" t="n">
        <v>2916.926</v>
      </c>
      <c r="J774" t="n">
        <v>9975.332200000001</v>
      </c>
      <c r="K774" t="n">
        <v>2021</v>
      </c>
      <c r="L774" t="n">
        <v>2040</v>
      </c>
      <c r="M774" t="n">
        <v>0.2592</v>
      </c>
      <c r="N774" t="n">
        <v>0.1569</v>
      </c>
      <c r="O774" t="n">
        <v>2019</v>
      </c>
      <c r="P774" t="n">
        <v>2030</v>
      </c>
      <c r="Q774" t="n">
        <v>0.3852</v>
      </c>
      <c r="R774" t="n">
        <v>158.2904</v>
      </c>
      <c r="S774" t="n">
        <v>0.00100695</v>
      </c>
      <c r="T774" t="n">
        <v>0.00065008</v>
      </c>
      <c r="U774" t="n">
        <v>15148.6706</v>
      </c>
      <c r="V774" t="inlineStr">
        <is>
          <t>Provided Total Emissions</t>
        </is>
      </c>
      <c r="W774" t="b">
        <v>1</v>
      </c>
      <c r="X774" t="n">
        <v>13562.0317</v>
      </c>
      <c r="Y774" t="n">
        <v>74541.7475</v>
      </c>
      <c r="Z774" t="n">
        <v>-1586.6389</v>
      </c>
      <c r="AA774" t="n">
        <v>59393.0769</v>
      </c>
      <c r="AB774" t="n">
        <v>-0.104738</v>
      </c>
      <c r="AC774" t="n">
        <v>3.920679</v>
      </c>
      <c r="AD774" t="inlineStr">
        <is>
          <t>High</t>
        </is>
      </c>
      <c r="AE774" t="inlineStr">
        <is>
          <t>None</t>
        </is>
      </c>
      <c r="AF774" t="n">
        <v>0.95</v>
      </c>
      <c r="AG774" t="inlineStr">
        <is>
          <t>Valid</t>
        </is>
      </c>
    </row>
    <row r="775">
      <c r="A775" t="inlineStr">
        <is>
          <t>SUP-0078</t>
        </is>
      </c>
      <c r="B775" t="inlineStr">
        <is>
          <t>Metals Supplier 078</t>
        </is>
      </c>
      <c r="C775" t="inlineStr">
        <is>
          <t>Metals</t>
        </is>
      </c>
      <c r="D775" t="n">
        <v>2018</v>
      </c>
      <c r="E775" t="n">
        <v>17845798.32</v>
      </c>
      <c r="F775" t="n">
        <v>87612229.39</v>
      </c>
      <c r="G775" t="n">
        <v>16427.7088</v>
      </c>
      <c r="H775" t="n">
        <v>3299.1605</v>
      </c>
      <c r="I775" t="n">
        <v>3094.2077</v>
      </c>
      <c r="J775" t="n">
        <v>10554.401</v>
      </c>
      <c r="K775" t="n">
        <v>2021</v>
      </c>
      <c r="L775" t="n">
        <v>2040</v>
      </c>
      <c r="M775" t="n">
        <v>0.2592</v>
      </c>
      <c r="N775" t="n">
        <v>0.1569</v>
      </c>
      <c r="O775" t="n">
        <v>2019</v>
      </c>
      <c r="P775" t="n">
        <v>2030</v>
      </c>
      <c r="Q775" t="n">
        <v>0.3852</v>
      </c>
      <c r="R775" t="n">
        <v>158.2904</v>
      </c>
      <c r="S775" t="n">
        <v>0.00100695</v>
      </c>
      <c r="T775" t="n">
        <v>0.00065008</v>
      </c>
      <c r="U775" t="n">
        <v>16427.7088</v>
      </c>
      <c r="V775" t="inlineStr">
        <is>
          <t>Provided Total Emissions</t>
        </is>
      </c>
      <c r="W775" t="b">
        <v>1</v>
      </c>
      <c r="X775" t="n">
        <v>17969.8266</v>
      </c>
      <c r="Y775" t="n">
        <v>56954.9581</v>
      </c>
      <c r="Z775" t="n">
        <v>1542.1178</v>
      </c>
      <c r="AA775" t="n">
        <v>40527.2493</v>
      </c>
      <c r="AB775" t="n">
        <v>0.093873</v>
      </c>
      <c r="AC775" t="n">
        <v>2.467006</v>
      </c>
      <c r="AD775" t="inlineStr">
        <is>
          <t>High</t>
        </is>
      </c>
      <c r="AE775" t="inlineStr">
        <is>
          <t>None</t>
        </is>
      </c>
      <c r="AF775" t="n">
        <v>0.95</v>
      </c>
      <c r="AG775" t="inlineStr">
        <is>
          <t>Valid</t>
        </is>
      </c>
    </row>
    <row r="776">
      <c r="A776" t="inlineStr">
        <is>
          <t>SUP-0078</t>
        </is>
      </c>
      <c r="B776" t="inlineStr">
        <is>
          <t>Metals Supplier 078</t>
        </is>
      </c>
      <c r="C776" t="inlineStr">
        <is>
          <t>Metals</t>
        </is>
      </c>
      <c r="D776" t="n">
        <v>2019</v>
      </c>
      <c r="E776" t="n">
        <v>19683401.03</v>
      </c>
      <c r="F776" t="n">
        <v>133321669.95</v>
      </c>
      <c r="G776" t="n">
        <v>16364.6187</v>
      </c>
      <c r="H776" t="n">
        <v>2275.6015</v>
      </c>
      <c r="I776" t="n">
        <v>1834.9069</v>
      </c>
      <c r="J776" t="n">
        <v>12409.4446</v>
      </c>
      <c r="K776" t="n">
        <v>2021</v>
      </c>
      <c r="L776" t="n">
        <v>2040</v>
      </c>
      <c r="M776" t="n">
        <v>0.2592</v>
      </c>
      <c r="N776" t="n">
        <v>0.1569</v>
      </c>
      <c r="O776" t="n">
        <v>2019</v>
      </c>
      <c r="P776" t="n">
        <v>2030</v>
      </c>
      <c r="Q776" t="n">
        <v>0.3852</v>
      </c>
      <c r="R776" t="n">
        <v>158.2904</v>
      </c>
      <c r="S776" t="n">
        <v>0.00100695</v>
      </c>
      <c r="T776" t="n">
        <v>0.00065008</v>
      </c>
      <c r="U776" t="n">
        <v>16364.6187</v>
      </c>
      <c r="V776" t="inlineStr">
        <is>
          <t>Provided Total Emissions</t>
        </is>
      </c>
      <c r="W776" t="b">
        <v>1</v>
      </c>
      <c r="X776" t="n">
        <v>19820.2007</v>
      </c>
      <c r="Y776" t="n">
        <v>86669.7512</v>
      </c>
      <c r="Z776" t="n">
        <v>3455.582</v>
      </c>
      <c r="AA776" t="n">
        <v>70305.13250000001</v>
      </c>
      <c r="AB776" t="n">
        <v>0.211162</v>
      </c>
      <c r="AC776" t="n">
        <v>4.296167</v>
      </c>
      <c r="AD776" t="inlineStr">
        <is>
          <t>High</t>
        </is>
      </c>
      <c r="AE776" t="inlineStr">
        <is>
          <t>None</t>
        </is>
      </c>
      <c r="AF776" t="n">
        <v>0.95</v>
      </c>
      <c r="AG776" t="inlineStr">
        <is>
          <t>Valid</t>
        </is>
      </c>
    </row>
    <row r="777">
      <c r="A777" t="inlineStr">
        <is>
          <t>SUP-0078</t>
        </is>
      </c>
      <c r="B777" t="inlineStr">
        <is>
          <t>Metals Supplier 078</t>
        </is>
      </c>
      <c r="C777" t="inlineStr">
        <is>
          <t>Metals</t>
        </is>
      </c>
      <c r="D777" t="n">
        <v>2020</v>
      </c>
      <c r="E777" t="n">
        <v>21649774.3</v>
      </c>
      <c r="F777" t="n">
        <v>168864127.83</v>
      </c>
      <c r="G777" t="n">
        <v>18722.8263</v>
      </c>
      <c r="H777" t="n">
        <v>4155.0188</v>
      </c>
      <c r="I777" t="n">
        <v>2252.5483</v>
      </c>
      <c r="J777" t="n">
        <v>11193.4875</v>
      </c>
      <c r="K777" t="n">
        <v>2021</v>
      </c>
      <c r="L777" t="n">
        <v>2040</v>
      </c>
      <c r="M777" t="n">
        <v>0.2592</v>
      </c>
      <c r="N777" t="n">
        <v>0.1569</v>
      </c>
      <c r="O777" t="n">
        <v>2019</v>
      </c>
      <c r="P777" t="n">
        <v>2030</v>
      </c>
      <c r="Q777" t="n">
        <v>0.3852</v>
      </c>
      <c r="R777" t="n">
        <v>158.2904</v>
      </c>
      <c r="S777" t="n">
        <v>0.00100695</v>
      </c>
      <c r="T777" t="n">
        <v>0.00065008</v>
      </c>
      <c r="U777" t="n">
        <v>18722.8263</v>
      </c>
      <c r="V777" t="inlineStr">
        <is>
          <t>Provided Total Emissions</t>
        </is>
      </c>
      <c r="W777" t="b">
        <v>1</v>
      </c>
      <c r="X777" t="n">
        <v>21800.2402</v>
      </c>
      <c r="Y777" t="n">
        <v>109775.1922</v>
      </c>
      <c r="Z777" t="n">
        <v>3077.4139</v>
      </c>
      <c r="AA777" t="n">
        <v>91052.3659</v>
      </c>
      <c r="AB777" t="n">
        <v>0.164367</v>
      </c>
      <c r="AC777" t="n">
        <v>4.863174</v>
      </c>
      <c r="AD777" t="inlineStr">
        <is>
          <t>High</t>
        </is>
      </c>
      <c r="AE777" t="inlineStr">
        <is>
          <t>None</t>
        </is>
      </c>
      <c r="AF777" t="n">
        <v>0.95</v>
      </c>
      <c r="AG777" t="inlineStr">
        <is>
          <t>Valid</t>
        </is>
      </c>
    </row>
    <row r="778">
      <c r="A778" t="inlineStr">
        <is>
          <t>SUP-0078</t>
        </is>
      </c>
      <c r="B778" t="inlineStr">
        <is>
          <t>Metals Supplier 078</t>
        </is>
      </c>
      <c r="C778" t="inlineStr">
        <is>
          <t>Metals</t>
        </is>
      </c>
      <c r="D778" t="n">
        <v>2021</v>
      </c>
      <c r="E778" t="n">
        <v>21108845.56</v>
      </c>
      <c r="F778" t="n">
        <v>139270178.23</v>
      </c>
      <c r="G778" t="n">
        <v>18414.7725</v>
      </c>
      <c r="H778" t="n">
        <v>2181.4125</v>
      </c>
      <c r="I778" t="n">
        <v>3585.1038</v>
      </c>
      <c r="J778" t="n">
        <v>12866.188</v>
      </c>
      <c r="K778" t="n">
        <v>2021</v>
      </c>
      <c r="L778" t="n">
        <v>2040</v>
      </c>
      <c r="M778" t="n">
        <v>0.2592</v>
      </c>
      <c r="N778" t="n">
        <v>0.1569</v>
      </c>
      <c r="O778" t="n">
        <v>2019</v>
      </c>
      <c r="P778" t="n">
        <v>2030</v>
      </c>
      <c r="Q778" t="n">
        <v>0.3852</v>
      </c>
      <c r="R778" t="n">
        <v>158.2904</v>
      </c>
      <c r="S778" t="n">
        <v>0.00100695</v>
      </c>
      <c r="T778" t="n">
        <v>0.00065008</v>
      </c>
      <c r="U778" t="n">
        <v>18414.7725</v>
      </c>
      <c r="V778" t="inlineStr">
        <is>
          <t>Provided Total Emissions</t>
        </is>
      </c>
      <c r="W778" t="b">
        <v>1</v>
      </c>
      <c r="X778" t="n">
        <v>21255.552</v>
      </c>
      <c r="Y778" t="n">
        <v>90536.75750000001</v>
      </c>
      <c r="Z778" t="n">
        <v>2840.7795</v>
      </c>
      <c r="AA778" t="n">
        <v>72121.985</v>
      </c>
      <c r="AB778" t="n">
        <v>0.154266</v>
      </c>
      <c r="AC778" t="n">
        <v>3.916529</v>
      </c>
      <c r="AD778" t="inlineStr">
        <is>
          <t>High</t>
        </is>
      </c>
      <c r="AE778" t="inlineStr">
        <is>
          <t>None</t>
        </is>
      </c>
      <c r="AF778" t="n">
        <v>0.95</v>
      </c>
      <c r="AG778" t="inlineStr">
        <is>
          <t>Valid</t>
        </is>
      </c>
    </row>
    <row r="779">
      <c r="A779" t="inlineStr">
        <is>
          <t>SUP-0078</t>
        </is>
      </c>
      <c r="B779" t="inlineStr">
        <is>
          <t>Metals Supplier 078</t>
        </is>
      </c>
      <c r="C779" t="inlineStr">
        <is>
          <t>Metals</t>
        </is>
      </c>
      <c r="D779" t="n">
        <v>2022</v>
      </c>
      <c r="E779" t="n">
        <v>25699910.98</v>
      </c>
      <c r="F779" t="n">
        <v>139725167.6</v>
      </c>
      <c r="G779" t="n">
        <v>22855.2851</v>
      </c>
      <c r="H779" t="n">
        <v>6027.5046</v>
      </c>
      <c r="I779" t="n">
        <v>2989.2684</v>
      </c>
      <c r="J779" t="n">
        <v>14210.0917</v>
      </c>
      <c r="K779" t="n">
        <v>2021</v>
      </c>
      <c r="L779" t="n">
        <v>2040</v>
      </c>
      <c r="M779" t="n">
        <v>0.2592</v>
      </c>
      <c r="N779" t="n">
        <v>0.1569</v>
      </c>
      <c r="O779" t="n">
        <v>2019</v>
      </c>
      <c r="P779" t="n">
        <v>2030</v>
      </c>
      <c r="Q779" t="n">
        <v>0.3852</v>
      </c>
      <c r="R779" t="n">
        <v>158.2904</v>
      </c>
      <c r="S779" t="n">
        <v>0.00100695</v>
      </c>
      <c r="T779" t="n">
        <v>0.00065008</v>
      </c>
      <c r="U779" t="n">
        <v>22855.2851</v>
      </c>
      <c r="V779" t="inlineStr">
        <is>
          <t>Provided Total Emissions</t>
        </is>
      </c>
      <c r="W779" t="b">
        <v>1</v>
      </c>
      <c r="X779" t="n">
        <v>25878.5254</v>
      </c>
      <c r="Y779" t="n">
        <v>90832.537</v>
      </c>
      <c r="Z779" t="n">
        <v>3023.2403</v>
      </c>
      <c r="AA779" t="n">
        <v>67977.2519</v>
      </c>
      <c r="AB779" t="n">
        <v>0.132278</v>
      </c>
      <c r="AC779" t="n">
        <v>2.974247</v>
      </c>
      <c r="AD779" t="inlineStr">
        <is>
          <t>High</t>
        </is>
      </c>
      <c r="AE779" t="inlineStr">
        <is>
          <t>None</t>
        </is>
      </c>
      <c r="AF779" t="n">
        <v>0.95</v>
      </c>
      <c r="AG779" t="inlineStr">
        <is>
          <t>Valid</t>
        </is>
      </c>
    </row>
    <row r="780">
      <c r="A780" t="inlineStr">
        <is>
          <t>SUP-0078</t>
        </is>
      </c>
      <c r="B780" t="inlineStr">
        <is>
          <t>Metals Supplier 078</t>
        </is>
      </c>
      <c r="C780" t="inlineStr">
        <is>
          <t>Metals</t>
        </is>
      </c>
      <c r="D780" t="n">
        <v>2023</v>
      </c>
      <c r="E780" t="n">
        <v>26323443.32</v>
      </c>
      <c r="F780" t="n">
        <v>222882264.63</v>
      </c>
      <c r="G780" t="n">
        <v>17552.6946</v>
      </c>
      <c r="H780" t="n">
        <v>1504.8651</v>
      </c>
      <c r="I780" t="n">
        <v>2293.0338</v>
      </c>
      <c r="J780" t="n">
        <v>14003.1307</v>
      </c>
      <c r="K780" t="n">
        <v>2021</v>
      </c>
      <c r="L780" t="n">
        <v>2040</v>
      </c>
      <c r="M780" t="n">
        <v>0.2592</v>
      </c>
      <c r="N780" t="n">
        <v>0.1569</v>
      </c>
      <c r="O780" t="n">
        <v>2019</v>
      </c>
      <c r="P780" t="n">
        <v>2030</v>
      </c>
      <c r="Q780" t="n">
        <v>0.3852</v>
      </c>
      <c r="R780" t="n">
        <v>158.2904</v>
      </c>
      <c r="S780" t="n">
        <v>0.00100695</v>
      </c>
      <c r="T780" t="n">
        <v>0.00065008</v>
      </c>
      <c r="U780" t="n">
        <v>17552.6946</v>
      </c>
      <c r="V780" t="inlineStr">
        <is>
          <t>Provided Total Emissions</t>
        </is>
      </c>
      <c r="W780" t="b">
        <v>1</v>
      </c>
      <c r="X780" t="n">
        <v>26506.3913</v>
      </c>
      <c r="Y780" t="n">
        <v>144891.3026</v>
      </c>
      <c r="Z780" t="n">
        <v>8953.6967</v>
      </c>
      <c r="AA780" t="n">
        <v>127338.608</v>
      </c>
      <c r="AB780" t="n">
        <v>0.510104</v>
      </c>
      <c r="AC780" t="n">
        <v>7.254647</v>
      </c>
      <c r="AD780" t="inlineStr">
        <is>
          <t>High</t>
        </is>
      </c>
      <c r="AE780" t="inlineStr">
        <is>
          <t>None</t>
        </is>
      </c>
      <c r="AF780" t="n">
        <v>0.95</v>
      </c>
      <c r="AG780" t="inlineStr">
        <is>
          <t>Valid</t>
        </is>
      </c>
    </row>
    <row r="781">
      <c r="A781" t="inlineStr">
        <is>
          <t>SUP-0078</t>
        </is>
      </c>
      <c r="B781" t="inlineStr">
        <is>
          <t>Metals Supplier 078</t>
        </is>
      </c>
      <c r="C781" t="inlineStr">
        <is>
          <t>Metals</t>
        </is>
      </c>
      <c r="D781" t="n">
        <v>2024</v>
      </c>
      <c r="E781" t="n">
        <v>24715249.31</v>
      </c>
      <c r="F781" t="n">
        <v>192905069.32</v>
      </c>
      <c r="G781" t="n">
        <v>19046.8071</v>
      </c>
      <c r="H781" t="n">
        <v>3454.5027</v>
      </c>
      <c r="I781" t="n">
        <v>1713.6012</v>
      </c>
      <c r="J781" t="n">
        <v>14283.8822</v>
      </c>
      <c r="K781" t="n">
        <v>2021</v>
      </c>
      <c r="L781" t="n">
        <v>2040</v>
      </c>
      <c r="M781" t="n">
        <v>0.2592</v>
      </c>
      <c r="N781" t="n">
        <v>0.1569</v>
      </c>
      <c r="O781" t="n">
        <v>2019</v>
      </c>
      <c r="P781" t="n">
        <v>2030</v>
      </c>
      <c r="Q781" t="n">
        <v>0.3852</v>
      </c>
      <c r="R781" t="n">
        <v>158.2904</v>
      </c>
      <c r="S781" t="n">
        <v>0.00100695</v>
      </c>
      <c r="T781" t="n">
        <v>0.00065008</v>
      </c>
      <c r="U781" t="n">
        <v>19046.8071</v>
      </c>
      <c r="V781" t="inlineStr">
        <is>
          <t>Provided Total Emissions</t>
        </is>
      </c>
      <c r="W781" t="b">
        <v>1</v>
      </c>
      <c r="X781" t="n">
        <v>24887.0203</v>
      </c>
      <c r="Y781" t="n">
        <v>125403.7275</v>
      </c>
      <c r="Z781" t="n">
        <v>5840.2132</v>
      </c>
      <c r="AA781" t="n">
        <v>106356.9204</v>
      </c>
      <c r="AB781" t="n">
        <v>0.306624</v>
      </c>
      <c r="AC781" t="n">
        <v>5.583976</v>
      </c>
      <c r="AD781" t="inlineStr">
        <is>
          <t>High</t>
        </is>
      </c>
      <c r="AE781" t="inlineStr">
        <is>
          <t>None</t>
        </is>
      </c>
      <c r="AF781" t="n">
        <v>0.95</v>
      </c>
      <c r="AG781" t="inlineStr">
        <is>
          <t>Valid</t>
        </is>
      </c>
    </row>
    <row r="782">
      <c r="A782" t="inlineStr">
        <is>
          <t>SUP-0079</t>
        </is>
      </c>
      <c r="B782" t="inlineStr">
        <is>
          <t>Logistics Supplier 079</t>
        </is>
      </c>
      <c r="C782" t="inlineStr">
        <is>
          <t>Logistics</t>
        </is>
      </c>
      <c r="D782" t="n">
        <v>2015</v>
      </c>
      <c r="E782" t="n">
        <v>10204100.99</v>
      </c>
      <c r="F782" t="n">
        <v>44560562.41</v>
      </c>
      <c r="G782" t="n">
        <v>3305.002</v>
      </c>
      <c r="H782" t="n">
        <v>632.474</v>
      </c>
      <c r="I782" t="n">
        <v>399.424</v>
      </c>
      <c r="J782" t="n">
        <v>2395.1132</v>
      </c>
      <c r="K782" t="inlineStr"/>
      <c r="L782" t="inlineStr"/>
      <c r="M782" t="inlineStr"/>
      <c r="N782" t="inlineStr"/>
      <c r="O782" t="n">
        <v>2019</v>
      </c>
      <c r="P782" t="n">
        <v>2040</v>
      </c>
      <c r="Q782" t="n">
        <v>0.4616</v>
      </c>
      <c r="R782" t="n">
        <v>591.6386</v>
      </c>
      <c r="S782" t="n">
        <v>0.00022349</v>
      </c>
      <c r="T782" t="n">
        <v>0.00047787</v>
      </c>
      <c r="U782" t="n">
        <v>3305.002</v>
      </c>
      <c r="V782" t="inlineStr">
        <is>
          <t>Provided Total Emissions</t>
        </is>
      </c>
      <c r="W782" t="b">
        <v>1</v>
      </c>
      <c r="X782" t="n">
        <v>2280.5145</v>
      </c>
      <c r="Y782" t="n">
        <v>21294.156</v>
      </c>
      <c r="Z782" t="n">
        <v>-1024.4875</v>
      </c>
      <c r="AA782" t="n">
        <v>17989.154</v>
      </c>
      <c r="AB782" t="n">
        <v>-0.309981</v>
      </c>
      <c r="AC782" t="n">
        <v>5.443008</v>
      </c>
      <c r="AD782" t="inlineStr">
        <is>
          <t>High</t>
        </is>
      </c>
      <c r="AE782" t="inlineStr">
        <is>
          <t>None</t>
        </is>
      </c>
      <c r="AF782" t="n">
        <v>0.95</v>
      </c>
      <c r="AG782" t="inlineStr">
        <is>
          <t>Valid</t>
        </is>
      </c>
    </row>
    <row r="783">
      <c r="A783" t="inlineStr">
        <is>
          <t>SUP-0079</t>
        </is>
      </c>
      <c r="B783" t="inlineStr">
        <is>
          <t>Logistics Supplier 079</t>
        </is>
      </c>
      <c r="C783" t="inlineStr">
        <is>
          <t>Logistics</t>
        </is>
      </c>
      <c r="D783" t="n">
        <v>2016</v>
      </c>
      <c r="E783" t="n">
        <v>13942105.02</v>
      </c>
      <c r="F783" t="n">
        <v>46593829.06</v>
      </c>
      <c r="G783" t="n">
        <v>4144.0119</v>
      </c>
      <c r="H783" t="n">
        <v>389.3573</v>
      </c>
      <c r="I783" t="n">
        <v>461.4578</v>
      </c>
      <c r="J783" t="n">
        <v>3401.2034</v>
      </c>
      <c r="K783" t="inlineStr"/>
      <c r="L783" t="inlineStr"/>
      <c r="M783" t="inlineStr"/>
      <c r="N783" t="inlineStr"/>
      <c r="O783" t="n">
        <v>2019</v>
      </c>
      <c r="P783" t="n">
        <v>2040</v>
      </c>
      <c r="Q783" t="n">
        <v>0.4616</v>
      </c>
      <c r="R783" t="n">
        <v>591.6386</v>
      </c>
      <c r="S783" t="n">
        <v>0.00022349</v>
      </c>
      <c r="T783" t="n">
        <v>0.00047787</v>
      </c>
      <c r="U783" t="n">
        <v>4144.0119</v>
      </c>
      <c r="V783" t="inlineStr">
        <is>
          <t>Provided Total Emissions</t>
        </is>
      </c>
      <c r="W783" t="b">
        <v>1</v>
      </c>
      <c r="X783" t="n">
        <v>3115.9211</v>
      </c>
      <c r="Y783" t="n">
        <v>22265.7931</v>
      </c>
      <c r="Z783" t="n">
        <v>-1028.0908</v>
      </c>
      <c r="AA783" t="n">
        <v>18121.7812</v>
      </c>
      <c r="AB783" t="n">
        <v>-0.248091</v>
      </c>
      <c r="AC783" t="n">
        <v>4.373004</v>
      </c>
      <c r="AD783" t="inlineStr">
        <is>
          <t>High</t>
        </is>
      </c>
      <c r="AE783" t="inlineStr">
        <is>
          <t>None</t>
        </is>
      </c>
      <c r="AF783" t="n">
        <v>0.95</v>
      </c>
      <c r="AG783" t="inlineStr">
        <is>
          <t>Valid</t>
        </is>
      </c>
    </row>
    <row r="784">
      <c r="A784" t="inlineStr">
        <is>
          <t>SUP-0079</t>
        </is>
      </c>
      <c r="B784" t="inlineStr">
        <is>
          <t>Logistics Supplier 079</t>
        </is>
      </c>
      <c r="C784" t="inlineStr">
        <is>
          <t>Logistics</t>
        </is>
      </c>
      <c r="D784" t="n">
        <v>2017</v>
      </c>
      <c r="E784" t="n">
        <v>12658776.24</v>
      </c>
      <c r="F784" t="n">
        <v>54166482.65</v>
      </c>
      <c r="G784" t="n">
        <v>3385.6007</v>
      </c>
      <c r="H784" t="n">
        <v>778.1777</v>
      </c>
      <c r="I784" t="n">
        <v>529.8683</v>
      </c>
      <c r="J784" t="n">
        <v>1935.2826</v>
      </c>
      <c r="K784" t="inlineStr"/>
      <c r="L784" t="inlineStr"/>
      <c r="M784" t="inlineStr"/>
      <c r="N784" t="inlineStr"/>
      <c r="O784" t="n">
        <v>2019</v>
      </c>
      <c r="P784" t="n">
        <v>2040</v>
      </c>
      <c r="Q784" t="n">
        <v>0.4616</v>
      </c>
      <c r="R784" t="n">
        <v>591.6386</v>
      </c>
      <c r="S784" t="n">
        <v>0.00022349</v>
      </c>
      <c r="T784" t="n">
        <v>0.00047787</v>
      </c>
      <c r="U784" t="n">
        <v>3385.6007</v>
      </c>
      <c r="V784" t="inlineStr">
        <is>
          <t>Provided Total Emissions</t>
        </is>
      </c>
      <c r="W784" t="b">
        <v>1</v>
      </c>
      <c r="X784" t="n">
        <v>2829.1099</v>
      </c>
      <c r="Y784" t="n">
        <v>25884.5371</v>
      </c>
      <c r="Z784" t="n">
        <v>-556.4908</v>
      </c>
      <c r="AA784" t="n">
        <v>22498.9364</v>
      </c>
      <c r="AB784" t="n">
        <v>-0.16437</v>
      </c>
      <c r="AC784" t="n">
        <v>6.645478</v>
      </c>
      <c r="AD784" t="inlineStr">
        <is>
          <t>High</t>
        </is>
      </c>
      <c r="AE784" t="inlineStr">
        <is>
          <t>None</t>
        </is>
      </c>
      <c r="AF784" t="n">
        <v>0.95</v>
      </c>
      <c r="AG784" t="inlineStr">
        <is>
          <t>Valid</t>
        </is>
      </c>
    </row>
    <row r="785">
      <c r="A785" t="inlineStr">
        <is>
          <t>SUP-0079</t>
        </is>
      </c>
      <c r="B785" t="inlineStr">
        <is>
          <t>Logistics Supplier 079</t>
        </is>
      </c>
      <c r="C785" t="inlineStr">
        <is>
          <t>Logistics</t>
        </is>
      </c>
      <c r="D785" t="n">
        <v>2018</v>
      </c>
      <c r="E785" t="n">
        <v>13683022.97</v>
      </c>
      <c r="F785" t="n">
        <v>54713001.31</v>
      </c>
      <c r="G785" t="n">
        <v>3606.0602</v>
      </c>
      <c r="H785" t="n">
        <v>591.3203999999999</v>
      </c>
      <c r="I785" t="n">
        <v>514.2639</v>
      </c>
      <c r="J785" t="n">
        <v>2878.632</v>
      </c>
      <c r="K785" t="inlineStr"/>
      <c r="L785" t="inlineStr"/>
      <c r="M785" t="inlineStr"/>
      <c r="N785" t="inlineStr"/>
      <c r="O785" t="n">
        <v>2019</v>
      </c>
      <c r="P785" t="n">
        <v>2040</v>
      </c>
      <c r="Q785" t="n">
        <v>0.4616</v>
      </c>
      <c r="R785" t="n">
        <v>591.6386</v>
      </c>
      <c r="S785" t="n">
        <v>0.00022349</v>
      </c>
      <c r="T785" t="n">
        <v>0.00047787</v>
      </c>
      <c r="U785" t="n">
        <v>3606.0602</v>
      </c>
      <c r="V785" t="inlineStr">
        <is>
          <t>Provided Total Emissions</t>
        </is>
      </c>
      <c r="W785" t="b">
        <v>1</v>
      </c>
      <c r="X785" t="n">
        <v>3058.0188</v>
      </c>
      <c r="Y785" t="n">
        <v>26145.7019</v>
      </c>
      <c r="Z785" t="n">
        <v>-548.0414</v>
      </c>
      <c r="AA785" t="n">
        <v>22539.6417</v>
      </c>
      <c r="AB785" t="n">
        <v>-0.151978</v>
      </c>
      <c r="AC785" t="n">
        <v>6.25049</v>
      </c>
      <c r="AD785" t="inlineStr">
        <is>
          <t>High</t>
        </is>
      </c>
      <c r="AE785" t="inlineStr">
        <is>
          <t>None</t>
        </is>
      </c>
      <c r="AF785" t="n">
        <v>0.95</v>
      </c>
      <c r="AG785" t="inlineStr">
        <is>
          <t>Valid</t>
        </is>
      </c>
    </row>
    <row r="786">
      <c r="A786" t="inlineStr">
        <is>
          <t>SUP-0079</t>
        </is>
      </c>
      <c r="B786" t="inlineStr">
        <is>
          <t>Logistics Supplier 079</t>
        </is>
      </c>
      <c r="C786" t="inlineStr">
        <is>
          <t>Logistics</t>
        </is>
      </c>
      <c r="D786" t="n">
        <v>2019</v>
      </c>
      <c r="E786" t="n">
        <v>12609242.15</v>
      </c>
      <c r="F786" t="n">
        <v>61646178.59</v>
      </c>
      <c r="G786" t="n">
        <v>3977.8503</v>
      </c>
      <c r="H786" t="n">
        <v>349.643</v>
      </c>
      <c r="I786" t="n">
        <v>248.6592</v>
      </c>
      <c r="J786" t="n">
        <v>3446.5296</v>
      </c>
      <c r="K786" t="inlineStr"/>
      <c r="L786" t="inlineStr"/>
      <c r="M786" t="inlineStr"/>
      <c r="N786" t="inlineStr"/>
      <c r="O786" t="n">
        <v>2019</v>
      </c>
      <c r="P786" t="n">
        <v>2040</v>
      </c>
      <c r="Q786" t="n">
        <v>0.4616</v>
      </c>
      <c r="R786" t="n">
        <v>591.6386</v>
      </c>
      <c r="S786" t="n">
        <v>0.00022349</v>
      </c>
      <c r="T786" t="n">
        <v>0.00047787</v>
      </c>
      <c r="U786" t="n">
        <v>3977.8503</v>
      </c>
      <c r="V786" t="inlineStr">
        <is>
          <t>Provided Total Emissions</t>
        </is>
      </c>
      <c r="W786" t="b">
        <v>1</v>
      </c>
      <c r="X786" t="n">
        <v>2818.0395</v>
      </c>
      <c r="Y786" t="n">
        <v>29458.8594</v>
      </c>
      <c r="Z786" t="n">
        <v>-1159.8108</v>
      </c>
      <c r="AA786" t="n">
        <v>25481.0091</v>
      </c>
      <c r="AB786" t="n">
        <v>-0.291567</v>
      </c>
      <c r="AC786" t="n">
        <v>6.405723</v>
      </c>
      <c r="AD786" t="inlineStr">
        <is>
          <t>High</t>
        </is>
      </c>
      <c r="AE786" t="inlineStr">
        <is>
          <t>None</t>
        </is>
      </c>
      <c r="AF786" t="n">
        <v>0.95</v>
      </c>
      <c r="AG786" t="inlineStr">
        <is>
          <t>Valid</t>
        </is>
      </c>
    </row>
    <row r="787">
      <c r="A787" t="inlineStr">
        <is>
          <t>SUP-0079</t>
        </is>
      </c>
      <c r="B787" t="inlineStr">
        <is>
          <t>Logistics Supplier 079</t>
        </is>
      </c>
      <c r="C787" t="inlineStr">
        <is>
          <t>Logistics</t>
        </is>
      </c>
      <c r="D787" t="n">
        <v>2020</v>
      </c>
      <c r="E787" t="n">
        <v>16035395.58</v>
      </c>
      <c r="F787" t="n">
        <v>60589357.34</v>
      </c>
      <c r="G787" t="n">
        <v>4432.1876</v>
      </c>
      <c r="H787" t="n">
        <v>641.759</v>
      </c>
      <c r="I787" t="n">
        <v>922.3392</v>
      </c>
      <c r="J787" t="n">
        <v>2793.7869</v>
      </c>
      <c r="K787" t="inlineStr"/>
      <c r="L787" t="inlineStr"/>
      <c r="M787" t="inlineStr"/>
      <c r="N787" t="inlineStr"/>
      <c r="O787" t="n">
        <v>2019</v>
      </c>
      <c r="P787" t="n">
        <v>2040</v>
      </c>
      <c r="Q787" t="n">
        <v>0.4616</v>
      </c>
      <c r="R787" t="n">
        <v>591.6386</v>
      </c>
      <c r="S787" t="n">
        <v>0.00022349</v>
      </c>
      <c r="T787" t="n">
        <v>0.00047787</v>
      </c>
      <c r="U787" t="n">
        <v>4432.1876</v>
      </c>
      <c r="V787" t="inlineStr">
        <is>
          <t>Provided Total Emissions</t>
        </is>
      </c>
      <c r="W787" t="b">
        <v>1</v>
      </c>
      <c r="X787" t="n">
        <v>3583.7506</v>
      </c>
      <c r="Y787" t="n">
        <v>28953.8362</v>
      </c>
      <c r="Z787" t="n">
        <v>-848.437</v>
      </c>
      <c r="AA787" t="n">
        <v>24521.6486</v>
      </c>
      <c r="AB787" t="n">
        <v>-0.191426</v>
      </c>
      <c r="AC787" t="n">
        <v>5.532629</v>
      </c>
      <c r="AD787" t="inlineStr">
        <is>
          <t>High</t>
        </is>
      </c>
      <c r="AE787" t="inlineStr">
        <is>
          <t>None</t>
        </is>
      </c>
      <c r="AF787" t="n">
        <v>0.95</v>
      </c>
      <c r="AG787" t="inlineStr">
        <is>
          <t>Valid</t>
        </is>
      </c>
    </row>
    <row r="788">
      <c r="A788" t="inlineStr">
        <is>
          <t>SUP-0079</t>
        </is>
      </c>
      <c r="B788" t="inlineStr">
        <is>
          <t>Logistics Supplier 079</t>
        </is>
      </c>
      <c r="C788" t="inlineStr">
        <is>
          <t>Logistics</t>
        </is>
      </c>
      <c r="D788" t="n">
        <v>2021</v>
      </c>
      <c r="E788" t="n">
        <v>15172679.16</v>
      </c>
      <c r="F788" t="n">
        <v>75912478.69</v>
      </c>
      <c r="G788" t="n">
        <v>4459.6911</v>
      </c>
      <c r="H788" t="n">
        <v>784.5813000000001</v>
      </c>
      <c r="I788" t="n">
        <v>786.7025</v>
      </c>
      <c r="J788" t="n">
        <v>2797.2736</v>
      </c>
      <c r="K788" t="inlineStr"/>
      <c r="L788" t="inlineStr"/>
      <c r="M788" t="inlineStr"/>
      <c r="N788" t="inlineStr"/>
      <c r="O788" t="n">
        <v>2019</v>
      </c>
      <c r="P788" t="n">
        <v>2040</v>
      </c>
      <c r="Q788" t="n">
        <v>0.4616</v>
      </c>
      <c r="R788" t="n">
        <v>591.6386</v>
      </c>
      <c r="S788" t="n">
        <v>0.00022349</v>
      </c>
      <c r="T788" t="n">
        <v>0.00047787</v>
      </c>
      <c r="U788" t="n">
        <v>4459.6911</v>
      </c>
      <c r="V788" t="inlineStr">
        <is>
          <t>Provided Total Emissions</t>
        </is>
      </c>
      <c r="W788" t="b">
        <v>1</v>
      </c>
      <c r="X788" t="n">
        <v>3390.9421</v>
      </c>
      <c r="Y788" t="n">
        <v>36276.2962</v>
      </c>
      <c r="Z788" t="n">
        <v>-1068.749</v>
      </c>
      <c r="AA788" t="n">
        <v>31816.6051</v>
      </c>
      <c r="AB788" t="n">
        <v>-0.239646</v>
      </c>
      <c r="AC788" t="n">
        <v>7.134262</v>
      </c>
      <c r="AD788" t="inlineStr">
        <is>
          <t>High</t>
        </is>
      </c>
      <c r="AE788" t="inlineStr">
        <is>
          <t>None</t>
        </is>
      </c>
      <c r="AF788" t="n">
        <v>0.95</v>
      </c>
      <c r="AG788" t="inlineStr">
        <is>
          <t>Valid</t>
        </is>
      </c>
    </row>
    <row r="789">
      <c r="A789" t="inlineStr">
        <is>
          <t>SUP-0079</t>
        </is>
      </c>
      <c r="B789" t="inlineStr">
        <is>
          <t>Logistics Supplier 079</t>
        </is>
      </c>
      <c r="C789" t="inlineStr">
        <is>
          <t>Logistics</t>
        </is>
      </c>
      <c r="D789" t="n">
        <v>2022</v>
      </c>
      <c r="E789" t="n">
        <v>17588346.65</v>
      </c>
      <c r="F789" t="n">
        <v>55684678.21</v>
      </c>
      <c r="G789" t="n">
        <v>4492.2205</v>
      </c>
      <c r="H789" t="n">
        <v>1203.1137</v>
      </c>
      <c r="I789" t="n">
        <v>652.0845</v>
      </c>
      <c r="J789" t="n">
        <v>3005.1577</v>
      </c>
      <c r="K789" t="inlineStr"/>
      <c r="L789" t="inlineStr"/>
      <c r="M789" t="inlineStr"/>
      <c r="N789" t="inlineStr"/>
      <c r="O789" t="n">
        <v>2019</v>
      </c>
      <c r="P789" t="n">
        <v>2040</v>
      </c>
      <c r="Q789" t="n">
        <v>0.4616</v>
      </c>
      <c r="R789" t="n">
        <v>591.6386</v>
      </c>
      <c r="S789" t="n">
        <v>0.00022349</v>
      </c>
      <c r="T789" t="n">
        <v>0.00047787</v>
      </c>
      <c r="U789" t="n">
        <v>4492.2205</v>
      </c>
      <c r="V789" t="inlineStr">
        <is>
          <t>Provided Total Emissions</t>
        </is>
      </c>
      <c r="W789" t="b">
        <v>1</v>
      </c>
      <c r="X789" t="n">
        <v>3930.8196</v>
      </c>
      <c r="Y789" t="n">
        <v>26610.0372</v>
      </c>
      <c r="Z789" t="n">
        <v>-561.4009</v>
      </c>
      <c r="AA789" t="n">
        <v>22117.8167</v>
      </c>
      <c r="AB789" t="n">
        <v>-0.124972</v>
      </c>
      <c r="AC789" t="n">
        <v>4.923582</v>
      </c>
      <c r="AD789" t="inlineStr">
        <is>
          <t>High</t>
        </is>
      </c>
      <c r="AE789" t="inlineStr">
        <is>
          <t>None</t>
        </is>
      </c>
      <c r="AF789" t="n">
        <v>0.95</v>
      </c>
      <c r="AG789" t="inlineStr">
        <is>
          <t>Valid</t>
        </is>
      </c>
    </row>
    <row r="790">
      <c r="A790" t="inlineStr">
        <is>
          <t>SUP-0079</t>
        </is>
      </c>
      <c r="B790" t="inlineStr">
        <is>
          <t>Logistics Supplier 079</t>
        </is>
      </c>
      <c r="C790" t="inlineStr">
        <is>
          <t>Logistics</t>
        </is>
      </c>
      <c r="D790" t="n">
        <v>2023</v>
      </c>
      <c r="E790" t="n">
        <v>15063765.25</v>
      </c>
      <c r="F790" t="n">
        <v>73113563.78</v>
      </c>
      <c r="G790" t="n">
        <v>3499.1923</v>
      </c>
      <c r="H790" t="n">
        <v>712.9805</v>
      </c>
      <c r="I790" t="n">
        <v>408.262</v>
      </c>
      <c r="J790" t="n">
        <v>2534.6706</v>
      </c>
      <c r="K790" t="inlineStr"/>
      <c r="L790" t="inlineStr"/>
      <c r="M790" t="inlineStr"/>
      <c r="N790" t="inlineStr"/>
      <c r="O790" t="n">
        <v>2019</v>
      </c>
      <c r="P790" t="n">
        <v>2040</v>
      </c>
      <c r="Q790" t="n">
        <v>0.4616</v>
      </c>
      <c r="R790" t="n">
        <v>591.6386</v>
      </c>
      <c r="S790" t="n">
        <v>0.00022349</v>
      </c>
      <c r="T790" t="n">
        <v>0.00047787</v>
      </c>
      <c r="U790" t="n">
        <v>3499.1923</v>
      </c>
      <c r="V790" t="inlineStr">
        <is>
          <t>Provided Total Emissions</t>
        </is>
      </c>
      <c r="W790" t="b">
        <v>1</v>
      </c>
      <c r="X790" t="n">
        <v>3366.6009</v>
      </c>
      <c r="Y790" t="n">
        <v>34938.7787</v>
      </c>
      <c r="Z790" t="n">
        <v>-132.5914</v>
      </c>
      <c r="AA790" t="n">
        <v>31439.5864</v>
      </c>
      <c r="AB790" t="n">
        <v>-0.037892</v>
      </c>
      <c r="AC790" t="n">
        <v>8.984812</v>
      </c>
      <c r="AD790" t="inlineStr">
        <is>
          <t>High</t>
        </is>
      </c>
      <c r="AE790" t="inlineStr">
        <is>
          <t>None</t>
        </is>
      </c>
      <c r="AF790" t="n">
        <v>0.95</v>
      </c>
      <c r="AG790" t="inlineStr">
        <is>
          <t>Valid</t>
        </is>
      </c>
    </row>
    <row r="791">
      <c r="A791" t="inlineStr">
        <is>
          <t>SUP-0079</t>
        </is>
      </c>
      <c r="B791" t="inlineStr">
        <is>
          <t>Logistics Supplier 079</t>
        </is>
      </c>
      <c r="C791" t="inlineStr">
        <is>
          <t>Logistics</t>
        </is>
      </c>
      <c r="D791" t="n">
        <v>2024</v>
      </c>
      <c r="E791" t="n">
        <v>15324883.31</v>
      </c>
      <c r="F791" t="n">
        <v>68962601.81</v>
      </c>
      <c r="G791" t="n">
        <v>4203.5841</v>
      </c>
      <c r="H791" t="n">
        <v>1014.8158</v>
      </c>
      <c r="I791" t="n">
        <v>798.4050999999999</v>
      </c>
      <c r="J791" t="n">
        <v>2183.0154</v>
      </c>
      <c r="K791" t="inlineStr"/>
      <c r="L791" t="inlineStr"/>
      <c r="M791" t="inlineStr"/>
      <c r="N791" t="inlineStr"/>
      <c r="O791" t="n">
        <v>2019</v>
      </c>
      <c r="P791" t="n">
        <v>2040</v>
      </c>
      <c r="Q791" t="n">
        <v>0.4616</v>
      </c>
      <c r="R791" t="n">
        <v>591.6386</v>
      </c>
      <c r="S791" t="n">
        <v>0.00022349</v>
      </c>
      <c r="T791" t="n">
        <v>0.00047787</v>
      </c>
      <c r="U791" t="n">
        <v>4203.5841</v>
      </c>
      <c r="V791" t="inlineStr">
        <is>
          <t>Provided Total Emissions</t>
        </is>
      </c>
      <c r="W791" t="b">
        <v>1</v>
      </c>
      <c r="X791" t="n">
        <v>3424.9582</v>
      </c>
      <c r="Y791" t="n">
        <v>32955.1585</v>
      </c>
      <c r="Z791" t="n">
        <v>-778.6259</v>
      </c>
      <c r="AA791" t="n">
        <v>28751.5744</v>
      </c>
      <c r="AB791" t="n">
        <v>-0.185229</v>
      </c>
      <c r="AC791" t="n">
        <v>6.839776</v>
      </c>
      <c r="AD791" t="inlineStr">
        <is>
          <t>High</t>
        </is>
      </c>
      <c r="AE791" t="inlineStr">
        <is>
          <t>None</t>
        </is>
      </c>
      <c r="AF791" t="n">
        <v>0.95</v>
      </c>
      <c r="AG791" t="inlineStr">
        <is>
          <t>Valid</t>
        </is>
      </c>
    </row>
    <row r="792">
      <c r="A792" t="inlineStr">
        <is>
          <t>SUP-0080</t>
        </is>
      </c>
      <c r="B792" t="inlineStr">
        <is>
          <t>Packaging Supplier 080</t>
        </is>
      </c>
      <c r="C792" t="inlineStr">
        <is>
          <t>Packaging</t>
        </is>
      </c>
      <c r="D792" t="n">
        <v>2015</v>
      </c>
      <c r="E792" t="n">
        <v>18527474.05</v>
      </c>
      <c r="F792" t="n">
        <v>129992713.02</v>
      </c>
      <c r="G792" t="n">
        <v>29407.4796</v>
      </c>
      <c r="H792" t="n">
        <v>6933.655</v>
      </c>
      <c r="I792" t="n">
        <v>3609.9139</v>
      </c>
      <c r="J792" t="n">
        <v>20393.2817</v>
      </c>
      <c r="K792" t="n">
        <v>2019</v>
      </c>
      <c r="L792" t="n">
        <v>2040</v>
      </c>
      <c r="M792" t="n">
        <v>0.6923</v>
      </c>
      <c r="N792" t="n">
        <v>0.3022</v>
      </c>
      <c r="O792" t="n">
        <v>2018</v>
      </c>
      <c r="P792" t="n">
        <v>2040</v>
      </c>
      <c r="Q792" t="n">
        <v>0.3112</v>
      </c>
      <c r="R792" t="n">
        <v>702.4188</v>
      </c>
      <c r="S792" t="n">
        <v>0.0010803</v>
      </c>
      <c r="T792" t="n">
        <v>0.00078946</v>
      </c>
      <c r="U792" t="n">
        <v>29407.4796</v>
      </c>
      <c r="V792" t="inlineStr">
        <is>
          <t>Provided Total Emissions</t>
        </is>
      </c>
      <c r="W792" t="b">
        <v>1</v>
      </c>
      <c r="X792" t="n">
        <v>20015.2302</v>
      </c>
      <c r="Y792" t="n">
        <v>102624.0472</v>
      </c>
      <c r="Z792" t="n">
        <v>-9392.249400000001</v>
      </c>
      <c r="AA792" t="n">
        <v>73216.56759999999</v>
      </c>
      <c r="AB792" t="n">
        <v>-0.319383</v>
      </c>
      <c r="AC792" t="n">
        <v>2.489726</v>
      </c>
      <c r="AD792" t="inlineStr">
        <is>
          <t>High</t>
        </is>
      </c>
      <c r="AE792" t="inlineStr">
        <is>
          <t>None</t>
        </is>
      </c>
      <c r="AF792" t="n">
        <v>0.95</v>
      </c>
      <c r="AG792" t="inlineStr">
        <is>
          <t>Valid</t>
        </is>
      </c>
    </row>
    <row r="793">
      <c r="A793" t="inlineStr">
        <is>
          <t>SUP-0080</t>
        </is>
      </c>
      <c r="B793" t="inlineStr">
        <is>
          <t>Packaging Supplier 080</t>
        </is>
      </c>
      <c r="C793" t="inlineStr">
        <is>
          <t>Packaging</t>
        </is>
      </c>
      <c r="D793" t="n">
        <v>2016</v>
      </c>
      <c r="E793" t="n">
        <v>21425904.69</v>
      </c>
      <c r="F793" t="n">
        <v>178955677.61</v>
      </c>
      <c r="G793" t="n">
        <v>34740.205</v>
      </c>
      <c r="H793" t="n">
        <v>3053.7954</v>
      </c>
      <c r="I793" t="n">
        <v>4034.3893</v>
      </c>
      <c r="J793" t="n">
        <v>25669.4216</v>
      </c>
      <c r="K793" t="n">
        <v>2019</v>
      </c>
      <c r="L793" t="n">
        <v>2040</v>
      </c>
      <c r="M793" t="n">
        <v>0.6923</v>
      </c>
      <c r="N793" t="n">
        <v>0.3022</v>
      </c>
      <c r="O793" t="n">
        <v>2018</v>
      </c>
      <c r="P793" t="n">
        <v>2040</v>
      </c>
      <c r="Q793" t="n">
        <v>0.3112</v>
      </c>
      <c r="R793" t="n">
        <v>702.4188</v>
      </c>
      <c r="S793" t="n">
        <v>0.0010803</v>
      </c>
      <c r="T793" t="n">
        <v>0.00078946</v>
      </c>
      <c r="U793" t="n">
        <v>34740.205</v>
      </c>
      <c r="V793" t="inlineStr">
        <is>
          <t>Provided Total Emissions</t>
        </is>
      </c>
      <c r="W793" t="b">
        <v>1</v>
      </c>
      <c r="X793" t="n">
        <v>23146.4048</v>
      </c>
      <c r="Y793" t="n">
        <v>141278.3492</v>
      </c>
      <c r="Z793" t="n">
        <v>-11593.8002</v>
      </c>
      <c r="AA793" t="n">
        <v>106538.1442</v>
      </c>
      <c r="AB793" t="n">
        <v>-0.333729</v>
      </c>
      <c r="AC793" t="n">
        <v>3.06671</v>
      </c>
      <c r="AD793" t="inlineStr">
        <is>
          <t>High</t>
        </is>
      </c>
      <c r="AE793" t="inlineStr">
        <is>
          <t>None</t>
        </is>
      </c>
      <c r="AF793" t="n">
        <v>0.95</v>
      </c>
      <c r="AG793" t="inlineStr">
        <is>
          <t>Valid</t>
        </is>
      </c>
    </row>
    <row r="794">
      <c r="A794" t="inlineStr">
        <is>
          <t>SUP-0080</t>
        </is>
      </c>
      <c r="B794" t="inlineStr">
        <is>
          <t>Packaging Supplier 080</t>
        </is>
      </c>
      <c r="C794" t="inlineStr">
        <is>
          <t>Packaging</t>
        </is>
      </c>
      <c r="D794" t="n">
        <v>2017</v>
      </c>
      <c r="E794" t="n">
        <v>20232444.26</v>
      </c>
      <c r="F794" t="n">
        <v>159931082.77</v>
      </c>
      <c r="G794" t="n">
        <v>24760.1313</v>
      </c>
      <c r="H794" t="n">
        <v>4252.3431</v>
      </c>
      <c r="I794" t="n">
        <v>2973.4077</v>
      </c>
      <c r="J794" t="n">
        <v>15510.0249</v>
      </c>
      <c r="K794" t="n">
        <v>2019</v>
      </c>
      <c r="L794" t="n">
        <v>2040</v>
      </c>
      <c r="M794" t="n">
        <v>0.6923</v>
      </c>
      <c r="N794" t="n">
        <v>0.3022</v>
      </c>
      <c r="O794" t="n">
        <v>2018</v>
      </c>
      <c r="P794" t="n">
        <v>2040</v>
      </c>
      <c r="Q794" t="n">
        <v>0.3112</v>
      </c>
      <c r="R794" t="n">
        <v>702.4188</v>
      </c>
      <c r="S794" t="n">
        <v>0.0010803</v>
      </c>
      <c r="T794" t="n">
        <v>0.00078946</v>
      </c>
      <c r="U794" t="n">
        <v>24760.1313</v>
      </c>
      <c r="V794" t="inlineStr">
        <is>
          <t>Provided Total Emissions</t>
        </is>
      </c>
      <c r="W794" t="b">
        <v>1</v>
      </c>
      <c r="X794" t="n">
        <v>21857.1095</v>
      </c>
      <c r="Y794" t="n">
        <v>126259.1926</v>
      </c>
      <c r="Z794" t="n">
        <v>-2903.0218</v>
      </c>
      <c r="AA794" t="n">
        <v>101499.0613</v>
      </c>
      <c r="AB794" t="n">
        <v>-0.117246</v>
      </c>
      <c r="AC794" t="n">
        <v>4.099294</v>
      </c>
      <c r="AD794" t="inlineStr">
        <is>
          <t>High</t>
        </is>
      </c>
      <c r="AE794" t="inlineStr">
        <is>
          <t>None</t>
        </is>
      </c>
      <c r="AF794" t="n">
        <v>0.95</v>
      </c>
      <c r="AG794" t="inlineStr">
        <is>
          <t>Valid</t>
        </is>
      </c>
    </row>
    <row r="795">
      <c r="A795" t="inlineStr">
        <is>
          <t>SUP-0080</t>
        </is>
      </c>
      <c r="B795" t="inlineStr">
        <is>
          <t>Packaging Supplier 080</t>
        </is>
      </c>
      <c r="C795" t="inlineStr">
        <is>
          <t>Packaging</t>
        </is>
      </c>
      <c r="D795" t="n">
        <v>2018</v>
      </c>
      <c r="E795" t="n">
        <v>25912714.61</v>
      </c>
      <c r="F795" t="n">
        <v>163131649.84</v>
      </c>
      <c r="G795" t="n">
        <v>32792.1116</v>
      </c>
      <c r="H795" t="n">
        <v>8690.4755</v>
      </c>
      <c r="I795" t="n">
        <v>3591.9316</v>
      </c>
      <c r="J795" t="n">
        <v>18902.7769</v>
      </c>
      <c r="K795" t="n">
        <v>2019</v>
      </c>
      <c r="L795" t="n">
        <v>2040</v>
      </c>
      <c r="M795" t="n">
        <v>0.6923</v>
      </c>
      <c r="N795" t="n">
        <v>0.3022</v>
      </c>
      <c r="O795" t="n">
        <v>2018</v>
      </c>
      <c r="P795" t="n">
        <v>2040</v>
      </c>
      <c r="Q795" t="n">
        <v>0.3112</v>
      </c>
      <c r="R795" t="n">
        <v>702.4188</v>
      </c>
      <c r="S795" t="n">
        <v>0.0010803</v>
      </c>
      <c r="T795" t="n">
        <v>0.00078946</v>
      </c>
      <c r="U795" t="n">
        <v>32792.1116</v>
      </c>
      <c r="V795" t="inlineStr">
        <is>
          <t>Provided Total Emissions</t>
        </is>
      </c>
      <c r="W795" t="b">
        <v>1</v>
      </c>
      <c r="X795" t="n">
        <v>27993.5056</v>
      </c>
      <c r="Y795" t="n">
        <v>128785.9123</v>
      </c>
      <c r="Z795" t="n">
        <v>-4798.606</v>
      </c>
      <c r="AA795" t="n">
        <v>95993.80070000001</v>
      </c>
      <c r="AB795" t="n">
        <v>-0.146334</v>
      </c>
      <c r="AC795" t="n">
        <v>2.927344</v>
      </c>
      <c r="AD795" t="inlineStr">
        <is>
          <t>High</t>
        </is>
      </c>
      <c r="AE795" t="inlineStr">
        <is>
          <t>None</t>
        </is>
      </c>
      <c r="AF795" t="n">
        <v>0.95</v>
      </c>
      <c r="AG795" t="inlineStr">
        <is>
          <t>Valid</t>
        </is>
      </c>
    </row>
    <row r="796">
      <c r="A796" t="inlineStr">
        <is>
          <t>SUP-0080</t>
        </is>
      </c>
      <c r="B796" t="inlineStr">
        <is>
          <t>Packaging Supplier 080</t>
        </is>
      </c>
      <c r="C796" t="inlineStr">
        <is>
          <t>Packaging</t>
        </is>
      </c>
      <c r="D796" t="n">
        <v>2019</v>
      </c>
      <c r="E796" t="n">
        <v>25644010</v>
      </c>
      <c r="F796" t="n">
        <v>189163696.6</v>
      </c>
      <c r="G796" t="n">
        <v>38285.5647</v>
      </c>
      <c r="H796" t="n">
        <v>6222.4078</v>
      </c>
      <c r="I796" t="n">
        <v>7769.3926</v>
      </c>
      <c r="J796" t="n">
        <v>22441.6123</v>
      </c>
      <c r="K796" t="n">
        <v>2019</v>
      </c>
      <c r="L796" t="n">
        <v>2040</v>
      </c>
      <c r="M796" t="n">
        <v>0.6923</v>
      </c>
      <c r="N796" t="n">
        <v>0.3022</v>
      </c>
      <c r="O796" t="n">
        <v>2018</v>
      </c>
      <c r="P796" t="n">
        <v>2040</v>
      </c>
      <c r="Q796" t="n">
        <v>0.3112</v>
      </c>
      <c r="R796" t="n">
        <v>702.4188</v>
      </c>
      <c r="S796" t="n">
        <v>0.0010803</v>
      </c>
      <c r="T796" t="n">
        <v>0.00078946</v>
      </c>
      <c r="U796" t="n">
        <v>38285.5647</v>
      </c>
      <c r="V796" t="inlineStr">
        <is>
          <t>Provided Total Emissions</t>
        </is>
      </c>
      <c r="W796" t="b">
        <v>1</v>
      </c>
      <c r="X796" t="n">
        <v>27703.224</v>
      </c>
      <c r="Y796" t="n">
        <v>149337.1719</v>
      </c>
      <c r="Z796" t="n">
        <v>-10582.3407</v>
      </c>
      <c r="AA796" t="n">
        <v>111051.6072</v>
      </c>
      <c r="AB796" t="n">
        <v>-0.276406</v>
      </c>
      <c r="AC796" t="n">
        <v>2.900613</v>
      </c>
      <c r="AD796" t="inlineStr">
        <is>
          <t>High</t>
        </is>
      </c>
      <c r="AE796" t="inlineStr">
        <is>
          <t>None</t>
        </is>
      </c>
      <c r="AF796" t="n">
        <v>0.95</v>
      </c>
      <c r="AG796" t="inlineStr">
        <is>
          <t>Valid</t>
        </is>
      </c>
    </row>
    <row r="797">
      <c r="A797" t="inlineStr">
        <is>
          <t>SUP-0080</t>
        </is>
      </c>
      <c r="B797" t="inlineStr">
        <is>
          <t>Packaging Supplier 080</t>
        </is>
      </c>
      <c r="C797" t="inlineStr">
        <is>
          <t>Packaging</t>
        </is>
      </c>
      <c r="D797" t="n">
        <v>2020</v>
      </c>
      <c r="E797" t="n">
        <v>24280117.03</v>
      </c>
      <c r="F797" t="n">
        <v>217821673.5</v>
      </c>
      <c r="G797" t="n">
        <v>22819.2577</v>
      </c>
      <c r="H797" t="n">
        <v>5726.3424</v>
      </c>
      <c r="I797" t="n">
        <v>3357.5654</v>
      </c>
      <c r="J797" t="n">
        <v>12735.5099</v>
      </c>
      <c r="K797" t="n">
        <v>2019</v>
      </c>
      <c r="L797" t="n">
        <v>2040</v>
      </c>
      <c r="M797" t="n">
        <v>0.6923</v>
      </c>
      <c r="N797" t="n">
        <v>0.3022</v>
      </c>
      <c r="O797" t="n">
        <v>2018</v>
      </c>
      <c r="P797" t="n">
        <v>2040</v>
      </c>
      <c r="Q797" t="n">
        <v>0.3112</v>
      </c>
      <c r="R797" t="n">
        <v>702.4188</v>
      </c>
      <c r="S797" t="n">
        <v>0.0010803</v>
      </c>
      <c r="T797" t="n">
        <v>0.00078946</v>
      </c>
      <c r="U797" t="n">
        <v>22819.2577</v>
      </c>
      <c r="V797" t="inlineStr">
        <is>
          <t>Provided Total Emissions</t>
        </is>
      </c>
      <c r="W797" t="b">
        <v>1</v>
      </c>
      <c r="X797" t="n">
        <v>26229.8104</v>
      </c>
      <c r="Y797" t="n">
        <v>171961.4984</v>
      </c>
      <c r="Z797" t="n">
        <v>3410.5527</v>
      </c>
      <c r="AA797" t="n">
        <v>149142.2407</v>
      </c>
      <c r="AB797" t="n">
        <v>0.149459</v>
      </c>
      <c r="AC797" t="n">
        <v>6.535806</v>
      </c>
      <c r="AD797" t="inlineStr">
        <is>
          <t>High</t>
        </is>
      </c>
      <c r="AE797" t="inlineStr">
        <is>
          <t>None</t>
        </is>
      </c>
      <c r="AF797" t="n">
        <v>0.95</v>
      </c>
      <c r="AG797" t="inlineStr">
        <is>
          <t>Valid</t>
        </is>
      </c>
    </row>
    <row r="798">
      <c r="A798" t="inlineStr">
        <is>
          <t>SUP-0080</t>
        </is>
      </c>
      <c r="B798" t="inlineStr">
        <is>
          <t>Packaging Supplier 080</t>
        </is>
      </c>
      <c r="C798" t="inlineStr">
        <is>
          <t>Packaging</t>
        </is>
      </c>
      <c r="D798" t="n">
        <v>2021</v>
      </c>
      <c r="E798" t="n">
        <v>24259801.81</v>
      </c>
      <c r="F798" t="n">
        <v>209792825.66</v>
      </c>
      <c r="G798" t="n">
        <v>30357.8644</v>
      </c>
      <c r="H798" t="n">
        <v>6400.621</v>
      </c>
      <c r="I798" t="n">
        <v>2289.6068</v>
      </c>
      <c r="J798" t="n">
        <v>22016.4491</v>
      </c>
      <c r="K798" t="n">
        <v>2019</v>
      </c>
      <c r="L798" t="n">
        <v>2040</v>
      </c>
      <c r="M798" t="n">
        <v>0.6923</v>
      </c>
      <c r="N798" t="n">
        <v>0.3022</v>
      </c>
      <c r="O798" t="n">
        <v>2018</v>
      </c>
      <c r="P798" t="n">
        <v>2040</v>
      </c>
      <c r="Q798" t="n">
        <v>0.3112</v>
      </c>
      <c r="R798" t="n">
        <v>702.4188</v>
      </c>
      <c r="S798" t="n">
        <v>0.0010803</v>
      </c>
      <c r="T798" t="n">
        <v>0.00078946</v>
      </c>
      <c r="U798" t="n">
        <v>30357.8644</v>
      </c>
      <c r="V798" t="inlineStr">
        <is>
          <t>Provided Total Emissions</t>
        </is>
      </c>
      <c r="W798" t="b">
        <v>1</v>
      </c>
      <c r="X798" t="n">
        <v>26207.8639</v>
      </c>
      <c r="Y798" t="n">
        <v>165623.0441</v>
      </c>
      <c r="Z798" t="n">
        <v>-4150.0005</v>
      </c>
      <c r="AA798" t="n">
        <v>135265.1797</v>
      </c>
      <c r="AB798" t="n">
        <v>-0.136703</v>
      </c>
      <c r="AC798" t="n">
        <v>4.455688</v>
      </c>
      <c r="AD798" t="inlineStr">
        <is>
          <t>High</t>
        </is>
      </c>
      <c r="AE798" t="inlineStr">
        <is>
          <t>None</t>
        </is>
      </c>
      <c r="AF798" t="n">
        <v>0.95</v>
      </c>
      <c r="AG798" t="inlineStr">
        <is>
          <t>Valid</t>
        </is>
      </c>
    </row>
    <row r="799">
      <c r="A799" t="inlineStr">
        <is>
          <t>SUP-0080</t>
        </is>
      </c>
      <c r="B799" t="inlineStr">
        <is>
          <t>Packaging Supplier 080</t>
        </is>
      </c>
      <c r="C799" t="inlineStr">
        <is>
          <t>Packaging</t>
        </is>
      </c>
      <c r="D799" t="n">
        <v>2022</v>
      </c>
      <c r="E799" t="n">
        <v>26639312.85</v>
      </c>
      <c r="F799" t="n">
        <v>158895710.93</v>
      </c>
      <c r="G799" t="n">
        <v>27568.9601</v>
      </c>
      <c r="H799" t="n">
        <v>3130.9643</v>
      </c>
      <c r="I799" t="n">
        <v>3468.3558</v>
      </c>
      <c r="J799" t="n">
        <v>20630.4644</v>
      </c>
      <c r="K799" t="n">
        <v>2019</v>
      </c>
      <c r="L799" t="n">
        <v>2040</v>
      </c>
      <c r="M799" t="n">
        <v>0.6923</v>
      </c>
      <c r="N799" t="n">
        <v>0.3022</v>
      </c>
      <c r="O799" t="n">
        <v>2018</v>
      </c>
      <c r="P799" t="n">
        <v>2040</v>
      </c>
      <c r="Q799" t="n">
        <v>0.3112</v>
      </c>
      <c r="R799" t="n">
        <v>702.4188</v>
      </c>
      <c r="S799" t="n">
        <v>0.0010803</v>
      </c>
      <c r="T799" t="n">
        <v>0.00078946</v>
      </c>
      <c r="U799" t="n">
        <v>27568.9601</v>
      </c>
      <c r="V799" t="inlineStr">
        <is>
          <t>Provided Total Emissions</t>
        </is>
      </c>
      <c r="W799" t="b">
        <v>1</v>
      </c>
      <c r="X799" t="n">
        <v>28778.4497</v>
      </c>
      <c r="Y799" t="n">
        <v>125441.808</v>
      </c>
      <c r="Z799" t="n">
        <v>1209.4896</v>
      </c>
      <c r="AA799" t="n">
        <v>97872.84789999999</v>
      </c>
      <c r="AB799" t="n">
        <v>0.043871</v>
      </c>
      <c r="AC799" t="n">
        <v>3.55011</v>
      </c>
      <c r="AD799" t="inlineStr">
        <is>
          <t>High</t>
        </is>
      </c>
      <c r="AE799" t="inlineStr">
        <is>
          <t>None</t>
        </is>
      </c>
      <c r="AF799" t="n">
        <v>0.95</v>
      </c>
      <c r="AG799" t="inlineStr">
        <is>
          <t>Valid</t>
        </is>
      </c>
    </row>
    <row r="800">
      <c r="A800" t="inlineStr">
        <is>
          <t>SUP-0080</t>
        </is>
      </c>
      <c r="B800" t="inlineStr">
        <is>
          <t>Packaging Supplier 080</t>
        </is>
      </c>
      <c r="C800" t="inlineStr">
        <is>
          <t>Packaging</t>
        </is>
      </c>
      <c r="D800" t="n">
        <v>2023</v>
      </c>
      <c r="E800" t="n">
        <v>28123847.98</v>
      </c>
      <c r="F800" t="n">
        <v>197768098.72</v>
      </c>
      <c r="G800" t="n">
        <v>37104.7175</v>
      </c>
      <c r="H800" t="n">
        <v>3307.3621</v>
      </c>
      <c r="I800" t="n">
        <v>4013.2071</v>
      </c>
      <c r="J800" t="n">
        <v>28203.1158</v>
      </c>
      <c r="K800" t="n">
        <v>2019</v>
      </c>
      <c r="L800" t="n">
        <v>2040</v>
      </c>
      <c r="M800" t="n">
        <v>0.6923</v>
      </c>
      <c r="N800" t="n">
        <v>0.3022</v>
      </c>
      <c r="O800" t="n">
        <v>2018</v>
      </c>
      <c r="P800" t="n">
        <v>2040</v>
      </c>
      <c r="Q800" t="n">
        <v>0.3112</v>
      </c>
      <c r="R800" t="n">
        <v>702.4188</v>
      </c>
      <c r="S800" t="n">
        <v>0.0010803</v>
      </c>
      <c r="T800" t="n">
        <v>0.00078946</v>
      </c>
      <c r="U800" t="n">
        <v>37104.7175</v>
      </c>
      <c r="V800" t="inlineStr">
        <is>
          <t>Provided Total Emissions</t>
        </is>
      </c>
      <c r="W800" t="b">
        <v>1</v>
      </c>
      <c r="X800" t="n">
        <v>30382.193</v>
      </c>
      <c r="Y800" t="n">
        <v>156130.0032</v>
      </c>
      <c r="Z800" t="n">
        <v>-6722.5245</v>
      </c>
      <c r="AA800" t="n">
        <v>119025.2857</v>
      </c>
      <c r="AB800" t="n">
        <v>-0.181177</v>
      </c>
      <c r="AC800" t="n">
        <v>3.207821</v>
      </c>
      <c r="AD800" t="inlineStr">
        <is>
          <t>High</t>
        </is>
      </c>
      <c r="AE800" t="inlineStr">
        <is>
          <t>None</t>
        </is>
      </c>
      <c r="AF800" t="n">
        <v>0.95</v>
      </c>
      <c r="AG800" t="inlineStr">
        <is>
          <t>Valid</t>
        </is>
      </c>
    </row>
    <row r="801">
      <c r="A801" t="inlineStr">
        <is>
          <t>SUP-0080</t>
        </is>
      </c>
      <c r="B801" t="inlineStr">
        <is>
          <t>Packaging Supplier 080</t>
        </is>
      </c>
      <c r="C801" t="inlineStr">
        <is>
          <t>Packaging</t>
        </is>
      </c>
      <c r="D801" t="n">
        <v>2024</v>
      </c>
      <c r="E801" t="n">
        <v>30381184.14</v>
      </c>
      <c r="F801" t="n">
        <v>132483784.12</v>
      </c>
      <c r="G801" t="n">
        <v>30742.1821</v>
      </c>
      <c r="H801" t="n">
        <v>4986.301</v>
      </c>
      <c r="I801" t="n">
        <v>3425.3642</v>
      </c>
      <c r="J801" t="n">
        <v>20712.7584</v>
      </c>
      <c r="K801" t="n">
        <v>2019</v>
      </c>
      <c r="L801" t="n">
        <v>2040</v>
      </c>
      <c r="M801" t="n">
        <v>0.6923</v>
      </c>
      <c r="N801" t="n">
        <v>0.3022</v>
      </c>
      <c r="O801" t="n">
        <v>2018</v>
      </c>
      <c r="P801" t="n">
        <v>2040</v>
      </c>
      <c r="Q801" t="n">
        <v>0.3112</v>
      </c>
      <c r="R801" t="n">
        <v>702.4188</v>
      </c>
      <c r="S801" t="n">
        <v>0.0010803</v>
      </c>
      <c r="T801" t="n">
        <v>0.00078946</v>
      </c>
      <c r="U801" t="n">
        <v>30742.1821</v>
      </c>
      <c r="V801" t="inlineStr">
        <is>
          <t>Provided Total Emissions</t>
        </is>
      </c>
      <c r="W801" t="b">
        <v>1</v>
      </c>
      <c r="X801" t="n">
        <v>32820.7932</v>
      </c>
      <c r="Y801" t="n">
        <v>104590.6482</v>
      </c>
      <c r="Z801" t="n">
        <v>2078.6111</v>
      </c>
      <c r="AA801" t="n">
        <v>73848.46610000001</v>
      </c>
      <c r="AB801" t="n">
        <v>0.06761399999999999</v>
      </c>
      <c r="AC801" t="n">
        <v>2.402187</v>
      </c>
      <c r="AD801" t="inlineStr">
        <is>
          <t>High</t>
        </is>
      </c>
      <c r="AE801" t="inlineStr">
        <is>
          <t>None</t>
        </is>
      </c>
      <c r="AF801" t="n">
        <v>0.95</v>
      </c>
      <c r="AG801" t="inlineStr">
        <is>
          <t>Valid</t>
        </is>
      </c>
    </row>
    <row r="802">
      <c r="A802" t="inlineStr">
        <is>
          <t>SUP-0081</t>
        </is>
      </c>
      <c r="B802" t="inlineStr">
        <is>
          <t>Textiles Supplier 081</t>
        </is>
      </c>
      <c r="C802" t="inlineStr">
        <is>
          <t>Textiles</t>
        </is>
      </c>
      <c r="D802" t="n">
        <v>2015</v>
      </c>
      <c r="E802" t="n">
        <v>8991749.289999999</v>
      </c>
      <c r="F802" t="n">
        <v>52629125.04</v>
      </c>
      <c r="G802" t="n">
        <v>2031.5668</v>
      </c>
      <c r="H802" t="n">
        <v>565.8856</v>
      </c>
      <c r="I802" t="n">
        <v>465.0766</v>
      </c>
      <c r="J802" t="n">
        <v>1058.0159</v>
      </c>
      <c r="K802" t="inlineStr"/>
      <c r="L802" t="inlineStr"/>
      <c r="M802" t="inlineStr"/>
      <c r="N802" t="inlineStr"/>
      <c r="O802" t="n">
        <v>2019</v>
      </c>
      <c r="P802" t="n">
        <v>2030</v>
      </c>
      <c r="Q802" t="n">
        <v>0.3171</v>
      </c>
      <c r="R802" t="n">
        <v>401.7335</v>
      </c>
      <c r="S802" t="n">
        <v>0.00029221</v>
      </c>
      <c r="T802" t="n">
        <v>0.00017343</v>
      </c>
      <c r="U802" t="n">
        <v>2031.5668</v>
      </c>
      <c r="V802" t="inlineStr">
        <is>
          <t>Provided Total Emissions</t>
        </is>
      </c>
      <c r="W802" t="b">
        <v>1</v>
      </c>
      <c r="X802" t="n">
        <v>2627.4791</v>
      </c>
      <c r="Y802" t="n">
        <v>9127.4692</v>
      </c>
      <c r="Z802" t="n">
        <v>595.9123</v>
      </c>
      <c r="AA802" t="n">
        <v>7095.9024</v>
      </c>
      <c r="AB802" t="n">
        <v>0.293326</v>
      </c>
      <c r="AC802" t="n">
        <v>3.492823</v>
      </c>
      <c r="AD802" t="inlineStr">
        <is>
          <t>High</t>
        </is>
      </c>
      <c r="AE802" t="inlineStr">
        <is>
          <t>None</t>
        </is>
      </c>
      <c r="AF802" t="n">
        <v>0.95</v>
      </c>
      <c r="AG802" t="inlineStr">
        <is>
          <t>Valid</t>
        </is>
      </c>
    </row>
    <row r="803">
      <c r="A803" t="inlineStr">
        <is>
          <t>SUP-0081</t>
        </is>
      </c>
      <c r="B803" t="inlineStr">
        <is>
          <t>Textiles Supplier 081</t>
        </is>
      </c>
      <c r="C803" t="inlineStr">
        <is>
          <t>Textiles</t>
        </is>
      </c>
      <c r="D803" t="n">
        <v>2016</v>
      </c>
      <c r="E803" t="n">
        <v>9020787.140000001</v>
      </c>
      <c r="F803" t="n">
        <v>55536410.95</v>
      </c>
      <c r="G803" t="n">
        <v>1658.1094</v>
      </c>
      <c r="H803" t="n">
        <v>366.6955</v>
      </c>
      <c r="I803" t="n">
        <v>375.5155</v>
      </c>
      <c r="J803" t="n">
        <v>908.8081</v>
      </c>
      <c r="K803" t="inlineStr"/>
      <c r="L803" t="inlineStr"/>
      <c r="M803" t="inlineStr"/>
      <c r="N803" t="inlineStr"/>
      <c r="O803" t="n">
        <v>2019</v>
      </c>
      <c r="P803" t="n">
        <v>2030</v>
      </c>
      <c r="Q803" t="n">
        <v>0.3171</v>
      </c>
      <c r="R803" t="n">
        <v>401.7335</v>
      </c>
      <c r="S803" t="n">
        <v>0.00029221</v>
      </c>
      <c r="T803" t="n">
        <v>0.00017343</v>
      </c>
      <c r="U803" t="n">
        <v>1658.1094</v>
      </c>
      <c r="V803" t="inlineStr">
        <is>
          <t>Provided Total Emissions</t>
        </is>
      </c>
      <c r="W803" t="b">
        <v>1</v>
      </c>
      <c r="X803" t="n">
        <v>2635.9642</v>
      </c>
      <c r="Y803" t="n">
        <v>9631.6798</v>
      </c>
      <c r="Z803" t="n">
        <v>977.8548</v>
      </c>
      <c r="AA803" t="n">
        <v>7973.5704</v>
      </c>
      <c r="AB803" t="n">
        <v>0.589741</v>
      </c>
      <c r="AC803" t="n">
        <v>4.808832</v>
      </c>
      <c r="AD803" t="inlineStr">
        <is>
          <t>High</t>
        </is>
      </c>
      <c r="AE803" t="inlineStr">
        <is>
          <t>None</t>
        </is>
      </c>
      <c r="AF803" t="n">
        <v>0.95</v>
      </c>
      <c r="AG803" t="inlineStr">
        <is>
          <t>Valid</t>
        </is>
      </c>
    </row>
    <row r="804">
      <c r="A804" t="inlineStr">
        <is>
          <t>SUP-0081</t>
        </is>
      </c>
      <c r="B804" t="inlineStr">
        <is>
          <t>Textiles Supplier 081</t>
        </is>
      </c>
      <c r="C804" t="inlineStr">
        <is>
          <t>Textiles</t>
        </is>
      </c>
      <c r="D804" t="n">
        <v>2017</v>
      </c>
      <c r="E804" t="n">
        <v>9344227.970000001</v>
      </c>
      <c r="F804" t="n">
        <v>51635285.21</v>
      </c>
      <c r="G804" t="n">
        <v>1870.0071</v>
      </c>
      <c r="H804" t="n">
        <v>368.2946</v>
      </c>
      <c r="I804" t="n">
        <v>177.8824</v>
      </c>
      <c r="J804" t="n">
        <v>1488.8102</v>
      </c>
      <c r="K804" t="inlineStr"/>
      <c r="L804" t="inlineStr"/>
      <c r="M804" t="inlineStr"/>
      <c r="N804" t="inlineStr"/>
      <c r="O804" t="n">
        <v>2019</v>
      </c>
      <c r="P804" t="n">
        <v>2030</v>
      </c>
      <c r="Q804" t="n">
        <v>0.3171</v>
      </c>
      <c r="R804" t="n">
        <v>401.7335</v>
      </c>
      <c r="S804" t="n">
        <v>0.00029221</v>
      </c>
      <c r="T804" t="n">
        <v>0.00017343</v>
      </c>
      <c r="U804" t="n">
        <v>1870.0071</v>
      </c>
      <c r="V804" t="inlineStr">
        <is>
          <t>Provided Total Emissions</t>
        </is>
      </c>
      <c r="W804" t="b">
        <v>1</v>
      </c>
      <c r="X804" t="n">
        <v>2730.4769</v>
      </c>
      <c r="Y804" t="n">
        <v>8955.1075</v>
      </c>
      <c r="Z804" t="n">
        <v>860.4698</v>
      </c>
      <c r="AA804" t="n">
        <v>7085.1004</v>
      </c>
      <c r="AB804" t="n">
        <v>0.460143</v>
      </c>
      <c r="AC804" t="n">
        <v>3.788809</v>
      </c>
      <c r="AD804" t="inlineStr">
        <is>
          <t>High</t>
        </is>
      </c>
      <c r="AE804" t="inlineStr">
        <is>
          <t>None</t>
        </is>
      </c>
      <c r="AF804" t="n">
        <v>0.95</v>
      </c>
      <c r="AG804" t="inlineStr">
        <is>
          <t>Valid</t>
        </is>
      </c>
    </row>
    <row r="805">
      <c r="A805" t="inlineStr">
        <is>
          <t>SUP-0081</t>
        </is>
      </c>
      <c r="B805" t="inlineStr">
        <is>
          <t>Textiles Supplier 081</t>
        </is>
      </c>
      <c r="C805" t="inlineStr">
        <is>
          <t>Textiles</t>
        </is>
      </c>
      <c r="D805" t="n">
        <v>2018</v>
      </c>
      <c r="E805" t="n">
        <v>8857705.76</v>
      </c>
      <c r="F805" t="n">
        <v>53744392.3</v>
      </c>
      <c r="G805" t="n">
        <v>1188.7375</v>
      </c>
      <c r="H805" t="n">
        <v>109.0504</v>
      </c>
      <c r="I805" t="n">
        <v>254.2311</v>
      </c>
      <c r="J805" t="n">
        <v>868.5311</v>
      </c>
      <c r="K805" t="inlineStr"/>
      <c r="L805" t="inlineStr"/>
      <c r="M805" t="inlineStr"/>
      <c r="N805" t="inlineStr"/>
      <c r="O805" t="n">
        <v>2019</v>
      </c>
      <c r="P805" t="n">
        <v>2030</v>
      </c>
      <c r="Q805" t="n">
        <v>0.3171</v>
      </c>
      <c r="R805" t="n">
        <v>401.7335</v>
      </c>
      <c r="S805" t="n">
        <v>0.00029221</v>
      </c>
      <c r="T805" t="n">
        <v>0.00017343</v>
      </c>
      <c r="U805" t="n">
        <v>1188.7375</v>
      </c>
      <c r="V805" t="inlineStr">
        <is>
          <t>Provided Total Emissions</t>
        </is>
      </c>
      <c r="W805" t="b">
        <v>1</v>
      </c>
      <c r="X805" t="n">
        <v>2588.3102</v>
      </c>
      <c r="Y805" t="n">
        <v>9320.889999999999</v>
      </c>
      <c r="Z805" t="n">
        <v>1399.5727</v>
      </c>
      <c r="AA805" t="n">
        <v>8132.1525</v>
      </c>
      <c r="AB805" t="n">
        <v>1.177361</v>
      </c>
      <c r="AC805" t="n">
        <v>6.840999</v>
      </c>
      <c r="AD805" t="inlineStr">
        <is>
          <t>High</t>
        </is>
      </c>
      <c r="AE805" t="inlineStr">
        <is>
          <t>None</t>
        </is>
      </c>
      <c r="AF805" t="n">
        <v>0.95</v>
      </c>
      <c r="AG805" t="inlineStr">
        <is>
          <t>Valid</t>
        </is>
      </c>
    </row>
    <row r="806">
      <c r="A806" t="inlineStr">
        <is>
          <t>SUP-0081</t>
        </is>
      </c>
      <c r="B806" t="inlineStr">
        <is>
          <t>Textiles Supplier 081</t>
        </is>
      </c>
      <c r="C806" t="inlineStr">
        <is>
          <t>Textiles</t>
        </is>
      </c>
      <c r="D806" t="n">
        <v>2019</v>
      </c>
      <c r="E806" t="n">
        <v>9685779.609999999</v>
      </c>
      <c r="F806" t="n">
        <v>58865744.8</v>
      </c>
      <c r="G806" t="n">
        <v>1721.9769</v>
      </c>
      <c r="H806" t="n">
        <v>148.7091</v>
      </c>
      <c r="I806" t="n">
        <v>342.2108</v>
      </c>
      <c r="J806" t="n">
        <v>1325.9048</v>
      </c>
      <c r="K806" t="inlineStr"/>
      <c r="L806" t="inlineStr"/>
      <c r="M806" t="inlineStr"/>
      <c r="N806" t="inlineStr"/>
      <c r="O806" t="n">
        <v>2019</v>
      </c>
      <c r="P806" t="n">
        <v>2030</v>
      </c>
      <c r="Q806" t="n">
        <v>0.3171</v>
      </c>
      <c r="R806" t="n">
        <v>401.7335</v>
      </c>
      <c r="S806" t="n">
        <v>0.00029221</v>
      </c>
      <c r="T806" t="n">
        <v>0.00017343</v>
      </c>
      <c r="U806" t="n">
        <v>1721.9769</v>
      </c>
      <c r="V806" t="inlineStr">
        <is>
          <t>Provided Total Emissions</t>
        </is>
      </c>
      <c r="W806" t="b">
        <v>1</v>
      </c>
      <c r="X806" t="n">
        <v>2830.2817</v>
      </c>
      <c r="Y806" t="n">
        <v>10209.0861</v>
      </c>
      <c r="Z806" t="n">
        <v>1108.3048</v>
      </c>
      <c r="AA806" t="n">
        <v>8487.109200000001</v>
      </c>
      <c r="AB806" t="n">
        <v>0.6436229999999999</v>
      </c>
      <c r="AC806" t="n">
        <v>4.928701</v>
      </c>
      <c r="AD806" t="inlineStr">
        <is>
          <t>High</t>
        </is>
      </c>
      <c r="AE806" t="inlineStr">
        <is>
          <t>None</t>
        </is>
      </c>
      <c r="AF806" t="n">
        <v>0.95</v>
      </c>
      <c r="AG806" t="inlineStr">
        <is>
          <t>Valid</t>
        </is>
      </c>
    </row>
    <row r="807">
      <c r="A807" t="inlineStr">
        <is>
          <t>SUP-0081</t>
        </is>
      </c>
      <c r="B807" t="inlineStr">
        <is>
          <t>Textiles Supplier 081</t>
        </is>
      </c>
      <c r="C807" t="inlineStr">
        <is>
          <t>Textiles</t>
        </is>
      </c>
      <c r="D807" t="n">
        <v>2020</v>
      </c>
      <c r="E807" t="n">
        <v>8225981.68</v>
      </c>
      <c r="F807" t="n">
        <v>47777683.28</v>
      </c>
      <c r="G807" t="n">
        <v>1508.6315</v>
      </c>
      <c r="H807" t="n">
        <v>141.1107</v>
      </c>
      <c r="I807" t="n">
        <v>287.2845</v>
      </c>
      <c r="J807" t="n">
        <v>1067.0902</v>
      </c>
      <c r="K807" t="inlineStr"/>
      <c r="L807" t="inlineStr"/>
      <c r="M807" t="inlineStr"/>
      <c r="N807" t="inlineStr"/>
      <c r="O807" t="n">
        <v>2019</v>
      </c>
      <c r="P807" t="n">
        <v>2030</v>
      </c>
      <c r="Q807" t="n">
        <v>0.3171</v>
      </c>
      <c r="R807" t="n">
        <v>401.7335</v>
      </c>
      <c r="S807" t="n">
        <v>0.00029221</v>
      </c>
      <c r="T807" t="n">
        <v>0.00017343</v>
      </c>
      <c r="U807" t="n">
        <v>1508.6315</v>
      </c>
      <c r="V807" t="inlineStr">
        <is>
          <t>Provided Total Emissions</t>
        </is>
      </c>
      <c r="W807" t="b">
        <v>1</v>
      </c>
      <c r="X807" t="n">
        <v>2403.7141</v>
      </c>
      <c r="Y807" t="n">
        <v>8286.0836</v>
      </c>
      <c r="Z807" t="n">
        <v>895.0826</v>
      </c>
      <c r="AA807" t="n">
        <v>6777.4521</v>
      </c>
      <c r="AB807" t="n">
        <v>0.5933079999999999</v>
      </c>
      <c r="AC807" t="n">
        <v>4.49245</v>
      </c>
      <c r="AD807" t="inlineStr">
        <is>
          <t>High</t>
        </is>
      </c>
      <c r="AE807" t="inlineStr">
        <is>
          <t>None</t>
        </is>
      </c>
      <c r="AF807" t="n">
        <v>0.95</v>
      </c>
      <c r="AG807" t="inlineStr">
        <is>
          <t>Valid</t>
        </is>
      </c>
    </row>
    <row r="808">
      <c r="A808" t="inlineStr">
        <is>
          <t>SUP-0081</t>
        </is>
      </c>
      <c r="B808" t="inlineStr">
        <is>
          <t>Textiles Supplier 081</t>
        </is>
      </c>
      <c r="C808" t="inlineStr">
        <is>
          <t>Textiles</t>
        </is>
      </c>
      <c r="D808" t="n">
        <v>2021</v>
      </c>
      <c r="E808" t="n">
        <v>8975499.58</v>
      </c>
      <c r="F808" t="n">
        <v>50554518.77</v>
      </c>
      <c r="G808" t="n">
        <v>1840.9117</v>
      </c>
      <c r="H808" t="n">
        <v>202.3816</v>
      </c>
      <c r="I808" t="n">
        <v>199.6633</v>
      </c>
      <c r="J808" t="n">
        <v>1517.3505</v>
      </c>
      <c r="K808" t="inlineStr"/>
      <c r="L808" t="inlineStr"/>
      <c r="M808" t="inlineStr"/>
      <c r="N808" t="inlineStr"/>
      <c r="O808" t="n">
        <v>2019</v>
      </c>
      <c r="P808" t="n">
        <v>2030</v>
      </c>
      <c r="Q808" t="n">
        <v>0.3171</v>
      </c>
      <c r="R808" t="n">
        <v>401.7335</v>
      </c>
      <c r="S808" t="n">
        <v>0.00029221</v>
      </c>
      <c r="T808" t="n">
        <v>0.00017343</v>
      </c>
      <c r="U808" t="n">
        <v>1840.9117</v>
      </c>
      <c r="V808" t="inlineStr">
        <is>
          <t>Provided Total Emissions</t>
        </is>
      </c>
      <c r="W808" t="b">
        <v>1</v>
      </c>
      <c r="X808" t="n">
        <v>2622.7307</v>
      </c>
      <c r="Y808" t="n">
        <v>8767.6702</v>
      </c>
      <c r="Z808" t="n">
        <v>781.819</v>
      </c>
      <c r="AA808" t="n">
        <v>6926.7585</v>
      </c>
      <c r="AB808" t="n">
        <v>0.424691</v>
      </c>
      <c r="AC808" t="n">
        <v>3.762678</v>
      </c>
      <c r="AD808" t="inlineStr">
        <is>
          <t>High</t>
        </is>
      </c>
      <c r="AE808" t="inlineStr">
        <is>
          <t>None</t>
        </is>
      </c>
      <c r="AF808" t="n">
        <v>0.95</v>
      </c>
      <c r="AG808" t="inlineStr">
        <is>
          <t>Valid</t>
        </is>
      </c>
    </row>
    <row r="809">
      <c r="A809" t="inlineStr">
        <is>
          <t>SUP-0081</t>
        </is>
      </c>
      <c r="B809" t="inlineStr">
        <is>
          <t>Textiles Supplier 081</t>
        </is>
      </c>
      <c r="C809" t="inlineStr">
        <is>
          <t>Textiles</t>
        </is>
      </c>
      <c r="D809" t="n">
        <v>2022</v>
      </c>
      <c r="E809" t="n">
        <v>9821338.35</v>
      </c>
      <c r="F809" t="n">
        <v>54632387.28</v>
      </c>
      <c r="G809" t="n">
        <v>2732.0682</v>
      </c>
      <c r="H809" t="n">
        <v>526.6156999999999</v>
      </c>
      <c r="I809" t="n">
        <v>369.0755</v>
      </c>
      <c r="J809" t="n">
        <v>1650.4048</v>
      </c>
      <c r="K809" t="inlineStr"/>
      <c r="L809" t="inlineStr"/>
      <c r="M809" t="inlineStr"/>
      <c r="N809" t="inlineStr"/>
      <c r="O809" t="n">
        <v>2019</v>
      </c>
      <c r="P809" t="n">
        <v>2030</v>
      </c>
      <c r="Q809" t="n">
        <v>0.3171</v>
      </c>
      <c r="R809" t="n">
        <v>401.7335</v>
      </c>
      <c r="S809" t="n">
        <v>0.00029221</v>
      </c>
      <c r="T809" t="n">
        <v>0.00017343</v>
      </c>
      <c r="U809" t="n">
        <v>2732.0682</v>
      </c>
      <c r="V809" t="inlineStr">
        <is>
          <t>Provided Total Emissions</t>
        </is>
      </c>
      <c r="W809" t="b">
        <v>1</v>
      </c>
      <c r="X809" t="n">
        <v>2869.8933</v>
      </c>
      <c r="Y809" t="n">
        <v>9474.894899999999</v>
      </c>
      <c r="Z809" t="n">
        <v>137.8251</v>
      </c>
      <c r="AA809" t="n">
        <v>6742.8267</v>
      </c>
      <c r="AB809" t="n">
        <v>0.050447</v>
      </c>
      <c r="AC809" t="n">
        <v>2.46803</v>
      </c>
      <c r="AD809" t="inlineStr">
        <is>
          <t>High</t>
        </is>
      </c>
      <c r="AE809" t="inlineStr">
        <is>
          <t>None</t>
        </is>
      </c>
      <c r="AF809" t="n">
        <v>0.95</v>
      </c>
      <c r="AG809" t="inlineStr">
        <is>
          <t>Valid</t>
        </is>
      </c>
    </row>
    <row r="810">
      <c r="A810" t="inlineStr">
        <is>
          <t>SUP-0081</t>
        </is>
      </c>
      <c r="B810" t="inlineStr">
        <is>
          <t>Textiles Supplier 081</t>
        </is>
      </c>
      <c r="C810" t="inlineStr">
        <is>
          <t>Textiles</t>
        </is>
      </c>
      <c r="D810" t="n">
        <v>2023</v>
      </c>
      <c r="E810" t="n">
        <v>8795059.99</v>
      </c>
      <c r="F810" t="n">
        <v>46993349.26</v>
      </c>
      <c r="G810" t="n">
        <v>2327.0328</v>
      </c>
      <c r="H810" t="n">
        <v>250.0503</v>
      </c>
      <c r="I810" t="n">
        <v>297.6002</v>
      </c>
      <c r="J810" t="n">
        <v>1535.6233</v>
      </c>
      <c r="K810" t="inlineStr"/>
      <c r="L810" t="inlineStr"/>
      <c r="M810" t="inlineStr"/>
      <c r="N810" t="inlineStr"/>
      <c r="O810" t="n">
        <v>2019</v>
      </c>
      <c r="P810" t="n">
        <v>2030</v>
      </c>
      <c r="Q810" t="n">
        <v>0.3171</v>
      </c>
      <c r="R810" t="n">
        <v>401.7335</v>
      </c>
      <c r="S810" t="n">
        <v>0.00029221</v>
      </c>
      <c r="T810" t="n">
        <v>0.00017343</v>
      </c>
      <c r="U810" t="n">
        <v>2327.0328</v>
      </c>
      <c r="V810" t="inlineStr">
        <is>
          <t>Provided Total Emissions</t>
        </is>
      </c>
      <c r="W810" t="b">
        <v>1</v>
      </c>
      <c r="X810" t="n">
        <v>2570.0045</v>
      </c>
      <c r="Y810" t="n">
        <v>8150.0566</v>
      </c>
      <c r="Z810" t="n">
        <v>242.9717</v>
      </c>
      <c r="AA810" t="n">
        <v>5823.0238</v>
      </c>
      <c r="AB810" t="n">
        <v>0.104413</v>
      </c>
      <c r="AC810" t="n">
        <v>2.502338</v>
      </c>
      <c r="AD810" t="inlineStr">
        <is>
          <t>High</t>
        </is>
      </c>
      <c r="AE810" t="inlineStr">
        <is>
          <t>None</t>
        </is>
      </c>
      <c r="AF810" t="n">
        <v>0.95</v>
      </c>
      <c r="AG810" t="inlineStr">
        <is>
          <t>Valid</t>
        </is>
      </c>
    </row>
    <row r="811">
      <c r="A811" t="inlineStr">
        <is>
          <t>SUP-0081</t>
        </is>
      </c>
      <c r="B811" t="inlineStr">
        <is>
          <t>Textiles Supplier 081</t>
        </is>
      </c>
      <c r="C811" t="inlineStr">
        <is>
          <t>Textiles</t>
        </is>
      </c>
      <c r="D811" t="n">
        <v>2024</v>
      </c>
      <c r="E811" t="n">
        <v>8578168.279999999</v>
      </c>
      <c r="F811" t="n">
        <v>47650478.58</v>
      </c>
      <c r="G811" t="n">
        <v>1605.4681</v>
      </c>
      <c r="H811" t="n">
        <v>373.6896</v>
      </c>
      <c r="I811" t="n">
        <v>220.4625</v>
      </c>
      <c r="J811" t="n">
        <v>1125.1031</v>
      </c>
      <c r="K811" t="inlineStr"/>
      <c r="L811" t="inlineStr"/>
      <c r="M811" t="inlineStr"/>
      <c r="N811" t="inlineStr"/>
      <c r="O811" t="n">
        <v>2019</v>
      </c>
      <c r="P811" t="n">
        <v>2030</v>
      </c>
      <c r="Q811" t="n">
        <v>0.3171</v>
      </c>
      <c r="R811" t="n">
        <v>401.7335</v>
      </c>
      <c r="S811" t="n">
        <v>0.00029221</v>
      </c>
      <c r="T811" t="n">
        <v>0.00017343</v>
      </c>
      <c r="U811" t="n">
        <v>1605.4681</v>
      </c>
      <c r="V811" t="inlineStr">
        <is>
          <t>Provided Total Emissions</t>
        </is>
      </c>
      <c r="W811" t="b">
        <v>1</v>
      </c>
      <c r="X811" t="n">
        <v>2506.6266</v>
      </c>
      <c r="Y811" t="n">
        <v>8264.022499999999</v>
      </c>
      <c r="Z811" t="n">
        <v>901.1585</v>
      </c>
      <c r="AA811" t="n">
        <v>6658.5544</v>
      </c>
      <c r="AB811" t="n">
        <v>0.561306</v>
      </c>
      <c r="AC811" t="n">
        <v>4.147422</v>
      </c>
      <c r="AD811" t="inlineStr">
        <is>
          <t>High</t>
        </is>
      </c>
      <c r="AE811" t="inlineStr">
        <is>
          <t>None</t>
        </is>
      </c>
      <c r="AF811" t="n">
        <v>0.95</v>
      </c>
      <c r="AG811" t="inlineStr">
        <is>
          <t>Valid</t>
        </is>
      </c>
    </row>
    <row r="812">
      <c r="A812" t="inlineStr">
        <is>
          <t>SUP-0082</t>
        </is>
      </c>
      <c r="B812" t="inlineStr">
        <is>
          <t>Packaging Supplier 082</t>
        </is>
      </c>
      <c r="C812" t="inlineStr">
        <is>
          <t>Packaging</t>
        </is>
      </c>
      <c r="D812" t="n">
        <v>2015</v>
      </c>
      <c r="E812" t="n">
        <v>17949131.76</v>
      </c>
      <c r="F812" t="n">
        <v>154541827.04</v>
      </c>
      <c r="G812" t="n">
        <v>25142.4274</v>
      </c>
      <c r="H812" t="n">
        <v>6475.0274</v>
      </c>
      <c r="I812" t="n">
        <v>5525.7901</v>
      </c>
      <c r="J812" t="n">
        <v>11605.4849</v>
      </c>
      <c r="K812" t="n">
        <v>2018</v>
      </c>
      <c r="L812" t="n">
        <v>2030</v>
      </c>
      <c r="M812" t="n">
        <v>0.3671</v>
      </c>
      <c r="N812" t="n">
        <v>0.1475</v>
      </c>
      <c r="O812" t="n">
        <v>2018</v>
      </c>
      <c r="P812" t="n">
        <v>2040</v>
      </c>
      <c r="Q812" t="n">
        <v>0.3112</v>
      </c>
      <c r="R812" t="n">
        <v>702.4188</v>
      </c>
      <c r="S812" t="n">
        <v>0.0010803</v>
      </c>
      <c r="T812" t="n">
        <v>0.00078946</v>
      </c>
      <c r="U812" t="n">
        <v>25142.4274</v>
      </c>
      <c r="V812" t="inlineStr">
        <is>
          <t>Provided Total Emissions</t>
        </is>
      </c>
      <c r="W812" t="b">
        <v>1</v>
      </c>
      <c r="X812" t="n">
        <v>19390.447</v>
      </c>
      <c r="Y812" t="n">
        <v>122004.5908</v>
      </c>
      <c r="Z812" t="n">
        <v>-5751.9804</v>
      </c>
      <c r="AA812" t="n">
        <v>96862.1634</v>
      </c>
      <c r="AB812" t="n">
        <v>-0.228776</v>
      </c>
      <c r="AC812" t="n">
        <v>3.852538</v>
      </c>
      <c r="AD812" t="inlineStr">
        <is>
          <t>High</t>
        </is>
      </c>
      <c r="AE812" t="inlineStr">
        <is>
          <t>None</t>
        </is>
      </c>
      <c r="AF812" t="n">
        <v>0.95</v>
      </c>
      <c r="AG812" t="inlineStr">
        <is>
          <t>Valid</t>
        </is>
      </c>
    </row>
    <row r="813">
      <c r="A813" t="inlineStr">
        <is>
          <t>SUP-0082</t>
        </is>
      </c>
      <c r="B813" t="inlineStr">
        <is>
          <t>Packaging Supplier 082</t>
        </is>
      </c>
      <c r="C813" t="inlineStr">
        <is>
          <t>Packaging</t>
        </is>
      </c>
      <c r="D813" t="n">
        <v>2016</v>
      </c>
      <c r="E813" t="n">
        <v>18845123.39</v>
      </c>
      <c r="F813" t="n">
        <v>144422278.87</v>
      </c>
      <c r="G813" t="n">
        <v>20254.5195</v>
      </c>
      <c r="H813" t="n">
        <v>3231.7274</v>
      </c>
      <c r="I813" t="n">
        <v>3978.3942</v>
      </c>
      <c r="J813" t="n">
        <v>13012.1103</v>
      </c>
      <c r="K813" t="n">
        <v>2018</v>
      </c>
      <c r="L813" t="n">
        <v>2030</v>
      </c>
      <c r="M813" t="n">
        <v>0.3671</v>
      </c>
      <c r="N813" t="n">
        <v>0.1475</v>
      </c>
      <c r="O813" t="n">
        <v>2018</v>
      </c>
      <c r="P813" t="n">
        <v>2040</v>
      </c>
      <c r="Q813" t="n">
        <v>0.3112</v>
      </c>
      <c r="R813" t="n">
        <v>702.4188</v>
      </c>
      <c r="S813" t="n">
        <v>0.0010803</v>
      </c>
      <c r="T813" t="n">
        <v>0.00078946</v>
      </c>
      <c r="U813" t="n">
        <v>20254.5195</v>
      </c>
      <c r="V813" t="inlineStr">
        <is>
          <t>Provided Total Emissions</t>
        </is>
      </c>
      <c r="W813" t="b">
        <v>1</v>
      </c>
      <c r="X813" t="n">
        <v>20358.3868</v>
      </c>
      <c r="Y813" t="n">
        <v>114015.6123</v>
      </c>
      <c r="Z813" t="n">
        <v>103.8673</v>
      </c>
      <c r="AA813" t="n">
        <v>93761.0928</v>
      </c>
      <c r="AB813" t="n">
        <v>0.005128</v>
      </c>
      <c r="AC813" t="n">
        <v>4.629144</v>
      </c>
      <c r="AD813" t="inlineStr">
        <is>
          <t>High</t>
        </is>
      </c>
      <c r="AE813" t="inlineStr">
        <is>
          <t>None</t>
        </is>
      </c>
      <c r="AF813" t="n">
        <v>0.95</v>
      </c>
      <c r="AG813" t="inlineStr">
        <is>
          <t>Valid</t>
        </is>
      </c>
    </row>
    <row r="814">
      <c r="A814" t="inlineStr">
        <is>
          <t>SUP-0082</t>
        </is>
      </c>
      <c r="B814" t="inlineStr">
        <is>
          <t>Packaging Supplier 082</t>
        </is>
      </c>
      <c r="C814" t="inlineStr">
        <is>
          <t>Packaging</t>
        </is>
      </c>
      <c r="D814" t="n">
        <v>2017</v>
      </c>
      <c r="E814" t="n">
        <v>19938672.77</v>
      </c>
      <c r="F814" t="n">
        <v>171047577.49</v>
      </c>
      <c r="G814" t="n">
        <v>24327.9383</v>
      </c>
      <c r="H814" t="n">
        <v>5280.7735</v>
      </c>
      <c r="I814" t="n">
        <v>2673.806</v>
      </c>
      <c r="J814" t="n">
        <v>15090.3284</v>
      </c>
      <c r="K814" t="n">
        <v>2018</v>
      </c>
      <c r="L814" t="n">
        <v>2030</v>
      </c>
      <c r="M814" t="n">
        <v>0.3671</v>
      </c>
      <c r="N814" t="n">
        <v>0.1475</v>
      </c>
      <c r="O814" t="n">
        <v>2018</v>
      </c>
      <c r="P814" t="n">
        <v>2040</v>
      </c>
      <c r="Q814" t="n">
        <v>0.3112</v>
      </c>
      <c r="R814" t="n">
        <v>702.4188</v>
      </c>
      <c r="S814" t="n">
        <v>0.0010803</v>
      </c>
      <c r="T814" t="n">
        <v>0.00078946</v>
      </c>
      <c r="U814" t="n">
        <v>24327.9383</v>
      </c>
      <c r="V814" t="inlineStr">
        <is>
          <t>Provided Total Emissions</t>
        </is>
      </c>
      <c r="W814" t="b">
        <v>1</v>
      </c>
      <c r="X814" t="n">
        <v>21539.7482</v>
      </c>
      <c r="Y814" t="n">
        <v>135035.2205</v>
      </c>
      <c r="Z814" t="n">
        <v>-2788.1901</v>
      </c>
      <c r="AA814" t="n">
        <v>110707.2822</v>
      </c>
      <c r="AB814" t="n">
        <v>-0.114609</v>
      </c>
      <c r="AC814" t="n">
        <v>4.550623</v>
      </c>
      <c r="AD814" t="inlineStr">
        <is>
          <t>High</t>
        </is>
      </c>
      <c r="AE814" t="inlineStr">
        <is>
          <t>None</t>
        </is>
      </c>
      <c r="AF814" t="n">
        <v>0.95</v>
      </c>
      <c r="AG814" t="inlineStr">
        <is>
          <t>Valid</t>
        </is>
      </c>
    </row>
    <row r="815">
      <c r="A815" t="inlineStr">
        <is>
          <t>SUP-0082</t>
        </is>
      </c>
      <c r="B815" t="inlineStr">
        <is>
          <t>Packaging Supplier 082</t>
        </is>
      </c>
      <c r="C815" t="inlineStr">
        <is>
          <t>Packaging</t>
        </is>
      </c>
      <c r="D815" t="n">
        <v>2018</v>
      </c>
      <c r="E815" t="n">
        <v>20512339.99</v>
      </c>
      <c r="F815" t="n">
        <v>127759931.14</v>
      </c>
      <c r="G815" t="n">
        <v>24374.3341</v>
      </c>
      <c r="H815" t="n">
        <v>3147.0054</v>
      </c>
      <c r="I815" t="n">
        <v>3925.8172</v>
      </c>
      <c r="J815" t="n">
        <v>18475.9103</v>
      </c>
      <c r="K815" t="n">
        <v>2018</v>
      </c>
      <c r="L815" t="n">
        <v>2030</v>
      </c>
      <c r="M815" t="n">
        <v>0.3671</v>
      </c>
      <c r="N815" t="n">
        <v>0.1475</v>
      </c>
      <c r="O815" t="n">
        <v>2018</v>
      </c>
      <c r="P815" t="n">
        <v>2040</v>
      </c>
      <c r="Q815" t="n">
        <v>0.3112</v>
      </c>
      <c r="R815" t="n">
        <v>702.4188</v>
      </c>
      <c r="S815" t="n">
        <v>0.0010803</v>
      </c>
      <c r="T815" t="n">
        <v>0.00078946</v>
      </c>
      <c r="U815" t="n">
        <v>24374.3341</v>
      </c>
      <c r="V815" t="inlineStr">
        <is>
          <t>Provided Total Emissions</t>
        </is>
      </c>
      <c r="W815" t="b">
        <v>1</v>
      </c>
      <c r="X815" t="n">
        <v>22159.4809</v>
      </c>
      <c r="Y815" t="n">
        <v>100861.3552</v>
      </c>
      <c r="Z815" t="n">
        <v>-2214.8532</v>
      </c>
      <c r="AA815" t="n">
        <v>76487.0211</v>
      </c>
      <c r="AB815" t="n">
        <v>-0.090868</v>
      </c>
      <c r="AC815" t="n">
        <v>3.138015</v>
      </c>
      <c r="AD815" t="inlineStr">
        <is>
          <t>High</t>
        </is>
      </c>
      <c r="AE815" t="inlineStr">
        <is>
          <t>None</t>
        </is>
      </c>
      <c r="AF815" t="n">
        <v>0.95</v>
      </c>
      <c r="AG815" t="inlineStr">
        <is>
          <t>Valid</t>
        </is>
      </c>
    </row>
    <row r="816">
      <c r="A816" t="inlineStr">
        <is>
          <t>SUP-0082</t>
        </is>
      </c>
      <c r="B816" t="inlineStr">
        <is>
          <t>Packaging Supplier 082</t>
        </is>
      </c>
      <c r="C816" t="inlineStr">
        <is>
          <t>Packaging</t>
        </is>
      </c>
      <c r="D816" t="n">
        <v>2019</v>
      </c>
      <c r="E816" t="n">
        <v>20877925.45</v>
      </c>
      <c r="F816" t="n">
        <v>179261813.84</v>
      </c>
      <c r="G816" t="n">
        <v>28796.9816</v>
      </c>
      <c r="H816" t="n">
        <v>6421.9777</v>
      </c>
      <c r="I816" t="n">
        <v>3021.057</v>
      </c>
      <c r="J816" t="n">
        <v>19310.0091</v>
      </c>
      <c r="K816" t="n">
        <v>2018</v>
      </c>
      <c r="L816" t="n">
        <v>2030</v>
      </c>
      <c r="M816" t="n">
        <v>0.3671</v>
      </c>
      <c r="N816" t="n">
        <v>0.1475</v>
      </c>
      <c r="O816" t="n">
        <v>2018</v>
      </c>
      <c r="P816" t="n">
        <v>2040</v>
      </c>
      <c r="Q816" t="n">
        <v>0.3112</v>
      </c>
      <c r="R816" t="n">
        <v>702.4188</v>
      </c>
      <c r="S816" t="n">
        <v>0.0010803</v>
      </c>
      <c r="T816" t="n">
        <v>0.00078946</v>
      </c>
      <c r="U816" t="n">
        <v>28796.9816</v>
      </c>
      <c r="V816" t="inlineStr">
        <is>
          <t>Provided Total Emissions</t>
        </is>
      </c>
      <c r="W816" t="b">
        <v>1</v>
      </c>
      <c r="X816" t="n">
        <v>22554.4229</v>
      </c>
      <c r="Y816" t="n">
        <v>141520.0316</v>
      </c>
      <c r="Z816" t="n">
        <v>-6242.5587</v>
      </c>
      <c r="AA816" t="n">
        <v>112723.05</v>
      </c>
      <c r="AB816" t="n">
        <v>-0.216778</v>
      </c>
      <c r="AC816" t="n">
        <v>3.914405</v>
      </c>
      <c r="AD816" t="inlineStr">
        <is>
          <t>High</t>
        </is>
      </c>
      <c r="AE816" t="inlineStr">
        <is>
          <t>None</t>
        </is>
      </c>
      <c r="AF816" t="n">
        <v>0.95</v>
      </c>
      <c r="AG816" t="inlineStr">
        <is>
          <t>Valid</t>
        </is>
      </c>
    </row>
    <row r="817">
      <c r="A817" t="inlineStr">
        <is>
          <t>SUP-0082</t>
        </is>
      </c>
      <c r="B817" t="inlineStr">
        <is>
          <t>Packaging Supplier 082</t>
        </is>
      </c>
      <c r="C817" t="inlineStr">
        <is>
          <t>Packaging</t>
        </is>
      </c>
      <c r="D817" t="n">
        <v>2020</v>
      </c>
      <c r="E817" t="n">
        <v>25039202.96</v>
      </c>
      <c r="F817" t="n">
        <v>158426906.13</v>
      </c>
      <c r="G817" t="n">
        <v>24915.5579</v>
      </c>
      <c r="H817" t="n">
        <v>5527.103</v>
      </c>
      <c r="I817" t="n">
        <v>1782.0257</v>
      </c>
      <c r="J817" t="n">
        <v>19917.3412</v>
      </c>
      <c r="K817" t="n">
        <v>2018</v>
      </c>
      <c r="L817" t="n">
        <v>2030</v>
      </c>
      <c r="M817" t="n">
        <v>0.3671</v>
      </c>
      <c r="N817" t="n">
        <v>0.1475</v>
      </c>
      <c r="O817" t="n">
        <v>2018</v>
      </c>
      <c r="P817" t="n">
        <v>2040</v>
      </c>
      <c r="Q817" t="n">
        <v>0.3112</v>
      </c>
      <c r="R817" t="n">
        <v>702.4188</v>
      </c>
      <c r="S817" t="n">
        <v>0.0010803</v>
      </c>
      <c r="T817" t="n">
        <v>0.00078946</v>
      </c>
      <c r="U817" t="n">
        <v>24915.5579</v>
      </c>
      <c r="V817" t="inlineStr">
        <is>
          <t>Provided Total Emissions</t>
        </is>
      </c>
      <c r="W817" t="b">
        <v>1</v>
      </c>
      <c r="X817" t="n">
        <v>27049.851</v>
      </c>
      <c r="Y817" t="n">
        <v>125071.7053</v>
      </c>
      <c r="Z817" t="n">
        <v>2134.2931</v>
      </c>
      <c r="AA817" t="n">
        <v>100156.1474</v>
      </c>
      <c r="AB817" t="n">
        <v>0.085661</v>
      </c>
      <c r="AC817" t="n">
        <v>4.019824</v>
      </c>
      <c r="AD817" t="inlineStr">
        <is>
          <t>High</t>
        </is>
      </c>
      <c r="AE817" t="inlineStr">
        <is>
          <t>None</t>
        </is>
      </c>
      <c r="AF817" t="n">
        <v>0.95</v>
      </c>
      <c r="AG817" t="inlineStr">
        <is>
          <t>Valid</t>
        </is>
      </c>
    </row>
    <row r="818">
      <c r="A818" t="inlineStr">
        <is>
          <t>SUP-0082</t>
        </is>
      </c>
      <c r="B818" t="inlineStr">
        <is>
          <t>Packaging Supplier 082</t>
        </is>
      </c>
      <c r="C818" t="inlineStr">
        <is>
          <t>Packaging</t>
        </is>
      </c>
      <c r="D818" t="n">
        <v>2021</v>
      </c>
      <c r="E818" t="n">
        <v>25194013.78</v>
      </c>
      <c r="F818" t="n">
        <v>156491136.35</v>
      </c>
      <c r="G818" t="n">
        <v>33055.9905</v>
      </c>
      <c r="H818" t="n">
        <v>3156.6826</v>
      </c>
      <c r="I818" t="n">
        <v>2132.4755</v>
      </c>
      <c r="J818" t="n">
        <v>29074.4593</v>
      </c>
      <c r="K818" t="n">
        <v>2018</v>
      </c>
      <c r="L818" t="n">
        <v>2030</v>
      </c>
      <c r="M818" t="n">
        <v>0.3671</v>
      </c>
      <c r="N818" t="n">
        <v>0.1475</v>
      </c>
      <c r="O818" t="n">
        <v>2018</v>
      </c>
      <c r="P818" t="n">
        <v>2040</v>
      </c>
      <c r="Q818" t="n">
        <v>0.3112</v>
      </c>
      <c r="R818" t="n">
        <v>702.4188</v>
      </c>
      <c r="S818" t="n">
        <v>0.0010803</v>
      </c>
      <c r="T818" t="n">
        <v>0.00078946</v>
      </c>
      <c r="U818" t="n">
        <v>33055.9905</v>
      </c>
      <c r="V818" t="inlineStr">
        <is>
          <t>Provided Total Emissions</t>
        </is>
      </c>
      <c r="W818" t="b">
        <v>1</v>
      </c>
      <c r="X818" t="n">
        <v>27217.0931</v>
      </c>
      <c r="Y818" t="n">
        <v>123543.4925</v>
      </c>
      <c r="Z818" t="n">
        <v>-5838.8974</v>
      </c>
      <c r="AA818" t="n">
        <v>90487.50199999999</v>
      </c>
      <c r="AB818" t="n">
        <v>-0.176637</v>
      </c>
      <c r="AC818" t="n">
        <v>2.737401</v>
      </c>
      <c r="AD818" t="inlineStr">
        <is>
          <t>High</t>
        </is>
      </c>
      <c r="AE818" t="inlineStr">
        <is>
          <t>None</t>
        </is>
      </c>
      <c r="AF818" t="n">
        <v>0.95</v>
      </c>
      <c r="AG818" t="inlineStr">
        <is>
          <t>Valid</t>
        </is>
      </c>
    </row>
    <row r="819">
      <c r="A819" t="inlineStr">
        <is>
          <t>SUP-0082</t>
        </is>
      </c>
      <c r="B819" t="inlineStr">
        <is>
          <t>Packaging Supplier 082</t>
        </is>
      </c>
      <c r="C819" t="inlineStr">
        <is>
          <t>Packaging</t>
        </is>
      </c>
      <c r="D819" t="n">
        <v>2022</v>
      </c>
      <c r="E819" t="n">
        <v>26592220.65</v>
      </c>
      <c r="F819" t="n">
        <v>165964737.1</v>
      </c>
      <c r="G819" t="n">
        <v>35186.5812</v>
      </c>
      <c r="H819" t="n">
        <v>7731.8582</v>
      </c>
      <c r="I819" t="n">
        <v>4515.5058</v>
      </c>
      <c r="J819" t="n">
        <v>21455.6056</v>
      </c>
      <c r="K819" t="n">
        <v>2018</v>
      </c>
      <c r="L819" t="n">
        <v>2030</v>
      </c>
      <c r="M819" t="n">
        <v>0.3671</v>
      </c>
      <c r="N819" t="n">
        <v>0.1475</v>
      </c>
      <c r="O819" t="n">
        <v>2018</v>
      </c>
      <c r="P819" t="n">
        <v>2040</v>
      </c>
      <c r="Q819" t="n">
        <v>0.3112</v>
      </c>
      <c r="R819" t="n">
        <v>702.4188</v>
      </c>
      <c r="S819" t="n">
        <v>0.0010803</v>
      </c>
      <c r="T819" t="n">
        <v>0.00078946</v>
      </c>
      <c r="U819" t="n">
        <v>35186.5812</v>
      </c>
      <c r="V819" t="inlineStr">
        <is>
          <t>Provided Total Emissions</t>
        </is>
      </c>
      <c r="W819" t="b">
        <v>1</v>
      </c>
      <c r="X819" t="n">
        <v>28727.576</v>
      </c>
      <c r="Y819" t="n">
        <v>131022.5214</v>
      </c>
      <c r="Z819" t="n">
        <v>-6459.0052</v>
      </c>
      <c r="AA819" t="n">
        <v>95835.9402</v>
      </c>
      <c r="AB819" t="n">
        <v>-0.183564</v>
      </c>
      <c r="AC819" t="n">
        <v>2.72365</v>
      </c>
      <c r="AD819" t="inlineStr">
        <is>
          <t>High</t>
        </is>
      </c>
      <c r="AE819" t="inlineStr">
        <is>
          <t>None</t>
        </is>
      </c>
      <c r="AF819" t="n">
        <v>0.95</v>
      </c>
      <c r="AG819" t="inlineStr">
        <is>
          <t>Valid</t>
        </is>
      </c>
    </row>
    <row r="820">
      <c r="A820" t="inlineStr">
        <is>
          <t>SUP-0082</t>
        </is>
      </c>
      <c r="B820" t="inlineStr">
        <is>
          <t>Packaging Supplier 082</t>
        </is>
      </c>
      <c r="C820" t="inlineStr">
        <is>
          <t>Packaging</t>
        </is>
      </c>
      <c r="D820" t="n">
        <v>2023</v>
      </c>
      <c r="E820" t="n">
        <v>27146492.45</v>
      </c>
      <c r="F820" t="n">
        <v>176508356.86</v>
      </c>
      <c r="G820" t="n">
        <v>37861.6917</v>
      </c>
      <c r="H820" t="n">
        <v>5193.9527</v>
      </c>
      <c r="I820" t="n">
        <v>5052.8345</v>
      </c>
      <c r="J820" t="n">
        <v>28019.8678</v>
      </c>
      <c r="K820" t="n">
        <v>2018</v>
      </c>
      <c r="L820" t="n">
        <v>2030</v>
      </c>
      <c r="M820" t="n">
        <v>0.3671</v>
      </c>
      <c r="N820" t="n">
        <v>0.1475</v>
      </c>
      <c r="O820" t="n">
        <v>2018</v>
      </c>
      <c r="P820" t="n">
        <v>2040</v>
      </c>
      <c r="Q820" t="n">
        <v>0.3112</v>
      </c>
      <c r="R820" t="n">
        <v>702.4188</v>
      </c>
      <c r="S820" t="n">
        <v>0.0010803</v>
      </c>
      <c r="T820" t="n">
        <v>0.00078946</v>
      </c>
      <c r="U820" t="n">
        <v>37861.6917</v>
      </c>
      <c r="V820" t="inlineStr">
        <is>
          <t>Provided Total Emissions</t>
        </is>
      </c>
      <c r="W820" t="b">
        <v>1</v>
      </c>
      <c r="X820" t="n">
        <v>29326.3558</v>
      </c>
      <c r="Y820" t="n">
        <v>139346.2874</v>
      </c>
      <c r="Z820" t="n">
        <v>-8535.3359</v>
      </c>
      <c r="AA820" t="n">
        <v>101484.5957</v>
      </c>
      <c r="AB820" t="n">
        <v>-0.225435</v>
      </c>
      <c r="AC820" t="n">
        <v>2.680403</v>
      </c>
      <c r="AD820" t="inlineStr">
        <is>
          <t>High</t>
        </is>
      </c>
      <c r="AE820" t="inlineStr">
        <is>
          <t>None</t>
        </is>
      </c>
      <c r="AF820" t="n">
        <v>0.95</v>
      </c>
      <c r="AG820" t="inlineStr">
        <is>
          <t>Valid</t>
        </is>
      </c>
    </row>
    <row r="821">
      <c r="A821" t="inlineStr">
        <is>
          <t>SUP-0082</t>
        </is>
      </c>
      <c r="B821" t="inlineStr">
        <is>
          <t>Packaging Supplier 082</t>
        </is>
      </c>
      <c r="C821" t="inlineStr">
        <is>
          <t>Packaging</t>
        </is>
      </c>
      <c r="D821" t="n">
        <v>2024</v>
      </c>
      <c r="E821" t="n">
        <v>28407683.17</v>
      </c>
      <c r="F821" t="n">
        <v>189393402.34</v>
      </c>
      <c r="G821" t="n">
        <v>40116.1832</v>
      </c>
      <c r="H821" t="n">
        <v>9713.481400000001</v>
      </c>
      <c r="I821" t="n">
        <v>2930.5859</v>
      </c>
      <c r="J821" t="n">
        <v>25125.5516</v>
      </c>
      <c r="K821" t="n">
        <v>2018</v>
      </c>
      <c r="L821" t="n">
        <v>2030</v>
      </c>
      <c r="M821" t="n">
        <v>0.3671</v>
      </c>
      <c r="N821" t="n">
        <v>0.1475</v>
      </c>
      <c r="O821" t="n">
        <v>2018</v>
      </c>
      <c r="P821" t="n">
        <v>2040</v>
      </c>
      <c r="Q821" t="n">
        <v>0.3112</v>
      </c>
      <c r="R821" t="n">
        <v>702.4188</v>
      </c>
      <c r="S821" t="n">
        <v>0.0010803</v>
      </c>
      <c r="T821" t="n">
        <v>0.00078946</v>
      </c>
      <c r="U821" t="n">
        <v>40116.1832</v>
      </c>
      <c r="V821" t="inlineStr">
        <is>
          <t>Provided Total Emissions</t>
        </is>
      </c>
      <c r="W821" t="b">
        <v>1</v>
      </c>
      <c r="X821" t="n">
        <v>30688.8201</v>
      </c>
      <c r="Y821" t="n">
        <v>149518.5154</v>
      </c>
      <c r="Z821" t="n">
        <v>-9427.3631</v>
      </c>
      <c r="AA821" t="n">
        <v>109402.3322</v>
      </c>
      <c r="AB821" t="n">
        <v>-0.235001</v>
      </c>
      <c r="AC821" t="n">
        <v>2.727137</v>
      </c>
      <c r="AD821" t="inlineStr">
        <is>
          <t>High</t>
        </is>
      </c>
      <c r="AE821" t="inlineStr">
        <is>
          <t>None</t>
        </is>
      </c>
      <c r="AF821" t="n">
        <v>0.95</v>
      </c>
      <c r="AG821" t="inlineStr">
        <is>
          <t>Valid</t>
        </is>
      </c>
    </row>
    <row r="822">
      <c r="A822" t="inlineStr">
        <is>
          <t>SUP-0083</t>
        </is>
      </c>
      <c r="B822" t="inlineStr">
        <is>
          <t>Logistics Supplier 083</t>
        </is>
      </c>
      <c r="C822" t="inlineStr">
        <is>
          <t>Logistics</t>
        </is>
      </c>
      <c r="D822" t="n">
        <v>2015</v>
      </c>
      <c r="E822" t="n">
        <v>27231750.34</v>
      </c>
      <c r="F822" t="n">
        <v>65124616.39</v>
      </c>
      <c r="G822" t="n">
        <v>4867.926</v>
      </c>
      <c r="H822" t="n">
        <v>879.08</v>
      </c>
      <c r="I822" t="n">
        <v>1054.8012</v>
      </c>
      <c r="J822" t="n">
        <v>3023.2434</v>
      </c>
      <c r="K822" t="inlineStr"/>
      <c r="L822" t="inlineStr"/>
      <c r="M822" t="inlineStr"/>
      <c r="N822" t="inlineStr"/>
      <c r="O822" t="n">
        <v>2019</v>
      </c>
      <c r="P822" t="n">
        <v>2040</v>
      </c>
      <c r="Q822" t="n">
        <v>0.4616</v>
      </c>
      <c r="R822" t="n">
        <v>591.6386</v>
      </c>
      <c r="S822" t="n">
        <v>0.00022349</v>
      </c>
      <c r="T822" t="n">
        <v>0.00047787</v>
      </c>
      <c r="U822" t="n">
        <v>4867.926</v>
      </c>
      <c r="V822" t="inlineStr">
        <is>
          <t>Provided Total Emissions</t>
        </is>
      </c>
      <c r="W822" t="b">
        <v>1</v>
      </c>
      <c r="X822" t="n">
        <v>6086.0239</v>
      </c>
      <c r="Y822" t="n">
        <v>31121.1004</v>
      </c>
      <c r="Z822" t="n">
        <v>1218.0979</v>
      </c>
      <c r="AA822" t="n">
        <v>26253.1744</v>
      </c>
      <c r="AB822" t="n">
        <v>0.250229</v>
      </c>
      <c r="AC822" t="n">
        <v>5.393092</v>
      </c>
      <c r="AD822" t="inlineStr">
        <is>
          <t>High</t>
        </is>
      </c>
      <c r="AE822" t="inlineStr">
        <is>
          <t>None</t>
        </is>
      </c>
      <c r="AF822" t="n">
        <v>0.95</v>
      </c>
      <c r="AG822" t="inlineStr">
        <is>
          <t>Valid</t>
        </is>
      </c>
    </row>
    <row r="823">
      <c r="A823" t="inlineStr">
        <is>
          <t>SUP-0083</t>
        </is>
      </c>
      <c r="B823" t="inlineStr">
        <is>
          <t>Logistics Supplier 083</t>
        </is>
      </c>
      <c r="C823" t="inlineStr">
        <is>
          <t>Logistics</t>
        </is>
      </c>
      <c r="D823" t="n">
        <v>2016</v>
      </c>
      <c r="E823" t="n">
        <v>24012808.87</v>
      </c>
      <c r="F823" t="n">
        <v>66748700.05</v>
      </c>
      <c r="G823" t="n">
        <v>3950.5999</v>
      </c>
      <c r="H823" t="n">
        <v>865.2329999999999</v>
      </c>
      <c r="I823" t="n">
        <v>567.5246</v>
      </c>
      <c r="J823" t="n">
        <v>2390.0561</v>
      </c>
      <c r="K823" t="inlineStr"/>
      <c r="L823" t="inlineStr"/>
      <c r="M823" t="inlineStr"/>
      <c r="N823" t="inlineStr"/>
      <c r="O823" t="n">
        <v>2019</v>
      </c>
      <c r="P823" t="n">
        <v>2040</v>
      </c>
      <c r="Q823" t="n">
        <v>0.4616</v>
      </c>
      <c r="R823" t="n">
        <v>591.6386</v>
      </c>
      <c r="S823" t="n">
        <v>0.00022349</v>
      </c>
      <c r="T823" t="n">
        <v>0.00047787</v>
      </c>
      <c r="U823" t="n">
        <v>3950.5999</v>
      </c>
      <c r="V823" t="inlineStr">
        <is>
          <t>Provided Total Emissions</t>
        </is>
      </c>
      <c r="W823" t="b">
        <v>1</v>
      </c>
      <c r="X823" t="n">
        <v>5366.6227</v>
      </c>
      <c r="Y823" t="n">
        <v>31897.2013</v>
      </c>
      <c r="Z823" t="n">
        <v>1416.0228</v>
      </c>
      <c r="AA823" t="n">
        <v>27946.6014</v>
      </c>
      <c r="AB823" t="n">
        <v>0.358432</v>
      </c>
      <c r="AC823" t="n">
        <v>7.074015</v>
      </c>
      <c r="AD823" t="inlineStr">
        <is>
          <t>High</t>
        </is>
      </c>
      <c r="AE823" t="inlineStr">
        <is>
          <t>None</t>
        </is>
      </c>
      <c r="AF823" t="n">
        <v>0.95</v>
      </c>
      <c r="AG823" t="inlineStr">
        <is>
          <t>Valid</t>
        </is>
      </c>
    </row>
    <row r="824">
      <c r="A824" t="inlineStr">
        <is>
          <t>SUP-0083</t>
        </is>
      </c>
      <c r="B824" t="inlineStr">
        <is>
          <t>Logistics Supplier 083</t>
        </is>
      </c>
      <c r="C824" t="inlineStr">
        <is>
          <t>Logistics</t>
        </is>
      </c>
      <c r="D824" t="n">
        <v>2017</v>
      </c>
      <c r="E824" t="n">
        <v>23977666.22</v>
      </c>
      <c r="F824" t="n">
        <v>62843192.7</v>
      </c>
      <c r="G824" t="n">
        <v>4170.5443</v>
      </c>
      <c r="H824" t="n">
        <v>892.8304000000001</v>
      </c>
      <c r="I824" t="n">
        <v>577.0566</v>
      </c>
      <c r="J824" t="n">
        <v>2886.7148</v>
      </c>
      <c r="K824" t="inlineStr"/>
      <c r="L824" t="inlineStr"/>
      <c r="M824" t="inlineStr"/>
      <c r="N824" t="inlineStr"/>
      <c r="O824" t="n">
        <v>2019</v>
      </c>
      <c r="P824" t="n">
        <v>2040</v>
      </c>
      <c r="Q824" t="n">
        <v>0.4616</v>
      </c>
      <c r="R824" t="n">
        <v>591.6386</v>
      </c>
      <c r="S824" t="n">
        <v>0.00022349</v>
      </c>
      <c r="T824" t="n">
        <v>0.00047787</v>
      </c>
      <c r="U824" t="n">
        <v>4170.5443</v>
      </c>
      <c r="V824" t="inlineStr">
        <is>
          <t>Provided Total Emissions</t>
        </is>
      </c>
      <c r="W824" t="b">
        <v>1</v>
      </c>
      <c r="X824" t="n">
        <v>5358.7686</v>
      </c>
      <c r="Y824" t="n">
        <v>30030.8765</v>
      </c>
      <c r="Z824" t="n">
        <v>1188.2243</v>
      </c>
      <c r="AA824" t="n">
        <v>25860.3322</v>
      </c>
      <c r="AB824" t="n">
        <v>0.284909</v>
      </c>
      <c r="AC824" t="n">
        <v>6.200709</v>
      </c>
      <c r="AD824" t="inlineStr">
        <is>
          <t>High</t>
        </is>
      </c>
      <c r="AE824" t="inlineStr">
        <is>
          <t>None</t>
        </is>
      </c>
      <c r="AF824" t="n">
        <v>0.95</v>
      </c>
      <c r="AG824" t="inlineStr">
        <is>
          <t>Valid</t>
        </is>
      </c>
    </row>
    <row r="825">
      <c r="A825" t="inlineStr">
        <is>
          <t>SUP-0083</t>
        </is>
      </c>
      <c r="B825" t="inlineStr">
        <is>
          <t>Logistics Supplier 083</t>
        </is>
      </c>
      <c r="C825" t="inlineStr">
        <is>
          <t>Logistics</t>
        </is>
      </c>
      <c r="D825" t="n">
        <v>2018</v>
      </c>
      <c r="E825" t="n">
        <v>28479697.94</v>
      </c>
      <c r="F825" t="n">
        <v>57439256.64</v>
      </c>
      <c r="G825" t="n">
        <v>5454.5303</v>
      </c>
      <c r="H825" t="n">
        <v>1358.4843</v>
      </c>
      <c r="I825" t="n">
        <v>807.2369</v>
      </c>
      <c r="J825" t="n">
        <v>3530.2173</v>
      </c>
      <c r="K825" t="inlineStr"/>
      <c r="L825" t="inlineStr"/>
      <c r="M825" t="inlineStr"/>
      <c r="N825" t="inlineStr"/>
      <c r="O825" t="n">
        <v>2019</v>
      </c>
      <c r="P825" t="n">
        <v>2040</v>
      </c>
      <c r="Q825" t="n">
        <v>0.4616</v>
      </c>
      <c r="R825" t="n">
        <v>591.6386</v>
      </c>
      <c r="S825" t="n">
        <v>0.00022349</v>
      </c>
      <c r="T825" t="n">
        <v>0.00047787</v>
      </c>
      <c r="U825" t="n">
        <v>5454.5303</v>
      </c>
      <c r="V825" t="inlineStr">
        <is>
          <t>Provided Total Emissions</t>
        </is>
      </c>
      <c r="W825" t="b">
        <v>1</v>
      </c>
      <c r="X825" t="n">
        <v>6364.9277</v>
      </c>
      <c r="Y825" t="n">
        <v>27448.4976</v>
      </c>
      <c r="Z825" t="n">
        <v>910.3973999999999</v>
      </c>
      <c r="AA825" t="n">
        <v>21993.9673</v>
      </c>
      <c r="AB825" t="n">
        <v>0.166907</v>
      </c>
      <c r="AC825" t="n">
        <v>4.032239</v>
      </c>
      <c r="AD825" t="inlineStr">
        <is>
          <t>High</t>
        </is>
      </c>
      <c r="AE825" t="inlineStr">
        <is>
          <t>None</t>
        </is>
      </c>
      <c r="AF825" t="n">
        <v>0.95</v>
      </c>
      <c r="AG825" t="inlineStr">
        <is>
          <t>Valid</t>
        </is>
      </c>
    </row>
    <row r="826">
      <c r="A826" t="inlineStr">
        <is>
          <t>SUP-0083</t>
        </is>
      </c>
      <c r="B826" t="inlineStr">
        <is>
          <t>Logistics Supplier 083</t>
        </is>
      </c>
      <c r="C826" t="inlineStr">
        <is>
          <t>Logistics</t>
        </is>
      </c>
      <c r="D826" t="n">
        <v>2019</v>
      </c>
      <c r="E826" t="n">
        <v>17769967.12</v>
      </c>
      <c r="F826" t="n">
        <v>60783129.23</v>
      </c>
      <c r="G826" t="n">
        <v>3152.8678</v>
      </c>
      <c r="H826" t="n">
        <v>582.3323</v>
      </c>
      <c r="I826" t="n">
        <v>544.8656999999999</v>
      </c>
      <c r="J826" t="n">
        <v>2351.0998</v>
      </c>
      <c r="K826" t="inlineStr"/>
      <c r="L826" t="inlineStr"/>
      <c r="M826" t="inlineStr"/>
      <c r="N826" t="inlineStr"/>
      <c r="O826" t="n">
        <v>2019</v>
      </c>
      <c r="P826" t="n">
        <v>2040</v>
      </c>
      <c r="Q826" t="n">
        <v>0.4616</v>
      </c>
      <c r="R826" t="n">
        <v>591.6386</v>
      </c>
      <c r="S826" t="n">
        <v>0.00022349</v>
      </c>
      <c r="T826" t="n">
        <v>0.00047787</v>
      </c>
      <c r="U826" t="n">
        <v>3152.8678</v>
      </c>
      <c r="V826" t="inlineStr">
        <is>
          <t>Provided Total Emissions</t>
        </is>
      </c>
      <c r="W826" t="b">
        <v>1</v>
      </c>
      <c r="X826" t="n">
        <v>3971.41</v>
      </c>
      <c r="Y826" t="n">
        <v>29046.434</v>
      </c>
      <c r="Z826" t="n">
        <v>818.5422</v>
      </c>
      <c r="AA826" t="n">
        <v>25893.5662</v>
      </c>
      <c r="AB826" t="n">
        <v>0.259618</v>
      </c>
      <c r="AC826" t="n">
        <v>8.212702999999999</v>
      </c>
      <c r="AD826" t="inlineStr">
        <is>
          <t>High</t>
        </is>
      </c>
      <c r="AE826" t="inlineStr">
        <is>
          <t>None</t>
        </is>
      </c>
      <c r="AF826" t="n">
        <v>0.95</v>
      </c>
      <c r="AG826" t="inlineStr">
        <is>
          <t>Valid</t>
        </is>
      </c>
    </row>
    <row r="827">
      <c r="A827" t="inlineStr">
        <is>
          <t>SUP-0083</t>
        </is>
      </c>
      <c r="B827" t="inlineStr">
        <is>
          <t>Logistics Supplier 083</t>
        </is>
      </c>
      <c r="C827" t="inlineStr">
        <is>
          <t>Logistics</t>
        </is>
      </c>
      <c r="D827" t="n">
        <v>2020</v>
      </c>
      <c r="E827" t="n">
        <v>24108598.36</v>
      </c>
      <c r="F827" t="n">
        <v>62157134.25</v>
      </c>
      <c r="G827" t="n">
        <v>4042.7028</v>
      </c>
      <c r="H827" t="n">
        <v>953.9731</v>
      </c>
      <c r="I827" t="n">
        <v>602.6973</v>
      </c>
      <c r="J827" t="n">
        <v>2599.684</v>
      </c>
      <c r="K827" t="inlineStr"/>
      <c r="L827" t="inlineStr"/>
      <c r="M827" t="inlineStr"/>
      <c r="N827" t="inlineStr"/>
      <c r="O827" t="n">
        <v>2019</v>
      </c>
      <c r="P827" t="n">
        <v>2040</v>
      </c>
      <c r="Q827" t="n">
        <v>0.4616</v>
      </c>
      <c r="R827" t="n">
        <v>591.6386</v>
      </c>
      <c r="S827" t="n">
        <v>0.00022349</v>
      </c>
      <c r="T827" t="n">
        <v>0.00047787</v>
      </c>
      <c r="U827" t="n">
        <v>4042.7028</v>
      </c>
      <c r="V827" t="inlineStr">
        <is>
          <t>Provided Total Emissions</t>
        </is>
      </c>
      <c r="W827" t="b">
        <v>1</v>
      </c>
      <c r="X827" t="n">
        <v>5388.0306</v>
      </c>
      <c r="Y827" t="n">
        <v>29703.0297</v>
      </c>
      <c r="Z827" t="n">
        <v>1345.3278</v>
      </c>
      <c r="AA827" t="n">
        <v>25660.3269</v>
      </c>
      <c r="AB827" t="n">
        <v>0.332779</v>
      </c>
      <c r="AC827" t="n">
        <v>6.34732</v>
      </c>
      <c r="AD827" t="inlineStr">
        <is>
          <t>High</t>
        </is>
      </c>
      <c r="AE827" t="inlineStr">
        <is>
          <t>None</t>
        </is>
      </c>
      <c r="AF827" t="n">
        <v>0.95</v>
      </c>
      <c r="AG827" t="inlineStr">
        <is>
          <t>Valid</t>
        </is>
      </c>
    </row>
    <row r="828">
      <c r="A828" t="inlineStr">
        <is>
          <t>SUP-0083</t>
        </is>
      </c>
      <c r="B828" t="inlineStr">
        <is>
          <t>Logistics Supplier 083</t>
        </is>
      </c>
      <c r="C828" t="inlineStr">
        <is>
          <t>Logistics</t>
        </is>
      </c>
      <c r="D828" t="n">
        <v>2021</v>
      </c>
      <c r="E828" t="n">
        <v>21429069.6</v>
      </c>
      <c r="F828" t="n">
        <v>50886526.23</v>
      </c>
      <c r="G828" t="n">
        <v>4227.4069</v>
      </c>
      <c r="H828" t="n">
        <v>708.3567</v>
      </c>
      <c r="I828" t="n">
        <v>413.4149</v>
      </c>
      <c r="J828" t="n">
        <v>2928.0605</v>
      </c>
      <c r="K828" t="inlineStr"/>
      <c r="L828" t="inlineStr"/>
      <c r="M828" t="inlineStr"/>
      <c r="N828" t="inlineStr"/>
      <c r="O828" t="n">
        <v>2019</v>
      </c>
      <c r="P828" t="n">
        <v>2040</v>
      </c>
      <c r="Q828" t="n">
        <v>0.4616</v>
      </c>
      <c r="R828" t="n">
        <v>591.6386</v>
      </c>
      <c r="S828" t="n">
        <v>0.00022349</v>
      </c>
      <c r="T828" t="n">
        <v>0.00047787</v>
      </c>
      <c r="U828" t="n">
        <v>4227.4069</v>
      </c>
      <c r="V828" t="inlineStr">
        <is>
          <t>Provided Total Emissions</t>
        </is>
      </c>
      <c r="W828" t="b">
        <v>1</v>
      </c>
      <c r="X828" t="n">
        <v>4789.1828</v>
      </c>
      <c r="Y828" t="n">
        <v>24317.1443</v>
      </c>
      <c r="Z828" t="n">
        <v>561.7759</v>
      </c>
      <c r="AA828" t="n">
        <v>20089.7374</v>
      </c>
      <c r="AB828" t="n">
        <v>0.132889</v>
      </c>
      <c r="AC828" t="n">
        <v>4.75226</v>
      </c>
      <c r="AD828" t="inlineStr">
        <is>
          <t>High</t>
        </is>
      </c>
      <c r="AE828" t="inlineStr">
        <is>
          <t>None</t>
        </is>
      </c>
      <c r="AF828" t="n">
        <v>0.95</v>
      </c>
      <c r="AG828" t="inlineStr">
        <is>
          <t>Valid</t>
        </is>
      </c>
    </row>
    <row r="829">
      <c r="A829" t="inlineStr">
        <is>
          <t>SUP-0083</t>
        </is>
      </c>
      <c r="B829" t="inlineStr">
        <is>
          <t>Logistics Supplier 083</t>
        </is>
      </c>
      <c r="C829" t="inlineStr">
        <is>
          <t>Logistics</t>
        </is>
      </c>
      <c r="D829" t="n">
        <v>2022</v>
      </c>
      <c r="E829" t="n">
        <v>23070927.74</v>
      </c>
      <c r="F829" t="n">
        <v>64372190.24</v>
      </c>
      <c r="G829" t="n">
        <v>3704.0946</v>
      </c>
      <c r="H829" t="n">
        <v>443.0342</v>
      </c>
      <c r="I829" t="n">
        <v>574.9640000000001</v>
      </c>
      <c r="J829" t="n">
        <v>2690.664</v>
      </c>
      <c r="K829" t="inlineStr"/>
      <c r="L829" t="inlineStr"/>
      <c r="M829" t="inlineStr"/>
      <c r="N829" t="inlineStr"/>
      <c r="O829" t="n">
        <v>2019</v>
      </c>
      <c r="P829" t="n">
        <v>2040</v>
      </c>
      <c r="Q829" t="n">
        <v>0.4616</v>
      </c>
      <c r="R829" t="n">
        <v>591.6386</v>
      </c>
      <c r="S829" t="n">
        <v>0.00022349</v>
      </c>
      <c r="T829" t="n">
        <v>0.00047787</v>
      </c>
      <c r="U829" t="n">
        <v>3704.0946</v>
      </c>
      <c r="V829" t="inlineStr">
        <is>
          <t>Provided Total Emissions</t>
        </is>
      </c>
      <c r="W829" t="b">
        <v>1</v>
      </c>
      <c r="X829" t="n">
        <v>5156.1216</v>
      </c>
      <c r="Y829" t="n">
        <v>30761.5385</v>
      </c>
      <c r="Z829" t="n">
        <v>1452.027</v>
      </c>
      <c r="AA829" t="n">
        <v>27057.4439</v>
      </c>
      <c r="AB829" t="n">
        <v>0.392006</v>
      </c>
      <c r="AC829" t="n">
        <v>7.304739</v>
      </c>
      <c r="AD829" t="inlineStr">
        <is>
          <t>High</t>
        </is>
      </c>
      <c r="AE829" t="inlineStr">
        <is>
          <t>None</t>
        </is>
      </c>
      <c r="AF829" t="n">
        <v>0.95</v>
      </c>
      <c r="AG829" t="inlineStr">
        <is>
          <t>Valid</t>
        </is>
      </c>
    </row>
    <row r="830">
      <c r="A830" t="inlineStr">
        <is>
          <t>SUP-0083</t>
        </is>
      </c>
      <c r="B830" t="inlineStr">
        <is>
          <t>Logistics Supplier 083</t>
        </is>
      </c>
      <c r="C830" t="inlineStr">
        <is>
          <t>Logistics</t>
        </is>
      </c>
      <c r="D830" t="n">
        <v>2023</v>
      </c>
      <c r="E830" t="n">
        <v>25564598.24</v>
      </c>
      <c r="F830" t="n">
        <v>74457096.66</v>
      </c>
      <c r="G830" t="n">
        <v>5096.8692</v>
      </c>
      <c r="H830" t="n">
        <v>1064.3688</v>
      </c>
      <c r="I830" t="n">
        <v>740.1789</v>
      </c>
      <c r="J830" t="n">
        <v>3180.1843</v>
      </c>
      <c r="K830" t="inlineStr"/>
      <c r="L830" t="inlineStr"/>
      <c r="M830" t="inlineStr"/>
      <c r="N830" t="inlineStr"/>
      <c r="O830" t="n">
        <v>2019</v>
      </c>
      <c r="P830" t="n">
        <v>2040</v>
      </c>
      <c r="Q830" t="n">
        <v>0.4616</v>
      </c>
      <c r="R830" t="n">
        <v>591.6386</v>
      </c>
      <c r="S830" t="n">
        <v>0.00022349</v>
      </c>
      <c r="T830" t="n">
        <v>0.00047787</v>
      </c>
      <c r="U830" t="n">
        <v>5096.8692</v>
      </c>
      <c r="V830" t="inlineStr">
        <is>
          <t>Provided Total Emissions</t>
        </is>
      </c>
      <c r="W830" t="b">
        <v>1</v>
      </c>
      <c r="X830" t="n">
        <v>5713.4321</v>
      </c>
      <c r="Y830" t="n">
        <v>35580.8128</v>
      </c>
      <c r="Z830" t="n">
        <v>616.5629</v>
      </c>
      <c r="AA830" t="n">
        <v>30483.9436</v>
      </c>
      <c r="AB830" t="n">
        <v>0.120969</v>
      </c>
      <c r="AC830" t="n">
        <v>5.980915</v>
      </c>
      <c r="AD830" t="inlineStr">
        <is>
          <t>High</t>
        </is>
      </c>
      <c r="AE830" t="inlineStr">
        <is>
          <t>None</t>
        </is>
      </c>
      <c r="AF830" t="n">
        <v>0.95</v>
      </c>
      <c r="AG830" t="inlineStr">
        <is>
          <t>Valid</t>
        </is>
      </c>
    </row>
    <row r="831">
      <c r="A831" t="inlineStr">
        <is>
          <t>SUP-0083</t>
        </is>
      </c>
      <c r="B831" t="inlineStr">
        <is>
          <t>Logistics Supplier 083</t>
        </is>
      </c>
      <c r="C831" t="inlineStr">
        <is>
          <t>Logistics</t>
        </is>
      </c>
      <c r="D831" t="n">
        <v>2024</v>
      </c>
      <c r="E831" t="n">
        <v>19985712.58</v>
      </c>
      <c r="F831" t="n">
        <v>60606542.27</v>
      </c>
      <c r="G831" t="n">
        <v>3352.7019</v>
      </c>
      <c r="H831" t="n">
        <v>807.0083</v>
      </c>
      <c r="I831" t="n">
        <v>435.321</v>
      </c>
      <c r="J831" t="n">
        <v>2288.8372</v>
      </c>
      <c r="K831" t="inlineStr"/>
      <c r="L831" t="inlineStr"/>
      <c r="M831" t="inlineStr"/>
      <c r="N831" t="inlineStr"/>
      <c r="O831" t="n">
        <v>2019</v>
      </c>
      <c r="P831" t="n">
        <v>2040</v>
      </c>
      <c r="Q831" t="n">
        <v>0.4616</v>
      </c>
      <c r="R831" t="n">
        <v>591.6386</v>
      </c>
      <c r="S831" t="n">
        <v>0.00022349</v>
      </c>
      <c r="T831" t="n">
        <v>0.00047787</v>
      </c>
      <c r="U831" t="n">
        <v>3352.7019</v>
      </c>
      <c r="V831" t="inlineStr">
        <is>
          <t>Provided Total Emissions</t>
        </is>
      </c>
      <c r="W831" t="b">
        <v>1</v>
      </c>
      <c r="X831" t="n">
        <v>4466.6069</v>
      </c>
      <c r="Y831" t="n">
        <v>28962.0484</v>
      </c>
      <c r="Z831" t="n">
        <v>1113.905</v>
      </c>
      <c r="AA831" t="n">
        <v>25609.3465</v>
      </c>
      <c r="AB831" t="n">
        <v>0.332241</v>
      </c>
      <c r="AC831" t="n">
        <v>7.63842</v>
      </c>
      <c r="AD831" t="inlineStr">
        <is>
          <t>High</t>
        </is>
      </c>
      <c r="AE831" t="inlineStr">
        <is>
          <t>None</t>
        </is>
      </c>
      <c r="AF831" t="n">
        <v>0.95</v>
      </c>
      <c r="AG831" t="inlineStr">
        <is>
          <t>Valid</t>
        </is>
      </c>
    </row>
    <row r="832">
      <c r="A832" t="inlineStr">
        <is>
          <t>SUP-0084</t>
        </is>
      </c>
      <c r="B832" t="inlineStr">
        <is>
          <t>Chemicals Supplier 084</t>
        </is>
      </c>
      <c r="C832" t="inlineStr">
        <is>
          <t>Chemicals</t>
        </is>
      </c>
      <c r="D832" t="n">
        <v>2015</v>
      </c>
      <c r="E832" t="n">
        <v>16568788.6</v>
      </c>
      <c r="F832" t="n">
        <v>97541090.08</v>
      </c>
      <c r="G832" t="n">
        <v>15140.7785</v>
      </c>
      <c r="H832" t="n">
        <v>3904.4605</v>
      </c>
      <c r="I832" t="n">
        <v>2459.3944</v>
      </c>
      <c r="J832" t="n">
        <v>9061.4912</v>
      </c>
      <c r="K832" t="inlineStr"/>
      <c r="L832" t="inlineStr"/>
      <c r="M832" t="inlineStr"/>
      <c r="N832" t="inlineStr"/>
      <c r="O832" t="n">
        <v>2019</v>
      </c>
      <c r="P832" t="n">
        <v>2035</v>
      </c>
      <c r="Q832" t="n">
        <v>0.5229</v>
      </c>
      <c r="R832" t="n">
        <v>506.3191</v>
      </c>
      <c r="S832" t="n">
        <v>0.00100149</v>
      </c>
      <c r="T832" t="n">
        <v>0.00047124</v>
      </c>
      <c r="U832" t="n">
        <v>15140.7785</v>
      </c>
      <c r="V832" t="inlineStr">
        <is>
          <t>Provided Total Emissions</t>
        </is>
      </c>
      <c r="W832" t="b">
        <v>1</v>
      </c>
      <c r="X832" t="n">
        <v>16593.4761</v>
      </c>
      <c r="Y832" t="n">
        <v>45965.2633</v>
      </c>
      <c r="Z832" t="n">
        <v>1452.6976</v>
      </c>
      <c r="AA832" t="n">
        <v>30824.4848</v>
      </c>
      <c r="AB832" t="n">
        <v>0.095946</v>
      </c>
      <c r="AC832" t="n">
        <v>2.035859</v>
      </c>
      <c r="AD832" t="inlineStr">
        <is>
          <t>High</t>
        </is>
      </c>
      <c r="AE832" t="inlineStr">
        <is>
          <t>None</t>
        </is>
      </c>
      <c r="AF832" t="n">
        <v>0.95</v>
      </c>
      <c r="AG832" t="inlineStr">
        <is>
          <t>Valid</t>
        </is>
      </c>
    </row>
    <row r="833">
      <c r="A833" t="inlineStr">
        <is>
          <t>SUP-0084</t>
        </is>
      </c>
      <c r="B833" t="inlineStr">
        <is>
          <t>Chemicals Supplier 084</t>
        </is>
      </c>
      <c r="C833" t="inlineStr">
        <is>
          <t>Chemicals</t>
        </is>
      </c>
      <c r="D833" t="n">
        <v>2016</v>
      </c>
      <c r="E833" t="n">
        <v>14384996.3</v>
      </c>
      <c r="F833" t="n">
        <v>122053283.16</v>
      </c>
      <c r="G833" t="n">
        <v>12312.9318</v>
      </c>
      <c r="H833" t="n">
        <v>2576.9148</v>
      </c>
      <c r="I833" t="n">
        <v>1136.8107</v>
      </c>
      <c r="J833" t="n">
        <v>8383.063599999999</v>
      </c>
      <c r="K833" t="inlineStr"/>
      <c r="L833" t="inlineStr"/>
      <c r="M833" t="inlineStr"/>
      <c r="N833" t="inlineStr"/>
      <c r="O833" t="n">
        <v>2019</v>
      </c>
      <c r="P833" t="n">
        <v>2035</v>
      </c>
      <c r="Q833" t="n">
        <v>0.5229</v>
      </c>
      <c r="R833" t="n">
        <v>506.3191</v>
      </c>
      <c r="S833" t="n">
        <v>0.00100149</v>
      </c>
      <c r="T833" t="n">
        <v>0.00047124</v>
      </c>
      <c r="U833" t="n">
        <v>12312.9318</v>
      </c>
      <c r="V833" t="inlineStr">
        <is>
          <t>Provided Total Emissions</t>
        </is>
      </c>
      <c r="W833" t="b">
        <v>1</v>
      </c>
      <c r="X833" t="n">
        <v>14406.4299</v>
      </c>
      <c r="Y833" t="n">
        <v>57516.3892</v>
      </c>
      <c r="Z833" t="n">
        <v>2093.4981</v>
      </c>
      <c r="AA833" t="n">
        <v>45203.4574</v>
      </c>
      <c r="AB833" t="n">
        <v>0.170024</v>
      </c>
      <c r="AC833" t="n">
        <v>3.671218</v>
      </c>
      <c r="AD833" t="inlineStr">
        <is>
          <t>High</t>
        </is>
      </c>
      <c r="AE833" t="inlineStr">
        <is>
          <t>None</t>
        </is>
      </c>
      <c r="AF833" t="n">
        <v>0.95</v>
      </c>
      <c r="AG833" t="inlineStr">
        <is>
          <t>Valid</t>
        </is>
      </c>
    </row>
    <row r="834">
      <c r="A834" t="inlineStr">
        <is>
          <t>SUP-0084</t>
        </is>
      </c>
      <c r="B834" t="inlineStr">
        <is>
          <t>Chemicals Supplier 084</t>
        </is>
      </c>
      <c r="C834" t="inlineStr">
        <is>
          <t>Chemicals</t>
        </is>
      </c>
      <c r="D834" t="n">
        <v>2017</v>
      </c>
      <c r="E834" t="n">
        <v>15263523.65</v>
      </c>
      <c r="F834" t="n">
        <v>93410801.31</v>
      </c>
      <c r="G834" t="n">
        <v>12455.1115</v>
      </c>
      <c r="H834" t="n">
        <v>1636.9177</v>
      </c>
      <c r="I834" t="n">
        <v>2490.8684</v>
      </c>
      <c r="J834" t="n">
        <v>8781.225899999999</v>
      </c>
      <c r="K834" t="inlineStr"/>
      <c r="L834" t="inlineStr"/>
      <c r="M834" t="inlineStr"/>
      <c r="N834" t="inlineStr"/>
      <c r="O834" t="n">
        <v>2019</v>
      </c>
      <c r="P834" t="n">
        <v>2035</v>
      </c>
      <c r="Q834" t="n">
        <v>0.5229</v>
      </c>
      <c r="R834" t="n">
        <v>506.3191</v>
      </c>
      <c r="S834" t="n">
        <v>0.00100149</v>
      </c>
      <c r="T834" t="n">
        <v>0.00047124</v>
      </c>
      <c r="U834" t="n">
        <v>12455.1115</v>
      </c>
      <c r="V834" t="inlineStr">
        <is>
          <t>Provided Total Emissions</t>
        </is>
      </c>
      <c r="W834" t="b">
        <v>1</v>
      </c>
      <c r="X834" t="n">
        <v>15286.2663</v>
      </c>
      <c r="Y834" t="n">
        <v>44018.906</v>
      </c>
      <c r="Z834" t="n">
        <v>2831.1548</v>
      </c>
      <c r="AA834" t="n">
        <v>31563.7945</v>
      </c>
      <c r="AB834" t="n">
        <v>0.227309</v>
      </c>
      <c r="AC834" t="n">
        <v>2.534204</v>
      </c>
      <c r="AD834" t="inlineStr">
        <is>
          <t>High</t>
        </is>
      </c>
      <c r="AE834" t="inlineStr">
        <is>
          <t>None</t>
        </is>
      </c>
      <c r="AF834" t="n">
        <v>0.95</v>
      </c>
      <c r="AG834" t="inlineStr">
        <is>
          <t>Valid</t>
        </is>
      </c>
    </row>
    <row r="835">
      <c r="A835" t="inlineStr">
        <is>
          <t>SUP-0084</t>
        </is>
      </c>
      <c r="B835" t="inlineStr">
        <is>
          <t>Chemicals Supplier 084</t>
        </is>
      </c>
      <c r="C835" t="inlineStr">
        <is>
          <t>Chemicals</t>
        </is>
      </c>
      <c r="D835" t="n">
        <v>2018</v>
      </c>
      <c r="E835" t="n">
        <v>18292209.23</v>
      </c>
      <c r="F835" t="n">
        <v>112148126.19</v>
      </c>
      <c r="G835" t="n">
        <v>14145.653</v>
      </c>
      <c r="H835" t="n">
        <v>1246.4743</v>
      </c>
      <c r="I835" t="n">
        <v>1990.7012</v>
      </c>
      <c r="J835" t="n">
        <v>11306.3145</v>
      </c>
      <c r="K835" t="inlineStr"/>
      <c r="L835" t="inlineStr"/>
      <c r="M835" t="inlineStr"/>
      <c r="N835" t="inlineStr"/>
      <c r="O835" t="n">
        <v>2019</v>
      </c>
      <c r="P835" t="n">
        <v>2035</v>
      </c>
      <c r="Q835" t="n">
        <v>0.5229</v>
      </c>
      <c r="R835" t="n">
        <v>506.3191</v>
      </c>
      <c r="S835" t="n">
        <v>0.00100149</v>
      </c>
      <c r="T835" t="n">
        <v>0.00047124</v>
      </c>
      <c r="U835" t="n">
        <v>14145.653</v>
      </c>
      <c r="V835" t="inlineStr">
        <is>
          <t>Provided Total Emissions</t>
        </is>
      </c>
      <c r="W835" t="b">
        <v>1</v>
      </c>
      <c r="X835" t="n">
        <v>18319.4646</v>
      </c>
      <c r="Y835" t="n">
        <v>52848.683</v>
      </c>
      <c r="Z835" t="n">
        <v>4173.8116</v>
      </c>
      <c r="AA835" t="n">
        <v>38703.03</v>
      </c>
      <c r="AB835" t="n">
        <v>0.29506</v>
      </c>
      <c r="AC835" t="n">
        <v>2.736037</v>
      </c>
      <c r="AD835" t="inlineStr">
        <is>
          <t>High</t>
        </is>
      </c>
      <c r="AE835" t="inlineStr">
        <is>
          <t>None</t>
        </is>
      </c>
      <c r="AF835" t="n">
        <v>0.95</v>
      </c>
      <c r="AG835" t="inlineStr">
        <is>
          <t>Valid</t>
        </is>
      </c>
    </row>
    <row r="836">
      <c r="A836" t="inlineStr">
        <is>
          <t>SUP-0084</t>
        </is>
      </c>
      <c r="B836" t="inlineStr">
        <is>
          <t>Chemicals Supplier 084</t>
        </is>
      </c>
      <c r="C836" t="inlineStr">
        <is>
          <t>Chemicals</t>
        </is>
      </c>
      <c r="D836" t="n">
        <v>2019</v>
      </c>
      <c r="E836" t="n">
        <v>18885955.05</v>
      </c>
      <c r="F836" t="n">
        <v>123512219.33</v>
      </c>
      <c r="G836" t="n">
        <v>13867.9421</v>
      </c>
      <c r="H836" t="n">
        <v>4162.5733</v>
      </c>
      <c r="I836" t="n">
        <v>1934.1549</v>
      </c>
      <c r="J836" t="n">
        <v>9034.128500000001</v>
      </c>
      <c r="K836" t="inlineStr"/>
      <c r="L836" t="inlineStr"/>
      <c r="M836" t="inlineStr"/>
      <c r="N836" t="inlineStr"/>
      <c r="O836" t="n">
        <v>2019</v>
      </c>
      <c r="P836" t="n">
        <v>2035</v>
      </c>
      <c r="Q836" t="n">
        <v>0.5229</v>
      </c>
      <c r="R836" t="n">
        <v>506.3191</v>
      </c>
      <c r="S836" t="n">
        <v>0.00100149</v>
      </c>
      <c r="T836" t="n">
        <v>0.00047124</v>
      </c>
      <c r="U836" t="n">
        <v>13867.9421</v>
      </c>
      <c r="V836" t="inlineStr">
        <is>
          <t>Provided Total Emissions</t>
        </is>
      </c>
      <c r="W836" t="b">
        <v>1</v>
      </c>
      <c r="X836" t="n">
        <v>18914.0951</v>
      </c>
      <c r="Y836" t="n">
        <v>58203.8982</v>
      </c>
      <c r="Z836" t="n">
        <v>5046.153</v>
      </c>
      <c r="AA836" t="n">
        <v>44335.9561</v>
      </c>
      <c r="AB836" t="n">
        <v>0.363872</v>
      </c>
      <c r="AC836" t="n">
        <v>3.19701</v>
      </c>
      <c r="AD836" t="inlineStr">
        <is>
          <t>High</t>
        </is>
      </c>
      <c r="AE836" t="inlineStr">
        <is>
          <t>None</t>
        </is>
      </c>
      <c r="AF836" t="n">
        <v>0.95</v>
      </c>
      <c r="AG836" t="inlineStr">
        <is>
          <t>Valid</t>
        </is>
      </c>
    </row>
    <row r="837">
      <c r="A837" t="inlineStr">
        <is>
          <t>SUP-0084</t>
        </is>
      </c>
      <c r="B837" t="inlineStr">
        <is>
          <t>Chemicals Supplier 084</t>
        </is>
      </c>
      <c r="C837" t="inlineStr">
        <is>
          <t>Chemicals</t>
        </is>
      </c>
      <c r="D837" t="n">
        <v>2020</v>
      </c>
      <c r="E837" t="n">
        <v>19335503.09</v>
      </c>
      <c r="F837" t="n">
        <v>139859499.5</v>
      </c>
      <c r="G837" t="n">
        <v>17042.1373</v>
      </c>
      <c r="H837" t="n">
        <v>2801.772</v>
      </c>
      <c r="I837" t="n">
        <v>2545.8565</v>
      </c>
      <c r="J837" t="n">
        <v>11916.5108</v>
      </c>
      <c r="K837" t="inlineStr"/>
      <c r="L837" t="inlineStr"/>
      <c r="M837" t="inlineStr"/>
      <c r="N837" t="inlineStr"/>
      <c r="O837" t="n">
        <v>2019</v>
      </c>
      <c r="P837" t="n">
        <v>2035</v>
      </c>
      <c r="Q837" t="n">
        <v>0.5229</v>
      </c>
      <c r="R837" t="n">
        <v>506.3191</v>
      </c>
      <c r="S837" t="n">
        <v>0.00100149</v>
      </c>
      <c r="T837" t="n">
        <v>0.00047124</v>
      </c>
      <c r="U837" t="n">
        <v>17042.1373</v>
      </c>
      <c r="V837" t="inlineStr">
        <is>
          <t>Provided Total Emissions</t>
        </is>
      </c>
      <c r="W837" t="b">
        <v>1</v>
      </c>
      <c r="X837" t="n">
        <v>19364.313</v>
      </c>
      <c r="Y837" t="n">
        <v>65907.39049999999</v>
      </c>
      <c r="Z837" t="n">
        <v>2322.1757</v>
      </c>
      <c r="AA837" t="n">
        <v>48865.2532</v>
      </c>
      <c r="AB837" t="n">
        <v>0.136261</v>
      </c>
      <c r="AC837" t="n">
        <v>2.86732</v>
      </c>
      <c r="AD837" t="inlineStr">
        <is>
          <t>High</t>
        </is>
      </c>
      <c r="AE837" t="inlineStr">
        <is>
          <t>None</t>
        </is>
      </c>
      <c r="AF837" t="n">
        <v>0.95</v>
      </c>
      <c r="AG837" t="inlineStr">
        <is>
          <t>Valid</t>
        </is>
      </c>
    </row>
    <row r="838">
      <c r="A838" t="inlineStr">
        <is>
          <t>SUP-0084</t>
        </is>
      </c>
      <c r="B838" t="inlineStr">
        <is>
          <t>Chemicals Supplier 084</t>
        </is>
      </c>
      <c r="C838" t="inlineStr">
        <is>
          <t>Chemicals</t>
        </is>
      </c>
      <c r="D838" t="n">
        <v>2021</v>
      </c>
      <c r="E838" t="n">
        <v>20320479.42</v>
      </c>
      <c r="F838" t="n">
        <v>150939796.17</v>
      </c>
      <c r="G838" t="n">
        <v>11633.3347</v>
      </c>
      <c r="H838" t="n">
        <v>2349.6785</v>
      </c>
      <c r="I838" t="n">
        <v>892.154</v>
      </c>
      <c r="J838" t="n">
        <v>8016.4003</v>
      </c>
      <c r="K838" t="inlineStr"/>
      <c r="L838" t="inlineStr"/>
      <c r="M838" t="inlineStr"/>
      <c r="N838" t="inlineStr"/>
      <c r="O838" t="n">
        <v>2019</v>
      </c>
      <c r="P838" t="n">
        <v>2035</v>
      </c>
      <c r="Q838" t="n">
        <v>0.5229</v>
      </c>
      <c r="R838" t="n">
        <v>506.3191</v>
      </c>
      <c r="S838" t="n">
        <v>0.00100149</v>
      </c>
      <c r="T838" t="n">
        <v>0.00047124</v>
      </c>
      <c r="U838" t="n">
        <v>11633.3347</v>
      </c>
      <c r="V838" t="inlineStr">
        <is>
          <t>Provided Total Emissions</t>
        </is>
      </c>
      <c r="W838" t="b">
        <v>1</v>
      </c>
      <c r="X838" t="n">
        <v>20350.7569</v>
      </c>
      <c r="Y838" t="n">
        <v>71128.8695</v>
      </c>
      <c r="Z838" t="n">
        <v>8717.422200000001</v>
      </c>
      <c r="AA838" t="n">
        <v>59495.5348</v>
      </c>
      <c r="AB838" t="n">
        <v>0.749349</v>
      </c>
      <c r="AC838" t="n">
        <v>5.114229</v>
      </c>
      <c r="AD838" t="inlineStr">
        <is>
          <t>High</t>
        </is>
      </c>
      <c r="AE838" t="inlineStr">
        <is>
          <t>None</t>
        </is>
      </c>
      <c r="AF838" t="n">
        <v>0.95</v>
      </c>
      <c r="AG838" t="inlineStr">
        <is>
          <t>Valid</t>
        </is>
      </c>
    </row>
    <row r="839">
      <c r="A839" t="inlineStr">
        <is>
          <t>SUP-0084</t>
        </is>
      </c>
      <c r="B839" t="inlineStr">
        <is>
          <t>Chemicals Supplier 084</t>
        </is>
      </c>
      <c r="C839" t="inlineStr">
        <is>
          <t>Chemicals</t>
        </is>
      </c>
      <c r="D839" t="n">
        <v>2022</v>
      </c>
      <c r="E839" t="n">
        <v>20943831.46</v>
      </c>
      <c r="F839" t="n">
        <v>133598085.42</v>
      </c>
      <c r="G839" t="n">
        <v>15122.4546</v>
      </c>
      <c r="H839" t="n">
        <v>1349.2589</v>
      </c>
      <c r="I839" t="n">
        <v>2337.251</v>
      </c>
      <c r="J839" t="n">
        <v>11664.8858</v>
      </c>
      <c r="K839" t="inlineStr"/>
      <c r="L839" t="inlineStr"/>
      <c r="M839" t="inlineStr"/>
      <c r="N839" t="inlineStr"/>
      <c r="O839" t="n">
        <v>2019</v>
      </c>
      <c r="P839" t="n">
        <v>2035</v>
      </c>
      <c r="Q839" t="n">
        <v>0.5229</v>
      </c>
      <c r="R839" t="n">
        <v>506.3191</v>
      </c>
      <c r="S839" t="n">
        <v>0.00100149</v>
      </c>
      <c r="T839" t="n">
        <v>0.00047124</v>
      </c>
      <c r="U839" t="n">
        <v>15122.4546</v>
      </c>
      <c r="V839" t="inlineStr">
        <is>
          <t>Provided Total Emissions</t>
        </is>
      </c>
      <c r="W839" t="b">
        <v>1</v>
      </c>
      <c r="X839" t="n">
        <v>20975.0378</v>
      </c>
      <c r="Y839" t="n">
        <v>62956.7618</v>
      </c>
      <c r="Z839" t="n">
        <v>5852.5832</v>
      </c>
      <c r="AA839" t="n">
        <v>47834.3072</v>
      </c>
      <c r="AB839" t="n">
        <v>0.387013</v>
      </c>
      <c r="AC839" t="n">
        <v>3.163131</v>
      </c>
      <c r="AD839" t="inlineStr">
        <is>
          <t>High</t>
        </is>
      </c>
      <c r="AE839" t="inlineStr">
        <is>
          <t>None</t>
        </is>
      </c>
      <c r="AF839" t="n">
        <v>0.95</v>
      </c>
      <c r="AG839" t="inlineStr">
        <is>
          <t>Valid</t>
        </is>
      </c>
    </row>
    <row r="840">
      <c r="A840" t="inlineStr">
        <is>
          <t>SUP-0084</t>
        </is>
      </c>
      <c r="B840" t="inlineStr">
        <is>
          <t>Chemicals Supplier 084</t>
        </is>
      </c>
      <c r="C840" t="inlineStr">
        <is>
          <t>Chemicals</t>
        </is>
      </c>
      <c r="D840" t="n">
        <v>2023</v>
      </c>
      <c r="E840" t="n">
        <v>23425663.74</v>
      </c>
      <c r="F840" t="n">
        <v>128827085.12</v>
      </c>
      <c r="G840" t="n">
        <v>15334.1004</v>
      </c>
      <c r="H840" t="n">
        <v>2596.0165</v>
      </c>
      <c r="I840" t="n">
        <v>2702.6833</v>
      </c>
      <c r="J840" t="n">
        <v>10269.849</v>
      </c>
      <c r="K840" t="inlineStr"/>
      <c r="L840" t="inlineStr"/>
      <c r="M840" t="inlineStr"/>
      <c r="N840" t="inlineStr"/>
      <c r="O840" t="n">
        <v>2019</v>
      </c>
      <c r="P840" t="n">
        <v>2035</v>
      </c>
      <c r="Q840" t="n">
        <v>0.5229</v>
      </c>
      <c r="R840" t="n">
        <v>506.3191</v>
      </c>
      <c r="S840" t="n">
        <v>0.00100149</v>
      </c>
      <c r="T840" t="n">
        <v>0.00047124</v>
      </c>
      <c r="U840" t="n">
        <v>15334.1004</v>
      </c>
      <c r="V840" t="inlineStr">
        <is>
          <t>Provided Total Emissions</t>
        </is>
      </c>
      <c r="W840" t="b">
        <v>1</v>
      </c>
      <c r="X840" t="n">
        <v>23460.568</v>
      </c>
      <c r="Y840" t="n">
        <v>60708.4756</v>
      </c>
      <c r="Z840" t="n">
        <v>8126.4676</v>
      </c>
      <c r="AA840" t="n">
        <v>45374.3752</v>
      </c>
      <c r="AB840" t="n">
        <v>0.529961</v>
      </c>
      <c r="AC840" t="n">
        <v>2.95905</v>
      </c>
      <c r="AD840" t="inlineStr">
        <is>
          <t>High</t>
        </is>
      </c>
      <c r="AE840" t="inlineStr">
        <is>
          <t>None</t>
        </is>
      </c>
      <c r="AF840" t="n">
        <v>0.95</v>
      </c>
      <c r="AG840" t="inlineStr">
        <is>
          <t>Valid</t>
        </is>
      </c>
    </row>
    <row r="841">
      <c r="A841" t="inlineStr">
        <is>
          <t>SUP-0084</t>
        </is>
      </c>
      <c r="B841" t="inlineStr">
        <is>
          <t>Chemicals Supplier 084</t>
        </is>
      </c>
      <c r="C841" t="inlineStr">
        <is>
          <t>Chemicals</t>
        </is>
      </c>
      <c r="D841" t="n">
        <v>2024</v>
      </c>
      <c r="E841" t="n">
        <v>22962377.36</v>
      </c>
      <c r="F841" t="n">
        <v>196940775.83</v>
      </c>
      <c r="G841" t="n">
        <v>12713.5887</v>
      </c>
      <c r="H841" t="n">
        <v>1567.4043</v>
      </c>
      <c r="I841" t="n">
        <v>2553.4607</v>
      </c>
      <c r="J841" t="n">
        <v>8946.1412</v>
      </c>
      <c r="K841" t="inlineStr"/>
      <c r="L841" t="inlineStr"/>
      <c r="M841" t="inlineStr"/>
      <c r="N841" t="inlineStr"/>
      <c r="O841" t="n">
        <v>2019</v>
      </c>
      <c r="P841" t="n">
        <v>2035</v>
      </c>
      <c r="Q841" t="n">
        <v>0.5229</v>
      </c>
      <c r="R841" t="n">
        <v>506.3191</v>
      </c>
      <c r="S841" t="n">
        <v>0.00100149</v>
      </c>
      <c r="T841" t="n">
        <v>0.00047124</v>
      </c>
      <c r="U841" t="n">
        <v>12713.5887</v>
      </c>
      <c r="V841" t="inlineStr">
        <is>
          <t>Provided Total Emissions</t>
        </is>
      </c>
      <c r="W841" t="b">
        <v>1</v>
      </c>
      <c r="X841" t="n">
        <v>22996.5913</v>
      </c>
      <c r="Y841" t="n">
        <v>92806.37119999999</v>
      </c>
      <c r="Z841" t="n">
        <v>10283.0026</v>
      </c>
      <c r="AA841" t="n">
        <v>80092.7825</v>
      </c>
      <c r="AB841" t="n">
        <v>0.80882</v>
      </c>
      <c r="AC841" t="n">
        <v>6.299778</v>
      </c>
      <c r="AD841" t="inlineStr">
        <is>
          <t>High</t>
        </is>
      </c>
      <c r="AE841" t="inlineStr">
        <is>
          <t>None</t>
        </is>
      </c>
      <c r="AF841" t="n">
        <v>0.95</v>
      </c>
      <c r="AG841" t="inlineStr">
        <is>
          <t>Valid</t>
        </is>
      </c>
    </row>
    <row r="842">
      <c r="A842" t="inlineStr">
        <is>
          <t>SUP-0085</t>
        </is>
      </c>
      <c r="B842" t="inlineStr">
        <is>
          <t>Textiles Supplier 085</t>
        </is>
      </c>
      <c r="C842" t="inlineStr">
        <is>
          <t>Textiles</t>
        </is>
      </c>
      <c r="D842" t="n">
        <v>2015</v>
      </c>
      <c r="E842" t="n">
        <v>22437480.11</v>
      </c>
      <c r="F842" t="n">
        <v>42319309.56</v>
      </c>
      <c r="G842" t="n">
        <v>8996.1567</v>
      </c>
      <c r="H842" t="n">
        <v>2013.3173</v>
      </c>
      <c r="I842" t="n">
        <v>1339.747</v>
      </c>
      <c r="J842" t="n">
        <v>5711.3233</v>
      </c>
      <c r="K842" t="inlineStr"/>
      <c r="L842" t="inlineStr"/>
      <c r="M842" t="inlineStr"/>
      <c r="N842" t="inlineStr"/>
      <c r="O842" t="n">
        <v>2019</v>
      </c>
      <c r="P842" t="n">
        <v>2030</v>
      </c>
      <c r="Q842" t="n">
        <v>0.3171</v>
      </c>
      <c r="R842" t="n">
        <v>401.7335</v>
      </c>
      <c r="S842" t="n">
        <v>0.00029221</v>
      </c>
      <c r="T842" t="n">
        <v>0.00017343</v>
      </c>
      <c r="U842" t="n">
        <v>8996.1567</v>
      </c>
      <c r="V842" t="inlineStr">
        <is>
          <t>Provided Total Emissions</t>
        </is>
      </c>
      <c r="W842" t="b">
        <v>1</v>
      </c>
      <c r="X842" t="n">
        <v>6556.4561</v>
      </c>
      <c r="Y842" t="n">
        <v>7339.4379</v>
      </c>
      <c r="Z842" t="n">
        <v>-2439.7006</v>
      </c>
      <c r="AA842" t="n">
        <v>-1656.7188</v>
      </c>
      <c r="AB842" t="n">
        <v>-0.271194</v>
      </c>
      <c r="AC842" t="n">
        <v>-0.184159</v>
      </c>
      <c r="AD842" t="inlineStr">
        <is>
          <t>High</t>
        </is>
      </c>
      <c r="AE842" t="inlineStr">
        <is>
          <t>None</t>
        </is>
      </c>
      <c r="AF842" t="n">
        <v>0.95</v>
      </c>
      <c r="AG842" t="inlineStr">
        <is>
          <t>Valid</t>
        </is>
      </c>
    </row>
    <row r="843">
      <c r="A843" t="inlineStr">
        <is>
          <t>SUP-0085</t>
        </is>
      </c>
      <c r="B843" t="inlineStr">
        <is>
          <t>Textiles Supplier 085</t>
        </is>
      </c>
      <c r="C843" t="inlineStr">
        <is>
          <t>Textiles</t>
        </is>
      </c>
      <c r="D843" t="n">
        <v>2016</v>
      </c>
      <c r="E843" t="n">
        <v>19599678.61</v>
      </c>
      <c r="F843" t="n">
        <v>39948110.06</v>
      </c>
      <c r="G843" t="n">
        <v>7108.8201</v>
      </c>
      <c r="H843" t="n">
        <v>1832.2121</v>
      </c>
      <c r="I843" t="n">
        <v>744.9233</v>
      </c>
      <c r="J843" t="n">
        <v>3916.1254</v>
      </c>
      <c r="K843" t="inlineStr"/>
      <c r="L843" t="inlineStr"/>
      <c r="M843" t="inlineStr"/>
      <c r="N843" t="inlineStr"/>
      <c r="O843" t="n">
        <v>2019</v>
      </c>
      <c r="P843" t="n">
        <v>2030</v>
      </c>
      <c r="Q843" t="n">
        <v>0.3171</v>
      </c>
      <c r="R843" t="n">
        <v>401.7335</v>
      </c>
      <c r="S843" t="n">
        <v>0.00029221</v>
      </c>
      <c r="T843" t="n">
        <v>0.00017343</v>
      </c>
      <c r="U843" t="n">
        <v>7108.8201</v>
      </c>
      <c r="V843" t="inlineStr">
        <is>
          <t>Provided Total Emissions</t>
        </is>
      </c>
      <c r="W843" t="b">
        <v>1</v>
      </c>
      <c r="X843" t="n">
        <v>5727.2221</v>
      </c>
      <c r="Y843" t="n">
        <v>6928.2007</v>
      </c>
      <c r="Z843" t="n">
        <v>-1381.598</v>
      </c>
      <c r="AA843" t="n">
        <v>-180.6194</v>
      </c>
      <c r="AB843" t="n">
        <v>-0.19435</v>
      </c>
      <c r="AC843" t="n">
        <v>-0.025408</v>
      </c>
      <c r="AD843" t="inlineStr">
        <is>
          <t>High</t>
        </is>
      </c>
      <c r="AE843" t="inlineStr">
        <is>
          <t>None</t>
        </is>
      </c>
      <c r="AF843" t="n">
        <v>0.95</v>
      </c>
      <c r="AG843" t="inlineStr">
        <is>
          <t>Valid</t>
        </is>
      </c>
    </row>
    <row r="844">
      <c r="A844" t="inlineStr">
        <is>
          <t>SUP-0085</t>
        </is>
      </c>
      <c r="B844" t="inlineStr">
        <is>
          <t>Textiles Supplier 085</t>
        </is>
      </c>
      <c r="C844" t="inlineStr">
        <is>
          <t>Textiles</t>
        </is>
      </c>
      <c r="D844" t="n">
        <v>2017</v>
      </c>
      <c r="E844" t="n">
        <v>17584347.29</v>
      </c>
      <c r="F844" t="n">
        <v>38724541.02</v>
      </c>
      <c r="G844" t="n">
        <v>5081.9098</v>
      </c>
      <c r="H844" t="n">
        <v>1176.089</v>
      </c>
      <c r="I844" t="n">
        <v>427.7885</v>
      </c>
      <c r="J844" t="n">
        <v>3338.5375</v>
      </c>
      <c r="K844" t="inlineStr"/>
      <c r="L844" t="inlineStr"/>
      <c r="M844" t="inlineStr"/>
      <c r="N844" t="inlineStr"/>
      <c r="O844" t="n">
        <v>2019</v>
      </c>
      <c r="P844" t="n">
        <v>2030</v>
      </c>
      <c r="Q844" t="n">
        <v>0.3171</v>
      </c>
      <c r="R844" t="n">
        <v>401.7335</v>
      </c>
      <c r="S844" t="n">
        <v>0.00029221</v>
      </c>
      <c r="T844" t="n">
        <v>0.00017343</v>
      </c>
      <c r="U844" t="n">
        <v>5081.9098</v>
      </c>
      <c r="V844" t="inlineStr">
        <is>
          <t>Provided Total Emissions</t>
        </is>
      </c>
      <c r="W844" t="b">
        <v>1</v>
      </c>
      <c r="X844" t="n">
        <v>5138.3221</v>
      </c>
      <c r="Y844" t="n">
        <v>6715.9971</v>
      </c>
      <c r="Z844" t="n">
        <v>56.4123</v>
      </c>
      <c r="AA844" t="n">
        <v>1634.0873</v>
      </c>
      <c r="AB844" t="n">
        <v>0.011101</v>
      </c>
      <c r="AC844" t="n">
        <v>0.32155</v>
      </c>
      <c r="AD844" t="inlineStr">
        <is>
          <t>High</t>
        </is>
      </c>
      <c r="AE844" t="inlineStr">
        <is>
          <t>None</t>
        </is>
      </c>
      <c r="AF844" t="n">
        <v>0.95</v>
      </c>
      <c r="AG844" t="inlineStr">
        <is>
          <t>Valid</t>
        </is>
      </c>
    </row>
    <row r="845">
      <c r="A845" t="inlineStr">
        <is>
          <t>SUP-0085</t>
        </is>
      </c>
      <c r="B845" t="inlineStr">
        <is>
          <t>Textiles Supplier 085</t>
        </is>
      </c>
      <c r="C845" t="inlineStr">
        <is>
          <t>Textiles</t>
        </is>
      </c>
      <c r="D845" t="n">
        <v>2018</v>
      </c>
      <c r="E845" t="n">
        <v>20549261.18</v>
      </c>
      <c r="F845" t="n">
        <v>30788309.53</v>
      </c>
      <c r="G845" t="n">
        <v>5509.257</v>
      </c>
      <c r="H845" t="n">
        <v>1124.8635</v>
      </c>
      <c r="I845" t="n">
        <v>1097.4755</v>
      </c>
      <c r="J845" t="n">
        <v>3239.7486</v>
      </c>
      <c r="K845" t="inlineStr"/>
      <c r="L845" t="inlineStr"/>
      <c r="M845" t="inlineStr"/>
      <c r="N845" t="inlineStr"/>
      <c r="O845" t="n">
        <v>2019</v>
      </c>
      <c r="P845" t="n">
        <v>2030</v>
      </c>
      <c r="Q845" t="n">
        <v>0.3171</v>
      </c>
      <c r="R845" t="n">
        <v>401.7335</v>
      </c>
      <c r="S845" t="n">
        <v>0.00029221</v>
      </c>
      <c r="T845" t="n">
        <v>0.00017343</v>
      </c>
      <c r="U845" t="n">
        <v>5509.257</v>
      </c>
      <c r="V845" t="inlineStr">
        <is>
          <t>Provided Total Emissions</t>
        </is>
      </c>
      <c r="W845" t="b">
        <v>1</v>
      </c>
      <c r="X845" t="n">
        <v>6004.6996</v>
      </c>
      <c r="Y845" t="n">
        <v>5339.6165</v>
      </c>
      <c r="Z845" t="n">
        <v>495.4426</v>
      </c>
      <c r="AA845" t="n">
        <v>-169.6405</v>
      </c>
      <c r="AB845" t="n">
        <v>0.089929</v>
      </c>
      <c r="AC845" t="n">
        <v>-0.030792</v>
      </c>
      <c r="AD845" t="inlineStr">
        <is>
          <t>High</t>
        </is>
      </c>
      <c r="AE845" t="inlineStr">
        <is>
          <t>None</t>
        </is>
      </c>
      <c r="AF845" t="n">
        <v>0.95</v>
      </c>
      <c r="AG845" t="inlineStr">
        <is>
          <t>Valid</t>
        </is>
      </c>
    </row>
    <row r="846">
      <c r="A846" t="inlineStr">
        <is>
          <t>SUP-0085</t>
        </is>
      </c>
      <c r="B846" t="inlineStr">
        <is>
          <t>Textiles Supplier 085</t>
        </is>
      </c>
      <c r="C846" t="inlineStr">
        <is>
          <t>Textiles</t>
        </is>
      </c>
      <c r="D846" t="n">
        <v>2019</v>
      </c>
      <c r="E846" t="n">
        <v>19010470.82</v>
      </c>
      <c r="F846" t="n">
        <v>40316990.81</v>
      </c>
      <c r="G846" t="n">
        <v>4872.0394</v>
      </c>
      <c r="H846" t="n">
        <v>561.0498</v>
      </c>
      <c r="I846" t="n">
        <v>985.042</v>
      </c>
      <c r="J846" t="n">
        <v>3664.2638</v>
      </c>
      <c r="K846" t="inlineStr"/>
      <c r="L846" t="inlineStr"/>
      <c r="M846" t="inlineStr"/>
      <c r="N846" t="inlineStr"/>
      <c r="O846" t="n">
        <v>2019</v>
      </c>
      <c r="P846" t="n">
        <v>2030</v>
      </c>
      <c r="Q846" t="n">
        <v>0.3171</v>
      </c>
      <c r="R846" t="n">
        <v>401.7335</v>
      </c>
      <c r="S846" t="n">
        <v>0.00029221</v>
      </c>
      <c r="T846" t="n">
        <v>0.00017343</v>
      </c>
      <c r="U846" t="n">
        <v>4872.0394</v>
      </c>
      <c r="V846" t="inlineStr">
        <is>
          <t>Provided Total Emissions</t>
        </is>
      </c>
      <c r="W846" t="b">
        <v>1</v>
      </c>
      <c r="X846" t="n">
        <v>5555.0497</v>
      </c>
      <c r="Y846" t="n">
        <v>6992.1757</v>
      </c>
      <c r="Z846" t="n">
        <v>683.0103</v>
      </c>
      <c r="AA846" t="n">
        <v>2120.1363</v>
      </c>
      <c r="AB846" t="n">
        <v>0.14019</v>
      </c>
      <c r="AC846" t="n">
        <v>0.435164</v>
      </c>
      <c r="AD846" t="inlineStr">
        <is>
          <t>High</t>
        </is>
      </c>
      <c r="AE846" t="inlineStr">
        <is>
          <t>None</t>
        </is>
      </c>
      <c r="AF846" t="n">
        <v>0.95</v>
      </c>
      <c r="AG846" t="inlineStr">
        <is>
          <t>Valid</t>
        </is>
      </c>
    </row>
    <row r="847">
      <c r="A847" t="inlineStr">
        <is>
          <t>SUP-0085</t>
        </is>
      </c>
      <c r="B847" t="inlineStr">
        <is>
          <t>Textiles Supplier 085</t>
        </is>
      </c>
      <c r="C847" t="inlineStr">
        <is>
          <t>Textiles</t>
        </is>
      </c>
      <c r="D847" t="n">
        <v>2020</v>
      </c>
      <c r="E847" t="n">
        <v>16020328.49</v>
      </c>
      <c r="F847" t="n">
        <v>33569883.97</v>
      </c>
      <c r="G847" t="n">
        <v>3856.7525</v>
      </c>
      <c r="H847" t="n">
        <v>932.4903</v>
      </c>
      <c r="I847" t="n">
        <v>351.5149</v>
      </c>
      <c r="J847" t="n">
        <v>2631.4215</v>
      </c>
      <c r="K847" t="inlineStr"/>
      <c r="L847" t="inlineStr"/>
      <c r="M847" t="inlineStr"/>
      <c r="N847" t="inlineStr"/>
      <c r="O847" t="n">
        <v>2019</v>
      </c>
      <c r="P847" t="n">
        <v>2030</v>
      </c>
      <c r="Q847" t="n">
        <v>0.3171</v>
      </c>
      <c r="R847" t="n">
        <v>401.7335</v>
      </c>
      <c r="S847" t="n">
        <v>0.00029221</v>
      </c>
      <c r="T847" t="n">
        <v>0.00017343</v>
      </c>
      <c r="U847" t="n">
        <v>3856.7525</v>
      </c>
      <c r="V847" t="inlineStr">
        <is>
          <t>Provided Total Emissions</t>
        </is>
      </c>
      <c r="W847" t="b">
        <v>1</v>
      </c>
      <c r="X847" t="n">
        <v>4681.3002</v>
      </c>
      <c r="Y847" t="n">
        <v>5822.025</v>
      </c>
      <c r="Z847" t="n">
        <v>824.5477</v>
      </c>
      <c r="AA847" t="n">
        <v>1965.2725</v>
      </c>
      <c r="AB847" t="n">
        <v>0.213793</v>
      </c>
      <c r="AC847" t="n">
        <v>0.509567</v>
      </c>
      <c r="AD847" t="inlineStr">
        <is>
          <t>High</t>
        </is>
      </c>
      <c r="AE847" t="inlineStr">
        <is>
          <t>None</t>
        </is>
      </c>
      <c r="AF847" t="n">
        <v>0.95</v>
      </c>
      <c r="AG847" t="inlineStr">
        <is>
          <t>Valid</t>
        </is>
      </c>
    </row>
    <row r="848">
      <c r="A848" t="inlineStr">
        <is>
          <t>SUP-0085</t>
        </is>
      </c>
      <c r="B848" t="inlineStr">
        <is>
          <t>Textiles Supplier 085</t>
        </is>
      </c>
      <c r="C848" t="inlineStr">
        <is>
          <t>Textiles</t>
        </is>
      </c>
      <c r="D848" t="n">
        <v>2021</v>
      </c>
      <c r="E848" t="n">
        <v>18712825.11</v>
      </c>
      <c r="F848" t="n">
        <v>37269652.28</v>
      </c>
      <c r="G848" t="n">
        <v>4733.7122</v>
      </c>
      <c r="H848" t="n">
        <v>1164.2816</v>
      </c>
      <c r="I848" t="n">
        <v>367.6896</v>
      </c>
      <c r="J848" t="n">
        <v>3391.2818</v>
      </c>
      <c r="K848" t="inlineStr"/>
      <c r="L848" t="inlineStr"/>
      <c r="M848" t="inlineStr"/>
      <c r="N848" t="inlineStr"/>
      <c r="O848" t="n">
        <v>2019</v>
      </c>
      <c r="P848" t="n">
        <v>2030</v>
      </c>
      <c r="Q848" t="n">
        <v>0.3171</v>
      </c>
      <c r="R848" t="n">
        <v>401.7335</v>
      </c>
      <c r="S848" t="n">
        <v>0.00029221</v>
      </c>
      <c r="T848" t="n">
        <v>0.00017343</v>
      </c>
      <c r="U848" t="n">
        <v>4733.7122</v>
      </c>
      <c r="V848" t="inlineStr">
        <is>
          <t>Provided Total Emissions</t>
        </is>
      </c>
      <c r="W848" t="b">
        <v>1</v>
      </c>
      <c r="X848" t="n">
        <v>5468.0746</v>
      </c>
      <c r="Y848" t="n">
        <v>6463.6758</v>
      </c>
      <c r="Z848" t="n">
        <v>734.3624</v>
      </c>
      <c r="AA848" t="n">
        <v>1729.9636</v>
      </c>
      <c r="AB848" t="n">
        <v>0.155135</v>
      </c>
      <c r="AC848" t="n">
        <v>0.365456</v>
      </c>
      <c r="AD848" t="inlineStr">
        <is>
          <t>High</t>
        </is>
      </c>
      <c r="AE848" t="inlineStr">
        <is>
          <t>None</t>
        </is>
      </c>
      <c r="AF848" t="n">
        <v>0.95</v>
      </c>
      <c r="AG848" t="inlineStr">
        <is>
          <t>Valid</t>
        </is>
      </c>
    </row>
    <row r="849">
      <c r="A849" t="inlineStr">
        <is>
          <t>SUP-0085</t>
        </is>
      </c>
      <c r="B849" t="inlineStr">
        <is>
          <t>Textiles Supplier 085</t>
        </is>
      </c>
      <c r="C849" t="inlineStr">
        <is>
          <t>Textiles</t>
        </is>
      </c>
      <c r="D849" t="n">
        <v>2022</v>
      </c>
      <c r="E849" t="n">
        <v>15894987.31</v>
      </c>
      <c r="F849" t="n">
        <v>31864577.13</v>
      </c>
      <c r="G849" t="n">
        <v>4156.6292</v>
      </c>
      <c r="H849" t="n">
        <v>703.6966</v>
      </c>
      <c r="I849" t="n">
        <v>340.4755</v>
      </c>
      <c r="J849" t="n">
        <v>3287.1491</v>
      </c>
      <c r="K849" t="inlineStr"/>
      <c r="L849" t="inlineStr"/>
      <c r="M849" t="inlineStr"/>
      <c r="N849" t="inlineStr"/>
      <c r="O849" t="n">
        <v>2019</v>
      </c>
      <c r="P849" t="n">
        <v>2030</v>
      </c>
      <c r="Q849" t="n">
        <v>0.3171</v>
      </c>
      <c r="R849" t="n">
        <v>401.7335</v>
      </c>
      <c r="S849" t="n">
        <v>0.00029221</v>
      </c>
      <c r="T849" t="n">
        <v>0.00017343</v>
      </c>
      <c r="U849" t="n">
        <v>4156.6292</v>
      </c>
      <c r="V849" t="inlineStr">
        <is>
          <t>Provided Total Emissions</t>
        </is>
      </c>
      <c r="W849" t="b">
        <v>1</v>
      </c>
      <c r="X849" t="n">
        <v>4644.6742</v>
      </c>
      <c r="Y849" t="n">
        <v>5526.2736</v>
      </c>
      <c r="Z849" t="n">
        <v>488.045</v>
      </c>
      <c r="AA849" t="n">
        <v>1369.6444</v>
      </c>
      <c r="AB849" t="n">
        <v>0.117414</v>
      </c>
      <c r="AC849" t="n">
        <v>0.329508</v>
      </c>
      <c r="AD849" t="inlineStr">
        <is>
          <t>High</t>
        </is>
      </c>
      <c r="AE849" t="inlineStr">
        <is>
          <t>None</t>
        </is>
      </c>
      <c r="AF849" t="n">
        <v>0.95</v>
      </c>
      <c r="AG849" t="inlineStr">
        <is>
          <t>Valid</t>
        </is>
      </c>
    </row>
    <row r="850">
      <c r="A850" t="inlineStr">
        <is>
          <t>SUP-0085</t>
        </is>
      </c>
      <c r="B850" t="inlineStr">
        <is>
          <t>Textiles Supplier 085</t>
        </is>
      </c>
      <c r="C850" t="inlineStr">
        <is>
          <t>Textiles</t>
        </is>
      </c>
      <c r="D850" t="n">
        <v>2023</v>
      </c>
      <c r="E850" t="n">
        <v>16240902.44</v>
      </c>
      <c r="F850" t="n">
        <v>47044876.3</v>
      </c>
      <c r="G850" t="n">
        <v>4050.3292</v>
      </c>
      <c r="H850" t="n">
        <v>464.4912</v>
      </c>
      <c r="I850" t="n">
        <v>237.7409</v>
      </c>
      <c r="J850" t="n">
        <v>3577.8447</v>
      </c>
      <c r="K850" t="inlineStr"/>
      <c r="L850" t="inlineStr"/>
      <c r="M850" t="inlineStr"/>
      <c r="N850" t="inlineStr"/>
      <c r="O850" t="n">
        <v>2019</v>
      </c>
      <c r="P850" t="n">
        <v>2030</v>
      </c>
      <c r="Q850" t="n">
        <v>0.3171</v>
      </c>
      <c r="R850" t="n">
        <v>401.7335</v>
      </c>
      <c r="S850" t="n">
        <v>0.00029221</v>
      </c>
      <c r="T850" t="n">
        <v>0.00017343</v>
      </c>
      <c r="U850" t="n">
        <v>4050.3292</v>
      </c>
      <c r="V850" t="inlineStr">
        <is>
          <t>Provided Total Emissions</t>
        </is>
      </c>
      <c r="W850" t="b">
        <v>1</v>
      </c>
      <c r="X850" t="n">
        <v>4745.7541</v>
      </c>
      <c r="Y850" t="n">
        <v>8158.9929</v>
      </c>
      <c r="Z850" t="n">
        <v>695.4249</v>
      </c>
      <c r="AA850" t="n">
        <v>4108.6637</v>
      </c>
      <c r="AB850" t="n">
        <v>0.171696</v>
      </c>
      <c r="AC850" t="n">
        <v>1.014402</v>
      </c>
      <c r="AD850" t="inlineStr">
        <is>
          <t>High</t>
        </is>
      </c>
      <c r="AE850" t="inlineStr">
        <is>
          <t>None</t>
        </is>
      </c>
      <c r="AF850" t="n">
        <v>0.95</v>
      </c>
      <c r="AG850" t="inlineStr">
        <is>
          <t>Valid</t>
        </is>
      </c>
    </row>
    <row r="851">
      <c r="A851" t="inlineStr">
        <is>
          <t>SUP-0085</t>
        </is>
      </c>
      <c r="B851" t="inlineStr">
        <is>
          <t>Textiles Supplier 085</t>
        </is>
      </c>
      <c r="C851" t="inlineStr">
        <is>
          <t>Textiles</t>
        </is>
      </c>
      <c r="D851" t="n">
        <v>2024</v>
      </c>
      <c r="E851" t="n">
        <v>15414392.3</v>
      </c>
      <c r="F851" t="n">
        <v>24182140.62</v>
      </c>
      <c r="G851" t="n">
        <v>3589.5178</v>
      </c>
      <c r="H851" t="n">
        <v>743.7755</v>
      </c>
      <c r="I851" t="n">
        <v>449.8981</v>
      </c>
      <c r="J851" t="n">
        <v>2587.5136</v>
      </c>
      <c r="K851" t="inlineStr"/>
      <c r="L851" t="inlineStr"/>
      <c r="M851" t="inlineStr"/>
      <c r="N851" t="inlineStr"/>
      <c r="O851" t="n">
        <v>2019</v>
      </c>
      <c r="P851" t="n">
        <v>2030</v>
      </c>
      <c r="Q851" t="n">
        <v>0.3171</v>
      </c>
      <c r="R851" t="n">
        <v>401.7335</v>
      </c>
      <c r="S851" t="n">
        <v>0.00029221</v>
      </c>
      <c r="T851" t="n">
        <v>0.00017343</v>
      </c>
      <c r="U851" t="n">
        <v>3589.5178</v>
      </c>
      <c r="V851" t="inlineStr">
        <is>
          <t>Provided Total Emissions</t>
        </is>
      </c>
      <c r="W851" t="b">
        <v>1</v>
      </c>
      <c r="X851" t="n">
        <v>4504.2396</v>
      </c>
      <c r="Y851" t="n">
        <v>4193.9086</v>
      </c>
      <c r="Z851" t="n">
        <v>914.7218</v>
      </c>
      <c r="AA851" t="n">
        <v>604.3908</v>
      </c>
      <c r="AB851" t="n">
        <v>0.254831</v>
      </c>
      <c r="AC851" t="n">
        <v>0.168377</v>
      </c>
      <c r="AD851" t="inlineStr">
        <is>
          <t>High</t>
        </is>
      </c>
      <c r="AE851" t="inlineStr">
        <is>
          <t>None</t>
        </is>
      </c>
      <c r="AF851" t="n">
        <v>0.95</v>
      </c>
      <c r="AG851" t="inlineStr">
        <is>
          <t>Valid</t>
        </is>
      </c>
    </row>
    <row r="852">
      <c r="A852" t="inlineStr">
        <is>
          <t>SUP-0086</t>
        </is>
      </c>
      <c r="B852" t="inlineStr">
        <is>
          <t>Metals Supplier 086</t>
        </is>
      </c>
      <c r="C852" t="inlineStr">
        <is>
          <t>Metals</t>
        </is>
      </c>
      <c r="D852" t="n">
        <v>2015</v>
      </c>
      <c r="E852" t="n">
        <v>1778787.37</v>
      </c>
      <c r="F852" t="n">
        <v>3346305.49</v>
      </c>
      <c r="G852" t="n">
        <v>2727.1173</v>
      </c>
      <c r="H852" t="n">
        <v>558.7574</v>
      </c>
      <c r="I852" t="n">
        <v>500.5808</v>
      </c>
      <c r="J852" t="n">
        <v>1693.5332</v>
      </c>
      <c r="K852" t="n">
        <v>2019</v>
      </c>
      <c r="L852" t="n">
        <v>2035</v>
      </c>
      <c r="M852" t="n">
        <v>0.4157</v>
      </c>
      <c r="N852" t="n">
        <v>0.2236</v>
      </c>
      <c r="O852" t="n">
        <v>2019</v>
      </c>
      <c r="P852" t="n">
        <v>2030</v>
      </c>
      <c r="Q852" t="n">
        <v>0.3852</v>
      </c>
      <c r="R852" t="n">
        <v>158.2904</v>
      </c>
      <c r="S852" t="n">
        <v>0.00100695</v>
      </c>
      <c r="T852" t="n">
        <v>0.00065008</v>
      </c>
      <c r="U852" t="n">
        <v>2727.1173</v>
      </c>
      <c r="V852" t="inlineStr">
        <is>
          <t>Provided Total Emissions</t>
        </is>
      </c>
      <c r="W852" t="b">
        <v>1</v>
      </c>
      <c r="X852" t="n">
        <v>1791.1499</v>
      </c>
      <c r="Y852" t="n">
        <v>2175.3663</v>
      </c>
      <c r="Z852" t="n">
        <v>-935.9674</v>
      </c>
      <c r="AA852" t="n">
        <v>-551.751</v>
      </c>
      <c r="AB852" t="n">
        <v>-0.343208</v>
      </c>
      <c r="AC852" t="n">
        <v>-0.20232</v>
      </c>
      <c r="AD852" t="inlineStr">
        <is>
          <t>High</t>
        </is>
      </c>
      <c r="AE852" t="inlineStr">
        <is>
          <t>None</t>
        </is>
      </c>
      <c r="AF852" t="n">
        <v>0.95</v>
      </c>
      <c r="AG852" t="inlineStr">
        <is>
          <t>Valid</t>
        </is>
      </c>
    </row>
    <row r="853">
      <c r="A853" t="inlineStr">
        <is>
          <t>SUP-0086</t>
        </is>
      </c>
      <c r="B853" t="inlineStr">
        <is>
          <t>Metals Supplier 086</t>
        </is>
      </c>
      <c r="C853" t="inlineStr">
        <is>
          <t>Metals</t>
        </is>
      </c>
      <c r="D853" t="n">
        <v>2016</v>
      </c>
      <c r="E853" t="n">
        <v>1782240.71</v>
      </c>
      <c r="F853" t="n">
        <v>2833455.3</v>
      </c>
      <c r="G853" t="n">
        <v>2673.3614</v>
      </c>
      <c r="H853" t="n">
        <v>232.1412</v>
      </c>
      <c r="I853" t="n">
        <v>471.9322</v>
      </c>
      <c r="J853" t="n">
        <v>1920.339</v>
      </c>
      <c r="K853" t="n">
        <v>2019</v>
      </c>
      <c r="L853" t="n">
        <v>2035</v>
      </c>
      <c r="M853" t="n">
        <v>0.4157</v>
      </c>
      <c r="N853" t="n">
        <v>0.2236</v>
      </c>
      <c r="O853" t="n">
        <v>2019</v>
      </c>
      <c r="P853" t="n">
        <v>2030</v>
      </c>
      <c r="Q853" t="n">
        <v>0.3852</v>
      </c>
      <c r="R853" t="n">
        <v>158.2904</v>
      </c>
      <c r="S853" t="n">
        <v>0.00100695</v>
      </c>
      <c r="T853" t="n">
        <v>0.00065008</v>
      </c>
      <c r="U853" t="n">
        <v>2673.3614</v>
      </c>
      <c r="V853" t="inlineStr">
        <is>
          <t>Provided Total Emissions</t>
        </is>
      </c>
      <c r="W853" t="b">
        <v>1</v>
      </c>
      <c r="X853" t="n">
        <v>1794.6273</v>
      </c>
      <c r="Y853" t="n">
        <v>1841.9726</v>
      </c>
      <c r="Z853" t="n">
        <v>-878.7341</v>
      </c>
      <c r="AA853" t="n">
        <v>-831.3887999999999</v>
      </c>
      <c r="AB853" t="n">
        <v>-0.3287</v>
      </c>
      <c r="AC853" t="n">
        <v>-0.31099</v>
      </c>
      <c r="AD853" t="inlineStr">
        <is>
          <t>High</t>
        </is>
      </c>
      <c r="AE853" t="inlineStr">
        <is>
          <t>None</t>
        </is>
      </c>
      <c r="AF853" t="n">
        <v>0.95</v>
      </c>
      <c r="AG853" t="inlineStr">
        <is>
          <t>Valid</t>
        </is>
      </c>
    </row>
    <row r="854">
      <c r="A854" t="inlineStr">
        <is>
          <t>SUP-0086</t>
        </is>
      </c>
      <c r="B854" t="inlineStr">
        <is>
          <t>Metals Supplier 086</t>
        </is>
      </c>
      <c r="C854" t="inlineStr">
        <is>
          <t>Metals</t>
        </is>
      </c>
      <c r="D854" t="n">
        <v>2017</v>
      </c>
      <c r="E854" t="n">
        <v>2032053.38</v>
      </c>
      <c r="F854" t="n">
        <v>3396132.96</v>
      </c>
      <c r="G854" t="n">
        <v>3059.3666</v>
      </c>
      <c r="H854" t="n">
        <v>855.2037</v>
      </c>
      <c r="I854" t="n">
        <v>355.6319</v>
      </c>
      <c r="J854" t="n">
        <v>2012.8679</v>
      </c>
      <c r="K854" t="n">
        <v>2019</v>
      </c>
      <c r="L854" t="n">
        <v>2035</v>
      </c>
      <c r="M854" t="n">
        <v>0.4157</v>
      </c>
      <c r="N854" t="n">
        <v>0.2236</v>
      </c>
      <c r="O854" t="n">
        <v>2019</v>
      </c>
      <c r="P854" t="n">
        <v>2030</v>
      </c>
      <c r="Q854" t="n">
        <v>0.3852</v>
      </c>
      <c r="R854" t="n">
        <v>158.2904</v>
      </c>
      <c r="S854" t="n">
        <v>0.00100695</v>
      </c>
      <c r="T854" t="n">
        <v>0.00065008</v>
      </c>
      <c r="U854" t="n">
        <v>3059.3666</v>
      </c>
      <c r="V854" t="inlineStr">
        <is>
          <t>Provided Total Emissions</t>
        </is>
      </c>
      <c r="W854" t="b">
        <v>1</v>
      </c>
      <c r="X854" t="n">
        <v>2046.1762</v>
      </c>
      <c r="Y854" t="n">
        <v>2207.7581</v>
      </c>
      <c r="Z854" t="n">
        <v>-1013.1904</v>
      </c>
      <c r="AA854" t="n">
        <v>-851.6085</v>
      </c>
      <c r="AB854" t="n">
        <v>-0.331177</v>
      </c>
      <c r="AC854" t="n">
        <v>-0.278361</v>
      </c>
      <c r="AD854" t="inlineStr">
        <is>
          <t>High</t>
        </is>
      </c>
      <c r="AE854" t="inlineStr">
        <is>
          <t>None</t>
        </is>
      </c>
      <c r="AF854" t="n">
        <v>0.95</v>
      </c>
      <c r="AG854" t="inlineStr">
        <is>
          <t>Valid</t>
        </is>
      </c>
    </row>
    <row r="855">
      <c r="A855" t="inlineStr">
        <is>
          <t>SUP-0086</t>
        </is>
      </c>
      <c r="B855" t="inlineStr">
        <is>
          <t>Metals Supplier 086</t>
        </is>
      </c>
      <c r="C855" t="inlineStr">
        <is>
          <t>Metals</t>
        </is>
      </c>
      <c r="D855" t="n">
        <v>2018</v>
      </c>
      <c r="E855" t="n">
        <v>1737733.59</v>
      </c>
      <c r="F855" t="n">
        <v>3725852.44</v>
      </c>
      <c r="G855" t="n">
        <v>1582.5973</v>
      </c>
      <c r="H855" t="n">
        <v>341.4087</v>
      </c>
      <c r="I855" t="n">
        <v>224.8175</v>
      </c>
      <c r="J855" t="n">
        <v>1020.4693</v>
      </c>
      <c r="K855" t="n">
        <v>2019</v>
      </c>
      <c r="L855" t="n">
        <v>2035</v>
      </c>
      <c r="M855" t="n">
        <v>0.4157</v>
      </c>
      <c r="N855" t="n">
        <v>0.2236</v>
      </c>
      <c r="O855" t="n">
        <v>2019</v>
      </c>
      <c r="P855" t="n">
        <v>2030</v>
      </c>
      <c r="Q855" t="n">
        <v>0.3852</v>
      </c>
      <c r="R855" t="n">
        <v>158.2904</v>
      </c>
      <c r="S855" t="n">
        <v>0.00100695</v>
      </c>
      <c r="T855" t="n">
        <v>0.00065008</v>
      </c>
      <c r="U855" t="n">
        <v>1582.5973</v>
      </c>
      <c r="V855" t="inlineStr">
        <is>
          <t>Provided Total Emissions</t>
        </is>
      </c>
      <c r="W855" t="b">
        <v>1</v>
      </c>
      <c r="X855" t="n">
        <v>1749.8108</v>
      </c>
      <c r="Y855" t="n">
        <v>2422.1022</v>
      </c>
      <c r="Z855" t="n">
        <v>167.2135</v>
      </c>
      <c r="AA855" t="n">
        <v>839.5049</v>
      </c>
      <c r="AB855" t="n">
        <v>0.105658</v>
      </c>
      <c r="AC855" t="n">
        <v>0.53046</v>
      </c>
      <c r="AD855" t="inlineStr">
        <is>
          <t>High</t>
        </is>
      </c>
      <c r="AE855" t="inlineStr">
        <is>
          <t>None</t>
        </is>
      </c>
      <c r="AF855" t="n">
        <v>0.95</v>
      </c>
      <c r="AG855" t="inlineStr">
        <is>
          <t>Valid</t>
        </is>
      </c>
    </row>
    <row r="856">
      <c r="A856" t="inlineStr">
        <is>
          <t>SUP-0086</t>
        </is>
      </c>
      <c r="B856" t="inlineStr">
        <is>
          <t>Metals Supplier 086</t>
        </is>
      </c>
      <c r="C856" t="inlineStr">
        <is>
          <t>Metals</t>
        </is>
      </c>
      <c r="D856" t="n">
        <v>2019</v>
      </c>
      <c r="E856" t="n">
        <v>1877082.99</v>
      </c>
      <c r="F856" t="n">
        <v>3648706.47</v>
      </c>
      <c r="G856" t="n">
        <v>2718.5047</v>
      </c>
      <c r="H856" t="n">
        <v>310.8262</v>
      </c>
      <c r="I856" t="n">
        <v>592.1336</v>
      </c>
      <c r="J856" t="n">
        <v>1984.6916</v>
      </c>
      <c r="K856" t="n">
        <v>2019</v>
      </c>
      <c r="L856" t="n">
        <v>2035</v>
      </c>
      <c r="M856" t="n">
        <v>0.4157</v>
      </c>
      <c r="N856" t="n">
        <v>0.2236</v>
      </c>
      <c r="O856" t="n">
        <v>2019</v>
      </c>
      <c r="P856" t="n">
        <v>2030</v>
      </c>
      <c r="Q856" t="n">
        <v>0.3852</v>
      </c>
      <c r="R856" t="n">
        <v>158.2904</v>
      </c>
      <c r="S856" t="n">
        <v>0.00100695</v>
      </c>
      <c r="T856" t="n">
        <v>0.00065008</v>
      </c>
      <c r="U856" t="n">
        <v>2718.5047</v>
      </c>
      <c r="V856" t="inlineStr">
        <is>
          <t>Provided Total Emissions</t>
        </is>
      </c>
      <c r="W856" t="b">
        <v>1</v>
      </c>
      <c r="X856" t="n">
        <v>1890.1287</v>
      </c>
      <c r="Y856" t="n">
        <v>2371.9511</v>
      </c>
      <c r="Z856" t="n">
        <v>-828.376</v>
      </c>
      <c r="AA856" t="n">
        <v>-346.5536</v>
      </c>
      <c r="AB856" t="n">
        <v>-0.304718</v>
      </c>
      <c r="AC856" t="n">
        <v>-0.127479</v>
      </c>
      <c r="AD856" t="inlineStr">
        <is>
          <t>High</t>
        </is>
      </c>
      <c r="AE856" t="inlineStr">
        <is>
          <t>None</t>
        </is>
      </c>
      <c r="AF856" t="n">
        <v>0.95</v>
      </c>
      <c r="AG856" t="inlineStr">
        <is>
          <t>Valid</t>
        </is>
      </c>
    </row>
    <row r="857">
      <c r="A857" t="inlineStr">
        <is>
          <t>SUP-0086</t>
        </is>
      </c>
      <c r="B857" t="inlineStr">
        <is>
          <t>Metals Supplier 086</t>
        </is>
      </c>
      <c r="C857" t="inlineStr">
        <is>
          <t>Metals</t>
        </is>
      </c>
      <c r="D857" t="n">
        <v>2020</v>
      </c>
      <c r="E857" t="n">
        <v>1502734.85</v>
      </c>
      <c r="F857" t="n">
        <v>3264573.84</v>
      </c>
      <c r="G857" t="n">
        <v>2398.0387</v>
      </c>
      <c r="H857" t="n">
        <v>675.4724</v>
      </c>
      <c r="I857" t="n">
        <v>164.3893</v>
      </c>
      <c r="J857" t="n">
        <v>1628.1638</v>
      </c>
      <c r="K857" t="n">
        <v>2019</v>
      </c>
      <c r="L857" t="n">
        <v>2035</v>
      </c>
      <c r="M857" t="n">
        <v>0.4157</v>
      </c>
      <c r="N857" t="n">
        <v>0.2236</v>
      </c>
      <c r="O857" t="n">
        <v>2019</v>
      </c>
      <c r="P857" t="n">
        <v>2030</v>
      </c>
      <c r="Q857" t="n">
        <v>0.3852</v>
      </c>
      <c r="R857" t="n">
        <v>158.2904</v>
      </c>
      <c r="S857" t="n">
        <v>0.00100695</v>
      </c>
      <c r="T857" t="n">
        <v>0.00065008</v>
      </c>
      <c r="U857" t="n">
        <v>2398.0387</v>
      </c>
      <c r="V857" t="inlineStr">
        <is>
          <t>Provided Total Emissions</t>
        </is>
      </c>
      <c r="W857" t="b">
        <v>1</v>
      </c>
      <c r="X857" t="n">
        <v>1513.1789</v>
      </c>
      <c r="Y857" t="n">
        <v>2122.2342</v>
      </c>
      <c r="Z857" t="n">
        <v>-884.8598</v>
      </c>
      <c r="AA857" t="n">
        <v>-275.8045</v>
      </c>
      <c r="AB857" t="n">
        <v>-0.368993</v>
      </c>
      <c r="AC857" t="n">
        <v>-0.115013</v>
      </c>
      <c r="AD857" t="inlineStr">
        <is>
          <t>High</t>
        </is>
      </c>
      <c r="AE857" t="inlineStr">
        <is>
          <t>None</t>
        </is>
      </c>
      <c r="AF857" t="n">
        <v>0.95</v>
      </c>
      <c r="AG857" t="inlineStr">
        <is>
          <t>Valid</t>
        </is>
      </c>
    </row>
    <row r="858">
      <c r="A858" t="inlineStr">
        <is>
          <t>SUP-0086</t>
        </is>
      </c>
      <c r="B858" t="inlineStr">
        <is>
          <t>Metals Supplier 086</t>
        </is>
      </c>
      <c r="C858" t="inlineStr">
        <is>
          <t>Metals</t>
        </is>
      </c>
      <c r="D858" t="n">
        <v>2021</v>
      </c>
      <c r="E858" t="n">
        <v>1707502.04</v>
      </c>
      <c r="F858" t="n">
        <v>3471332.37</v>
      </c>
      <c r="G858" t="n">
        <v>2711.9468</v>
      </c>
      <c r="H858" t="n">
        <v>391.5631</v>
      </c>
      <c r="I858" t="n">
        <v>458.008</v>
      </c>
      <c r="J858" t="n">
        <v>1758.5281</v>
      </c>
      <c r="K858" t="n">
        <v>2019</v>
      </c>
      <c r="L858" t="n">
        <v>2035</v>
      </c>
      <c r="M858" t="n">
        <v>0.4157</v>
      </c>
      <c r="N858" t="n">
        <v>0.2236</v>
      </c>
      <c r="O858" t="n">
        <v>2019</v>
      </c>
      <c r="P858" t="n">
        <v>2030</v>
      </c>
      <c r="Q858" t="n">
        <v>0.3852</v>
      </c>
      <c r="R858" t="n">
        <v>158.2904</v>
      </c>
      <c r="S858" t="n">
        <v>0.00100695</v>
      </c>
      <c r="T858" t="n">
        <v>0.00065008</v>
      </c>
      <c r="U858" t="n">
        <v>2711.9468</v>
      </c>
      <c r="V858" t="inlineStr">
        <is>
          <t>Provided Total Emissions</t>
        </is>
      </c>
      <c r="W858" t="b">
        <v>1</v>
      </c>
      <c r="X858" t="n">
        <v>1719.3692</v>
      </c>
      <c r="Y858" t="n">
        <v>2256.6437</v>
      </c>
      <c r="Z858" t="n">
        <v>-992.5776</v>
      </c>
      <c r="AA858" t="n">
        <v>-455.3031</v>
      </c>
      <c r="AB858" t="n">
        <v>-0.366002</v>
      </c>
      <c r="AC858" t="n">
        <v>-0.167888</v>
      </c>
      <c r="AD858" t="inlineStr">
        <is>
          <t>High</t>
        </is>
      </c>
      <c r="AE858" t="inlineStr">
        <is>
          <t>None</t>
        </is>
      </c>
      <c r="AF858" t="n">
        <v>0.95</v>
      </c>
      <c r="AG858" t="inlineStr">
        <is>
          <t>Valid</t>
        </is>
      </c>
    </row>
    <row r="859">
      <c r="A859" t="inlineStr">
        <is>
          <t>SUP-0086</t>
        </is>
      </c>
      <c r="B859" t="inlineStr">
        <is>
          <t>Metals Supplier 086</t>
        </is>
      </c>
      <c r="C859" t="inlineStr">
        <is>
          <t>Metals</t>
        </is>
      </c>
      <c r="D859" t="n">
        <v>2022</v>
      </c>
      <c r="E859" t="n">
        <v>1737752.06</v>
      </c>
      <c r="F859" t="n">
        <v>4941347.33</v>
      </c>
      <c r="G859" t="n">
        <v>2483.5516</v>
      </c>
      <c r="H859" t="n">
        <v>287.1078</v>
      </c>
      <c r="I859" t="n">
        <v>328.8904</v>
      </c>
      <c r="J859" t="n">
        <v>1860.9621</v>
      </c>
      <c r="K859" t="n">
        <v>2019</v>
      </c>
      <c r="L859" t="n">
        <v>2035</v>
      </c>
      <c r="M859" t="n">
        <v>0.4157</v>
      </c>
      <c r="N859" t="n">
        <v>0.2236</v>
      </c>
      <c r="O859" t="n">
        <v>2019</v>
      </c>
      <c r="P859" t="n">
        <v>2030</v>
      </c>
      <c r="Q859" t="n">
        <v>0.3852</v>
      </c>
      <c r="R859" t="n">
        <v>158.2904</v>
      </c>
      <c r="S859" t="n">
        <v>0.00100695</v>
      </c>
      <c r="T859" t="n">
        <v>0.00065008</v>
      </c>
      <c r="U859" t="n">
        <v>2483.5516</v>
      </c>
      <c r="V859" t="inlineStr">
        <is>
          <t>Provided Total Emissions</t>
        </is>
      </c>
      <c r="W859" t="b">
        <v>1</v>
      </c>
      <c r="X859" t="n">
        <v>1749.8294</v>
      </c>
      <c r="Y859" t="n">
        <v>3212.2711</v>
      </c>
      <c r="Z859" t="n">
        <v>-733.7222</v>
      </c>
      <c r="AA859" t="n">
        <v>728.7195</v>
      </c>
      <c r="AB859" t="n">
        <v>-0.295433</v>
      </c>
      <c r="AC859" t="n">
        <v>0.293418</v>
      </c>
      <c r="AD859" t="inlineStr">
        <is>
          <t>High</t>
        </is>
      </c>
      <c r="AE859" t="inlineStr">
        <is>
          <t>None</t>
        </is>
      </c>
      <c r="AF859" t="n">
        <v>0.95</v>
      </c>
      <c r="AG859" t="inlineStr">
        <is>
          <t>Valid</t>
        </is>
      </c>
    </row>
    <row r="860">
      <c r="A860" t="inlineStr">
        <is>
          <t>SUP-0086</t>
        </is>
      </c>
      <c r="B860" t="inlineStr">
        <is>
          <t>Metals Supplier 086</t>
        </is>
      </c>
      <c r="C860" t="inlineStr">
        <is>
          <t>Metals</t>
        </is>
      </c>
      <c r="D860" t="n">
        <v>2023</v>
      </c>
      <c r="E860" t="n">
        <v>1812242.55</v>
      </c>
      <c r="F860" t="n">
        <v>3913252.34</v>
      </c>
      <c r="G860" t="n">
        <v>2153.9995</v>
      </c>
      <c r="H860" t="n">
        <v>303.4362</v>
      </c>
      <c r="I860" t="n">
        <v>184.1007</v>
      </c>
      <c r="J860" t="n">
        <v>1906.0315</v>
      </c>
      <c r="K860" t="n">
        <v>2019</v>
      </c>
      <c r="L860" t="n">
        <v>2035</v>
      </c>
      <c r="M860" t="n">
        <v>0.4157</v>
      </c>
      <c r="N860" t="n">
        <v>0.2236</v>
      </c>
      <c r="O860" t="n">
        <v>2019</v>
      </c>
      <c r="P860" t="n">
        <v>2030</v>
      </c>
      <c r="Q860" t="n">
        <v>0.3852</v>
      </c>
      <c r="R860" t="n">
        <v>158.2904</v>
      </c>
      <c r="S860" t="n">
        <v>0.00100695</v>
      </c>
      <c r="T860" t="n">
        <v>0.00065008</v>
      </c>
      <c r="U860" t="n">
        <v>2153.9995</v>
      </c>
      <c r="V860" t="inlineStr">
        <is>
          <t>Provided Total Emissions</t>
        </is>
      </c>
      <c r="W860" t="b">
        <v>1</v>
      </c>
      <c r="X860" t="n">
        <v>1824.8376</v>
      </c>
      <c r="Y860" t="n">
        <v>2543.9271</v>
      </c>
      <c r="Z860" t="n">
        <v>-329.1619</v>
      </c>
      <c r="AA860" t="n">
        <v>389.9276</v>
      </c>
      <c r="AB860" t="n">
        <v>-0.152814</v>
      </c>
      <c r="AC860" t="n">
        <v>0.181025</v>
      </c>
      <c r="AD860" t="inlineStr">
        <is>
          <t>High</t>
        </is>
      </c>
      <c r="AE860" t="inlineStr">
        <is>
          <t>None</t>
        </is>
      </c>
      <c r="AF860" t="n">
        <v>0.95</v>
      </c>
      <c r="AG860" t="inlineStr">
        <is>
          <t>Valid</t>
        </is>
      </c>
    </row>
    <row r="861">
      <c r="A861" t="inlineStr">
        <is>
          <t>SUP-0086</t>
        </is>
      </c>
      <c r="B861" t="inlineStr">
        <is>
          <t>Metals Supplier 086</t>
        </is>
      </c>
      <c r="C861" t="inlineStr">
        <is>
          <t>Metals</t>
        </is>
      </c>
      <c r="D861" t="n">
        <v>2024</v>
      </c>
      <c r="E861" t="n">
        <v>1748766.21</v>
      </c>
      <c r="F861" t="n">
        <v>3973976.01</v>
      </c>
      <c r="G861" t="n">
        <v>2383.3585</v>
      </c>
      <c r="H861" t="n">
        <v>221.0184</v>
      </c>
      <c r="I861" t="n">
        <v>407.2962</v>
      </c>
      <c r="J861" t="n">
        <v>1817.1955</v>
      </c>
      <c r="K861" t="n">
        <v>2019</v>
      </c>
      <c r="L861" t="n">
        <v>2035</v>
      </c>
      <c r="M861" t="n">
        <v>0.4157</v>
      </c>
      <c r="N861" t="n">
        <v>0.2236</v>
      </c>
      <c r="O861" t="n">
        <v>2019</v>
      </c>
      <c r="P861" t="n">
        <v>2030</v>
      </c>
      <c r="Q861" t="n">
        <v>0.3852</v>
      </c>
      <c r="R861" t="n">
        <v>158.2904</v>
      </c>
      <c r="S861" t="n">
        <v>0.00100695</v>
      </c>
      <c r="T861" t="n">
        <v>0.00065008</v>
      </c>
      <c r="U861" t="n">
        <v>2383.3585</v>
      </c>
      <c r="V861" t="inlineStr">
        <is>
          <t>Provided Total Emissions</t>
        </is>
      </c>
      <c r="W861" t="b">
        <v>1</v>
      </c>
      <c r="X861" t="n">
        <v>1760.9201</v>
      </c>
      <c r="Y861" t="n">
        <v>2583.4023</v>
      </c>
      <c r="Z861" t="n">
        <v>-622.4384</v>
      </c>
      <c r="AA861" t="n">
        <v>200.0438</v>
      </c>
      <c r="AB861" t="n">
        <v>-0.26116</v>
      </c>
      <c r="AC861" t="n">
        <v>0.08393399999999999</v>
      </c>
      <c r="AD861" t="inlineStr">
        <is>
          <t>High</t>
        </is>
      </c>
      <c r="AE861" t="inlineStr">
        <is>
          <t>None</t>
        </is>
      </c>
      <c r="AF861" t="n">
        <v>0.95</v>
      </c>
      <c r="AG861" t="inlineStr">
        <is>
          <t>Valid</t>
        </is>
      </c>
    </row>
    <row r="862">
      <c r="A862" t="inlineStr">
        <is>
          <t>SUP-0087</t>
        </is>
      </c>
      <c r="B862" t="inlineStr">
        <is>
          <t>Agriculture Supplier 087</t>
        </is>
      </c>
      <c r="C862" t="inlineStr">
        <is>
          <t>Agriculture</t>
        </is>
      </c>
      <c r="D862" t="n">
        <v>2015</v>
      </c>
      <c r="E862" t="n">
        <v>17381249.12</v>
      </c>
      <c r="F862" t="n">
        <v>28827055.99</v>
      </c>
      <c r="G862" t="n">
        <v>15598.7772</v>
      </c>
      <c r="H862" t="n">
        <v>1683.3006</v>
      </c>
      <c r="I862" t="n">
        <v>930.8715999999999</v>
      </c>
      <c r="J862" t="n">
        <v>12006.4435</v>
      </c>
      <c r="K862" t="n">
        <v>2020</v>
      </c>
      <c r="L862" t="n">
        <v>2035</v>
      </c>
      <c r="M862" t="n">
        <v>0.2888</v>
      </c>
      <c r="N862" t="n">
        <v>0.1304</v>
      </c>
      <c r="O862" t="n">
        <v>2018</v>
      </c>
      <c r="P862" t="inlineStr"/>
      <c r="Q862" t="inlineStr"/>
      <c r="R862" t="n">
        <v>529.8294</v>
      </c>
      <c r="S862" t="n">
        <v>0.00091413</v>
      </c>
      <c r="T862" t="n">
        <v>0.00096913</v>
      </c>
      <c r="U862" t="n">
        <v>15598.7772</v>
      </c>
      <c r="V862" t="inlineStr">
        <is>
          <t>Provided Total Emissions</t>
        </is>
      </c>
      <c r="W862" t="b">
        <v>1</v>
      </c>
      <c r="X862" t="n">
        <v>15888.7213</v>
      </c>
      <c r="Y862" t="n">
        <v>27937.1648</v>
      </c>
      <c r="Z862" t="n">
        <v>289.9441</v>
      </c>
      <c r="AA862" t="n">
        <v>12338.3876</v>
      </c>
      <c r="AB862" t="n">
        <v>0.018588</v>
      </c>
      <c r="AC862" t="n">
        <v>0.790984</v>
      </c>
      <c r="AD862" t="inlineStr">
        <is>
          <t>High</t>
        </is>
      </c>
      <c r="AE862" t="inlineStr">
        <is>
          <t>None</t>
        </is>
      </c>
      <c r="AF862" t="n">
        <v>0.95</v>
      </c>
      <c r="AG862" t="inlineStr">
        <is>
          <t>Valid</t>
        </is>
      </c>
    </row>
    <row r="863">
      <c r="A863" t="inlineStr">
        <is>
          <t>SUP-0087</t>
        </is>
      </c>
      <c r="B863" t="inlineStr">
        <is>
          <t>Agriculture Supplier 087</t>
        </is>
      </c>
      <c r="C863" t="inlineStr">
        <is>
          <t>Agriculture</t>
        </is>
      </c>
      <c r="D863" t="n">
        <v>2016</v>
      </c>
      <c r="E863" t="n">
        <v>17684740.43</v>
      </c>
      <c r="F863" t="n">
        <v>24092200.25</v>
      </c>
      <c r="G863" t="n">
        <v>16671.977</v>
      </c>
      <c r="H863" t="n">
        <v>1429.7187</v>
      </c>
      <c r="I863" t="n">
        <v>3374.5093</v>
      </c>
      <c r="J863" t="n">
        <v>11502.7912</v>
      </c>
      <c r="K863" t="n">
        <v>2020</v>
      </c>
      <c r="L863" t="n">
        <v>2035</v>
      </c>
      <c r="M863" t="n">
        <v>0.2888</v>
      </c>
      <c r="N863" t="n">
        <v>0.1304</v>
      </c>
      <c r="O863" t="n">
        <v>2018</v>
      </c>
      <c r="P863" t="inlineStr"/>
      <c r="Q863" t="inlineStr"/>
      <c r="R863" t="n">
        <v>529.8294</v>
      </c>
      <c r="S863" t="n">
        <v>0.00091413</v>
      </c>
      <c r="T863" t="n">
        <v>0.00096913</v>
      </c>
      <c r="U863" t="n">
        <v>16671.977</v>
      </c>
      <c r="V863" t="inlineStr">
        <is>
          <t>Provided Total Emissions</t>
        </is>
      </c>
      <c r="W863" t="b">
        <v>1</v>
      </c>
      <c r="X863" t="n">
        <v>16166.1518</v>
      </c>
      <c r="Y863" t="n">
        <v>23348.474</v>
      </c>
      <c r="Z863" t="n">
        <v>-505.8252</v>
      </c>
      <c r="AA863" t="n">
        <v>6676.497</v>
      </c>
      <c r="AB863" t="n">
        <v>-0.03034</v>
      </c>
      <c r="AC863" t="n">
        <v>0.400462</v>
      </c>
      <c r="AD863" t="inlineStr">
        <is>
          <t>High</t>
        </is>
      </c>
      <c r="AE863" t="inlineStr">
        <is>
          <t>None</t>
        </is>
      </c>
      <c r="AF863" t="n">
        <v>0.95</v>
      </c>
      <c r="AG863" t="inlineStr">
        <is>
          <t>Valid</t>
        </is>
      </c>
    </row>
    <row r="864">
      <c r="A864" t="inlineStr">
        <is>
          <t>SUP-0087</t>
        </is>
      </c>
      <c r="B864" t="inlineStr">
        <is>
          <t>Agriculture Supplier 087</t>
        </is>
      </c>
      <c r="C864" t="inlineStr">
        <is>
          <t>Agriculture</t>
        </is>
      </c>
      <c r="D864" t="n">
        <v>2017</v>
      </c>
      <c r="E864" t="n">
        <v>21972394.97</v>
      </c>
      <c r="F864" t="n">
        <v>31734597.14</v>
      </c>
      <c r="G864" t="n">
        <v>16998.5439</v>
      </c>
      <c r="H864" t="n">
        <v>3025.7615</v>
      </c>
      <c r="I864" t="n">
        <v>3377.5638</v>
      </c>
      <c r="J864" t="n">
        <v>11054.6953</v>
      </c>
      <c r="K864" t="n">
        <v>2020</v>
      </c>
      <c r="L864" t="n">
        <v>2035</v>
      </c>
      <c r="M864" t="n">
        <v>0.2888</v>
      </c>
      <c r="N864" t="n">
        <v>0.1304</v>
      </c>
      <c r="O864" t="n">
        <v>2018</v>
      </c>
      <c r="P864" t="inlineStr"/>
      <c r="Q864" t="inlineStr"/>
      <c r="R864" t="n">
        <v>529.8294</v>
      </c>
      <c r="S864" t="n">
        <v>0.00091413</v>
      </c>
      <c r="T864" t="n">
        <v>0.00096913</v>
      </c>
      <c r="U864" t="n">
        <v>16998.5439</v>
      </c>
      <c r="V864" t="inlineStr">
        <is>
          <t>Provided Total Emissions</t>
        </is>
      </c>
      <c r="W864" t="b">
        <v>1</v>
      </c>
      <c r="X864" t="n">
        <v>20085.6254</v>
      </c>
      <c r="Y864" t="n">
        <v>30754.9501</v>
      </c>
      <c r="Z864" t="n">
        <v>3087.0815</v>
      </c>
      <c r="AA864" t="n">
        <v>13756.4062</v>
      </c>
      <c r="AB864" t="n">
        <v>0.181609</v>
      </c>
      <c r="AC864" t="n">
        <v>0.80927</v>
      </c>
      <c r="AD864" t="inlineStr">
        <is>
          <t>High</t>
        </is>
      </c>
      <c r="AE864" t="inlineStr">
        <is>
          <t>None</t>
        </is>
      </c>
      <c r="AF864" t="n">
        <v>0.95</v>
      </c>
      <c r="AG864" t="inlineStr">
        <is>
          <t>Valid</t>
        </is>
      </c>
    </row>
    <row r="865">
      <c r="A865" t="inlineStr">
        <is>
          <t>SUP-0087</t>
        </is>
      </c>
      <c r="B865" t="inlineStr">
        <is>
          <t>Agriculture Supplier 087</t>
        </is>
      </c>
      <c r="C865" t="inlineStr">
        <is>
          <t>Agriculture</t>
        </is>
      </c>
      <c r="D865" t="n">
        <v>2018</v>
      </c>
      <c r="E865" t="n">
        <v>18436228.99</v>
      </c>
      <c r="F865" t="n">
        <v>34759871.64</v>
      </c>
      <c r="G865" t="n">
        <v>13632.2043</v>
      </c>
      <c r="H865" t="n">
        <v>2450.8311</v>
      </c>
      <c r="I865" t="n">
        <v>1838.9488</v>
      </c>
      <c r="J865" t="n">
        <v>11347.2729</v>
      </c>
      <c r="K865" t="n">
        <v>2020</v>
      </c>
      <c r="L865" t="n">
        <v>2035</v>
      </c>
      <c r="M865" t="n">
        <v>0.2888</v>
      </c>
      <c r="N865" t="n">
        <v>0.1304</v>
      </c>
      <c r="O865" t="n">
        <v>2018</v>
      </c>
      <c r="P865" t="inlineStr"/>
      <c r="Q865" t="inlineStr"/>
      <c r="R865" t="n">
        <v>529.8294</v>
      </c>
      <c r="S865" t="n">
        <v>0.00091413</v>
      </c>
      <c r="T865" t="n">
        <v>0.00096913</v>
      </c>
      <c r="U865" t="n">
        <v>13632.2043</v>
      </c>
      <c r="V865" t="inlineStr">
        <is>
          <t>Provided Total Emissions</t>
        </is>
      </c>
      <c r="W865" t="b">
        <v>1</v>
      </c>
      <c r="X865" t="n">
        <v>16853.11</v>
      </c>
      <c r="Y865" t="n">
        <v>33686.8344</v>
      </c>
      <c r="Z865" t="n">
        <v>3220.9057</v>
      </c>
      <c r="AA865" t="n">
        <v>20054.6301</v>
      </c>
      <c r="AB865" t="n">
        <v>0.236272</v>
      </c>
      <c r="AC865" t="n">
        <v>1.471122</v>
      </c>
      <c r="AD865" t="inlineStr">
        <is>
          <t>High</t>
        </is>
      </c>
      <c r="AE865" t="inlineStr">
        <is>
          <t>None</t>
        </is>
      </c>
      <c r="AF865" t="n">
        <v>0.95</v>
      </c>
      <c r="AG865" t="inlineStr">
        <is>
          <t>Valid</t>
        </is>
      </c>
    </row>
    <row r="866">
      <c r="A866" t="inlineStr">
        <is>
          <t>SUP-0087</t>
        </is>
      </c>
      <c r="B866" t="inlineStr">
        <is>
          <t>Agriculture Supplier 087</t>
        </is>
      </c>
      <c r="C866" t="inlineStr">
        <is>
          <t>Agriculture</t>
        </is>
      </c>
      <c r="D866" t="n">
        <v>2019</v>
      </c>
      <c r="E866" t="n">
        <v>24140121.31</v>
      </c>
      <c r="F866" t="n">
        <v>42767054.73</v>
      </c>
      <c r="G866" t="n">
        <v>22377.4966</v>
      </c>
      <c r="H866" t="n">
        <v>4678.7956</v>
      </c>
      <c r="I866" t="n">
        <v>3354.964</v>
      </c>
      <c r="J866" t="n">
        <v>15118.0531</v>
      </c>
      <c r="K866" t="n">
        <v>2020</v>
      </c>
      <c r="L866" t="n">
        <v>2035</v>
      </c>
      <c r="M866" t="n">
        <v>0.2888</v>
      </c>
      <c r="N866" t="n">
        <v>0.1304</v>
      </c>
      <c r="O866" t="n">
        <v>2018</v>
      </c>
      <c r="P866" t="inlineStr"/>
      <c r="Q866" t="inlineStr"/>
      <c r="R866" t="n">
        <v>529.8294</v>
      </c>
      <c r="S866" t="n">
        <v>0.00091413</v>
      </c>
      <c r="T866" t="n">
        <v>0.00096913</v>
      </c>
      <c r="U866" t="n">
        <v>22377.4966</v>
      </c>
      <c r="V866" t="inlineStr">
        <is>
          <t>Provided Total Emissions</t>
        </is>
      </c>
      <c r="W866" t="b">
        <v>1</v>
      </c>
      <c r="X866" t="n">
        <v>22067.2091</v>
      </c>
      <c r="Y866" t="n">
        <v>41446.8358</v>
      </c>
      <c r="Z866" t="n">
        <v>-310.2875</v>
      </c>
      <c r="AA866" t="n">
        <v>19069.3392</v>
      </c>
      <c r="AB866" t="n">
        <v>-0.013866</v>
      </c>
      <c r="AC866" t="n">
        <v>0.852166</v>
      </c>
      <c r="AD866" t="inlineStr">
        <is>
          <t>High</t>
        </is>
      </c>
      <c r="AE866" t="inlineStr">
        <is>
          <t>None</t>
        </is>
      </c>
      <c r="AF866" t="n">
        <v>0.95</v>
      </c>
      <c r="AG866" t="inlineStr">
        <is>
          <t>Valid</t>
        </is>
      </c>
    </row>
    <row r="867">
      <c r="A867" t="inlineStr">
        <is>
          <t>SUP-0087</t>
        </is>
      </c>
      <c r="B867" t="inlineStr">
        <is>
          <t>Agriculture Supplier 087</t>
        </is>
      </c>
      <c r="C867" t="inlineStr">
        <is>
          <t>Agriculture</t>
        </is>
      </c>
      <c r="D867" t="n">
        <v>2020</v>
      </c>
      <c r="E867" t="n">
        <v>21308828.93</v>
      </c>
      <c r="F867" t="n">
        <v>38258072.18</v>
      </c>
      <c r="G867" t="n">
        <v>19158.6206</v>
      </c>
      <c r="H867" t="n">
        <v>4333.4331</v>
      </c>
      <c r="I867" t="n">
        <v>1581.3242</v>
      </c>
      <c r="J867" t="n">
        <v>12752.8946</v>
      </c>
      <c r="K867" t="n">
        <v>2020</v>
      </c>
      <c r="L867" t="n">
        <v>2035</v>
      </c>
      <c r="M867" t="n">
        <v>0.2888</v>
      </c>
      <c r="N867" t="n">
        <v>0.1304</v>
      </c>
      <c r="O867" t="n">
        <v>2018</v>
      </c>
      <c r="P867" t="inlineStr"/>
      <c r="Q867" t="inlineStr"/>
      <c r="R867" t="n">
        <v>529.8294</v>
      </c>
      <c r="S867" t="n">
        <v>0.00091413</v>
      </c>
      <c r="T867" t="n">
        <v>0.00096913</v>
      </c>
      <c r="U867" t="n">
        <v>19158.6206</v>
      </c>
      <c r="V867" t="inlineStr">
        <is>
          <t>Provided Total Emissions</t>
        </is>
      </c>
      <c r="W867" t="b">
        <v>1</v>
      </c>
      <c r="X867" t="n">
        <v>19479.0398</v>
      </c>
      <c r="Y867" t="n">
        <v>37077.0455</v>
      </c>
      <c r="Z867" t="n">
        <v>320.4192</v>
      </c>
      <c r="AA867" t="n">
        <v>17918.4249</v>
      </c>
      <c r="AB867" t="n">
        <v>0.016725</v>
      </c>
      <c r="AC867" t="n">
        <v>0.935267</v>
      </c>
      <c r="AD867" t="inlineStr">
        <is>
          <t>High</t>
        </is>
      </c>
      <c r="AE867" t="inlineStr">
        <is>
          <t>None</t>
        </is>
      </c>
      <c r="AF867" t="n">
        <v>0.95</v>
      </c>
      <c r="AG867" t="inlineStr">
        <is>
          <t>Valid</t>
        </is>
      </c>
    </row>
    <row r="868">
      <c r="A868" t="inlineStr">
        <is>
          <t>SUP-0087</t>
        </is>
      </c>
      <c r="B868" t="inlineStr">
        <is>
          <t>Agriculture Supplier 087</t>
        </is>
      </c>
      <c r="C868" t="inlineStr">
        <is>
          <t>Agriculture</t>
        </is>
      </c>
      <c r="D868" t="n">
        <v>2021</v>
      </c>
      <c r="E868" t="n">
        <v>22283902.69</v>
      </c>
      <c r="F868" t="n">
        <v>39532766.09</v>
      </c>
      <c r="G868" t="n">
        <v>17479.5851</v>
      </c>
      <c r="H868" t="n">
        <v>1934.5854</v>
      </c>
      <c r="I868" t="n">
        <v>1910.2999</v>
      </c>
      <c r="J868" t="n">
        <v>12583.3064</v>
      </c>
      <c r="K868" t="n">
        <v>2020</v>
      </c>
      <c r="L868" t="n">
        <v>2035</v>
      </c>
      <c r="M868" t="n">
        <v>0.2888</v>
      </c>
      <c r="N868" t="n">
        <v>0.1304</v>
      </c>
      <c r="O868" t="n">
        <v>2018</v>
      </c>
      <c r="P868" t="inlineStr"/>
      <c r="Q868" t="inlineStr"/>
      <c r="R868" t="n">
        <v>529.8294</v>
      </c>
      <c r="S868" t="n">
        <v>0.00091413</v>
      </c>
      <c r="T868" t="n">
        <v>0.00096913</v>
      </c>
      <c r="U868" t="n">
        <v>17479.5851</v>
      </c>
      <c r="V868" t="inlineStr">
        <is>
          <t>Provided Total Emissions</t>
        </is>
      </c>
      <c r="W868" t="b">
        <v>1</v>
      </c>
      <c r="X868" t="n">
        <v>20370.384</v>
      </c>
      <c r="Y868" t="n">
        <v>38312.3896</v>
      </c>
      <c r="Z868" t="n">
        <v>2890.7989</v>
      </c>
      <c r="AA868" t="n">
        <v>20832.8045</v>
      </c>
      <c r="AB868" t="n">
        <v>0.165381</v>
      </c>
      <c r="AC868" t="n">
        <v>1.191836</v>
      </c>
      <c r="AD868" t="inlineStr">
        <is>
          <t>High</t>
        </is>
      </c>
      <c r="AE868" t="inlineStr">
        <is>
          <t>None</t>
        </is>
      </c>
      <c r="AF868" t="n">
        <v>0.95</v>
      </c>
      <c r="AG868" t="inlineStr">
        <is>
          <t>Valid</t>
        </is>
      </c>
    </row>
    <row r="869">
      <c r="A869" t="inlineStr">
        <is>
          <t>SUP-0087</t>
        </is>
      </c>
      <c r="B869" t="inlineStr">
        <is>
          <t>Agriculture Supplier 087</t>
        </is>
      </c>
      <c r="C869" t="inlineStr">
        <is>
          <t>Agriculture</t>
        </is>
      </c>
      <c r="D869" t="n">
        <v>2022</v>
      </c>
      <c r="E869" t="n">
        <v>25406451.46</v>
      </c>
      <c r="F869" t="n">
        <v>35399369.04</v>
      </c>
      <c r="G869" t="n">
        <v>20339.4614</v>
      </c>
      <c r="H869" t="n">
        <v>4069.8688</v>
      </c>
      <c r="I869" t="n">
        <v>2899.7941</v>
      </c>
      <c r="J869" t="n">
        <v>13600.2201</v>
      </c>
      <c r="K869" t="n">
        <v>2020</v>
      </c>
      <c r="L869" t="n">
        <v>2035</v>
      </c>
      <c r="M869" t="n">
        <v>0.2888</v>
      </c>
      <c r="N869" t="n">
        <v>0.1304</v>
      </c>
      <c r="O869" t="n">
        <v>2018</v>
      </c>
      <c r="P869" t="inlineStr"/>
      <c r="Q869" t="inlineStr"/>
      <c r="R869" t="n">
        <v>529.8294</v>
      </c>
      <c r="S869" t="n">
        <v>0.00091413</v>
      </c>
      <c r="T869" t="n">
        <v>0.00096913</v>
      </c>
      <c r="U869" t="n">
        <v>20339.4614</v>
      </c>
      <c r="V869" t="inlineStr">
        <is>
          <t>Provided Total Emissions</t>
        </is>
      </c>
      <c r="W869" t="b">
        <v>1</v>
      </c>
      <c r="X869" t="n">
        <v>23224.7995</v>
      </c>
      <c r="Y869" t="n">
        <v>34306.5905</v>
      </c>
      <c r="Z869" t="n">
        <v>2885.3381</v>
      </c>
      <c r="AA869" t="n">
        <v>13967.1291</v>
      </c>
      <c r="AB869" t="n">
        <v>0.141859</v>
      </c>
      <c r="AC869" t="n">
        <v>0.686701</v>
      </c>
      <c r="AD869" t="inlineStr">
        <is>
          <t>High</t>
        </is>
      </c>
      <c r="AE869" t="inlineStr">
        <is>
          <t>None</t>
        </is>
      </c>
      <c r="AF869" t="n">
        <v>0.95</v>
      </c>
      <c r="AG869" t="inlineStr">
        <is>
          <t>Valid</t>
        </is>
      </c>
    </row>
    <row r="870">
      <c r="A870" t="inlineStr">
        <is>
          <t>SUP-0087</t>
        </is>
      </c>
      <c r="B870" t="inlineStr">
        <is>
          <t>Agriculture Supplier 087</t>
        </is>
      </c>
      <c r="C870" t="inlineStr">
        <is>
          <t>Agriculture</t>
        </is>
      </c>
      <c r="D870" t="n">
        <v>2023</v>
      </c>
      <c r="E870" t="n">
        <v>26289413.87</v>
      </c>
      <c r="F870" t="n">
        <v>52404139.92</v>
      </c>
      <c r="G870" t="n">
        <v>25148.1228</v>
      </c>
      <c r="H870" t="n">
        <v>2841.6325</v>
      </c>
      <c r="I870" t="n">
        <v>2209.8601</v>
      </c>
      <c r="J870" t="n">
        <v>20360.3373</v>
      </c>
      <c r="K870" t="n">
        <v>2020</v>
      </c>
      <c r="L870" t="n">
        <v>2035</v>
      </c>
      <c r="M870" t="n">
        <v>0.2888</v>
      </c>
      <c r="N870" t="n">
        <v>0.1304</v>
      </c>
      <c r="O870" t="n">
        <v>2018</v>
      </c>
      <c r="P870" t="inlineStr"/>
      <c r="Q870" t="inlineStr"/>
      <c r="R870" t="n">
        <v>529.8294</v>
      </c>
      <c r="S870" t="n">
        <v>0.00091413</v>
      </c>
      <c r="T870" t="n">
        <v>0.00096913</v>
      </c>
      <c r="U870" t="n">
        <v>25148.1228</v>
      </c>
      <c r="V870" t="inlineStr">
        <is>
          <t>Provided Total Emissions</t>
        </is>
      </c>
      <c r="W870" t="b">
        <v>1</v>
      </c>
      <c r="X870" t="n">
        <v>24031.9419</v>
      </c>
      <c r="Y870" t="n">
        <v>50786.4241</v>
      </c>
      <c r="Z870" t="n">
        <v>-1116.1809</v>
      </c>
      <c r="AA870" t="n">
        <v>25638.3013</v>
      </c>
      <c r="AB870" t="n">
        <v>-0.044384</v>
      </c>
      <c r="AC870" t="n">
        <v>1.019492</v>
      </c>
      <c r="AD870" t="inlineStr">
        <is>
          <t>High</t>
        </is>
      </c>
      <c r="AE870" t="inlineStr">
        <is>
          <t>None</t>
        </is>
      </c>
      <c r="AF870" t="n">
        <v>0.95</v>
      </c>
      <c r="AG870" t="inlineStr">
        <is>
          <t>Valid</t>
        </is>
      </c>
    </row>
    <row r="871">
      <c r="A871" t="inlineStr">
        <is>
          <t>SUP-0087</t>
        </is>
      </c>
      <c r="B871" t="inlineStr">
        <is>
          <t>Agriculture Supplier 087</t>
        </is>
      </c>
      <c r="C871" t="inlineStr">
        <is>
          <t>Agriculture</t>
        </is>
      </c>
      <c r="D871" t="n">
        <v>2024</v>
      </c>
      <c r="E871" t="n">
        <v>30778261.96</v>
      </c>
      <c r="F871" t="n">
        <v>48524634.66</v>
      </c>
      <c r="G871" t="n">
        <v>20847.7141</v>
      </c>
      <c r="H871" t="n">
        <v>2176.7742</v>
      </c>
      <c r="I871" t="n">
        <v>3472.979</v>
      </c>
      <c r="J871" t="n">
        <v>16387.8861</v>
      </c>
      <c r="K871" t="n">
        <v>2020</v>
      </c>
      <c r="L871" t="n">
        <v>2035</v>
      </c>
      <c r="M871" t="n">
        <v>0.2888</v>
      </c>
      <c r="N871" t="n">
        <v>0.1304</v>
      </c>
      <c r="O871" t="n">
        <v>2018</v>
      </c>
      <c r="P871" t="inlineStr"/>
      <c r="Q871" t="inlineStr"/>
      <c r="R871" t="n">
        <v>529.8294</v>
      </c>
      <c r="S871" t="n">
        <v>0.00091413</v>
      </c>
      <c r="T871" t="n">
        <v>0.00096913</v>
      </c>
      <c r="U871" t="n">
        <v>20847.7141</v>
      </c>
      <c r="V871" t="inlineStr">
        <is>
          <t>Provided Total Emissions</t>
        </is>
      </c>
      <c r="W871" t="b">
        <v>1</v>
      </c>
      <c r="X871" t="n">
        <v>28135.3326</v>
      </c>
      <c r="Y871" t="n">
        <v>47026.6792</v>
      </c>
      <c r="Z871" t="n">
        <v>7287.6185</v>
      </c>
      <c r="AA871" t="n">
        <v>26178.9651</v>
      </c>
      <c r="AB871" t="n">
        <v>0.349564</v>
      </c>
      <c r="AC871" t="n">
        <v>1.255724</v>
      </c>
      <c r="AD871" t="inlineStr">
        <is>
          <t>High</t>
        </is>
      </c>
      <c r="AE871" t="inlineStr">
        <is>
          <t>None</t>
        </is>
      </c>
      <c r="AF871" t="n">
        <v>0.95</v>
      </c>
      <c r="AG871" t="inlineStr">
        <is>
          <t>Valid</t>
        </is>
      </c>
    </row>
    <row r="872">
      <c r="A872" t="inlineStr">
        <is>
          <t>SUP-0088</t>
        </is>
      </c>
      <c r="B872" t="inlineStr">
        <is>
          <t>Packaging Supplier 088</t>
        </is>
      </c>
      <c r="C872" t="inlineStr">
        <is>
          <t>Packaging</t>
        </is>
      </c>
      <c r="D872" t="n">
        <v>2015</v>
      </c>
      <c r="E872" t="n">
        <v>15353730.95</v>
      </c>
      <c r="F872" t="n">
        <v>60317759.14</v>
      </c>
      <c r="G872" t="n">
        <v>16829.2344</v>
      </c>
      <c r="H872" t="n">
        <v>4263.1098</v>
      </c>
      <c r="I872" t="n">
        <v>2694.181</v>
      </c>
      <c r="J872" t="n">
        <v>8791.4324</v>
      </c>
      <c r="K872" t="n">
        <v>2019</v>
      </c>
      <c r="L872" t="n">
        <v>2035</v>
      </c>
      <c r="M872" t="n">
        <v>0.4862</v>
      </c>
      <c r="N872" t="n">
        <v>0.1913</v>
      </c>
      <c r="O872" t="n">
        <v>2018</v>
      </c>
      <c r="P872" t="n">
        <v>2040</v>
      </c>
      <c r="Q872" t="n">
        <v>0.3112</v>
      </c>
      <c r="R872" t="n">
        <v>702.4188</v>
      </c>
      <c r="S872" t="n">
        <v>0.0010803</v>
      </c>
      <c r="T872" t="n">
        <v>0.00078946</v>
      </c>
      <c r="U872" t="n">
        <v>16829.2344</v>
      </c>
      <c r="V872" t="inlineStr">
        <is>
          <t>Provided Total Emissions</t>
        </is>
      </c>
      <c r="W872" t="b">
        <v>1</v>
      </c>
      <c r="X872" t="n">
        <v>16586.6355</v>
      </c>
      <c r="Y872" t="n">
        <v>47618.4581</v>
      </c>
      <c r="Z872" t="n">
        <v>-242.5989</v>
      </c>
      <c r="AA872" t="n">
        <v>30789.2237</v>
      </c>
      <c r="AB872" t="n">
        <v>-0.014415</v>
      </c>
      <c r="AC872" t="n">
        <v>1.829508</v>
      </c>
      <c r="AD872" t="inlineStr">
        <is>
          <t>High</t>
        </is>
      </c>
      <c r="AE872" t="inlineStr">
        <is>
          <t>None</t>
        </is>
      </c>
      <c r="AF872" t="n">
        <v>0.95</v>
      </c>
      <c r="AG872" t="inlineStr">
        <is>
          <t>Valid</t>
        </is>
      </c>
    </row>
    <row r="873">
      <c r="A873" t="inlineStr">
        <is>
          <t>SUP-0088</t>
        </is>
      </c>
      <c r="B873" t="inlineStr">
        <is>
          <t>Packaging Supplier 088</t>
        </is>
      </c>
      <c r="C873" t="inlineStr">
        <is>
          <t>Packaging</t>
        </is>
      </c>
      <c r="D873" t="n">
        <v>2016</v>
      </c>
      <c r="E873" t="n">
        <v>16980655.27</v>
      </c>
      <c r="F873" t="n">
        <v>64519014.07</v>
      </c>
      <c r="G873" t="n">
        <v>13231.2523</v>
      </c>
      <c r="H873" t="n">
        <v>1874.2214</v>
      </c>
      <c r="I873" t="n">
        <v>1406.4668</v>
      </c>
      <c r="J873" t="n">
        <v>9927.877899999999</v>
      </c>
      <c r="K873" t="n">
        <v>2019</v>
      </c>
      <c r="L873" t="n">
        <v>2035</v>
      </c>
      <c r="M873" t="n">
        <v>0.4862</v>
      </c>
      <c r="N873" t="n">
        <v>0.1913</v>
      </c>
      <c r="O873" t="n">
        <v>2018</v>
      </c>
      <c r="P873" t="n">
        <v>2040</v>
      </c>
      <c r="Q873" t="n">
        <v>0.3112</v>
      </c>
      <c r="R873" t="n">
        <v>702.4188</v>
      </c>
      <c r="S873" t="n">
        <v>0.0010803</v>
      </c>
      <c r="T873" t="n">
        <v>0.00078946</v>
      </c>
      <c r="U873" t="n">
        <v>13231.2523</v>
      </c>
      <c r="V873" t="inlineStr">
        <is>
          <t>Provided Total Emissions</t>
        </is>
      </c>
      <c r="W873" t="b">
        <v>1</v>
      </c>
      <c r="X873" t="n">
        <v>18344.2019</v>
      </c>
      <c r="Y873" t="n">
        <v>50935.1808</v>
      </c>
      <c r="Z873" t="n">
        <v>5112.9496</v>
      </c>
      <c r="AA873" t="n">
        <v>37703.9285</v>
      </c>
      <c r="AB873" t="n">
        <v>0.38643</v>
      </c>
      <c r="AC873" t="n">
        <v>2.849611</v>
      </c>
      <c r="AD873" t="inlineStr">
        <is>
          <t>High</t>
        </is>
      </c>
      <c r="AE873" t="inlineStr">
        <is>
          <t>None</t>
        </is>
      </c>
      <c r="AF873" t="n">
        <v>0.95</v>
      </c>
      <c r="AG873" t="inlineStr">
        <is>
          <t>Valid</t>
        </is>
      </c>
    </row>
    <row r="874">
      <c r="A874" t="inlineStr">
        <is>
          <t>SUP-0088</t>
        </is>
      </c>
      <c r="B874" t="inlineStr">
        <is>
          <t>Packaging Supplier 088</t>
        </is>
      </c>
      <c r="C874" t="inlineStr">
        <is>
          <t>Packaging</t>
        </is>
      </c>
      <c r="D874" t="n">
        <v>2017</v>
      </c>
      <c r="E874" t="n">
        <v>17544202.67</v>
      </c>
      <c r="F874" t="n">
        <v>55055289.53</v>
      </c>
      <c r="G874" t="n">
        <v>13530.2929</v>
      </c>
      <c r="H874" t="n">
        <v>1113.3124</v>
      </c>
      <c r="I874" t="n">
        <v>2572.2397</v>
      </c>
      <c r="J874" t="n">
        <v>9881.3681</v>
      </c>
      <c r="K874" t="n">
        <v>2019</v>
      </c>
      <c r="L874" t="n">
        <v>2035</v>
      </c>
      <c r="M874" t="n">
        <v>0.4862</v>
      </c>
      <c r="N874" t="n">
        <v>0.1913</v>
      </c>
      <c r="O874" t="n">
        <v>2018</v>
      </c>
      <c r="P874" t="n">
        <v>2040</v>
      </c>
      <c r="Q874" t="n">
        <v>0.3112</v>
      </c>
      <c r="R874" t="n">
        <v>702.4188</v>
      </c>
      <c r="S874" t="n">
        <v>0.0010803</v>
      </c>
      <c r="T874" t="n">
        <v>0.00078946</v>
      </c>
      <c r="U874" t="n">
        <v>13530.2929</v>
      </c>
      <c r="V874" t="inlineStr">
        <is>
          <t>Provided Total Emissions</t>
        </is>
      </c>
      <c r="W874" t="b">
        <v>1</v>
      </c>
      <c r="X874" t="n">
        <v>18953.0021</v>
      </c>
      <c r="Y874" t="n">
        <v>43463.9489</v>
      </c>
      <c r="Z874" t="n">
        <v>5422.7092</v>
      </c>
      <c r="AA874" t="n">
        <v>29933.656</v>
      </c>
      <c r="AB874" t="n">
        <v>0.400783</v>
      </c>
      <c r="AC874" t="n">
        <v>2.212344</v>
      </c>
      <c r="AD874" t="inlineStr">
        <is>
          <t>High</t>
        </is>
      </c>
      <c r="AE874" t="inlineStr">
        <is>
          <t>None</t>
        </is>
      </c>
      <c r="AF874" t="n">
        <v>0.95</v>
      </c>
      <c r="AG874" t="inlineStr">
        <is>
          <t>Valid</t>
        </is>
      </c>
    </row>
    <row r="875">
      <c r="A875" t="inlineStr">
        <is>
          <t>SUP-0088</t>
        </is>
      </c>
      <c r="B875" t="inlineStr">
        <is>
          <t>Packaging Supplier 088</t>
        </is>
      </c>
      <c r="C875" t="inlineStr">
        <is>
          <t>Packaging</t>
        </is>
      </c>
      <c r="D875" t="n">
        <v>2018</v>
      </c>
      <c r="E875" t="n">
        <v>16538167.08</v>
      </c>
      <c r="F875" t="n">
        <v>61117463.07</v>
      </c>
      <c r="G875" t="n">
        <v>15628.2615</v>
      </c>
      <c r="H875" t="n">
        <v>2493.8724</v>
      </c>
      <c r="I875" t="n">
        <v>2654.833</v>
      </c>
      <c r="J875" t="n">
        <v>8876.9789</v>
      </c>
      <c r="K875" t="n">
        <v>2019</v>
      </c>
      <c r="L875" t="n">
        <v>2035</v>
      </c>
      <c r="M875" t="n">
        <v>0.4862</v>
      </c>
      <c r="N875" t="n">
        <v>0.1913</v>
      </c>
      <c r="O875" t="n">
        <v>2018</v>
      </c>
      <c r="P875" t="n">
        <v>2040</v>
      </c>
      <c r="Q875" t="n">
        <v>0.3112</v>
      </c>
      <c r="R875" t="n">
        <v>702.4188</v>
      </c>
      <c r="S875" t="n">
        <v>0.0010803</v>
      </c>
      <c r="T875" t="n">
        <v>0.00078946</v>
      </c>
      <c r="U875" t="n">
        <v>15628.2615</v>
      </c>
      <c r="V875" t="inlineStr">
        <is>
          <t>Provided Total Emissions</t>
        </is>
      </c>
      <c r="W875" t="b">
        <v>1</v>
      </c>
      <c r="X875" t="n">
        <v>17866.1819</v>
      </c>
      <c r="Y875" t="n">
        <v>48249.7924</v>
      </c>
      <c r="Z875" t="n">
        <v>2237.9204</v>
      </c>
      <c r="AA875" t="n">
        <v>32621.5309</v>
      </c>
      <c r="AB875" t="n">
        <v>0.143197</v>
      </c>
      <c r="AC875" t="n">
        <v>2.087342</v>
      </c>
      <c r="AD875" t="inlineStr">
        <is>
          <t>High</t>
        </is>
      </c>
      <c r="AE875" t="inlineStr">
        <is>
          <t>None</t>
        </is>
      </c>
      <c r="AF875" t="n">
        <v>0.95</v>
      </c>
      <c r="AG875" t="inlineStr">
        <is>
          <t>Valid</t>
        </is>
      </c>
    </row>
    <row r="876">
      <c r="A876" t="inlineStr">
        <is>
          <t>SUP-0088</t>
        </is>
      </c>
      <c r="B876" t="inlineStr">
        <is>
          <t>Packaging Supplier 088</t>
        </is>
      </c>
      <c r="C876" t="inlineStr">
        <is>
          <t>Packaging</t>
        </is>
      </c>
      <c r="D876" t="n">
        <v>2019</v>
      </c>
      <c r="E876" t="n">
        <v>19196925.15</v>
      </c>
      <c r="F876" t="n">
        <v>64609143.53</v>
      </c>
      <c r="G876" t="n">
        <v>15732.5989</v>
      </c>
      <c r="H876" t="n">
        <v>1347.4584</v>
      </c>
      <c r="I876" t="n">
        <v>1786.7356</v>
      </c>
      <c r="J876" t="n">
        <v>11910.357</v>
      </c>
      <c r="K876" t="n">
        <v>2019</v>
      </c>
      <c r="L876" t="n">
        <v>2035</v>
      </c>
      <c r="M876" t="n">
        <v>0.4862</v>
      </c>
      <c r="N876" t="n">
        <v>0.1913</v>
      </c>
      <c r="O876" t="n">
        <v>2018</v>
      </c>
      <c r="P876" t="n">
        <v>2040</v>
      </c>
      <c r="Q876" t="n">
        <v>0.3112</v>
      </c>
      <c r="R876" t="n">
        <v>702.4188</v>
      </c>
      <c r="S876" t="n">
        <v>0.0010803</v>
      </c>
      <c r="T876" t="n">
        <v>0.00078946</v>
      </c>
      <c r="U876" t="n">
        <v>15732.5989</v>
      </c>
      <c r="V876" t="inlineStr">
        <is>
          <t>Provided Total Emissions</t>
        </is>
      </c>
      <c r="W876" t="b">
        <v>1</v>
      </c>
      <c r="X876" t="n">
        <v>20738.4382</v>
      </c>
      <c r="Y876" t="n">
        <v>51006.3345</v>
      </c>
      <c r="Z876" t="n">
        <v>5005.8393</v>
      </c>
      <c r="AA876" t="n">
        <v>35273.7356</v>
      </c>
      <c r="AB876" t="n">
        <v>0.318183</v>
      </c>
      <c r="AC876" t="n">
        <v>2.242079</v>
      </c>
      <c r="AD876" t="inlineStr">
        <is>
          <t>High</t>
        </is>
      </c>
      <c r="AE876" t="inlineStr">
        <is>
          <t>None</t>
        </is>
      </c>
      <c r="AF876" t="n">
        <v>0.95</v>
      </c>
      <c r="AG876" t="inlineStr">
        <is>
          <t>Valid</t>
        </is>
      </c>
    </row>
    <row r="877">
      <c r="A877" t="inlineStr">
        <is>
          <t>SUP-0088</t>
        </is>
      </c>
      <c r="B877" t="inlineStr">
        <is>
          <t>Packaging Supplier 088</t>
        </is>
      </c>
      <c r="C877" t="inlineStr">
        <is>
          <t>Packaging</t>
        </is>
      </c>
      <c r="D877" t="n">
        <v>2020</v>
      </c>
      <c r="E877" t="n">
        <v>22381475.56</v>
      </c>
      <c r="F877" t="n">
        <v>85970107.68000001</v>
      </c>
      <c r="G877" t="n">
        <v>18281.4695</v>
      </c>
      <c r="H877" t="n">
        <v>1744.6824</v>
      </c>
      <c r="I877" t="n">
        <v>3041.5833</v>
      </c>
      <c r="J877" t="n">
        <v>13009.1291</v>
      </c>
      <c r="K877" t="n">
        <v>2019</v>
      </c>
      <c r="L877" t="n">
        <v>2035</v>
      </c>
      <c r="M877" t="n">
        <v>0.4862</v>
      </c>
      <c r="N877" t="n">
        <v>0.1913</v>
      </c>
      <c r="O877" t="n">
        <v>2018</v>
      </c>
      <c r="P877" t="n">
        <v>2040</v>
      </c>
      <c r="Q877" t="n">
        <v>0.3112</v>
      </c>
      <c r="R877" t="n">
        <v>702.4188</v>
      </c>
      <c r="S877" t="n">
        <v>0.0010803</v>
      </c>
      <c r="T877" t="n">
        <v>0.00078946</v>
      </c>
      <c r="U877" t="n">
        <v>18281.4695</v>
      </c>
      <c r="V877" t="inlineStr">
        <is>
          <t>Provided Total Emissions</t>
        </is>
      </c>
      <c r="W877" t="b">
        <v>1</v>
      </c>
      <c r="X877" t="n">
        <v>24178.708</v>
      </c>
      <c r="Y877" t="n">
        <v>67869.96120000001</v>
      </c>
      <c r="Z877" t="n">
        <v>5897.2385</v>
      </c>
      <c r="AA877" t="n">
        <v>49588.4917</v>
      </c>
      <c r="AB877" t="n">
        <v>0.32258</v>
      </c>
      <c r="AC877" t="n">
        <v>2.7125</v>
      </c>
      <c r="AD877" t="inlineStr">
        <is>
          <t>High</t>
        </is>
      </c>
      <c r="AE877" t="inlineStr">
        <is>
          <t>None</t>
        </is>
      </c>
      <c r="AF877" t="n">
        <v>0.95</v>
      </c>
      <c r="AG877" t="inlineStr">
        <is>
          <t>Valid</t>
        </is>
      </c>
    </row>
    <row r="878">
      <c r="A878" t="inlineStr">
        <is>
          <t>SUP-0088</t>
        </is>
      </c>
      <c r="B878" t="inlineStr">
        <is>
          <t>Packaging Supplier 088</t>
        </is>
      </c>
      <c r="C878" t="inlineStr">
        <is>
          <t>Packaging</t>
        </is>
      </c>
      <c r="D878" t="n">
        <v>2021</v>
      </c>
      <c r="E878" t="n">
        <v>24798383.76</v>
      </c>
      <c r="F878" t="n">
        <v>95180904.56999999</v>
      </c>
      <c r="G878" t="n">
        <v>21262.6796</v>
      </c>
      <c r="H878" t="n">
        <v>5526.4797</v>
      </c>
      <c r="I878" t="n">
        <v>4233.5819</v>
      </c>
      <c r="J878" t="n">
        <v>11825.0223</v>
      </c>
      <c r="K878" t="n">
        <v>2019</v>
      </c>
      <c r="L878" t="n">
        <v>2035</v>
      </c>
      <c r="M878" t="n">
        <v>0.4862</v>
      </c>
      <c r="N878" t="n">
        <v>0.1913</v>
      </c>
      <c r="O878" t="n">
        <v>2018</v>
      </c>
      <c r="P878" t="n">
        <v>2040</v>
      </c>
      <c r="Q878" t="n">
        <v>0.3112</v>
      </c>
      <c r="R878" t="n">
        <v>702.4188</v>
      </c>
      <c r="S878" t="n">
        <v>0.0010803</v>
      </c>
      <c r="T878" t="n">
        <v>0.00078946</v>
      </c>
      <c r="U878" t="n">
        <v>21262.6796</v>
      </c>
      <c r="V878" t="inlineStr">
        <is>
          <t>Provided Total Emissions</t>
        </is>
      </c>
      <c r="W878" t="b">
        <v>1</v>
      </c>
      <c r="X878" t="n">
        <v>26789.694</v>
      </c>
      <c r="Y878" t="n">
        <v>75141.5169</v>
      </c>
      <c r="Z878" t="n">
        <v>5527.0144</v>
      </c>
      <c r="AA878" t="n">
        <v>53878.8373</v>
      </c>
      <c r="AB878" t="n">
        <v>0.25994</v>
      </c>
      <c r="AC878" t="n">
        <v>2.533963</v>
      </c>
      <c r="AD878" t="inlineStr">
        <is>
          <t>High</t>
        </is>
      </c>
      <c r="AE878" t="inlineStr">
        <is>
          <t>None</t>
        </is>
      </c>
      <c r="AF878" t="n">
        <v>0.95</v>
      </c>
      <c r="AG878" t="inlineStr">
        <is>
          <t>Valid</t>
        </is>
      </c>
    </row>
    <row r="879">
      <c r="A879" t="inlineStr">
        <is>
          <t>SUP-0088</t>
        </is>
      </c>
      <c r="B879" t="inlineStr">
        <is>
          <t>Packaging Supplier 088</t>
        </is>
      </c>
      <c r="C879" t="inlineStr">
        <is>
          <t>Packaging</t>
        </is>
      </c>
      <c r="D879" t="n">
        <v>2022</v>
      </c>
      <c r="E879" t="n">
        <v>17939790.25</v>
      </c>
      <c r="F879" t="n">
        <v>108885223</v>
      </c>
      <c r="G879" t="n">
        <v>14599.1236</v>
      </c>
      <c r="H879" t="n">
        <v>2650.2165</v>
      </c>
      <c r="I879" t="n">
        <v>1597.2293</v>
      </c>
      <c r="J879" t="n">
        <v>11527.042</v>
      </c>
      <c r="K879" t="n">
        <v>2019</v>
      </c>
      <c r="L879" t="n">
        <v>2035</v>
      </c>
      <c r="M879" t="n">
        <v>0.4862</v>
      </c>
      <c r="N879" t="n">
        <v>0.1913</v>
      </c>
      <c r="O879" t="n">
        <v>2018</v>
      </c>
      <c r="P879" t="n">
        <v>2040</v>
      </c>
      <c r="Q879" t="n">
        <v>0.3112</v>
      </c>
      <c r="R879" t="n">
        <v>702.4188</v>
      </c>
      <c r="S879" t="n">
        <v>0.0010803</v>
      </c>
      <c r="T879" t="n">
        <v>0.00078946</v>
      </c>
      <c r="U879" t="n">
        <v>14599.1236</v>
      </c>
      <c r="V879" t="inlineStr">
        <is>
          <t>Provided Total Emissions</t>
        </is>
      </c>
      <c r="W879" t="b">
        <v>1</v>
      </c>
      <c r="X879" t="n">
        <v>19380.3554</v>
      </c>
      <c r="Y879" t="n">
        <v>85960.5281</v>
      </c>
      <c r="Z879" t="n">
        <v>4781.2318</v>
      </c>
      <c r="AA879" t="n">
        <v>71361.4045</v>
      </c>
      <c r="AB879" t="n">
        <v>0.327501</v>
      </c>
      <c r="AC879" t="n">
        <v>4.888061</v>
      </c>
      <c r="AD879" t="inlineStr">
        <is>
          <t>High</t>
        </is>
      </c>
      <c r="AE879" t="inlineStr">
        <is>
          <t>None</t>
        </is>
      </c>
      <c r="AF879" t="n">
        <v>0.95</v>
      </c>
      <c r="AG879" t="inlineStr">
        <is>
          <t>Valid</t>
        </is>
      </c>
    </row>
    <row r="880">
      <c r="A880" t="inlineStr">
        <is>
          <t>SUP-0088</t>
        </is>
      </c>
      <c r="B880" t="inlineStr">
        <is>
          <t>Packaging Supplier 088</t>
        </is>
      </c>
      <c r="C880" t="inlineStr">
        <is>
          <t>Packaging</t>
        </is>
      </c>
      <c r="D880" t="n">
        <v>2023</v>
      </c>
      <c r="E880" t="n">
        <v>28071849.46</v>
      </c>
      <c r="F880" t="n">
        <v>117925654.64</v>
      </c>
      <c r="G880" t="n">
        <v>21416.5614</v>
      </c>
      <c r="H880" t="n">
        <v>2486.2404</v>
      </c>
      <c r="I880" t="n">
        <v>2903.0409</v>
      </c>
      <c r="J880" t="n">
        <v>16812.672</v>
      </c>
      <c r="K880" t="n">
        <v>2019</v>
      </c>
      <c r="L880" t="n">
        <v>2035</v>
      </c>
      <c r="M880" t="n">
        <v>0.4862</v>
      </c>
      <c r="N880" t="n">
        <v>0.1913</v>
      </c>
      <c r="O880" t="n">
        <v>2018</v>
      </c>
      <c r="P880" t="n">
        <v>2040</v>
      </c>
      <c r="Q880" t="n">
        <v>0.3112</v>
      </c>
      <c r="R880" t="n">
        <v>702.4188</v>
      </c>
      <c r="S880" t="n">
        <v>0.0010803</v>
      </c>
      <c r="T880" t="n">
        <v>0.00078946</v>
      </c>
      <c r="U880" t="n">
        <v>21416.5614</v>
      </c>
      <c r="V880" t="inlineStr">
        <is>
          <t>Provided Total Emissions</t>
        </is>
      </c>
      <c r="W880" t="b">
        <v>1</v>
      </c>
      <c r="X880" t="n">
        <v>30326.019</v>
      </c>
      <c r="Y880" t="n">
        <v>93097.5873</v>
      </c>
      <c r="Z880" t="n">
        <v>8909.4576</v>
      </c>
      <c r="AA880" t="n">
        <v>71681.02589999999</v>
      </c>
      <c r="AB880" t="n">
        <v>0.416008</v>
      </c>
      <c r="AC880" t="n">
        <v>3.34699</v>
      </c>
      <c r="AD880" t="inlineStr">
        <is>
          <t>High</t>
        </is>
      </c>
      <c r="AE880" t="inlineStr">
        <is>
          <t>None</t>
        </is>
      </c>
      <c r="AF880" t="n">
        <v>0.95</v>
      </c>
      <c r="AG880" t="inlineStr">
        <is>
          <t>Valid</t>
        </is>
      </c>
    </row>
    <row r="881">
      <c r="A881" t="inlineStr">
        <is>
          <t>SUP-0088</t>
        </is>
      </c>
      <c r="B881" t="inlineStr">
        <is>
          <t>Packaging Supplier 088</t>
        </is>
      </c>
      <c r="C881" t="inlineStr">
        <is>
          <t>Packaging</t>
        </is>
      </c>
      <c r="D881" t="n">
        <v>2024</v>
      </c>
      <c r="E881" t="n">
        <v>27152118.51</v>
      </c>
      <c r="F881" t="n">
        <v>116390709.34</v>
      </c>
      <c r="G881" t="n">
        <v>19776.9287</v>
      </c>
      <c r="H881" t="n">
        <v>1958.9799</v>
      </c>
      <c r="I881" t="n">
        <v>3142.7465</v>
      </c>
      <c r="J881" t="n">
        <v>14690.9695</v>
      </c>
      <c r="K881" t="n">
        <v>2019</v>
      </c>
      <c r="L881" t="n">
        <v>2035</v>
      </c>
      <c r="M881" t="n">
        <v>0.4862</v>
      </c>
      <c r="N881" t="n">
        <v>0.1913</v>
      </c>
      <c r="O881" t="n">
        <v>2018</v>
      </c>
      <c r="P881" t="n">
        <v>2040</v>
      </c>
      <c r="Q881" t="n">
        <v>0.3112</v>
      </c>
      <c r="R881" t="n">
        <v>702.4188</v>
      </c>
      <c r="S881" t="n">
        <v>0.0010803</v>
      </c>
      <c r="T881" t="n">
        <v>0.00078946</v>
      </c>
      <c r="U881" t="n">
        <v>19776.9287</v>
      </c>
      <c r="V881" t="inlineStr">
        <is>
          <t>Provided Total Emissions</t>
        </is>
      </c>
      <c r="W881" t="b">
        <v>1</v>
      </c>
      <c r="X881" t="n">
        <v>29332.4336</v>
      </c>
      <c r="Y881" t="n">
        <v>91885.8094</v>
      </c>
      <c r="Z881" t="n">
        <v>9555.5049</v>
      </c>
      <c r="AA881" t="n">
        <v>72108.88069999999</v>
      </c>
      <c r="AB881" t="n">
        <v>0.483164</v>
      </c>
      <c r="AC881" t="n">
        <v>3.646111</v>
      </c>
      <c r="AD881" t="inlineStr">
        <is>
          <t>High</t>
        </is>
      </c>
      <c r="AE881" t="inlineStr">
        <is>
          <t>None</t>
        </is>
      </c>
      <c r="AF881" t="n">
        <v>0.95</v>
      </c>
      <c r="AG881" t="inlineStr">
        <is>
          <t>Valid</t>
        </is>
      </c>
    </row>
    <row r="882">
      <c r="A882" t="inlineStr">
        <is>
          <t>SUP-0089</t>
        </is>
      </c>
      <c r="B882" t="inlineStr">
        <is>
          <t>Professional Supplier 089</t>
        </is>
      </c>
      <c r="C882" t="inlineStr">
        <is>
          <t>Professional Services</t>
        </is>
      </c>
      <c r="D882" t="n">
        <v>2015</v>
      </c>
      <c r="E882" t="n">
        <v>7561222.86</v>
      </c>
      <c r="F882" t="n">
        <v>24041311.08</v>
      </c>
      <c r="G882" t="n">
        <v>1531.8559</v>
      </c>
      <c r="H882" t="n">
        <v>283.2946</v>
      </c>
      <c r="I882" t="n">
        <v>275.4287</v>
      </c>
      <c r="J882" t="n">
        <v>890.2107</v>
      </c>
      <c r="K882" t="n">
        <v>2021</v>
      </c>
      <c r="L882" t="n">
        <v>2035</v>
      </c>
      <c r="M882" t="n">
        <v>0.3882</v>
      </c>
      <c r="N882" t="n">
        <v>0.2508</v>
      </c>
      <c r="O882" t="n">
        <v>2020</v>
      </c>
      <c r="P882" t="inlineStr"/>
      <c r="Q882" t="inlineStr"/>
      <c r="R882" t="n">
        <v>400.0326</v>
      </c>
      <c r="S882" t="n">
        <v>0.00012906</v>
      </c>
      <c r="T882" t="n">
        <v>0.00019658</v>
      </c>
      <c r="U882" t="n">
        <v>1531.8559</v>
      </c>
      <c r="V882" t="inlineStr">
        <is>
          <t>Provided Total Emissions</t>
        </is>
      </c>
      <c r="W882" t="b">
        <v>1</v>
      </c>
      <c r="X882" t="n">
        <v>975.8514</v>
      </c>
      <c r="Y882" t="n">
        <v>4726.0409</v>
      </c>
      <c r="Z882" t="n">
        <v>-556.0045</v>
      </c>
      <c r="AA882" t="n">
        <v>3194.185</v>
      </c>
      <c r="AB882" t="n">
        <v>-0.362961</v>
      </c>
      <c r="AC882" t="n">
        <v>2.085173</v>
      </c>
      <c r="AD882" t="inlineStr">
        <is>
          <t>High</t>
        </is>
      </c>
      <c r="AE882" t="inlineStr">
        <is>
          <t>None</t>
        </is>
      </c>
      <c r="AF882" t="n">
        <v>0.95</v>
      </c>
      <c r="AG882" t="inlineStr">
        <is>
          <t>Valid</t>
        </is>
      </c>
    </row>
    <row r="883">
      <c r="A883" t="inlineStr">
        <is>
          <t>SUP-0089</t>
        </is>
      </c>
      <c r="B883" t="inlineStr">
        <is>
          <t>Professional Supplier 089</t>
        </is>
      </c>
      <c r="C883" t="inlineStr">
        <is>
          <t>Professional Services</t>
        </is>
      </c>
      <c r="D883" t="n">
        <v>2016</v>
      </c>
      <c r="E883" t="n">
        <v>6974555.53</v>
      </c>
      <c r="F883" t="n">
        <v>25468873.08</v>
      </c>
      <c r="G883" t="n">
        <v>1346.6246</v>
      </c>
      <c r="H883" t="n">
        <v>236.251</v>
      </c>
      <c r="I883" t="n">
        <v>204.5395</v>
      </c>
      <c r="J883" t="n">
        <v>840.0183</v>
      </c>
      <c r="K883" t="n">
        <v>2021</v>
      </c>
      <c r="L883" t="n">
        <v>2035</v>
      </c>
      <c r="M883" t="n">
        <v>0.3882</v>
      </c>
      <c r="N883" t="n">
        <v>0.2508</v>
      </c>
      <c r="O883" t="n">
        <v>2020</v>
      </c>
      <c r="P883" t="inlineStr"/>
      <c r="Q883" t="inlineStr"/>
      <c r="R883" t="n">
        <v>400.0326</v>
      </c>
      <c r="S883" t="n">
        <v>0.00012906</v>
      </c>
      <c r="T883" t="n">
        <v>0.00019658</v>
      </c>
      <c r="U883" t="n">
        <v>1346.6246</v>
      </c>
      <c r="V883" t="inlineStr">
        <is>
          <t>Provided Total Emissions</t>
        </is>
      </c>
      <c r="W883" t="b">
        <v>1</v>
      </c>
      <c r="X883" t="n">
        <v>900.1361000000001</v>
      </c>
      <c r="Y883" t="n">
        <v>5006.6711</v>
      </c>
      <c r="Z883" t="n">
        <v>-446.4885</v>
      </c>
      <c r="AA883" t="n">
        <v>3660.0465</v>
      </c>
      <c r="AB883" t="n">
        <v>-0.331561</v>
      </c>
      <c r="AC883" t="n">
        <v>2.717941</v>
      </c>
      <c r="AD883" t="inlineStr">
        <is>
          <t>High</t>
        </is>
      </c>
      <c r="AE883" t="inlineStr">
        <is>
          <t>None</t>
        </is>
      </c>
      <c r="AF883" t="n">
        <v>0.95</v>
      </c>
      <c r="AG883" t="inlineStr">
        <is>
          <t>Valid</t>
        </is>
      </c>
    </row>
    <row r="884">
      <c r="A884" t="inlineStr">
        <is>
          <t>SUP-0089</t>
        </is>
      </c>
      <c r="B884" t="inlineStr">
        <is>
          <t>Professional Supplier 089</t>
        </is>
      </c>
      <c r="C884" t="inlineStr">
        <is>
          <t>Professional Services</t>
        </is>
      </c>
      <c r="D884" t="n">
        <v>2017</v>
      </c>
      <c r="E884" t="n">
        <v>7417280.36</v>
      </c>
      <c r="F884" t="n">
        <v>25993388.1</v>
      </c>
      <c r="G884" t="n">
        <v>1392.7082</v>
      </c>
      <c r="H884" t="n">
        <v>115.932</v>
      </c>
      <c r="I884" t="n">
        <v>227.1663</v>
      </c>
      <c r="J884" t="n">
        <v>1007.5352</v>
      </c>
      <c r="K884" t="n">
        <v>2021</v>
      </c>
      <c r="L884" t="n">
        <v>2035</v>
      </c>
      <c r="M884" t="n">
        <v>0.3882</v>
      </c>
      <c r="N884" t="n">
        <v>0.2508</v>
      </c>
      <c r="O884" t="n">
        <v>2020</v>
      </c>
      <c r="P884" t="inlineStr"/>
      <c r="Q884" t="inlineStr"/>
      <c r="R884" t="n">
        <v>400.0326</v>
      </c>
      <c r="S884" t="n">
        <v>0.00012906</v>
      </c>
      <c r="T884" t="n">
        <v>0.00019658</v>
      </c>
      <c r="U884" t="n">
        <v>1392.7082</v>
      </c>
      <c r="V884" t="inlineStr">
        <is>
          <t>Provided Total Emissions</t>
        </is>
      </c>
      <c r="W884" t="b">
        <v>1</v>
      </c>
      <c r="X884" t="n">
        <v>957.2742</v>
      </c>
      <c r="Y884" t="n">
        <v>5109.7802</v>
      </c>
      <c r="Z884" t="n">
        <v>-435.434</v>
      </c>
      <c r="AA884" t="n">
        <v>3717.072</v>
      </c>
      <c r="AB884" t="n">
        <v>-0.312653</v>
      </c>
      <c r="AC884" t="n">
        <v>2.668953</v>
      </c>
      <c r="AD884" t="inlineStr">
        <is>
          <t>High</t>
        </is>
      </c>
      <c r="AE884" t="inlineStr">
        <is>
          <t>None</t>
        </is>
      </c>
      <c r="AF884" t="n">
        <v>0.95</v>
      </c>
      <c r="AG884" t="inlineStr">
        <is>
          <t>Valid</t>
        </is>
      </c>
    </row>
    <row r="885">
      <c r="A885" t="inlineStr">
        <is>
          <t>SUP-0089</t>
        </is>
      </c>
      <c r="B885" t="inlineStr">
        <is>
          <t>Professional Supplier 089</t>
        </is>
      </c>
      <c r="C885" t="inlineStr">
        <is>
          <t>Professional Services</t>
        </is>
      </c>
      <c r="D885" t="n">
        <v>2018</v>
      </c>
      <c r="E885" t="n">
        <v>8883443.76</v>
      </c>
      <c r="F885" t="n">
        <v>20678940.11</v>
      </c>
      <c r="G885" t="n">
        <v>1629.542</v>
      </c>
      <c r="H885" t="n">
        <v>287.326</v>
      </c>
      <c r="I885" t="n">
        <v>319.9942</v>
      </c>
      <c r="J885" t="n">
        <v>1025.6501</v>
      </c>
      <c r="K885" t="n">
        <v>2021</v>
      </c>
      <c r="L885" t="n">
        <v>2035</v>
      </c>
      <c r="M885" t="n">
        <v>0.3882</v>
      </c>
      <c r="N885" t="n">
        <v>0.2508</v>
      </c>
      <c r="O885" t="n">
        <v>2020</v>
      </c>
      <c r="P885" t="inlineStr"/>
      <c r="Q885" t="inlineStr"/>
      <c r="R885" t="n">
        <v>400.0326</v>
      </c>
      <c r="S885" t="n">
        <v>0.00012906</v>
      </c>
      <c r="T885" t="n">
        <v>0.00019658</v>
      </c>
      <c r="U885" t="n">
        <v>1629.542</v>
      </c>
      <c r="V885" t="inlineStr">
        <is>
          <t>Provided Total Emissions</t>
        </is>
      </c>
      <c r="W885" t="b">
        <v>1</v>
      </c>
      <c r="X885" t="n">
        <v>1146.4973</v>
      </c>
      <c r="Y885" t="n">
        <v>4065.066</v>
      </c>
      <c r="Z885" t="n">
        <v>-483.0447</v>
      </c>
      <c r="AA885" t="n">
        <v>2435.524</v>
      </c>
      <c r="AB885" t="n">
        <v>-0.29643</v>
      </c>
      <c r="AC885" t="n">
        <v>1.494606</v>
      </c>
      <c r="AD885" t="inlineStr">
        <is>
          <t>High</t>
        </is>
      </c>
      <c r="AE885" t="inlineStr">
        <is>
          <t>None</t>
        </is>
      </c>
      <c r="AF885" t="n">
        <v>0.95</v>
      </c>
      <c r="AG885" t="inlineStr">
        <is>
          <t>Valid</t>
        </is>
      </c>
    </row>
    <row r="886">
      <c r="A886" t="inlineStr">
        <is>
          <t>SUP-0089</t>
        </is>
      </c>
      <c r="B886" t="inlineStr">
        <is>
          <t>Professional Supplier 089</t>
        </is>
      </c>
      <c r="C886" t="inlineStr">
        <is>
          <t>Professional Services</t>
        </is>
      </c>
      <c r="D886" t="n">
        <v>2019</v>
      </c>
      <c r="E886" t="n">
        <v>6307705.16</v>
      </c>
      <c r="F886" t="n">
        <v>21807495.92</v>
      </c>
      <c r="G886" t="n">
        <v>1155.7314</v>
      </c>
      <c r="H886" t="n">
        <v>293.6979</v>
      </c>
      <c r="I886" t="n">
        <v>123.283</v>
      </c>
      <c r="J886" t="n">
        <v>674.5841</v>
      </c>
      <c r="K886" t="n">
        <v>2021</v>
      </c>
      <c r="L886" t="n">
        <v>2035</v>
      </c>
      <c r="M886" t="n">
        <v>0.3882</v>
      </c>
      <c r="N886" t="n">
        <v>0.2508</v>
      </c>
      <c r="O886" t="n">
        <v>2020</v>
      </c>
      <c r="P886" t="inlineStr"/>
      <c r="Q886" t="inlineStr"/>
      <c r="R886" t="n">
        <v>400.0326</v>
      </c>
      <c r="S886" t="n">
        <v>0.00012906</v>
      </c>
      <c r="T886" t="n">
        <v>0.00019658</v>
      </c>
      <c r="U886" t="n">
        <v>1155.7314</v>
      </c>
      <c r="V886" t="inlineStr">
        <is>
          <t>Provided Total Emissions</t>
        </is>
      </c>
      <c r="W886" t="b">
        <v>1</v>
      </c>
      <c r="X886" t="n">
        <v>814.0724</v>
      </c>
      <c r="Y886" t="n">
        <v>4286.9175</v>
      </c>
      <c r="Z886" t="n">
        <v>-341.659</v>
      </c>
      <c r="AA886" t="n">
        <v>3131.1861</v>
      </c>
      <c r="AB886" t="n">
        <v>-0.295621</v>
      </c>
      <c r="AC886" t="n">
        <v>2.709268</v>
      </c>
      <c r="AD886" t="inlineStr">
        <is>
          <t>High</t>
        </is>
      </c>
      <c r="AE886" t="inlineStr">
        <is>
          <t>None</t>
        </is>
      </c>
      <c r="AF886" t="n">
        <v>0.95</v>
      </c>
      <c r="AG886" t="inlineStr">
        <is>
          <t>Valid</t>
        </is>
      </c>
    </row>
    <row r="887">
      <c r="A887" t="inlineStr">
        <is>
          <t>SUP-0089</t>
        </is>
      </c>
      <c r="B887" t="inlineStr">
        <is>
          <t>Professional Supplier 089</t>
        </is>
      </c>
      <c r="C887" t="inlineStr">
        <is>
          <t>Professional Services</t>
        </is>
      </c>
      <c r="D887" t="n">
        <v>2020</v>
      </c>
      <c r="E887" t="n">
        <v>7496540.16</v>
      </c>
      <c r="F887" t="n">
        <v>25590173.79</v>
      </c>
      <c r="G887" t="n">
        <v>1410.6388</v>
      </c>
      <c r="H887" t="n">
        <v>174.3771</v>
      </c>
      <c r="I887" t="n">
        <v>110.9134</v>
      </c>
      <c r="J887" t="n">
        <v>1076.4684</v>
      </c>
      <c r="K887" t="n">
        <v>2021</v>
      </c>
      <c r="L887" t="n">
        <v>2035</v>
      </c>
      <c r="M887" t="n">
        <v>0.3882</v>
      </c>
      <c r="N887" t="n">
        <v>0.2508</v>
      </c>
      <c r="O887" t="n">
        <v>2020</v>
      </c>
      <c r="P887" t="inlineStr"/>
      <c r="Q887" t="inlineStr"/>
      <c r="R887" t="n">
        <v>400.0326</v>
      </c>
      <c r="S887" t="n">
        <v>0.00012906</v>
      </c>
      <c r="T887" t="n">
        <v>0.00019658</v>
      </c>
      <c r="U887" t="n">
        <v>1410.6388</v>
      </c>
      <c r="V887" t="inlineStr">
        <is>
          <t>Provided Total Emissions</t>
        </is>
      </c>
      <c r="W887" t="b">
        <v>1</v>
      </c>
      <c r="X887" t="n">
        <v>967.5035</v>
      </c>
      <c r="Y887" t="n">
        <v>5030.5164</v>
      </c>
      <c r="Z887" t="n">
        <v>-443.1353</v>
      </c>
      <c r="AA887" t="n">
        <v>3619.8776</v>
      </c>
      <c r="AB887" t="n">
        <v>-0.314138</v>
      </c>
      <c r="AC887" t="n">
        <v>2.566126</v>
      </c>
      <c r="AD887" t="inlineStr">
        <is>
          <t>High</t>
        </is>
      </c>
      <c r="AE887" t="inlineStr">
        <is>
          <t>None</t>
        </is>
      </c>
      <c r="AF887" t="n">
        <v>0.95</v>
      </c>
      <c r="AG887" t="inlineStr">
        <is>
          <t>Valid</t>
        </is>
      </c>
    </row>
    <row r="888">
      <c r="A888" t="inlineStr">
        <is>
          <t>SUP-0089</t>
        </is>
      </c>
      <c r="B888" t="inlineStr">
        <is>
          <t>Professional Supplier 089</t>
        </is>
      </c>
      <c r="C888" t="inlineStr">
        <is>
          <t>Professional Services</t>
        </is>
      </c>
      <c r="D888" t="n">
        <v>2021</v>
      </c>
      <c r="E888" t="n">
        <v>6848538.71</v>
      </c>
      <c r="F888" t="n">
        <v>21219340.91</v>
      </c>
      <c r="G888" t="n">
        <v>1390.1954</v>
      </c>
      <c r="H888" t="n">
        <v>137.7614</v>
      </c>
      <c r="I888" t="n">
        <v>107.9285</v>
      </c>
      <c r="J888" t="n">
        <v>1113.3102</v>
      </c>
      <c r="K888" t="n">
        <v>2021</v>
      </c>
      <c r="L888" t="n">
        <v>2035</v>
      </c>
      <c r="M888" t="n">
        <v>0.3882</v>
      </c>
      <c r="N888" t="n">
        <v>0.2508</v>
      </c>
      <c r="O888" t="n">
        <v>2020</v>
      </c>
      <c r="P888" t="inlineStr"/>
      <c r="Q888" t="inlineStr"/>
      <c r="R888" t="n">
        <v>400.0326</v>
      </c>
      <c r="S888" t="n">
        <v>0.00012906</v>
      </c>
      <c r="T888" t="n">
        <v>0.00019658</v>
      </c>
      <c r="U888" t="n">
        <v>1390.1954</v>
      </c>
      <c r="V888" t="inlineStr">
        <is>
          <t>Provided Total Emissions</t>
        </is>
      </c>
      <c r="W888" t="b">
        <v>1</v>
      </c>
      <c r="X888" t="n">
        <v>883.8724</v>
      </c>
      <c r="Y888" t="n">
        <v>4171.298</v>
      </c>
      <c r="Z888" t="n">
        <v>-506.323</v>
      </c>
      <c r="AA888" t="n">
        <v>2781.1026</v>
      </c>
      <c r="AB888" t="n">
        <v>-0.36421</v>
      </c>
      <c r="AC888" t="n">
        <v>2.000512</v>
      </c>
      <c r="AD888" t="inlineStr">
        <is>
          <t>High</t>
        </is>
      </c>
      <c r="AE888" t="inlineStr">
        <is>
          <t>None</t>
        </is>
      </c>
      <c r="AF888" t="n">
        <v>0.95</v>
      </c>
      <c r="AG888" t="inlineStr">
        <is>
          <t>Valid</t>
        </is>
      </c>
    </row>
    <row r="889">
      <c r="A889" t="inlineStr">
        <is>
          <t>SUP-0089</t>
        </is>
      </c>
      <c r="B889" t="inlineStr">
        <is>
          <t>Professional Supplier 089</t>
        </is>
      </c>
      <c r="C889" t="inlineStr">
        <is>
          <t>Professional Services</t>
        </is>
      </c>
      <c r="D889" t="n">
        <v>2022</v>
      </c>
      <c r="E889" t="n">
        <v>7079579.49</v>
      </c>
      <c r="F889" t="n">
        <v>20957190.53</v>
      </c>
      <c r="G889" t="n">
        <v>1511.9577</v>
      </c>
      <c r="H889" t="n">
        <v>352.6245</v>
      </c>
      <c r="I889" t="n">
        <v>325.8488</v>
      </c>
      <c r="J889" t="n">
        <v>874.7758</v>
      </c>
      <c r="K889" t="n">
        <v>2021</v>
      </c>
      <c r="L889" t="n">
        <v>2035</v>
      </c>
      <c r="M889" t="n">
        <v>0.3882</v>
      </c>
      <c r="N889" t="n">
        <v>0.2508</v>
      </c>
      <c r="O889" t="n">
        <v>2020</v>
      </c>
      <c r="P889" t="inlineStr"/>
      <c r="Q889" t="inlineStr"/>
      <c r="R889" t="n">
        <v>400.0326</v>
      </c>
      <c r="S889" t="n">
        <v>0.00012906</v>
      </c>
      <c r="T889" t="n">
        <v>0.00019658</v>
      </c>
      <c r="U889" t="n">
        <v>1511.9577</v>
      </c>
      <c r="V889" t="inlineStr">
        <is>
          <t>Provided Total Emissions</t>
        </is>
      </c>
      <c r="W889" t="b">
        <v>1</v>
      </c>
      <c r="X889" t="n">
        <v>913.6905</v>
      </c>
      <c r="Y889" t="n">
        <v>4119.7645</v>
      </c>
      <c r="Z889" t="n">
        <v>-598.2672</v>
      </c>
      <c r="AA889" t="n">
        <v>2607.8068</v>
      </c>
      <c r="AB889" t="n">
        <v>-0.39569</v>
      </c>
      <c r="AC889" t="n">
        <v>1.724788</v>
      </c>
      <c r="AD889" t="inlineStr">
        <is>
          <t>High</t>
        </is>
      </c>
      <c r="AE889" t="inlineStr">
        <is>
          <t>None</t>
        </is>
      </c>
      <c r="AF889" t="n">
        <v>0.95</v>
      </c>
      <c r="AG889" t="inlineStr">
        <is>
          <t>Valid</t>
        </is>
      </c>
    </row>
    <row r="890">
      <c r="A890" t="inlineStr">
        <is>
          <t>SUP-0089</t>
        </is>
      </c>
      <c r="B890" t="inlineStr">
        <is>
          <t>Professional Supplier 089</t>
        </is>
      </c>
      <c r="C890" t="inlineStr">
        <is>
          <t>Professional Services</t>
        </is>
      </c>
      <c r="D890" t="n">
        <v>2023</v>
      </c>
      <c r="E890" t="n">
        <v>5982266.66</v>
      </c>
      <c r="F890" t="n">
        <v>24326960.93</v>
      </c>
      <c r="G890" t="n">
        <v>843.8011</v>
      </c>
      <c r="H890" t="n">
        <v>126.13</v>
      </c>
      <c r="I890" t="n">
        <v>96.1772</v>
      </c>
      <c r="J890" t="n">
        <v>624.8463</v>
      </c>
      <c r="K890" t="n">
        <v>2021</v>
      </c>
      <c r="L890" t="n">
        <v>2035</v>
      </c>
      <c r="M890" t="n">
        <v>0.3882</v>
      </c>
      <c r="N890" t="n">
        <v>0.2508</v>
      </c>
      <c r="O890" t="n">
        <v>2020</v>
      </c>
      <c r="P890" t="inlineStr"/>
      <c r="Q890" t="inlineStr"/>
      <c r="R890" t="n">
        <v>400.0326</v>
      </c>
      <c r="S890" t="n">
        <v>0.00012906</v>
      </c>
      <c r="T890" t="n">
        <v>0.00019658</v>
      </c>
      <c r="U890" t="n">
        <v>843.8011</v>
      </c>
      <c r="V890" t="inlineStr">
        <is>
          <t>Provided Total Emissions</t>
        </is>
      </c>
      <c r="W890" t="b">
        <v>1</v>
      </c>
      <c r="X890" t="n">
        <v>772.0713</v>
      </c>
      <c r="Y890" t="n">
        <v>4782.194</v>
      </c>
      <c r="Z890" t="n">
        <v>-71.7298</v>
      </c>
      <c r="AA890" t="n">
        <v>3938.3929</v>
      </c>
      <c r="AB890" t="n">
        <v>-0.085008</v>
      </c>
      <c r="AC890" t="n">
        <v>4.667442</v>
      </c>
      <c r="AD890" t="inlineStr">
        <is>
          <t>High</t>
        </is>
      </c>
      <c r="AE890" t="inlineStr">
        <is>
          <t>None</t>
        </is>
      </c>
      <c r="AF890" t="n">
        <v>0.95</v>
      </c>
      <c r="AG890" t="inlineStr">
        <is>
          <t>Valid</t>
        </is>
      </c>
    </row>
    <row r="891">
      <c r="A891" t="inlineStr">
        <is>
          <t>SUP-0089</t>
        </is>
      </c>
      <c r="B891" t="inlineStr">
        <is>
          <t>Professional Supplier 089</t>
        </is>
      </c>
      <c r="C891" t="inlineStr">
        <is>
          <t>Professional Services</t>
        </is>
      </c>
      <c r="D891" t="n">
        <v>2024</v>
      </c>
      <c r="E891" t="n">
        <v>6084672.63</v>
      </c>
      <c r="F891" t="n">
        <v>24578075.77</v>
      </c>
      <c r="G891" t="n">
        <v>1355.5904</v>
      </c>
      <c r="H891" t="n">
        <v>168.8568</v>
      </c>
      <c r="I891" t="n">
        <v>101.5004</v>
      </c>
      <c r="J891" t="n">
        <v>1061.707</v>
      </c>
      <c r="K891" t="n">
        <v>2021</v>
      </c>
      <c r="L891" t="n">
        <v>2035</v>
      </c>
      <c r="M891" t="n">
        <v>0.3882</v>
      </c>
      <c r="N891" t="n">
        <v>0.2508</v>
      </c>
      <c r="O891" t="n">
        <v>2020</v>
      </c>
      <c r="P891" t="inlineStr"/>
      <c r="Q891" t="inlineStr"/>
      <c r="R891" t="n">
        <v>400.0326</v>
      </c>
      <c r="S891" t="n">
        <v>0.00012906</v>
      </c>
      <c r="T891" t="n">
        <v>0.00019658</v>
      </c>
      <c r="U891" t="n">
        <v>1355.5904</v>
      </c>
      <c r="V891" t="inlineStr">
        <is>
          <t>Provided Total Emissions</t>
        </is>
      </c>
      <c r="W891" t="b">
        <v>1</v>
      </c>
      <c r="X891" t="n">
        <v>785.2877999999999</v>
      </c>
      <c r="Y891" t="n">
        <v>4831.5581</v>
      </c>
      <c r="Z891" t="n">
        <v>-570.3026</v>
      </c>
      <c r="AA891" t="n">
        <v>3475.9677</v>
      </c>
      <c r="AB891" t="n">
        <v>-0.420704</v>
      </c>
      <c r="AC891" t="n">
        <v>2.564173</v>
      </c>
      <c r="AD891" t="inlineStr">
        <is>
          <t>High</t>
        </is>
      </c>
      <c r="AE891" t="inlineStr">
        <is>
          <t>None</t>
        </is>
      </c>
      <c r="AF891" t="n">
        <v>0.95</v>
      </c>
      <c r="AG891" t="inlineStr">
        <is>
          <t>Valid</t>
        </is>
      </c>
    </row>
    <row r="892">
      <c r="A892" t="inlineStr">
        <is>
          <t>SUP-0090</t>
        </is>
      </c>
      <c r="B892" t="inlineStr">
        <is>
          <t>Textiles Supplier 090</t>
        </is>
      </c>
      <c r="C892" t="inlineStr">
        <is>
          <t>Textiles</t>
        </is>
      </c>
      <c r="D892" t="n">
        <v>2015</v>
      </c>
      <c r="E892" t="n">
        <v>21243631.36</v>
      </c>
      <c r="F892" t="n">
        <v>49733592.42</v>
      </c>
      <c r="G892" t="n">
        <v>7035.1955</v>
      </c>
      <c r="H892" t="n">
        <v>1649.0128</v>
      </c>
      <c r="I892" t="n">
        <v>1083.9186</v>
      </c>
      <c r="J892" t="n">
        <v>4041.6405</v>
      </c>
      <c r="K892" t="n">
        <v>2018</v>
      </c>
      <c r="L892" t="n">
        <v>2040</v>
      </c>
      <c r="M892" t="n">
        <v>0.2819</v>
      </c>
      <c r="N892" t="n">
        <v>0.1127</v>
      </c>
      <c r="O892" t="n">
        <v>2019</v>
      </c>
      <c r="P892" t="n">
        <v>2030</v>
      </c>
      <c r="Q892" t="n">
        <v>0.3171</v>
      </c>
      <c r="R892" t="n">
        <v>401.7335</v>
      </c>
      <c r="S892" t="n">
        <v>0.00029221</v>
      </c>
      <c r="T892" t="n">
        <v>0.00017343</v>
      </c>
      <c r="U892" t="n">
        <v>7035.1955</v>
      </c>
      <c r="V892" t="inlineStr">
        <is>
          <t>Provided Total Emissions</t>
        </is>
      </c>
      <c r="W892" t="b">
        <v>1</v>
      </c>
      <c r="X892" t="n">
        <v>6207.6015</v>
      </c>
      <c r="Y892" t="n">
        <v>8625.296899999999</v>
      </c>
      <c r="Z892" t="n">
        <v>-827.5940000000001</v>
      </c>
      <c r="AA892" t="n">
        <v>1590.1014</v>
      </c>
      <c r="AB892" t="n">
        <v>-0.117636</v>
      </c>
      <c r="AC892" t="n">
        <v>0.226021</v>
      </c>
      <c r="AD892" t="inlineStr">
        <is>
          <t>High</t>
        </is>
      </c>
      <c r="AE892" t="inlineStr">
        <is>
          <t>None</t>
        </is>
      </c>
      <c r="AF892" t="n">
        <v>0.95</v>
      </c>
      <c r="AG892" t="inlineStr">
        <is>
          <t>Valid</t>
        </is>
      </c>
    </row>
    <row r="893">
      <c r="A893" t="inlineStr">
        <is>
          <t>SUP-0090</t>
        </is>
      </c>
      <c r="B893" t="inlineStr">
        <is>
          <t>Textiles Supplier 090</t>
        </is>
      </c>
      <c r="C893" t="inlineStr">
        <is>
          <t>Textiles</t>
        </is>
      </c>
      <c r="D893" t="n">
        <v>2016</v>
      </c>
      <c r="E893" t="n">
        <v>25055683.8</v>
      </c>
      <c r="F893" t="n">
        <v>49359782.54</v>
      </c>
      <c r="G893" t="n">
        <v>6504.1119</v>
      </c>
      <c r="H893" t="n">
        <v>532.67</v>
      </c>
      <c r="I893" t="n">
        <v>431.0013</v>
      </c>
      <c r="J893" t="n">
        <v>5196.7589</v>
      </c>
      <c r="K893" t="n">
        <v>2018</v>
      </c>
      <c r="L893" t="n">
        <v>2040</v>
      </c>
      <c r="M893" t="n">
        <v>0.2819</v>
      </c>
      <c r="N893" t="n">
        <v>0.1127</v>
      </c>
      <c r="O893" t="n">
        <v>2019</v>
      </c>
      <c r="P893" t="n">
        <v>2030</v>
      </c>
      <c r="Q893" t="n">
        <v>0.3171</v>
      </c>
      <c r="R893" t="n">
        <v>401.7335</v>
      </c>
      <c r="S893" t="n">
        <v>0.00029221</v>
      </c>
      <c r="T893" t="n">
        <v>0.00017343</v>
      </c>
      <c r="U893" t="n">
        <v>6504.1119</v>
      </c>
      <c r="V893" t="inlineStr">
        <is>
          <t>Provided Total Emissions</t>
        </is>
      </c>
      <c r="W893" t="b">
        <v>1</v>
      </c>
      <c r="X893" t="n">
        <v>7321.5214</v>
      </c>
      <c r="Y893" t="n">
        <v>8560.4671</v>
      </c>
      <c r="Z893" t="n">
        <v>817.4095</v>
      </c>
      <c r="AA893" t="n">
        <v>2056.3552</v>
      </c>
      <c r="AB893" t="n">
        <v>0.125676</v>
      </c>
      <c r="AC893" t="n">
        <v>0.316162</v>
      </c>
      <c r="AD893" t="inlineStr">
        <is>
          <t>High</t>
        </is>
      </c>
      <c r="AE893" t="inlineStr">
        <is>
          <t>None</t>
        </is>
      </c>
      <c r="AF893" t="n">
        <v>0.95</v>
      </c>
      <c r="AG893" t="inlineStr">
        <is>
          <t>Valid</t>
        </is>
      </c>
    </row>
    <row r="894">
      <c r="A894" t="inlineStr">
        <is>
          <t>SUP-0090</t>
        </is>
      </c>
      <c r="B894" t="inlineStr">
        <is>
          <t>Textiles Supplier 090</t>
        </is>
      </c>
      <c r="C894" t="inlineStr">
        <is>
          <t>Textiles</t>
        </is>
      </c>
      <c r="D894" t="n">
        <v>2017</v>
      </c>
      <c r="E894" t="n">
        <v>31528980.24</v>
      </c>
      <c r="F894" t="n">
        <v>66195699.29</v>
      </c>
      <c r="G894" t="n">
        <v>11546.9042</v>
      </c>
      <c r="H894" t="n">
        <v>2001.1752</v>
      </c>
      <c r="I894" t="n">
        <v>2095.1964</v>
      </c>
      <c r="J894" t="n">
        <v>6911.7634</v>
      </c>
      <c r="K894" t="n">
        <v>2018</v>
      </c>
      <c r="L894" t="n">
        <v>2040</v>
      </c>
      <c r="M894" t="n">
        <v>0.2819</v>
      </c>
      <c r="N894" t="n">
        <v>0.1127</v>
      </c>
      <c r="O894" t="n">
        <v>2019</v>
      </c>
      <c r="P894" t="n">
        <v>2030</v>
      </c>
      <c r="Q894" t="n">
        <v>0.3171</v>
      </c>
      <c r="R894" t="n">
        <v>401.7335</v>
      </c>
      <c r="S894" t="n">
        <v>0.00029221</v>
      </c>
      <c r="T894" t="n">
        <v>0.00017343</v>
      </c>
      <c r="U894" t="n">
        <v>11546.9042</v>
      </c>
      <c r="V894" t="inlineStr">
        <is>
          <t>Provided Total Emissions</t>
        </is>
      </c>
      <c r="W894" t="b">
        <v>1</v>
      </c>
      <c r="X894" t="n">
        <v>9213.0833</v>
      </c>
      <c r="Y894" t="n">
        <v>11480.3201</v>
      </c>
      <c r="Z894" t="n">
        <v>-2333.8209</v>
      </c>
      <c r="AA894" t="n">
        <v>-66.58410000000001</v>
      </c>
      <c r="AB894" t="n">
        <v>-0.202117</v>
      </c>
      <c r="AC894" t="n">
        <v>-0.005766</v>
      </c>
      <c r="AD894" t="inlineStr">
        <is>
          <t>High</t>
        </is>
      </c>
      <c r="AE894" t="inlineStr">
        <is>
          <t>None</t>
        </is>
      </c>
      <c r="AF894" t="n">
        <v>0.95</v>
      </c>
      <c r="AG894" t="inlineStr">
        <is>
          <t>Valid</t>
        </is>
      </c>
    </row>
    <row r="895">
      <c r="A895" t="inlineStr">
        <is>
          <t>SUP-0090</t>
        </is>
      </c>
      <c r="B895" t="inlineStr">
        <is>
          <t>Textiles Supplier 090</t>
        </is>
      </c>
      <c r="C895" t="inlineStr">
        <is>
          <t>Textiles</t>
        </is>
      </c>
      <c r="D895" t="n">
        <v>2018</v>
      </c>
      <c r="E895" t="n">
        <v>29866065.39</v>
      </c>
      <c r="F895" t="n">
        <v>51800485.14</v>
      </c>
      <c r="G895" t="n">
        <v>9362.334000000001</v>
      </c>
      <c r="H895" t="n">
        <v>2387.9594</v>
      </c>
      <c r="I895" t="n">
        <v>1754.2333</v>
      </c>
      <c r="J895" t="n">
        <v>4953.9436</v>
      </c>
      <c r="K895" t="n">
        <v>2018</v>
      </c>
      <c r="L895" t="n">
        <v>2040</v>
      </c>
      <c r="M895" t="n">
        <v>0.2819</v>
      </c>
      <c r="N895" t="n">
        <v>0.1127</v>
      </c>
      <c r="O895" t="n">
        <v>2019</v>
      </c>
      <c r="P895" t="n">
        <v>2030</v>
      </c>
      <c r="Q895" t="n">
        <v>0.3171</v>
      </c>
      <c r="R895" t="n">
        <v>401.7335</v>
      </c>
      <c r="S895" t="n">
        <v>0.00029221</v>
      </c>
      <c r="T895" t="n">
        <v>0.00017343</v>
      </c>
      <c r="U895" t="n">
        <v>9362.334000000001</v>
      </c>
      <c r="V895" t="inlineStr">
        <is>
          <t>Provided Total Emissions</t>
        </is>
      </c>
      <c r="W895" t="b">
        <v>1</v>
      </c>
      <c r="X895" t="n">
        <v>8727.163</v>
      </c>
      <c r="Y895" t="n">
        <v>8983.758099999999</v>
      </c>
      <c r="Z895" t="n">
        <v>-635.171</v>
      </c>
      <c r="AA895" t="n">
        <v>-378.5759</v>
      </c>
      <c r="AB895" t="n">
        <v>-0.067843</v>
      </c>
      <c r="AC895" t="n">
        <v>-0.040436</v>
      </c>
      <c r="AD895" t="inlineStr">
        <is>
          <t>High</t>
        </is>
      </c>
      <c r="AE895" t="inlineStr">
        <is>
          <t>None</t>
        </is>
      </c>
      <c r="AF895" t="n">
        <v>0.95</v>
      </c>
      <c r="AG895" t="inlineStr">
        <is>
          <t>Valid</t>
        </is>
      </c>
    </row>
    <row r="896">
      <c r="A896" t="inlineStr">
        <is>
          <t>SUP-0090</t>
        </is>
      </c>
      <c r="B896" t="inlineStr">
        <is>
          <t>Textiles Supplier 090</t>
        </is>
      </c>
      <c r="C896" t="inlineStr">
        <is>
          <t>Textiles</t>
        </is>
      </c>
      <c r="D896" t="n">
        <v>2019</v>
      </c>
      <c r="E896" t="n">
        <v>28094780.82</v>
      </c>
      <c r="F896" t="n">
        <v>68984419.12</v>
      </c>
      <c r="G896" t="n">
        <v>7067.6848</v>
      </c>
      <c r="H896" t="n">
        <v>707.8142</v>
      </c>
      <c r="I896" t="n">
        <v>1268.0778</v>
      </c>
      <c r="J896" t="n">
        <v>4871.2597</v>
      </c>
      <c r="K896" t="n">
        <v>2018</v>
      </c>
      <c r="L896" t="n">
        <v>2040</v>
      </c>
      <c r="M896" t="n">
        <v>0.2819</v>
      </c>
      <c r="N896" t="n">
        <v>0.1127</v>
      </c>
      <c r="O896" t="n">
        <v>2019</v>
      </c>
      <c r="P896" t="n">
        <v>2030</v>
      </c>
      <c r="Q896" t="n">
        <v>0.3171</v>
      </c>
      <c r="R896" t="n">
        <v>401.7335</v>
      </c>
      <c r="S896" t="n">
        <v>0.00029221</v>
      </c>
      <c r="T896" t="n">
        <v>0.00017343</v>
      </c>
      <c r="U896" t="n">
        <v>7067.6848</v>
      </c>
      <c r="V896" t="inlineStr">
        <is>
          <t>Provided Total Emissions</t>
        </is>
      </c>
      <c r="W896" t="b">
        <v>1</v>
      </c>
      <c r="X896" t="n">
        <v>8209.5759</v>
      </c>
      <c r="Y896" t="n">
        <v>11963.9678</v>
      </c>
      <c r="Z896" t="n">
        <v>1141.8911</v>
      </c>
      <c r="AA896" t="n">
        <v>4896.283</v>
      </c>
      <c r="AB896" t="n">
        <v>0.161565</v>
      </c>
      <c r="AC896" t="n">
        <v>0.69277</v>
      </c>
      <c r="AD896" t="inlineStr">
        <is>
          <t>High</t>
        </is>
      </c>
      <c r="AE896" t="inlineStr">
        <is>
          <t>None</t>
        </is>
      </c>
      <c r="AF896" t="n">
        <v>0.95</v>
      </c>
      <c r="AG896" t="inlineStr">
        <is>
          <t>Valid</t>
        </is>
      </c>
    </row>
    <row r="897">
      <c r="A897" t="inlineStr">
        <is>
          <t>SUP-0090</t>
        </is>
      </c>
      <c r="B897" t="inlineStr">
        <is>
          <t>Textiles Supplier 090</t>
        </is>
      </c>
      <c r="C897" t="inlineStr">
        <is>
          <t>Textiles</t>
        </is>
      </c>
      <c r="D897" t="n">
        <v>2020</v>
      </c>
      <c r="E897" t="n">
        <v>32963699.01</v>
      </c>
      <c r="F897" t="n">
        <v>77404750.38</v>
      </c>
      <c r="G897" t="n">
        <v>11563.3934</v>
      </c>
      <c r="H897" t="n">
        <v>1891.309</v>
      </c>
      <c r="I897" t="n">
        <v>1281.4706</v>
      </c>
      <c r="J897" t="n">
        <v>7384.2467</v>
      </c>
      <c r="K897" t="n">
        <v>2018</v>
      </c>
      <c r="L897" t="n">
        <v>2040</v>
      </c>
      <c r="M897" t="n">
        <v>0.2819</v>
      </c>
      <c r="N897" t="n">
        <v>0.1127</v>
      </c>
      <c r="O897" t="n">
        <v>2019</v>
      </c>
      <c r="P897" t="n">
        <v>2030</v>
      </c>
      <c r="Q897" t="n">
        <v>0.3171</v>
      </c>
      <c r="R897" t="n">
        <v>401.7335</v>
      </c>
      <c r="S897" t="n">
        <v>0.00029221</v>
      </c>
      <c r="T897" t="n">
        <v>0.00017343</v>
      </c>
      <c r="U897" t="n">
        <v>11563.3934</v>
      </c>
      <c r="V897" t="inlineStr">
        <is>
          <t>Provided Total Emissions</t>
        </is>
      </c>
      <c r="W897" t="b">
        <v>1</v>
      </c>
      <c r="X897" t="n">
        <v>9632.3225</v>
      </c>
      <c r="Y897" t="n">
        <v>13424.3059</v>
      </c>
      <c r="Z897" t="n">
        <v>-1931.0709</v>
      </c>
      <c r="AA897" t="n">
        <v>1860.9125</v>
      </c>
      <c r="AB897" t="n">
        <v>-0.166999</v>
      </c>
      <c r="AC897" t="n">
        <v>0.160931</v>
      </c>
      <c r="AD897" t="inlineStr">
        <is>
          <t>High</t>
        </is>
      </c>
      <c r="AE897" t="inlineStr">
        <is>
          <t>None</t>
        </is>
      </c>
      <c r="AF897" t="n">
        <v>0.95</v>
      </c>
      <c r="AG897" t="inlineStr">
        <is>
          <t>Valid</t>
        </is>
      </c>
    </row>
    <row r="898">
      <c r="A898" t="inlineStr">
        <is>
          <t>SUP-0090</t>
        </is>
      </c>
      <c r="B898" t="inlineStr">
        <is>
          <t>Textiles Supplier 090</t>
        </is>
      </c>
      <c r="C898" t="inlineStr">
        <is>
          <t>Textiles</t>
        </is>
      </c>
      <c r="D898" t="n">
        <v>2021</v>
      </c>
      <c r="E898" t="n">
        <v>31592807.51</v>
      </c>
      <c r="F898" t="n">
        <v>71433139.42</v>
      </c>
      <c r="G898" t="n">
        <v>8608.0134</v>
      </c>
      <c r="H898" t="n">
        <v>865.8772</v>
      </c>
      <c r="I898" t="n">
        <v>1460.8969</v>
      </c>
      <c r="J898" t="n">
        <v>6457.209</v>
      </c>
      <c r="K898" t="n">
        <v>2018</v>
      </c>
      <c r="L898" t="n">
        <v>2040</v>
      </c>
      <c r="M898" t="n">
        <v>0.2819</v>
      </c>
      <c r="N898" t="n">
        <v>0.1127</v>
      </c>
      <c r="O898" t="n">
        <v>2019</v>
      </c>
      <c r="P898" t="n">
        <v>2030</v>
      </c>
      <c r="Q898" t="n">
        <v>0.3171</v>
      </c>
      <c r="R898" t="n">
        <v>401.7335</v>
      </c>
      <c r="S898" t="n">
        <v>0.00029221</v>
      </c>
      <c r="T898" t="n">
        <v>0.00017343</v>
      </c>
      <c r="U898" t="n">
        <v>8608.0134</v>
      </c>
      <c r="V898" t="inlineStr">
        <is>
          <t>Provided Total Emissions</t>
        </is>
      </c>
      <c r="W898" t="b">
        <v>1</v>
      </c>
      <c r="X898" t="n">
        <v>9231.7343</v>
      </c>
      <c r="Y898" t="n">
        <v>12388.6494</v>
      </c>
      <c r="Z898" t="n">
        <v>623.7209</v>
      </c>
      <c r="AA898" t="n">
        <v>3780.636</v>
      </c>
      <c r="AB898" t="n">
        <v>0.07245799999999999</v>
      </c>
      <c r="AC898" t="n">
        <v>0.4392</v>
      </c>
      <c r="AD898" t="inlineStr">
        <is>
          <t>High</t>
        </is>
      </c>
      <c r="AE898" t="inlineStr">
        <is>
          <t>None</t>
        </is>
      </c>
      <c r="AF898" t="n">
        <v>0.95</v>
      </c>
      <c r="AG898" t="inlineStr">
        <is>
          <t>Valid</t>
        </is>
      </c>
    </row>
    <row r="899">
      <c r="A899" t="inlineStr">
        <is>
          <t>SUP-0090</t>
        </is>
      </c>
      <c r="B899" t="inlineStr">
        <is>
          <t>Textiles Supplier 090</t>
        </is>
      </c>
      <c r="C899" t="inlineStr">
        <is>
          <t>Textiles</t>
        </is>
      </c>
      <c r="D899" t="n">
        <v>2022</v>
      </c>
      <c r="E899" t="n">
        <v>42842830.44</v>
      </c>
      <c r="F899" t="n">
        <v>90297161.01000001</v>
      </c>
      <c r="G899" t="n">
        <v>13455.0454</v>
      </c>
      <c r="H899" t="n">
        <v>2509.414</v>
      </c>
      <c r="I899" t="n">
        <v>1255.1014</v>
      </c>
      <c r="J899" t="n">
        <v>9982.2634</v>
      </c>
      <c r="K899" t="n">
        <v>2018</v>
      </c>
      <c r="L899" t="n">
        <v>2040</v>
      </c>
      <c r="M899" t="n">
        <v>0.2819</v>
      </c>
      <c r="N899" t="n">
        <v>0.1127</v>
      </c>
      <c r="O899" t="n">
        <v>2019</v>
      </c>
      <c r="P899" t="n">
        <v>2030</v>
      </c>
      <c r="Q899" t="n">
        <v>0.3171</v>
      </c>
      <c r="R899" t="n">
        <v>401.7335</v>
      </c>
      <c r="S899" t="n">
        <v>0.00029221</v>
      </c>
      <c r="T899" t="n">
        <v>0.00017343</v>
      </c>
      <c r="U899" t="n">
        <v>13455.0454</v>
      </c>
      <c r="V899" t="inlineStr">
        <is>
          <t>Provided Total Emissions</t>
        </is>
      </c>
      <c r="W899" t="b">
        <v>1</v>
      </c>
      <c r="X899" t="n">
        <v>12519.1035</v>
      </c>
      <c r="Y899" t="n">
        <v>15660.2366</v>
      </c>
      <c r="Z899" t="n">
        <v>-935.9419</v>
      </c>
      <c r="AA899" t="n">
        <v>2205.1912</v>
      </c>
      <c r="AB899" t="n">
        <v>-0.069561</v>
      </c>
      <c r="AC899" t="n">
        <v>0.163893</v>
      </c>
      <c r="AD899" t="inlineStr">
        <is>
          <t>High</t>
        </is>
      </c>
      <c r="AE899" t="inlineStr">
        <is>
          <t>None</t>
        </is>
      </c>
      <c r="AF899" t="n">
        <v>0.95</v>
      </c>
      <c r="AG899" t="inlineStr">
        <is>
          <t>Valid</t>
        </is>
      </c>
    </row>
    <row r="900">
      <c r="A900" t="inlineStr">
        <is>
          <t>SUP-0090</t>
        </is>
      </c>
      <c r="B900" t="inlineStr">
        <is>
          <t>Textiles Supplier 090</t>
        </is>
      </c>
      <c r="C900" t="inlineStr">
        <is>
          <t>Textiles</t>
        </is>
      </c>
      <c r="D900" t="n">
        <v>2023</v>
      </c>
      <c r="E900" t="n">
        <v>39011384.82</v>
      </c>
      <c r="F900" t="n">
        <v>78403062.27</v>
      </c>
      <c r="G900" t="n">
        <v>12969.67</v>
      </c>
      <c r="H900" t="n">
        <v>2882.8192</v>
      </c>
      <c r="I900" t="n">
        <v>789.9827</v>
      </c>
      <c r="J900" t="n">
        <v>9463.3711</v>
      </c>
      <c r="K900" t="n">
        <v>2018</v>
      </c>
      <c r="L900" t="n">
        <v>2040</v>
      </c>
      <c r="M900" t="n">
        <v>0.2819</v>
      </c>
      <c r="N900" t="n">
        <v>0.1127</v>
      </c>
      <c r="O900" t="n">
        <v>2019</v>
      </c>
      <c r="P900" t="n">
        <v>2030</v>
      </c>
      <c r="Q900" t="n">
        <v>0.3171</v>
      </c>
      <c r="R900" t="n">
        <v>401.7335</v>
      </c>
      <c r="S900" t="n">
        <v>0.00029221</v>
      </c>
      <c r="T900" t="n">
        <v>0.00017343</v>
      </c>
      <c r="U900" t="n">
        <v>12969.67</v>
      </c>
      <c r="V900" t="inlineStr">
        <is>
          <t>Provided Total Emissions</t>
        </is>
      </c>
      <c r="W900" t="b">
        <v>1</v>
      </c>
      <c r="X900" t="n">
        <v>11399.5168</v>
      </c>
      <c r="Y900" t="n">
        <v>13597.4431</v>
      </c>
      <c r="Z900" t="n">
        <v>-1570.1532</v>
      </c>
      <c r="AA900" t="n">
        <v>627.7731</v>
      </c>
      <c r="AB900" t="n">
        <v>-0.121063</v>
      </c>
      <c r="AC900" t="n">
        <v>0.048403</v>
      </c>
      <c r="AD900" t="inlineStr">
        <is>
          <t>High</t>
        </is>
      </c>
      <c r="AE900" t="inlineStr">
        <is>
          <t>None</t>
        </is>
      </c>
      <c r="AF900" t="n">
        <v>0.95</v>
      </c>
      <c r="AG900" t="inlineStr">
        <is>
          <t>Valid</t>
        </is>
      </c>
    </row>
    <row r="901">
      <c r="A901" t="inlineStr">
        <is>
          <t>SUP-0090</t>
        </is>
      </c>
      <c r="B901" t="inlineStr">
        <is>
          <t>Textiles Supplier 090</t>
        </is>
      </c>
      <c r="C901" t="inlineStr">
        <is>
          <t>Textiles</t>
        </is>
      </c>
      <c r="D901" t="n">
        <v>2024</v>
      </c>
      <c r="E901" t="n">
        <v>50790249.54</v>
      </c>
      <c r="F901" t="n">
        <v>113143834.28</v>
      </c>
      <c r="G901" t="n">
        <v>11415.0199</v>
      </c>
      <c r="H901" t="n">
        <v>2540.5375</v>
      </c>
      <c r="I901" t="n">
        <v>857.0276</v>
      </c>
      <c r="J901" t="n">
        <v>7954.5691</v>
      </c>
      <c r="K901" t="n">
        <v>2018</v>
      </c>
      <c r="L901" t="n">
        <v>2040</v>
      </c>
      <c r="M901" t="n">
        <v>0.2819</v>
      </c>
      <c r="N901" t="n">
        <v>0.1127</v>
      </c>
      <c r="O901" t="n">
        <v>2019</v>
      </c>
      <c r="P901" t="n">
        <v>2030</v>
      </c>
      <c r="Q901" t="n">
        <v>0.3171</v>
      </c>
      <c r="R901" t="n">
        <v>401.7335</v>
      </c>
      <c r="S901" t="n">
        <v>0.00029221</v>
      </c>
      <c r="T901" t="n">
        <v>0.00017343</v>
      </c>
      <c r="U901" t="n">
        <v>11415.0199</v>
      </c>
      <c r="V901" t="inlineStr">
        <is>
          <t>Provided Total Emissions</t>
        </is>
      </c>
      <c r="W901" t="b">
        <v>1</v>
      </c>
      <c r="X901" t="n">
        <v>14841.4188</v>
      </c>
      <c r="Y901" t="n">
        <v>19622.5352</v>
      </c>
      <c r="Z901" t="n">
        <v>3426.3989</v>
      </c>
      <c r="AA901" t="n">
        <v>8207.515299999999</v>
      </c>
      <c r="AB901" t="n">
        <v>0.300166</v>
      </c>
      <c r="AC901" t="n">
        <v>0.71901</v>
      </c>
      <c r="AD901" t="inlineStr">
        <is>
          <t>High</t>
        </is>
      </c>
      <c r="AE901" t="inlineStr">
        <is>
          <t>None</t>
        </is>
      </c>
      <c r="AF901" t="n">
        <v>0.95</v>
      </c>
      <c r="AG901" t="inlineStr">
        <is>
          <t>Valid</t>
        </is>
      </c>
    </row>
    <row r="902">
      <c r="A902" t="inlineStr">
        <is>
          <t>SUP-0091</t>
        </is>
      </c>
      <c r="B902" t="inlineStr">
        <is>
          <t>Professional Supplier 091</t>
        </is>
      </c>
      <c r="C902" t="inlineStr">
        <is>
          <t>Professional Services</t>
        </is>
      </c>
      <c r="D902" t="n">
        <v>2015</v>
      </c>
      <c r="E902" t="n">
        <v>7470174.44</v>
      </c>
      <c r="F902" t="n">
        <v>25260102.91</v>
      </c>
      <c r="G902" t="n">
        <v>1398.5154</v>
      </c>
      <c r="H902" t="n">
        <v>103.8884</v>
      </c>
      <c r="I902" t="n">
        <v>125.3421</v>
      </c>
      <c r="J902" t="n">
        <v>1136.2677</v>
      </c>
      <c r="K902" t="inlineStr"/>
      <c r="L902" t="inlineStr"/>
      <c r="M902" t="inlineStr"/>
      <c r="N902" t="inlineStr"/>
      <c r="O902" t="n">
        <v>2020</v>
      </c>
      <c r="P902" t="inlineStr"/>
      <c r="Q902" t="inlineStr"/>
      <c r="R902" t="n">
        <v>400.0326</v>
      </c>
      <c r="S902" t="n">
        <v>0.00012906</v>
      </c>
      <c r="T902" t="n">
        <v>0.00019658</v>
      </c>
      <c r="U902" t="n">
        <v>1398.5154</v>
      </c>
      <c r="V902" t="inlineStr">
        <is>
          <t>Provided Total Emissions</t>
        </is>
      </c>
      <c r="W902" t="b">
        <v>1</v>
      </c>
      <c r="X902" t="n">
        <v>964.1007</v>
      </c>
      <c r="Y902" t="n">
        <v>4965.631</v>
      </c>
      <c r="Z902" t="n">
        <v>-434.4147</v>
      </c>
      <c r="AA902" t="n">
        <v>3567.1156</v>
      </c>
      <c r="AB902" t="n">
        <v>-0.310626</v>
      </c>
      <c r="AC902" t="n">
        <v>2.550645</v>
      </c>
      <c r="AD902" t="inlineStr">
        <is>
          <t>High</t>
        </is>
      </c>
      <c r="AE902" t="inlineStr">
        <is>
          <t>None</t>
        </is>
      </c>
      <c r="AF902" t="n">
        <v>0.95</v>
      </c>
      <c r="AG902" t="inlineStr">
        <is>
          <t>Valid</t>
        </is>
      </c>
    </row>
    <row r="903">
      <c r="A903" t="inlineStr">
        <is>
          <t>SUP-0091</t>
        </is>
      </c>
      <c r="B903" t="inlineStr">
        <is>
          <t>Professional Supplier 091</t>
        </is>
      </c>
      <c r="C903" t="inlineStr">
        <is>
          <t>Professional Services</t>
        </is>
      </c>
      <c r="D903" t="n">
        <v>2016</v>
      </c>
      <c r="E903" t="n">
        <v>8738020.710000001</v>
      </c>
      <c r="F903" t="n">
        <v>27979902.25</v>
      </c>
      <c r="G903" t="n">
        <v>1229.2061</v>
      </c>
      <c r="H903" t="n">
        <v>352.4516</v>
      </c>
      <c r="I903" t="n">
        <v>246.3217</v>
      </c>
      <c r="J903" t="n">
        <v>639.1206</v>
      </c>
      <c r="K903" t="inlineStr"/>
      <c r="L903" t="inlineStr"/>
      <c r="M903" t="inlineStr"/>
      <c r="N903" t="inlineStr"/>
      <c r="O903" t="n">
        <v>2020</v>
      </c>
      <c r="P903" t="inlineStr"/>
      <c r="Q903" t="inlineStr"/>
      <c r="R903" t="n">
        <v>400.0326</v>
      </c>
      <c r="S903" t="n">
        <v>0.00012906</v>
      </c>
      <c r="T903" t="n">
        <v>0.00019658</v>
      </c>
      <c r="U903" t="n">
        <v>1229.2061</v>
      </c>
      <c r="V903" t="inlineStr">
        <is>
          <t>Provided Total Emissions</t>
        </is>
      </c>
      <c r="W903" t="b">
        <v>1</v>
      </c>
      <c r="X903" t="n">
        <v>1127.729</v>
      </c>
      <c r="Y903" t="n">
        <v>5500.2892</v>
      </c>
      <c r="Z903" t="n">
        <v>-101.4771</v>
      </c>
      <c r="AA903" t="n">
        <v>4271.0831</v>
      </c>
      <c r="AB903" t="n">
        <v>-0.082555</v>
      </c>
      <c r="AC903" t="n">
        <v>3.474668</v>
      </c>
      <c r="AD903" t="inlineStr">
        <is>
          <t>High</t>
        </is>
      </c>
      <c r="AE903" t="inlineStr">
        <is>
          <t>None</t>
        </is>
      </c>
      <c r="AF903" t="n">
        <v>0.95</v>
      </c>
      <c r="AG903" t="inlineStr">
        <is>
          <t>Valid</t>
        </is>
      </c>
    </row>
    <row r="904">
      <c r="A904" t="inlineStr">
        <is>
          <t>SUP-0091</t>
        </is>
      </c>
      <c r="B904" t="inlineStr">
        <is>
          <t>Professional Supplier 091</t>
        </is>
      </c>
      <c r="C904" t="inlineStr">
        <is>
          <t>Professional Services</t>
        </is>
      </c>
      <c r="D904" t="n">
        <v>2017</v>
      </c>
      <c r="E904" t="n">
        <v>8460250.369999999</v>
      </c>
      <c r="F904" t="n">
        <v>25198131.51</v>
      </c>
      <c r="G904" t="n">
        <v>1483.911</v>
      </c>
      <c r="H904" t="n">
        <v>381.2758</v>
      </c>
      <c r="I904" t="n">
        <v>101.2778</v>
      </c>
      <c r="J904" t="n">
        <v>976.1183</v>
      </c>
      <c r="K904" t="inlineStr"/>
      <c r="L904" t="inlineStr"/>
      <c r="M904" t="inlineStr"/>
      <c r="N904" t="inlineStr"/>
      <c r="O904" t="n">
        <v>2020</v>
      </c>
      <c r="P904" t="inlineStr"/>
      <c r="Q904" t="inlineStr"/>
      <c r="R904" t="n">
        <v>400.0326</v>
      </c>
      <c r="S904" t="n">
        <v>0.00012906</v>
      </c>
      <c r="T904" t="n">
        <v>0.00019658</v>
      </c>
      <c r="U904" t="n">
        <v>1483.911</v>
      </c>
      <c r="V904" t="inlineStr">
        <is>
          <t>Provided Total Emissions</t>
        </is>
      </c>
      <c r="W904" t="b">
        <v>1</v>
      </c>
      <c r="X904" t="n">
        <v>1091.8799</v>
      </c>
      <c r="Y904" t="n">
        <v>4953.4487</v>
      </c>
      <c r="Z904" t="n">
        <v>-392.0311</v>
      </c>
      <c r="AA904" t="n">
        <v>3469.5377</v>
      </c>
      <c r="AB904" t="n">
        <v>-0.264188</v>
      </c>
      <c r="AC904" t="n">
        <v>2.338104</v>
      </c>
      <c r="AD904" t="inlineStr">
        <is>
          <t>High</t>
        </is>
      </c>
      <c r="AE904" t="inlineStr">
        <is>
          <t>None</t>
        </is>
      </c>
      <c r="AF904" t="n">
        <v>0.95</v>
      </c>
      <c r="AG904" t="inlineStr">
        <is>
          <t>Valid</t>
        </is>
      </c>
    </row>
    <row r="905">
      <c r="A905" t="inlineStr">
        <is>
          <t>SUP-0091</t>
        </is>
      </c>
      <c r="B905" t="inlineStr">
        <is>
          <t>Professional Supplier 091</t>
        </is>
      </c>
      <c r="C905" t="inlineStr">
        <is>
          <t>Professional Services</t>
        </is>
      </c>
      <c r="D905" t="n">
        <v>2018</v>
      </c>
      <c r="E905" t="n">
        <v>8838613.82</v>
      </c>
      <c r="F905" t="n">
        <v>32935269.25</v>
      </c>
      <c r="G905" t="n">
        <v>1217.2789</v>
      </c>
      <c r="H905" t="n">
        <v>284.0828</v>
      </c>
      <c r="I905" t="n">
        <v>176.2147</v>
      </c>
      <c r="J905" t="n">
        <v>689.3982</v>
      </c>
      <c r="K905" t="inlineStr"/>
      <c r="L905" t="inlineStr"/>
      <c r="M905" t="inlineStr"/>
      <c r="N905" t="inlineStr"/>
      <c r="O905" t="n">
        <v>2020</v>
      </c>
      <c r="P905" t="inlineStr"/>
      <c r="Q905" t="inlineStr"/>
      <c r="R905" t="n">
        <v>400.0326</v>
      </c>
      <c r="S905" t="n">
        <v>0.00012906</v>
      </c>
      <c r="T905" t="n">
        <v>0.00019658</v>
      </c>
      <c r="U905" t="n">
        <v>1217.2789</v>
      </c>
      <c r="V905" t="inlineStr">
        <is>
          <t>Provided Total Emissions</t>
        </is>
      </c>
      <c r="W905" t="b">
        <v>1</v>
      </c>
      <c r="X905" t="n">
        <v>1140.7115</v>
      </c>
      <c r="Y905" t="n">
        <v>6474.4152</v>
      </c>
      <c r="Z905" t="n">
        <v>-76.56740000000001</v>
      </c>
      <c r="AA905" t="n">
        <v>5257.1363</v>
      </c>
      <c r="AB905" t="n">
        <v>-0.0629</v>
      </c>
      <c r="AC905" t="n">
        <v>4.318761</v>
      </c>
      <c r="AD905" t="inlineStr">
        <is>
          <t>High</t>
        </is>
      </c>
      <c r="AE905" t="inlineStr">
        <is>
          <t>None</t>
        </is>
      </c>
      <c r="AF905" t="n">
        <v>0.95</v>
      </c>
      <c r="AG905" t="inlineStr">
        <is>
          <t>Valid</t>
        </is>
      </c>
    </row>
    <row r="906">
      <c r="A906" t="inlineStr">
        <is>
          <t>SUP-0091</t>
        </is>
      </c>
      <c r="B906" t="inlineStr">
        <is>
          <t>Professional Supplier 091</t>
        </is>
      </c>
      <c r="C906" t="inlineStr">
        <is>
          <t>Professional Services</t>
        </is>
      </c>
      <c r="D906" t="n">
        <v>2019</v>
      </c>
      <c r="E906" t="n">
        <v>8806303.74</v>
      </c>
      <c r="F906" t="n">
        <v>35896821.68</v>
      </c>
      <c r="G906" t="n">
        <v>1157.1504</v>
      </c>
      <c r="H906" t="n">
        <v>273.1778</v>
      </c>
      <c r="I906" t="n">
        <v>147.752</v>
      </c>
      <c r="J906" t="n">
        <v>732.8667</v>
      </c>
      <c r="K906" t="inlineStr"/>
      <c r="L906" t="inlineStr"/>
      <c r="M906" t="inlineStr"/>
      <c r="N906" t="inlineStr"/>
      <c r="O906" t="n">
        <v>2020</v>
      </c>
      <c r="P906" t="inlineStr"/>
      <c r="Q906" t="inlineStr"/>
      <c r="R906" t="n">
        <v>400.0326</v>
      </c>
      <c r="S906" t="n">
        <v>0.00012906</v>
      </c>
      <c r="T906" t="n">
        <v>0.00019658</v>
      </c>
      <c r="U906" t="n">
        <v>1157.1504</v>
      </c>
      <c r="V906" t="inlineStr">
        <is>
          <t>Provided Total Emissions</t>
        </is>
      </c>
      <c r="W906" t="b">
        <v>1</v>
      </c>
      <c r="X906" t="n">
        <v>1136.5416</v>
      </c>
      <c r="Y906" t="n">
        <v>7056.5972</v>
      </c>
      <c r="Z906" t="n">
        <v>-20.6088</v>
      </c>
      <c r="AA906" t="n">
        <v>5899.4468</v>
      </c>
      <c r="AB906" t="n">
        <v>-0.01781</v>
      </c>
      <c r="AC906" t="n">
        <v>5.098254</v>
      </c>
      <c r="AD906" t="inlineStr">
        <is>
          <t>High</t>
        </is>
      </c>
      <c r="AE906" t="inlineStr">
        <is>
          <t>None</t>
        </is>
      </c>
      <c r="AF906" t="n">
        <v>0.95</v>
      </c>
      <c r="AG906" t="inlineStr">
        <is>
          <t>Valid</t>
        </is>
      </c>
    </row>
    <row r="907">
      <c r="A907" t="inlineStr">
        <is>
          <t>SUP-0091</t>
        </is>
      </c>
      <c r="B907" t="inlineStr">
        <is>
          <t>Professional Supplier 091</t>
        </is>
      </c>
      <c r="C907" t="inlineStr">
        <is>
          <t>Professional Services</t>
        </is>
      </c>
      <c r="D907" t="n">
        <v>2020</v>
      </c>
      <c r="E907" t="n">
        <v>7664572.76</v>
      </c>
      <c r="F907" t="n">
        <v>26167048.73</v>
      </c>
      <c r="G907" t="n">
        <v>1147.9298</v>
      </c>
      <c r="H907" t="n">
        <v>251.602</v>
      </c>
      <c r="I907" t="n">
        <v>215.8447</v>
      </c>
      <c r="J907" t="n">
        <v>657.4118</v>
      </c>
      <c r="K907" t="inlineStr"/>
      <c r="L907" t="inlineStr"/>
      <c r="M907" t="inlineStr"/>
      <c r="N907" t="inlineStr"/>
      <c r="O907" t="n">
        <v>2020</v>
      </c>
      <c r="P907" t="inlineStr"/>
      <c r="Q907" t="inlineStr"/>
      <c r="R907" t="n">
        <v>400.0326</v>
      </c>
      <c r="S907" t="n">
        <v>0.00012906</v>
      </c>
      <c r="T907" t="n">
        <v>0.00019658</v>
      </c>
      <c r="U907" t="n">
        <v>1147.9298</v>
      </c>
      <c r="V907" t="inlineStr">
        <is>
          <t>Provided Total Emissions</t>
        </is>
      </c>
      <c r="W907" t="b">
        <v>1</v>
      </c>
      <c r="X907" t="n">
        <v>989.1898</v>
      </c>
      <c r="Y907" t="n">
        <v>5143.9184</v>
      </c>
      <c r="Z907" t="n">
        <v>-158.74</v>
      </c>
      <c r="AA907" t="n">
        <v>3995.9886</v>
      </c>
      <c r="AB907" t="n">
        <v>-0.138284</v>
      </c>
      <c r="AC907" t="n">
        <v>3.481039</v>
      </c>
      <c r="AD907" t="inlineStr">
        <is>
          <t>High</t>
        </is>
      </c>
      <c r="AE907" t="inlineStr">
        <is>
          <t>None</t>
        </is>
      </c>
      <c r="AF907" t="n">
        <v>0.95</v>
      </c>
      <c r="AG907" t="inlineStr">
        <is>
          <t>Valid</t>
        </is>
      </c>
    </row>
    <row r="908">
      <c r="A908" t="inlineStr">
        <is>
          <t>SUP-0091</t>
        </is>
      </c>
      <c r="B908" t="inlineStr">
        <is>
          <t>Professional Supplier 091</t>
        </is>
      </c>
      <c r="C908" t="inlineStr">
        <is>
          <t>Professional Services</t>
        </is>
      </c>
      <c r="D908" t="n">
        <v>2021</v>
      </c>
      <c r="E908" t="n">
        <v>6966595.51</v>
      </c>
      <c r="F908" t="n">
        <v>25587654.77</v>
      </c>
      <c r="G908" t="n">
        <v>807.6102</v>
      </c>
      <c r="H908" t="n">
        <v>144.431</v>
      </c>
      <c r="I908" t="n">
        <v>156.8042</v>
      </c>
      <c r="J908" t="n">
        <v>513.0814</v>
      </c>
      <c r="K908" t="inlineStr"/>
      <c r="L908" t="inlineStr"/>
      <c r="M908" t="inlineStr"/>
      <c r="N908" t="inlineStr"/>
      <c r="O908" t="n">
        <v>2020</v>
      </c>
      <c r="P908" t="inlineStr"/>
      <c r="Q908" t="inlineStr"/>
      <c r="R908" t="n">
        <v>400.0326</v>
      </c>
      <c r="S908" t="n">
        <v>0.00012906</v>
      </c>
      <c r="T908" t="n">
        <v>0.00019658</v>
      </c>
      <c r="U908" t="n">
        <v>807.6102</v>
      </c>
      <c r="V908" t="inlineStr">
        <is>
          <t>Provided Total Emissions</t>
        </is>
      </c>
      <c r="W908" t="b">
        <v>1</v>
      </c>
      <c r="X908" t="n">
        <v>899.1088</v>
      </c>
      <c r="Y908" t="n">
        <v>5030.0212</v>
      </c>
      <c r="Z908" t="n">
        <v>91.4986</v>
      </c>
      <c r="AA908" t="n">
        <v>4222.411</v>
      </c>
      <c r="AB908" t="n">
        <v>0.113296</v>
      </c>
      <c r="AC908" t="n">
        <v>5.228278</v>
      </c>
      <c r="AD908" t="inlineStr">
        <is>
          <t>High</t>
        </is>
      </c>
      <c r="AE908" t="inlineStr">
        <is>
          <t>None</t>
        </is>
      </c>
      <c r="AF908" t="n">
        <v>0.95</v>
      </c>
      <c r="AG908" t="inlineStr">
        <is>
          <t>Valid</t>
        </is>
      </c>
    </row>
    <row r="909">
      <c r="A909" t="inlineStr">
        <is>
          <t>SUP-0091</t>
        </is>
      </c>
      <c r="B909" t="inlineStr">
        <is>
          <t>Professional Supplier 091</t>
        </is>
      </c>
      <c r="C909" t="inlineStr">
        <is>
          <t>Professional Services</t>
        </is>
      </c>
      <c r="D909" t="n">
        <v>2022</v>
      </c>
      <c r="E909" t="n">
        <v>8705724</v>
      </c>
      <c r="F909" t="n">
        <v>22580371.7</v>
      </c>
      <c r="G909" t="n">
        <v>852.6428</v>
      </c>
      <c r="H909" t="n">
        <v>266.0209</v>
      </c>
      <c r="I909" t="n">
        <v>160.0154</v>
      </c>
      <c r="J909" t="n">
        <v>498.558</v>
      </c>
      <c r="K909" t="inlineStr"/>
      <c r="L909" t="inlineStr"/>
      <c r="M909" t="inlineStr"/>
      <c r="N909" t="inlineStr"/>
      <c r="O909" t="n">
        <v>2020</v>
      </c>
      <c r="P909" t="inlineStr"/>
      <c r="Q909" t="inlineStr"/>
      <c r="R909" t="n">
        <v>400.0326</v>
      </c>
      <c r="S909" t="n">
        <v>0.00012906</v>
      </c>
      <c r="T909" t="n">
        <v>0.00019658</v>
      </c>
      <c r="U909" t="n">
        <v>852.6428</v>
      </c>
      <c r="V909" t="inlineStr">
        <is>
          <t>Provided Total Emissions</t>
        </is>
      </c>
      <c r="W909" t="b">
        <v>1</v>
      </c>
      <c r="X909" t="n">
        <v>1123.5607</v>
      </c>
      <c r="Y909" t="n">
        <v>4438.8495</v>
      </c>
      <c r="Z909" t="n">
        <v>270.9179</v>
      </c>
      <c r="AA909" t="n">
        <v>3586.2067</v>
      </c>
      <c r="AB909" t="n">
        <v>0.317739</v>
      </c>
      <c r="AC909" t="n">
        <v>4.20599</v>
      </c>
      <c r="AD909" t="inlineStr">
        <is>
          <t>High</t>
        </is>
      </c>
      <c r="AE909" t="inlineStr">
        <is>
          <t>None</t>
        </is>
      </c>
      <c r="AF909" t="n">
        <v>0.95</v>
      </c>
      <c r="AG909" t="inlineStr">
        <is>
          <t>Valid</t>
        </is>
      </c>
    </row>
    <row r="910">
      <c r="A910" t="inlineStr">
        <is>
          <t>SUP-0091</t>
        </is>
      </c>
      <c r="B910" t="inlineStr">
        <is>
          <t>Professional Supplier 091</t>
        </is>
      </c>
      <c r="C910" t="inlineStr">
        <is>
          <t>Professional Services</t>
        </is>
      </c>
      <c r="D910" t="n">
        <v>2023</v>
      </c>
      <c r="E910" t="n">
        <v>9675492.18</v>
      </c>
      <c r="F910" t="n">
        <v>26549403.73</v>
      </c>
      <c r="G910" t="n">
        <v>988.0641000000001</v>
      </c>
      <c r="H910" t="n">
        <v>203.7478</v>
      </c>
      <c r="I910" t="n">
        <v>93.5992</v>
      </c>
      <c r="J910" t="n">
        <v>717.8200000000001</v>
      </c>
      <c r="K910" t="inlineStr"/>
      <c r="L910" t="inlineStr"/>
      <c r="M910" t="inlineStr"/>
      <c r="N910" t="inlineStr"/>
      <c r="O910" t="n">
        <v>2020</v>
      </c>
      <c r="P910" t="inlineStr"/>
      <c r="Q910" t="inlineStr"/>
      <c r="R910" t="n">
        <v>400.0326</v>
      </c>
      <c r="S910" t="n">
        <v>0.00012906</v>
      </c>
      <c r="T910" t="n">
        <v>0.00019658</v>
      </c>
      <c r="U910" t="n">
        <v>988.0641000000001</v>
      </c>
      <c r="V910" t="inlineStr">
        <is>
          <t>Provided Total Emissions</t>
        </is>
      </c>
      <c r="W910" t="b">
        <v>1</v>
      </c>
      <c r="X910" t="n">
        <v>1248.719</v>
      </c>
      <c r="Y910" t="n">
        <v>5219.0818</v>
      </c>
      <c r="Z910" t="n">
        <v>260.6549</v>
      </c>
      <c r="AA910" t="n">
        <v>4231.0177</v>
      </c>
      <c r="AB910" t="n">
        <v>0.263804</v>
      </c>
      <c r="AC910" t="n">
        <v>4.282129</v>
      </c>
      <c r="AD910" t="inlineStr">
        <is>
          <t>High</t>
        </is>
      </c>
      <c r="AE910" t="inlineStr">
        <is>
          <t>None</t>
        </is>
      </c>
      <c r="AF910" t="n">
        <v>0.95</v>
      </c>
      <c r="AG910" t="inlineStr">
        <is>
          <t>Valid</t>
        </is>
      </c>
    </row>
    <row r="911">
      <c r="A911" t="inlineStr">
        <is>
          <t>SUP-0091</t>
        </is>
      </c>
      <c r="B911" t="inlineStr">
        <is>
          <t>Professional Supplier 091</t>
        </is>
      </c>
      <c r="C911" t="inlineStr">
        <is>
          <t>Professional Services</t>
        </is>
      </c>
      <c r="D911" t="n">
        <v>2024</v>
      </c>
      <c r="E911" t="n">
        <v>8601777.49</v>
      </c>
      <c r="F911" t="n">
        <v>25265783.8</v>
      </c>
      <c r="G911" t="n">
        <v>1001.0076</v>
      </c>
      <c r="H911" t="n">
        <v>83.75700000000001</v>
      </c>
      <c r="I911" t="n">
        <v>102.2315</v>
      </c>
      <c r="J911" t="n">
        <v>845.6282</v>
      </c>
      <c r="K911" t="inlineStr"/>
      <c r="L911" t="inlineStr"/>
      <c r="M911" t="inlineStr"/>
      <c r="N911" t="inlineStr"/>
      <c r="O911" t="n">
        <v>2020</v>
      </c>
      <c r="P911" t="inlineStr"/>
      <c r="Q911" t="inlineStr"/>
      <c r="R911" t="n">
        <v>400.0326</v>
      </c>
      <c r="S911" t="n">
        <v>0.00012906</v>
      </c>
      <c r="T911" t="n">
        <v>0.00019658</v>
      </c>
      <c r="U911" t="n">
        <v>1001.0076</v>
      </c>
      <c r="V911" t="inlineStr">
        <is>
          <t>Provided Total Emissions</t>
        </is>
      </c>
      <c r="W911" t="b">
        <v>1</v>
      </c>
      <c r="X911" t="n">
        <v>1110.1454</v>
      </c>
      <c r="Y911" t="n">
        <v>4966.7478</v>
      </c>
      <c r="Z911" t="n">
        <v>109.1378</v>
      </c>
      <c r="AA911" t="n">
        <v>3965.7402</v>
      </c>
      <c r="AB911" t="n">
        <v>0.109028</v>
      </c>
      <c r="AC911" t="n">
        <v>3.961748</v>
      </c>
      <c r="AD911" t="inlineStr">
        <is>
          <t>High</t>
        </is>
      </c>
      <c r="AE911" t="inlineStr">
        <is>
          <t>None</t>
        </is>
      </c>
      <c r="AF911" t="n">
        <v>0.95</v>
      </c>
      <c r="AG911" t="inlineStr">
        <is>
          <t>Valid</t>
        </is>
      </c>
    </row>
    <row r="912">
      <c r="A912" t="inlineStr">
        <is>
          <t>SUP-0092</t>
        </is>
      </c>
      <c r="B912" t="inlineStr">
        <is>
          <t>Metals Supplier 092</t>
        </is>
      </c>
      <c r="C912" t="inlineStr">
        <is>
          <t>Metals</t>
        </is>
      </c>
      <c r="D912" t="n">
        <v>2015</v>
      </c>
      <c r="E912" t="n">
        <v>16015466.83</v>
      </c>
      <c r="F912" t="n">
        <v>111399818.85</v>
      </c>
      <c r="G912" t="n">
        <v>24036.2951</v>
      </c>
      <c r="H912" t="n">
        <v>3741.0542</v>
      </c>
      <c r="I912" t="n">
        <v>4661.1333</v>
      </c>
      <c r="J912" t="n">
        <v>15798.0445</v>
      </c>
      <c r="K912" t="inlineStr"/>
      <c r="L912" t="inlineStr"/>
      <c r="M912" t="inlineStr"/>
      <c r="N912" t="inlineStr"/>
      <c r="O912" t="n">
        <v>2019</v>
      </c>
      <c r="P912" t="n">
        <v>2030</v>
      </c>
      <c r="Q912" t="n">
        <v>0.3852</v>
      </c>
      <c r="R912" t="n">
        <v>158.2904</v>
      </c>
      <c r="S912" t="n">
        <v>0.00100695</v>
      </c>
      <c r="T912" t="n">
        <v>0.00065008</v>
      </c>
      <c r="U912" t="n">
        <v>24036.2951</v>
      </c>
      <c r="V912" t="inlineStr">
        <is>
          <t>Provided Total Emissions</t>
        </is>
      </c>
      <c r="W912" t="b">
        <v>1</v>
      </c>
      <c r="X912" t="n">
        <v>16126.7743</v>
      </c>
      <c r="Y912" t="n">
        <v>72418.7942</v>
      </c>
      <c r="Z912" t="n">
        <v>-7909.5208</v>
      </c>
      <c r="AA912" t="n">
        <v>48382.4991</v>
      </c>
      <c r="AB912" t="n">
        <v>-0.329066</v>
      </c>
      <c r="AC912" t="n">
        <v>2.012893</v>
      </c>
      <c r="AD912" t="inlineStr">
        <is>
          <t>High</t>
        </is>
      </c>
      <c r="AE912" t="inlineStr">
        <is>
          <t>None</t>
        </is>
      </c>
      <c r="AF912" t="n">
        <v>0.95</v>
      </c>
      <c r="AG912" t="inlineStr">
        <is>
          <t>Valid</t>
        </is>
      </c>
    </row>
    <row r="913">
      <c r="A913" t="inlineStr">
        <is>
          <t>SUP-0092</t>
        </is>
      </c>
      <c r="B913" t="inlineStr">
        <is>
          <t>Metals Supplier 092</t>
        </is>
      </c>
      <c r="C913" t="inlineStr">
        <is>
          <t>Metals</t>
        </is>
      </c>
      <c r="D913" t="n">
        <v>2016</v>
      </c>
      <c r="E913" t="n">
        <v>16775443.3</v>
      </c>
      <c r="F913" t="n">
        <v>140733501.74</v>
      </c>
      <c r="G913" t="n">
        <v>24824.4806</v>
      </c>
      <c r="H913" t="n">
        <v>5327.084</v>
      </c>
      <c r="I913" t="n">
        <v>4127.8246</v>
      </c>
      <c r="J913" t="n">
        <v>14359.358</v>
      </c>
      <c r="K913" t="inlineStr"/>
      <c r="L913" t="inlineStr"/>
      <c r="M913" t="inlineStr"/>
      <c r="N913" t="inlineStr"/>
      <c r="O913" t="n">
        <v>2019</v>
      </c>
      <c r="P913" t="n">
        <v>2030</v>
      </c>
      <c r="Q913" t="n">
        <v>0.3852</v>
      </c>
      <c r="R913" t="n">
        <v>158.2904</v>
      </c>
      <c r="S913" t="n">
        <v>0.00100695</v>
      </c>
      <c r="T913" t="n">
        <v>0.00065008</v>
      </c>
      <c r="U913" t="n">
        <v>24824.4806</v>
      </c>
      <c r="V913" t="inlineStr">
        <is>
          <t>Provided Total Emissions</t>
        </is>
      </c>
      <c r="W913" t="b">
        <v>1</v>
      </c>
      <c r="X913" t="n">
        <v>16892.0326</v>
      </c>
      <c r="Y913" t="n">
        <v>91488.03479999999</v>
      </c>
      <c r="Z913" t="n">
        <v>-7932.448</v>
      </c>
      <c r="AA913" t="n">
        <v>66663.5542</v>
      </c>
      <c r="AB913" t="n">
        <v>-0.319541</v>
      </c>
      <c r="AC913" t="n">
        <v>2.685396</v>
      </c>
      <c r="AD913" t="inlineStr">
        <is>
          <t>High</t>
        </is>
      </c>
      <c r="AE913" t="inlineStr">
        <is>
          <t>None</t>
        </is>
      </c>
      <c r="AF913" t="n">
        <v>0.95</v>
      </c>
      <c r="AG913" t="inlineStr">
        <is>
          <t>Valid</t>
        </is>
      </c>
    </row>
    <row r="914">
      <c r="A914" t="inlineStr">
        <is>
          <t>SUP-0092</t>
        </is>
      </c>
      <c r="B914" t="inlineStr">
        <is>
          <t>Metals Supplier 092</t>
        </is>
      </c>
      <c r="C914" t="inlineStr">
        <is>
          <t>Metals</t>
        </is>
      </c>
      <c r="D914" t="n">
        <v>2017</v>
      </c>
      <c r="E914" t="n">
        <v>15150783.08</v>
      </c>
      <c r="F914" t="n">
        <v>97861615.33</v>
      </c>
      <c r="G914" t="n">
        <v>20254.3637</v>
      </c>
      <c r="H914" t="n">
        <v>3872.9885</v>
      </c>
      <c r="I914" t="n">
        <v>4615.4328</v>
      </c>
      <c r="J914" t="n">
        <v>13091.5828</v>
      </c>
      <c r="K914" t="inlineStr"/>
      <c r="L914" t="inlineStr"/>
      <c r="M914" t="inlineStr"/>
      <c r="N914" t="inlineStr"/>
      <c r="O914" t="n">
        <v>2019</v>
      </c>
      <c r="P914" t="n">
        <v>2030</v>
      </c>
      <c r="Q914" t="n">
        <v>0.3852</v>
      </c>
      <c r="R914" t="n">
        <v>158.2904</v>
      </c>
      <c r="S914" t="n">
        <v>0.00100695</v>
      </c>
      <c r="T914" t="n">
        <v>0.00065008</v>
      </c>
      <c r="U914" t="n">
        <v>20254.3637</v>
      </c>
      <c r="V914" t="inlineStr">
        <is>
          <t>Provided Total Emissions</t>
        </is>
      </c>
      <c r="W914" t="b">
        <v>1</v>
      </c>
      <c r="X914" t="n">
        <v>15256.081</v>
      </c>
      <c r="Y914" t="n">
        <v>63617.8789</v>
      </c>
      <c r="Z914" t="n">
        <v>-4998.2827</v>
      </c>
      <c r="AA914" t="n">
        <v>43363.5152</v>
      </c>
      <c r="AB914" t="n">
        <v>-0.246776</v>
      </c>
      <c r="AC914" t="n">
        <v>2.140947</v>
      </c>
      <c r="AD914" t="inlineStr">
        <is>
          <t>High</t>
        </is>
      </c>
      <c r="AE914" t="inlineStr">
        <is>
          <t>None</t>
        </is>
      </c>
      <c r="AF914" t="n">
        <v>0.95</v>
      </c>
      <c r="AG914" t="inlineStr">
        <is>
          <t>Valid</t>
        </is>
      </c>
    </row>
    <row r="915">
      <c r="A915" t="inlineStr">
        <is>
          <t>SUP-0092</t>
        </is>
      </c>
      <c r="B915" t="inlineStr">
        <is>
          <t>Metals Supplier 092</t>
        </is>
      </c>
      <c r="C915" t="inlineStr">
        <is>
          <t>Metals</t>
        </is>
      </c>
      <c r="D915" t="n">
        <v>2018</v>
      </c>
      <c r="E915" t="n">
        <v>17075621.93</v>
      </c>
      <c r="F915" t="n">
        <v>87623568.79000001</v>
      </c>
      <c r="G915" t="n">
        <v>20431.252</v>
      </c>
      <c r="H915" t="n">
        <v>3942.1324</v>
      </c>
      <c r="I915" t="n">
        <v>1330.1097</v>
      </c>
      <c r="J915" t="n">
        <v>15758.6669</v>
      </c>
      <c r="K915" t="inlineStr"/>
      <c r="L915" t="inlineStr"/>
      <c r="M915" t="inlineStr"/>
      <c r="N915" t="inlineStr"/>
      <c r="O915" t="n">
        <v>2019</v>
      </c>
      <c r="P915" t="n">
        <v>2030</v>
      </c>
      <c r="Q915" t="n">
        <v>0.3852</v>
      </c>
      <c r="R915" t="n">
        <v>158.2904</v>
      </c>
      <c r="S915" t="n">
        <v>0.00100695</v>
      </c>
      <c r="T915" t="n">
        <v>0.00065008</v>
      </c>
      <c r="U915" t="n">
        <v>20431.252</v>
      </c>
      <c r="V915" t="inlineStr">
        <is>
          <t>Provided Total Emissions</t>
        </is>
      </c>
      <c r="W915" t="b">
        <v>1</v>
      </c>
      <c r="X915" t="n">
        <v>17194.2975</v>
      </c>
      <c r="Y915" t="n">
        <v>56962.3296</v>
      </c>
      <c r="Z915" t="n">
        <v>-3236.9545</v>
      </c>
      <c r="AA915" t="n">
        <v>36531.0776</v>
      </c>
      <c r="AB915" t="n">
        <v>-0.158432</v>
      </c>
      <c r="AC915" t="n">
        <v>1.788</v>
      </c>
      <c r="AD915" t="inlineStr">
        <is>
          <t>High</t>
        </is>
      </c>
      <c r="AE915" t="inlineStr">
        <is>
          <t>None</t>
        </is>
      </c>
      <c r="AF915" t="n">
        <v>0.95</v>
      </c>
      <c r="AG915" t="inlineStr">
        <is>
          <t>Valid</t>
        </is>
      </c>
    </row>
    <row r="916">
      <c r="A916" t="inlineStr">
        <is>
          <t>SUP-0092</t>
        </is>
      </c>
      <c r="B916" t="inlineStr">
        <is>
          <t>Metals Supplier 092</t>
        </is>
      </c>
      <c r="C916" t="inlineStr">
        <is>
          <t>Metals</t>
        </is>
      </c>
      <c r="D916" t="n">
        <v>2019</v>
      </c>
      <c r="E916" t="n">
        <v>15275223.35</v>
      </c>
      <c r="F916" t="n">
        <v>104351185.02</v>
      </c>
      <c r="G916" t="n">
        <v>24083.0423</v>
      </c>
      <c r="H916" t="n">
        <v>2484.6504</v>
      </c>
      <c r="I916" t="n">
        <v>2189.4708</v>
      </c>
      <c r="J916" t="n">
        <v>19129.5989</v>
      </c>
      <c r="K916" t="inlineStr"/>
      <c r="L916" t="inlineStr"/>
      <c r="M916" t="inlineStr"/>
      <c r="N916" t="inlineStr"/>
      <c r="O916" t="n">
        <v>2019</v>
      </c>
      <c r="P916" t="n">
        <v>2030</v>
      </c>
      <c r="Q916" t="n">
        <v>0.3852</v>
      </c>
      <c r="R916" t="n">
        <v>158.2904</v>
      </c>
      <c r="S916" t="n">
        <v>0.00100695</v>
      </c>
      <c r="T916" t="n">
        <v>0.00065008</v>
      </c>
      <c r="U916" t="n">
        <v>24083.0423</v>
      </c>
      <c r="V916" t="inlineStr">
        <is>
          <t>Provided Total Emissions</t>
        </is>
      </c>
      <c r="W916" t="b">
        <v>1</v>
      </c>
      <c r="X916" t="n">
        <v>15381.3862</v>
      </c>
      <c r="Y916" t="n">
        <v>67836.61840000001</v>
      </c>
      <c r="Z916" t="n">
        <v>-8701.6561</v>
      </c>
      <c r="AA916" t="n">
        <v>43753.5761</v>
      </c>
      <c r="AB916" t="n">
        <v>-0.361319</v>
      </c>
      <c r="AC916" t="n">
        <v>1.816779</v>
      </c>
      <c r="AD916" t="inlineStr">
        <is>
          <t>High</t>
        </is>
      </c>
      <c r="AE916" t="inlineStr">
        <is>
          <t>None</t>
        </is>
      </c>
      <c r="AF916" t="n">
        <v>0.95</v>
      </c>
      <c r="AG916" t="inlineStr">
        <is>
          <t>Valid</t>
        </is>
      </c>
    </row>
    <row r="917">
      <c r="A917" t="inlineStr">
        <is>
          <t>SUP-0092</t>
        </is>
      </c>
      <c r="B917" t="inlineStr">
        <is>
          <t>Metals Supplier 092</t>
        </is>
      </c>
      <c r="C917" t="inlineStr">
        <is>
          <t>Metals</t>
        </is>
      </c>
      <c r="D917" t="n">
        <v>2020</v>
      </c>
      <c r="E917" t="n">
        <v>16884251.34</v>
      </c>
      <c r="F917" t="n">
        <v>118634401.42</v>
      </c>
      <c r="G917" t="n">
        <v>17923.7966</v>
      </c>
      <c r="H917" t="n">
        <v>4874.1719</v>
      </c>
      <c r="I917" t="n">
        <v>3558.8662</v>
      </c>
      <c r="J917" t="n">
        <v>10601.4878</v>
      </c>
      <c r="K917" t="inlineStr"/>
      <c r="L917" t="inlineStr"/>
      <c r="M917" t="inlineStr"/>
      <c r="N917" t="inlineStr"/>
      <c r="O917" t="n">
        <v>2019</v>
      </c>
      <c r="P917" t="n">
        <v>2030</v>
      </c>
      <c r="Q917" t="n">
        <v>0.3852</v>
      </c>
      <c r="R917" t="n">
        <v>158.2904</v>
      </c>
      <c r="S917" t="n">
        <v>0.00100695</v>
      </c>
      <c r="T917" t="n">
        <v>0.00065008</v>
      </c>
      <c r="U917" t="n">
        <v>17923.7966</v>
      </c>
      <c r="V917" t="inlineStr">
        <is>
          <t>Provided Total Emissions</t>
        </is>
      </c>
      <c r="W917" t="b">
        <v>1</v>
      </c>
      <c r="X917" t="n">
        <v>17001.5969</v>
      </c>
      <c r="Y917" t="n">
        <v>77121.8517</v>
      </c>
      <c r="Z917" t="n">
        <v>-922.1997</v>
      </c>
      <c r="AA917" t="n">
        <v>59198.0551</v>
      </c>
      <c r="AB917" t="n">
        <v>-0.051451</v>
      </c>
      <c r="AC917" t="n">
        <v>3.302763</v>
      </c>
      <c r="AD917" t="inlineStr">
        <is>
          <t>High</t>
        </is>
      </c>
      <c r="AE917" t="inlineStr">
        <is>
          <t>None</t>
        </is>
      </c>
      <c r="AF917" t="n">
        <v>0.95</v>
      </c>
      <c r="AG917" t="inlineStr">
        <is>
          <t>Valid</t>
        </is>
      </c>
    </row>
    <row r="918">
      <c r="A918" t="inlineStr">
        <is>
          <t>SUP-0092</t>
        </is>
      </c>
      <c r="B918" t="inlineStr">
        <is>
          <t>Metals Supplier 092</t>
        </is>
      </c>
      <c r="C918" t="inlineStr">
        <is>
          <t>Metals</t>
        </is>
      </c>
      <c r="D918" t="n">
        <v>2021</v>
      </c>
      <c r="E918" t="n">
        <v>13992421.5</v>
      </c>
      <c r="F918" t="n">
        <v>105212511.43</v>
      </c>
      <c r="G918" t="n">
        <v>13824.2166</v>
      </c>
      <c r="H918" t="n">
        <v>2581.8594</v>
      </c>
      <c r="I918" t="n">
        <v>906.9559</v>
      </c>
      <c r="J918" t="n">
        <v>10625.3124</v>
      </c>
      <c r="K918" t="inlineStr"/>
      <c r="L918" t="inlineStr"/>
      <c r="M918" t="inlineStr"/>
      <c r="N918" t="inlineStr"/>
      <c r="O918" t="n">
        <v>2019</v>
      </c>
      <c r="P918" t="n">
        <v>2030</v>
      </c>
      <c r="Q918" t="n">
        <v>0.3852</v>
      </c>
      <c r="R918" t="n">
        <v>158.2904</v>
      </c>
      <c r="S918" t="n">
        <v>0.00100695</v>
      </c>
      <c r="T918" t="n">
        <v>0.00065008</v>
      </c>
      <c r="U918" t="n">
        <v>13824.2166</v>
      </c>
      <c r="V918" t="inlineStr">
        <is>
          <t>Provided Total Emissions</t>
        </is>
      </c>
      <c r="W918" t="b">
        <v>1</v>
      </c>
      <c r="X918" t="n">
        <v>14089.6688</v>
      </c>
      <c r="Y918" t="n">
        <v>68396.5494</v>
      </c>
      <c r="Z918" t="n">
        <v>265.4522</v>
      </c>
      <c r="AA918" t="n">
        <v>54572.3328</v>
      </c>
      <c r="AB918" t="n">
        <v>0.019202</v>
      </c>
      <c r="AC918" t="n">
        <v>3.94759</v>
      </c>
      <c r="AD918" t="inlineStr">
        <is>
          <t>High</t>
        </is>
      </c>
      <c r="AE918" t="inlineStr">
        <is>
          <t>None</t>
        </is>
      </c>
      <c r="AF918" t="n">
        <v>0.95</v>
      </c>
      <c r="AG918" t="inlineStr">
        <is>
          <t>Valid</t>
        </is>
      </c>
    </row>
    <row r="919">
      <c r="A919" t="inlineStr">
        <is>
          <t>SUP-0092</t>
        </is>
      </c>
      <c r="B919" t="inlineStr">
        <is>
          <t>Metals Supplier 092</t>
        </is>
      </c>
      <c r="C919" t="inlineStr">
        <is>
          <t>Metals</t>
        </is>
      </c>
      <c r="D919" t="n">
        <v>2022</v>
      </c>
      <c r="E919" t="n">
        <v>12257256.54</v>
      </c>
      <c r="F919" t="n">
        <v>110798082.85</v>
      </c>
      <c r="G919" t="n">
        <v>11627.3897</v>
      </c>
      <c r="H919" t="n">
        <v>1291.9331</v>
      </c>
      <c r="I919" t="n">
        <v>1030.143</v>
      </c>
      <c r="J919" t="n">
        <v>9423.0965</v>
      </c>
      <c r="K919" t="inlineStr"/>
      <c r="L919" t="inlineStr"/>
      <c r="M919" t="inlineStr"/>
      <c r="N919" t="inlineStr"/>
      <c r="O919" t="n">
        <v>2019</v>
      </c>
      <c r="P919" t="n">
        <v>2030</v>
      </c>
      <c r="Q919" t="n">
        <v>0.3852</v>
      </c>
      <c r="R919" t="n">
        <v>158.2904</v>
      </c>
      <c r="S919" t="n">
        <v>0.00100695</v>
      </c>
      <c r="T919" t="n">
        <v>0.00065008</v>
      </c>
      <c r="U919" t="n">
        <v>11627.3897</v>
      </c>
      <c r="V919" t="inlineStr">
        <is>
          <t>Provided Total Emissions</t>
        </is>
      </c>
      <c r="W919" t="b">
        <v>1</v>
      </c>
      <c r="X919" t="n">
        <v>12342.4445</v>
      </c>
      <c r="Y919" t="n">
        <v>72027.6177</v>
      </c>
      <c r="Z919" t="n">
        <v>715.0548</v>
      </c>
      <c r="AA919" t="n">
        <v>60400.228</v>
      </c>
      <c r="AB919" t="n">
        <v>0.061497</v>
      </c>
      <c r="AC919" t="n">
        <v>5.194651</v>
      </c>
      <c r="AD919" t="inlineStr">
        <is>
          <t>High</t>
        </is>
      </c>
      <c r="AE919" t="inlineStr">
        <is>
          <t>None</t>
        </is>
      </c>
      <c r="AF919" t="n">
        <v>0.95</v>
      </c>
      <c r="AG919" t="inlineStr">
        <is>
          <t>Valid</t>
        </is>
      </c>
    </row>
    <row r="920">
      <c r="A920" t="inlineStr">
        <is>
          <t>SUP-0092</t>
        </is>
      </c>
      <c r="B920" t="inlineStr">
        <is>
          <t>Metals Supplier 092</t>
        </is>
      </c>
      <c r="C920" t="inlineStr">
        <is>
          <t>Metals</t>
        </is>
      </c>
      <c r="D920" t="n">
        <v>2023</v>
      </c>
      <c r="E920" t="n">
        <v>13769729.36</v>
      </c>
      <c r="F920" t="n">
        <v>87873785.15000001</v>
      </c>
      <c r="G920" t="n">
        <v>11283.9099</v>
      </c>
      <c r="H920" t="n">
        <v>885.1351</v>
      </c>
      <c r="I920" t="n">
        <v>1919.6317</v>
      </c>
      <c r="J920" t="n">
        <v>8308.8228</v>
      </c>
      <c r="K920" t="inlineStr"/>
      <c r="L920" t="inlineStr"/>
      <c r="M920" t="inlineStr"/>
      <c r="N920" t="inlineStr"/>
      <c r="O920" t="n">
        <v>2019</v>
      </c>
      <c r="P920" t="n">
        <v>2030</v>
      </c>
      <c r="Q920" t="n">
        <v>0.3852</v>
      </c>
      <c r="R920" t="n">
        <v>158.2904</v>
      </c>
      <c r="S920" t="n">
        <v>0.00100695</v>
      </c>
      <c r="T920" t="n">
        <v>0.00065008</v>
      </c>
      <c r="U920" t="n">
        <v>11283.9099</v>
      </c>
      <c r="V920" t="inlineStr">
        <is>
          <t>Provided Total Emissions</t>
        </is>
      </c>
      <c r="W920" t="b">
        <v>1</v>
      </c>
      <c r="X920" t="n">
        <v>13865.429</v>
      </c>
      <c r="Y920" t="n">
        <v>57124.9903</v>
      </c>
      <c r="Z920" t="n">
        <v>2581.5191</v>
      </c>
      <c r="AA920" t="n">
        <v>45841.0804</v>
      </c>
      <c r="AB920" t="n">
        <v>0.228779</v>
      </c>
      <c r="AC920" t="n">
        <v>4.062517</v>
      </c>
      <c r="AD920" t="inlineStr">
        <is>
          <t>High</t>
        </is>
      </c>
      <c r="AE920" t="inlineStr">
        <is>
          <t>None</t>
        </is>
      </c>
      <c r="AF920" t="n">
        <v>0.95</v>
      </c>
      <c r="AG920" t="inlineStr">
        <is>
          <t>Valid</t>
        </is>
      </c>
    </row>
    <row r="921">
      <c r="A921" t="inlineStr">
        <is>
          <t>SUP-0092</t>
        </is>
      </c>
      <c r="B921" t="inlineStr">
        <is>
          <t>Metals Supplier 092</t>
        </is>
      </c>
      <c r="C921" t="inlineStr">
        <is>
          <t>Metals</t>
        </is>
      </c>
      <c r="D921" t="n">
        <v>2024</v>
      </c>
      <c r="E921" t="n">
        <v>14518031.01</v>
      </c>
      <c r="F921" t="n">
        <v>89999257.55</v>
      </c>
      <c r="G921" t="n">
        <v>10870.7112</v>
      </c>
      <c r="H921" t="n">
        <v>1815.0131</v>
      </c>
      <c r="I921" t="n">
        <v>2708.2946</v>
      </c>
      <c r="J921" t="n">
        <v>7401.145</v>
      </c>
      <c r="K921" t="inlineStr"/>
      <c r="L921" t="inlineStr"/>
      <c r="M921" t="inlineStr"/>
      <c r="N921" t="inlineStr"/>
      <c r="O921" t="n">
        <v>2019</v>
      </c>
      <c r="P921" t="n">
        <v>2030</v>
      </c>
      <c r="Q921" t="n">
        <v>0.3852</v>
      </c>
      <c r="R921" t="n">
        <v>158.2904</v>
      </c>
      <c r="S921" t="n">
        <v>0.00100695</v>
      </c>
      <c r="T921" t="n">
        <v>0.00065008</v>
      </c>
      <c r="U921" t="n">
        <v>10870.7112</v>
      </c>
      <c r="V921" t="inlineStr">
        <is>
          <t>Provided Total Emissions</t>
        </is>
      </c>
      <c r="W921" t="b">
        <v>1</v>
      </c>
      <c r="X921" t="n">
        <v>14618.9313</v>
      </c>
      <c r="Y921" t="n">
        <v>58506.7173</v>
      </c>
      <c r="Z921" t="n">
        <v>3748.2201</v>
      </c>
      <c r="AA921" t="n">
        <v>47636.0061</v>
      </c>
      <c r="AB921" t="n">
        <v>0.3448</v>
      </c>
      <c r="AC921" t="n">
        <v>4.382051</v>
      </c>
      <c r="AD921" t="inlineStr">
        <is>
          <t>High</t>
        </is>
      </c>
      <c r="AE921" t="inlineStr">
        <is>
          <t>None</t>
        </is>
      </c>
      <c r="AF921" t="n">
        <v>0.95</v>
      </c>
      <c r="AG921" t="inlineStr">
        <is>
          <t>Valid</t>
        </is>
      </c>
    </row>
    <row r="922">
      <c r="A922" t="inlineStr">
        <is>
          <t>SUP-0093</t>
        </is>
      </c>
      <c r="B922" t="inlineStr">
        <is>
          <t>Chemicals Supplier 093</t>
        </is>
      </c>
      <c r="C922" t="inlineStr">
        <is>
          <t>Chemicals</t>
        </is>
      </c>
      <c r="D922" t="n">
        <v>2015</v>
      </c>
      <c r="E922" t="n">
        <v>2013207.43</v>
      </c>
      <c r="F922" t="n">
        <v>2837620.96</v>
      </c>
      <c r="G922" t="n">
        <v>1750.4912</v>
      </c>
      <c r="H922" t="n">
        <v>314.1057</v>
      </c>
      <c r="I922" t="n">
        <v>151.2112</v>
      </c>
      <c r="J922" t="n">
        <v>1180.1847</v>
      </c>
      <c r="K922" t="inlineStr"/>
      <c r="L922" t="inlineStr"/>
      <c r="M922" t="inlineStr"/>
      <c r="N922" t="inlineStr"/>
      <c r="O922" t="n">
        <v>2019</v>
      </c>
      <c r="P922" t="n">
        <v>2035</v>
      </c>
      <c r="Q922" t="n">
        <v>0.5229</v>
      </c>
      <c r="R922" t="n">
        <v>506.3191</v>
      </c>
      <c r="S922" t="n">
        <v>0.00100149</v>
      </c>
      <c r="T922" t="n">
        <v>0.00047124</v>
      </c>
      <c r="U922" t="n">
        <v>1750.4912</v>
      </c>
      <c r="V922" t="inlineStr">
        <is>
          <t>Provided Total Emissions</t>
        </is>
      </c>
      <c r="W922" t="b">
        <v>1</v>
      </c>
      <c r="X922" t="n">
        <v>2016.2071</v>
      </c>
      <c r="Y922" t="n">
        <v>1337.2005</v>
      </c>
      <c r="Z922" t="n">
        <v>265.7159</v>
      </c>
      <c r="AA922" t="n">
        <v>-413.2907</v>
      </c>
      <c r="AB922" t="n">
        <v>0.151795</v>
      </c>
      <c r="AC922" t="n">
        <v>-0.2361</v>
      </c>
      <c r="AD922" t="inlineStr">
        <is>
          <t>High</t>
        </is>
      </c>
      <c r="AE922" t="inlineStr">
        <is>
          <t>None</t>
        </is>
      </c>
      <c r="AF922" t="n">
        <v>0.95</v>
      </c>
      <c r="AG922" t="inlineStr">
        <is>
          <t>Valid</t>
        </is>
      </c>
    </row>
    <row r="923">
      <c r="A923" t="inlineStr">
        <is>
          <t>SUP-0093</t>
        </is>
      </c>
      <c r="B923" t="inlineStr">
        <is>
          <t>Chemicals Supplier 093</t>
        </is>
      </c>
      <c r="C923" t="inlineStr">
        <is>
          <t>Chemicals</t>
        </is>
      </c>
      <c r="D923" t="n">
        <v>2016</v>
      </c>
      <c r="E923" t="n">
        <v>2655113.34</v>
      </c>
      <c r="F923" t="n">
        <v>3513539.52</v>
      </c>
      <c r="G923" t="n">
        <v>1824.8092</v>
      </c>
      <c r="H923" t="n">
        <v>310.1114</v>
      </c>
      <c r="I923" t="n">
        <v>179.6605</v>
      </c>
      <c r="J923" t="n">
        <v>1411.4825</v>
      </c>
      <c r="K923" t="inlineStr"/>
      <c r="L923" t="inlineStr"/>
      <c r="M923" t="inlineStr"/>
      <c r="N923" t="inlineStr"/>
      <c r="O923" t="n">
        <v>2019</v>
      </c>
      <c r="P923" t="n">
        <v>2035</v>
      </c>
      <c r="Q923" t="n">
        <v>0.5229</v>
      </c>
      <c r="R923" t="n">
        <v>506.3191</v>
      </c>
      <c r="S923" t="n">
        <v>0.00100149</v>
      </c>
      <c r="T923" t="n">
        <v>0.00047124</v>
      </c>
      <c r="U923" t="n">
        <v>1824.8092</v>
      </c>
      <c r="V923" t="inlineStr">
        <is>
          <t>Provided Total Emissions</t>
        </is>
      </c>
      <c r="W923" t="b">
        <v>1</v>
      </c>
      <c r="X923" t="n">
        <v>2659.0695</v>
      </c>
      <c r="Y923" t="n">
        <v>1655.7204</v>
      </c>
      <c r="Z923" t="n">
        <v>834.2603</v>
      </c>
      <c r="AA923" t="n">
        <v>-169.0888</v>
      </c>
      <c r="AB923" t="n">
        <v>0.457177</v>
      </c>
      <c r="AC923" t="n">
        <v>-0.09266099999999999</v>
      </c>
      <c r="AD923" t="inlineStr">
        <is>
          <t>High</t>
        </is>
      </c>
      <c r="AE923" t="inlineStr">
        <is>
          <t>None</t>
        </is>
      </c>
      <c r="AF923" t="n">
        <v>0.95</v>
      </c>
      <c r="AG923" t="inlineStr">
        <is>
          <t>Valid</t>
        </is>
      </c>
    </row>
    <row r="924">
      <c r="A924" t="inlineStr">
        <is>
          <t>SUP-0093</t>
        </is>
      </c>
      <c r="B924" t="inlineStr">
        <is>
          <t>Chemicals Supplier 093</t>
        </is>
      </c>
      <c r="C924" t="inlineStr">
        <is>
          <t>Chemicals</t>
        </is>
      </c>
      <c r="D924" t="n">
        <v>2017</v>
      </c>
      <c r="E924" t="n">
        <v>2615784.95</v>
      </c>
      <c r="F924" t="n">
        <v>3675571.02</v>
      </c>
      <c r="G924" t="n">
        <v>2313.9802</v>
      </c>
      <c r="H924" t="n">
        <v>390.8202</v>
      </c>
      <c r="I924" t="n">
        <v>294.9437</v>
      </c>
      <c r="J924" t="n">
        <v>1629.0472</v>
      </c>
      <c r="K924" t="inlineStr"/>
      <c r="L924" t="inlineStr"/>
      <c r="M924" t="inlineStr"/>
      <c r="N924" t="inlineStr"/>
      <c r="O924" t="n">
        <v>2019</v>
      </c>
      <c r="P924" t="n">
        <v>2035</v>
      </c>
      <c r="Q924" t="n">
        <v>0.5229</v>
      </c>
      <c r="R924" t="n">
        <v>506.3191</v>
      </c>
      <c r="S924" t="n">
        <v>0.00100149</v>
      </c>
      <c r="T924" t="n">
        <v>0.00047124</v>
      </c>
      <c r="U924" t="n">
        <v>2313.9802</v>
      </c>
      <c r="V924" t="inlineStr">
        <is>
          <t>Provided Total Emissions</t>
        </is>
      </c>
      <c r="W924" t="b">
        <v>1</v>
      </c>
      <c r="X924" t="n">
        <v>2619.6825</v>
      </c>
      <c r="Y924" t="n">
        <v>1732.0761</v>
      </c>
      <c r="Z924" t="n">
        <v>305.7023</v>
      </c>
      <c r="AA924" t="n">
        <v>-581.9041</v>
      </c>
      <c r="AB924" t="n">
        <v>0.132111</v>
      </c>
      <c r="AC924" t="n">
        <v>-0.251473</v>
      </c>
      <c r="AD924" t="inlineStr">
        <is>
          <t>High</t>
        </is>
      </c>
      <c r="AE924" t="inlineStr">
        <is>
          <t>None</t>
        </is>
      </c>
      <c r="AF924" t="n">
        <v>0.95</v>
      </c>
      <c r="AG924" t="inlineStr">
        <is>
          <t>Valid</t>
        </is>
      </c>
    </row>
    <row r="925">
      <c r="A925" t="inlineStr">
        <is>
          <t>SUP-0093</t>
        </is>
      </c>
      <c r="B925" t="inlineStr">
        <is>
          <t>Chemicals Supplier 093</t>
        </is>
      </c>
      <c r="C925" t="inlineStr">
        <is>
          <t>Chemicals</t>
        </is>
      </c>
      <c r="D925" t="n">
        <v>2018</v>
      </c>
      <c r="E925" t="n">
        <v>2329486.63</v>
      </c>
      <c r="F925" t="n">
        <v>3798850.8</v>
      </c>
      <c r="G925" t="n">
        <v>1630.3436</v>
      </c>
      <c r="H925" t="n">
        <v>169.5371</v>
      </c>
      <c r="I925" t="n">
        <v>122.7668</v>
      </c>
      <c r="J925" t="n">
        <v>1416.5556</v>
      </c>
      <c r="K925" t="inlineStr"/>
      <c r="L925" t="inlineStr"/>
      <c r="M925" t="inlineStr"/>
      <c r="N925" t="inlineStr"/>
      <c r="O925" t="n">
        <v>2019</v>
      </c>
      <c r="P925" t="n">
        <v>2035</v>
      </c>
      <c r="Q925" t="n">
        <v>0.5229</v>
      </c>
      <c r="R925" t="n">
        <v>506.3191</v>
      </c>
      <c r="S925" t="n">
        <v>0.00100149</v>
      </c>
      <c r="T925" t="n">
        <v>0.00047124</v>
      </c>
      <c r="U925" t="n">
        <v>1630.3436</v>
      </c>
      <c r="V925" t="inlineStr">
        <is>
          <t>Provided Total Emissions</t>
        </is>
      </c>
      <c r="W925" t="b">
        <v>1</v>
      </c>
      <c r="X925" t="n">
        <v>2332.9576</v>
      </c>
      <c r="Y925" t="n">
        <v>1790.1705</v>
      </c>
      <c r="Z925" t="n">
        <v>702.614</v>
      </c>
      <c r="AA925" t="n">
        <v>159.8269</v>
      </c>
      <c r="AB925" t="n">
        <v>0.430961</v>
      </c>
      <c r="AC925" t="n">
        <v>0.098033</v>
      </c>
      <c r="AD925" t="inlineStr">
        <is>
          <t>High</t>
        </is>
      </c>
      <c r="AE925" t="inlineStr">
        <is>
          <t>None</t>
        </is>
      </c>
      <c r="AF925" t="n">
        <v>0.95</v>
      </c>
      <c r="AG925" t="inlineStr">
        <is>
          <t>Valid</t>
        </is>
      </c>
    </row>
    <row r="926">
      <c r="A926" t="inlineStr">
        <is>
          <t>SUP-0093</t>
        </is>
      </c>
      <c r="B926" t="inlineStr">
        <is>
          <t>Chemicals Supplier 093</t>
        </is>
      </c>
      <c r="C926" t="inlineStr">
        <is>
          <t>Chemicals</t>
        </is>
      </c>
      <c r="D926" t="n">
        <v>2019</v>
      </c>
      <c r="E926" t="n">
        <v>2340536.4</v>
      </c>
      <c r="F926" t="n">
        <v>3888684.42</v>
      </c>
      <c r="G926" t="n">
        <v>2110.3485</v>
      </c>
      <c r="H926" t="n">
        <v>307.7975</v>
      </c>
      <c r="I926" t="n">
        <v>348.6584</v>
      </c>
      <c r="J926" t="n">
        <v>1473.4046</v>
      </c>
      <c r="K926" t="inlineStr"/>
      <c r="L926" t="inlineStr"/>
      <c r="M926" t="inlineStr"/>
      <c r="N926" t="inlineStr"/>
      <c r="O926" t="n">
        <v>2019</v>
      </c>
      <c r="P926" t="n">
        <v>2035</v>
      </c>
      <c r="Q926" t="n">
        <v>0.5229</v>
      </c>
      <c r="R926" t="n">
        <v>506.3191</v>
      </c>
      <c r="S926" t="n">
        <v>0.00100149</v>
      </c>
      <c r="T926" t="n">
        <v>0.00047124</v>
      </c>
      <c r="U926" t="n">
        <v>2110.3485</v>
      </c>
      <c r="V926" t="inlineStr">
        <is>
          <t>Provided Total Emissions</t>
        </is>
      </c>
      <c r="W926" t="b">
        <v>1</v>
      </c>
      <c r="X926" t="n">
        <v>2344.0238</v>
      </c>
      <c r="Y926" t="n">
        <v>1832.5036</v>
      </c>
      <c r="Z926" t="n">
        <v>233.6753</v>
      </c>
      <c r="AA926" t="n">
        <v>-277.8449</v>
      </c>
      <c r="AB926" t="n">
        <v>0.110728</v>
      </c>
      <c r="AC926" t="n">
        <v>-0.131658</v>
      </c>
      <c r="AD926" t="inlineStr">
        <is>
          <t>High</t>
        </is>
      </c>
      <c r="AE926" t="inlineStr">
        <is>
          <t>None</t>
        </is>
      </c>
      <c r="AF926" t="n">
        <v>0.95</v>
      </c>
      <c r="AG926" t="inlineStr">
        <is>
          <t>Valid</t>
        </is>
      </c>
    </row>
    <row r="927">
      <c r="A927" t="inlineStr">
        <is>
          <t>SUP-0093</t>
        </is>
      </c>
      <c r="B927" t="inlineStr">
        <is>
          <t>Chemicals Supplier 093</t>
        </is>
      </c>
      <c r="C927" t="inlineStr">
        <is>
          <t>Chemicals</t>
        </is>
      </c>
      <c r="D927" t="n">
        <v>2020</v>
      </c>
      <c r="E927" t="n">
        <v>2266029.12</v>
      </c>
      <c r="F927" t="n">
        <v>3930511.23</v>
      </c>
      <c r="G927" t="n">
        <v>1494.5093</v>
      </c>
      <c r="H927" t="n">
        <v>298.9242</v>
      </c>
      <c r="I927" t="n">
        <v>114.4735</v>
      </c>
      <c r="J927" t="n">
        <v>1132.5549</v>
      </c>
      <c r="K927" t="inlineStr"/>
      <c r="L927" t="inlineStr"/>
      <c r="M927" t="inlineStr"/>
      <c r="N927" t="inlineStr"/>
      <c r="O927" t="n">
        <v>2019</v>
      </c>
      <c r="P927" t="n">
        <v>2035</v>
      </c>
      <c r="Q927" t="n">
        <v>0.5229</v>
      </c>
      <c r="R927" t="n">
        <v>506.3191</v>
      </c>
      <c r="S927" t="n">
        <v>0.00100149</v>
      </c>
      <c r="T927" t="n">
        <v>0.00047124</v>
      </c>
      <c r="U927" t="n">
        <v>1494.5093</v>
      </c>
      <c r="V927" t="inlineStr">
        <is>
          <t>Provided Total Emissions</t>
        </is>
      </c>
      <c r="W927" t="b">
        <v>1</v>
      </c>
      <c r="X927" t="n">
        <v>2269.4055</v>
      </c>
      <c r="Y927" t="n">
        <v>1852.2141</v>
      </c>
      <c r="Z927" t="n">
        <v>774.8962</v>
      </c>
      <c r="AA927" t="n">
        <v>357.7048</v>
      </c>
      <c r="AB927" t="n">
        <v>0.518495</v>
      </c>
      <c r="AC927" t="n">
        <v>0.239346</v>
      </c>
      <c r="AD927" t="inlineStr">
        <is>
          <t>High</t>
        </is>
      </c>
      <c r="AE927" t="inlineStr">
        <is>
          <t>None</t>
        </is>
      </c>
      <c r="AF927" t="n">
        <v>0.95</v>
      </c>
      <c r="AG927" t="inlineStr">
        <is>
          <t>Valid</t>
        </is>
      </c>
    </row>
    <row r="928">
      <c r="A928" t="inlineStr">
        <is>
          <t>SUP-0093</t>
        </is>
      </c>
      <c r="B928" t="inlineStr">
        <is>
          <t>Chemicals Supplier 093</t>
        </is>
      </c>
      <c r="C928" t="inlineStr">
        <is>
          <t>Chemicals</t>
        </is>
      </c>
      <c r="D928" t="n">
        <v>2021</v>
      </c>
      <c r="E928" t="n">
        <v>2516599.04</v>
      </c>
      <c r="F928" t="n">
        <v>4189674.63</v>
      </c>
      <c r="G928" t="n">
        <v>1347.6866</v>
      </c>
      <c r="H928" t="n">
        <v>146.6559</v>
      </c>
      <c r="I928" t="n">
        <v>264.543</v>
      </c>
      <c r="J928" t="n">
        <v>1108.8864</v>
      </c>
      <c r="K928" t="inlineStr"/>
      <c r="L928" t="inlineStr"/>
      <c r="M928" t="inlineStr"/>
      <c r="N928" t="inlineStr"/>
      <c r="O928" t="n">
        <v>2019</v>
      </c>
      <c r="P928" t="n">
        <v>2035</v>
      </c>
      <c r="Q928" t="n">
        <v>0.5229</v>
      </c>
      <c r="R928" t="n">
        <v>506.3191</v>
      </c>
      <c r="S928" t="n">
        <v>0.00100149</v>
      </c>
      <c r="T928" t="n">
        <v>0.00047124</v>
      </c>
      <c r="U928" t="n">
        <v>1347.6866</v>
      </c>
      <c r="V928" t="inlineStr">
        <is>
          <t>Provided Total Emissions</t>
        </is>
      </c>
      <c r="W928" t="b">
        <v>1</v>
      </c>
      <c r="X928" t="n">
        <v>2520.3488</v>
      </c>
      <c r="Y928" t="n">
        <v>1974.3423</v>
      </c>
      <c r="Z928" t="n">
        <v>1172.6622</v>
      </c>
      <c r="AA928" t="n">
        <v>626.6557</v>
      </c>
      <c r="AB928" t="n">
        <v>0.87013</v>
      </c>
      <c r="AC928" t="n">
        <v>0.464986</v>
      </c>
      <c r="AD928" t="inlineStr">
        <is>
          <t>High</t>
        </is>
      </c>
      <c r="AE928" t="inlineStr">
        <is>
          <t>None</t>
        </is>
      </c>
      <c r="AF928" t="n">
        <v>0.95</v>
      </c>
      <c r="AG928" t="inlineStr">
        <is>
          <t>Valid</t>
        </is>
      </c>
    </row>
    <row r="929">
      <c r="A929" t="inlineStr">
        <is>
          <t>SUP-0093</t>
        </is>
      </c>
      <c r="B929" t="inlineStr">
        <is>
          <t>Chemicals Supplier 093</t>
        </is>
      </c>
      <c r="C929" t="inlineStr">
        <is>
          <t>Chemicals</t>
        </is>
      </c>
      <c r="D929" t="n">
        <v>2022</v>
      </c>
      <c r="E929" t="n">
        <v>2618367.32</v>
      </c>
      <c r="F929" t="n">
        <v>4385807.39</v>
      </c>
      <c r="G929" t="n">
        <v>1481.6828</v>
      </c>
      <c r="H929" t="n">
        <v>317.3118</v>
      </c>
      <c r="I929" t="n">
        <v>120.7663</v>
      </c>
      <c r="J929" t="n">
        <v>1083.9916</v>
      </c>
      <c r="K929" t="inlineStr"/>
      <c r="L929" t="inlineStr"/>
      <c r="M929" t="inlineStr"/>
      <c r="N929" t="inlineStr"/>
      <c r="O929" t="n">
        <v>2019</v>
      </c>
      <c r="P929" t="n">
        <v>2035</v>
      </c>
      <c r="Q929" t="n">
        <v>0.5229</v>
      </c>
      <c r="R929" t="n">
        <v>506.3191</v>
      </c>
      <c r="S929" t="n">
        <v>0.00100149</v>
      </c>
      <c r="T929" t="n">
        <v>0.00047124</v>
      </c>
      <c r="U929" t="n">
        <v>1481.6828</v>
      </c>
      <c r="V929" t="inlineStr">
        <is>
          <t>Provided Total Emissions</t>
        </is>
      </c>
      <c r="W929" t="b">
        <v>1</v>
      </c>
      <c r="X929" t="n">
        <v>2622.2687</v>
      </c>
      <c r="Y929" t="n">
        <v>2066.7679</v>
      </c>
      <c r="Z929" t="n">
        <v>1140.5859</v>
      </c>
      <c r="AA929" t="n">
        <v>585.0851</v>
      </c>
      <c r="AB929" t="n">
        <v>0.769791</v>
      </c>
      <c r="AC929" t="n">
        <v>0.394879</v>
      </c>
      <c r="AD929" t="inlineStr">
        <is>
          <t>High</t>
        </is>
      </c>
      <c r="AE929" t="inlineStr">
        <is>
          <t>None</t>
        </is>
      </c>
      <c r="AF929" t="n">
        <v>0.95</v>
      </c>
      <c r="AG929" t="inlineStr">
        <is>
          <t>Valid</t>
        </is>
      </c>
    </row>
    <row r="930">
      <c r="A930" t="inlineStr">
        <is>
          <t>SUP-0093</t>
        </is>
      </c>
      <c r="B930" t="inlineStr">
        <is>
          <t>Chemicals Supplier 093</t>
        </is>
      </c>
      <c r="C930" t="inlineStr">
        <is>
          <t>Chemicals</t>
        </is>
      </c>
      <c r="D930" t="n">
        <v>2023</v>
      </c>
      <c r="E930" t="n">
        <v>2889179.73</v>
      </c>
      <c r="F930" t="n">
        <v>4474517.85</v>
      </c>
      <c r="G930" t="n">
        <v>1836.9765</v>
      </c>
      <c r="H930" t="n">
        <v>454.1005</v>
      </c>
      <c r="I930" t="n">
        <v>268.2436</v>
      </c>
      <c r="J930" t="n">
        <v>1140.3488</v>
      </c>
      <c r="K930" t="inlineStr"/>
      <c r="L930" t="inlineStr"/>
      <c r="M930" t="inlineStr"/>
      <c r="N930" t="inlineStr"/>
      <c r="O930" t="n">
        <v>2019</v>
      </c>
      <c r="P930" t="n">
        <v>2035</v>
      </c>
      <c r="Q930" t="n">
        <v>0.5229</v>
      </c>
      <c r="R930" t="n">
        <v>506.3191</v>
      </c>
      <c r="S930" t="n">
        <v>0.00100149</v>
      </c>
      <c r="T930" t="n">
        <v>0.00047124</v>
      </c>
      <c r="U930" t="n">
        <v>1836.9765</v>
      </c>
      <c r="V930" t="inlineStr">
        <is>
          <t>Provided Total Emissions</t>
        </is>
      </c>
      <c r="W930" t="b">
        <v>1</v>
      </c>
      <c r="X930" t="n">
        <v>2893.4846</v>
      </c>
      <c r="Y930" t="n">
        <v>2108.5718</v>
      </c>
      <c r="Z930" t="n">
        <v>1056.5081</v>
      </c>
      <c r="AA930" t="n">
        <v>271.5953</v>
      </c>
      <c r="AB930" t="n">
        <v>0.575134</v>
      </c>
      <c r="AC930" t="n">
        <v>0.147849</v>
      </c>
      <c r="AD930" t="inlineStr">
        <is>
          <t>High</t>
        </is>
      </c>
      <c r="AE930" t="inlineStr">
        <is>
          <t>None</t>
        </is>
      </c>
      <c r="AF930" t="n">
        <v>0.95</v>
      </c>
      <c r="AG930" t="inlineStr">
        <is>
          <t>Valid</t>
        </is>
      </c>
    </row>
    <row r="931">
      <c r="A931" t="inlineStr">
        <is>
          <t>SUP-0093</t>
        </is>
      </c>
      <c r="B931" t="inlineStr">
        <is>
          <t>Chemicals Supplier 093</t>
        </is>
      </c>
      <c r="C931" t="inlineStr">
        <is>
          <t>Chemicals</t>
        </is>
      </c>
      <c r="D931" t="n">
        <v>2024</v>
      </c>
      <c r="E931" t="n">
        <v>2990315.9</v>
      </c>
      <c r="F931" t="n">
        <v>4886398.95</v>
      </c>
      <c r="G931" t="n">
        <v>1319.4172</v>
      </c>
      <c r="H931" t="n">
        <v>227.3867</v>
      </c>
      <c r="I931" t="n">
        <v>205.0896</v>
      </c>
      <c r="J931" t="n">
        <v>955.4371</v>
      </c>
      <c r="K931" t="inlineStr"/>
      <c r="L931" t="inlineStr"/>
      <c r="M931" t="inlineStr"/>
      <c r="N931" t="inlineStr"/>
      <c r="O931" t="n">
        <v>2019</v>
      </c>
      <c r="P931" t="n">
        <v>2035</v>
      </c>
      <c r="Q931" t="n">
        <v>0.5229</v>
      </c>
      <c r="R931" t="n">
        <v>506.3191</v>
      </c>
      <c r="S931" t="n">
        <v>0.00100149</v>
      </c>
      <c r="T931" t="n">
        <v>0.00047124</v>
      </c>
      <c r="U931" t="n">
        <v>1319.4172</v>
      </c>
      <c r="V931" t="inlineStr">
        <is>
          <t>Provided Total Emissions</t>
        </is>
      </c>
      <c r="W931" t="b">
        <v>1</v>
      </c>
      <c r="X931" t="n">
        <v>2994.7715</v>
      </c>
      <c r="Y931" t="n">
        <v>2302.6666</v>
      </c>
      <c r="Z931" t="n">
        <v>1675.3543</v>
      </c>
      <c r="AA931" t="n">
        <v>983.2494</v>
      </c>
      <c r="AB931" t="n">
        <v>1.269768</v>
      </c>
      <c r="AC931" t="n">
        <v>0.745215</v>
      </c>
      <c r="AD931" t="inlineStr">
        <is>
          <t>High</t>
        </is>
      </c>
      <c r="AE931" t="inlineStr">
        <is>
          <t>None</t>
        </is>
      </c>
      <c r="AF931" t="n">
        <v>0.95</v>
      </c>
      <c r="AG931" t="inlineStr">
        <is>
          <t>Valid</t>
        </is>
      </c>
    </row>
    <row r="932">
      <c r="A932" t="inlineStr">
        <is>
          <t>SUP-0094</t>
        </is>
      </c>
      <c r="B932" t="inlineStr">
        <is>
          <t>Metals Supplier 094</t>
        </is>
      </c>
      <c r="C932" t="inlineStr">
        <is>
          <t>Metals</t>
        </is>
      </c>
      <c r="D932" t="n">
        <v>2015</v>
      </c>
      <c r="E932" t="n">
        <v>866284.53</v>
      </c>
      <c r="F932" t="n">
        <v>6720840.82</v>
      </c>
      <c r="G932" t="n">
        <v>1276.4864</v>
      </c>
      <c r="H932" t="n">
        <v>294.7432</v>
      </c>
      <c r="I932" t="n">
        <v>109.51</v>
      </c>
      <c r="J932" t="n">
        <v>834.3605</v>
      </c>
      <c r="K932" t="n">
        <v>2018</v>
      </c>
      <c r="L932" t="n">
        <v>2040</v>
      </c>
      <c r="M932" t="n">
        <v>0.3585</v>
      </c>
      <c r="N932" t="n">
        <v>0.1294</v>
      </c>
      <c r="O932" t="n">
        <v>2019</v>
      </c>
      <c r="P932" t="n">
        <v>2030</v>
      </c>
      <c r="Q932" t="n">
        <v>0.3852</v>
      </c>
      <c r="R932" t="n">
        <v>158.2904</v>
      </c>
      <c r="S932" t="n">
        <v>0.00100695</v>
      </c>
      <c r="T932" t="n">
        <v>0.00065008</v>
      </c>
      <c r="U932" t="n">
        <v>1276.4864</v>
      </c>
      <c r="V932" t="inlineStr">
        <is>
          <t>Provided Total Emissions</t>
        </is>
      </c>
      <c r="W932" t="b">
        <v>1</v>
      </c>
      <c r="X932" t="n">
        <v>872.3052</v>
      </c>
      <c r="Y932" t="n">
        <v>4369.0842</v>
      </c>
      <c r="Z932" t="n">
        <v>-404.1812</v>
      </c>
      <c r="AA932" t="n">
        <v>3092.5978</v>
      </c>
      <c r="AB932" t="n">
        <v>-0.316636</v>
      </c>
      <c r="AC932" t="n">
        <v>2.422742</v>
      </c>
      <c r="AD932" t="inlineStr">
        <is>
          <t>High</t>
        </is>
      </c>
      <c r="AE932" t="inlineStr">
        <is>
          <t>None</t>
        </is>
      </c>
      <c r="AF932" t="n">
        <v>0.95</v>
      </c>
      <c r="AG932" t="inlineStr">
        <is>
          <t>Valid</t>
        </is>
      </c>
    </row>
    <row r="933">
      <c r="A933" t="inlineStr">
        <is>
          <t>SUP-0094</t>
        </is>
      </c>
      <c r="B933" t="inlineStr">
        <is>
          <t>Metals Supplier 094</t>
        </is>
      </c>
      <c r="C933" t="inlineStr">
        <is>
          <t>Metals</t>
        </is>
      </c>
      <c r="D933" t="n">
        <v>2016</v>
      </c>
      <c r="E933" t="n">
        <v>855270.4399999999</v>
      </c>
      <c r="F933" t="n">
        <v>7034550.19</v>
      </c>
      <c r="G933" t="n">
        <v>1186.6227</v>
      </c>
      <c r="H933" t="n">
        <v>193.77</v>
      </c>
      <c r="I933" t="n">
        <v>144.8045</v>
      </c>
      <c r="J933" t="n">
        <v>810.3453</v>
      </c>
      <c r="K933" t="n">
        <v>2018</v>
      </c>
      <c r="L933" t="n">
        <v>2040</v>
      </c>
      <c r="M933" t="n">
        <v>0.3585</v>
      </c>
      <c r="N933" t="n">
        <v>0.1294</v>
      </c>
      <c r="O933" t="n">
        <v>2019</v>
      </c>
      <c r="P933" t="n">
        <v>2030</v>
      </c>
      <c r="Q933" t="n">
        <v>0.3852</v>
      </c>
      <c r="R933" t="n">
        <v>158.2904</v>
      </c>
      <c r="S933" t="n">
        <v>0.00100695</v>
      </c>
      <c r="T933" t="n">
        <v>0.00065008</v>
      </c>
      <c r="U933" t="n">
        <v>1186.6227</v>
      </c>
      <c r="V933" t="inlineStr">
        <is>
          <t>Provided Total Emissions</t>
        </is>
      </c>
      <c r="W933" t="b">
        <v>1</v>
      </c>
      <c r="X933" t="n">
        <v>861.2146</v>
      </c>
      <c r="Y933" t="n">
        <v>4573.0204</v>
      </c>
      <c r="Z933" t="n">
        <v>-325.4081</v>
      </c>
      <c r="AA933" t="n">
        <v>3386.3977</v>
      </c>
      <c r="AB933" t="n">
        <v>-0.27423</v>
      </c>
      <c r="AC933" t="n">
        <v>2.853812</v>
      </c>
      <c r="AD933" t="inlineStr">
        <is>
          <t>High</t>
        </is>
      </c>
      <c r="AE933" t="inlineStr">
        <is>
          <t>None</t>
        </is>
      </c>
      <c r="AF933" t="n">
        <v>0.95</v>
      </c>
      <c r="AG933" t="inlineStr">
        <is>
          <t>Valid</t>
        </is>
      </c>
    </row>
    <row r="934">
      <c r="A934" t="inlineStr">
        <is>
          <t>SUP-0094</t>
        </is>
      </c>
      <c r="B934" t="inlineStr">
        <is>
          <t>Metals Supplier 094</t>
        </is>
      </c>
      <c r="C934" t="inlineStr">
        <is>
          <t>Metals</t>
        </is>
      </c>
      <c r="D934" t="n">
        <v>2017</v>
      </c>
      <c r="E934" t="n">
        <v>917154.38</v>
      </c>
      <c r="F934" t="n">
        <v>5828718.87</v>
      </c>
      <c r="G934" t="n">
        <v>1280.7548</v>
      </c>
      <c r="H934" t="n">
        <v>253.0168</v>
      </c>
      <c r="I934" t="n">
        <v>180.6696</v>
      </c>
      <c r="J934" t="n">
        <v>971.1167</v>
      </c>
      <c r="K934" t="n">
        <v>2018</v>
      </c>
      <c r="L934" t="n">
        <v>2040</v>
      </c>
      <c r="M934" t="n">
        <v>0.3585</v>
      </c>
      <c r="N934" t="n">
        <v>0.1294</v>
      </c>
      <c r="O934" t="n">
        <v>2019</v>
      </c>
      <c r="P934" t="n">
        <v>2030</v>
      </c>
      <c r="Q934" t="n">
        <v>0.3852</v>
      </c>
      <c r="R934" t="n">
        <v>158.2904</v>
      </c>
      <c r="S934" t="n">
        <v>0.00100695</v>
      </c>
      <c r="T934" t="n">
        <v>0.00065008</v>
      </c>
      <c r="U934" t="n">
        <v>1280.7548</v>
      </c>
      <c r="V934" t="inlineStr">
        <is>
          <t>Provided Total Emissions</t>
        </is>
      </c>
      <c r="W934" t="b">
        <v>1</v>
      </c>
      <c r="X934" t="n">
        <v>923.5286</v>
      </c>
      <c r="Y934" t="n">
        <v>3789.1336</v>
      </c>
      <c r="Z934" t="n">
        <v>-357.2262</v>
      </c>
      <c r="AA934" t="n">
        <v>2508.3788</v>
      </c>
      <c r="AB934" t="n">
        <v>-0.278918</v>
      </c>
      <c r="AC934" t="n">
        <v>1.958516</v>
      </c>
      <c r="AD934" t="inlineStr">
        <is>
          <t>High</t>
        </is>
      </c>
      <c r="AE934" t="inlineStr">
        <is>
          <t>None</t>
        </is>
      </c>
      <c r="AF934" t="n">
        <v>0.95</v>
      </c>
      <c r="AG934" t="inlineStr">
        <is>
          <t>Valid</t>
        </is>
      </c>
    </row>
    <row r="935">
      <c r="A935" t="inlineStr">
        <is>
          <t>SUP-0094</t>
        </is>
      </c>
      <c r="B935" t="inlineStr">
        <is>
          <t>Metals Supplier 094</t>
        </is>
      </c>
      <c r="C935" t="inlineStr">
        <is>
          <t>Metals</t>
        </is>
      </c>
      <c r="D935" t="n">
        <v>2018</v>
      </c>
      <c r="E935" t="n">
        <v>923073.3100000001</v>
      </c>
      <c r="F935" t="n">
        <v>5703959.25</v>
      </c>
      <c r="G935" t="n">
        <v>1205.5522</v>
      </c>
      <c r="H935" t="n">
        <v>244.4691</v>
      </c>
      <c r="I935" t="n">
        <v>149.6731</v>
      </c>
      <c r="J935" t="n">
        <v>780.7001</v>
      </c>
      <c r="K935" t="n">
        <v>2018</v>
      </c>
      <c r="L935" t="n">
        <v>2040</v>
      </c>
      <c r="M935" t="n">
        <v>0.3585</v>
      </c>
      <c r="N935" t="n">
        <v>0.1294</v>
      </c>
      <c r="O935" t="n">
        <v>2019</v>
      </c>
      <c r="P935" t="n">
        <v>2030</v>
      </c>
      <c r="Q935" t="n">
        <v>0.3852</v>
      </c>
      <c r="R935" t="n">
        <v>158.2904</v>
      </c>
      <c r="S935" t="n">
        <v>0.00100695</v>
      </c>
      <c r="T935" t="n">
        <v>0.00065008</v>
      </c>
      <c r="U935" t="n">
        <v>1205.5522</v>
      </c>
      <c r="V935" t="inlineStr">
        <is>
          <t>Provided Total Emissions</t>
        </is>
      </c>
      <c r="W935" t="b">
        <v>1</v>
      </c>
      <c r="X935" t="n">
        <v>929.4887</v>
      </c>
      <c r="Y935" t="n">
        <v>3708.0298</v>
      </c>
      <c r="Z935" t="n">
        <v>-276.0635</v>
      </c>
      <c r="AA935" t="n">
        <v>2502.4776</v>
      </c>
      <c r="AB935" t="n">
        <v>-0.228993</v>
      </c>
      <c r="AC935" t="n">
        <v>2.075794</v>
      </c>
      <c r="AD935" t="inlineStr">
        <is>
          <t>High</t>
        </is>
      </c>
      <c r="AE935" t="inlineStr">
        <is>
          <t>None</t>
        </is>
      </c>
      <c r="AF935" t="n">
        <v>0.95</v>
      </c>
      <c r="AG935" t="inlineStr">
        <is>
          <t>Valid</t>
        </is>
      </c>
    </row>
    <row r="936">
      <c r="A936" t="inlineStr">
        <is>
          <t>SUP-0094</t>
        </is>
      </c>
      <c r="B936" t="inlineStr">
        <is>
          <t>Metals Supplier 094</t>
        </is>
      </c>
      <c r="C936" t="inlineStr">
        <is>
          <t>Metals</t>
        </is>
      </c>
      <c r="D936" t="n">
        <v>2019</v>
      </c>
      <c r="E936" t="n">
        <v>976903.4300000001</v>
      </c>
      <c r="F936" t="n">
        <v>4819912.29</v>
      </c>
      <c r="G936" t="n">
        <v>1332.548</v>
      </c>
      <c r="H936" t="n">
        <v>361.7328</v>
      </c>
      <c r="I936" t="n">
        <v>269.4694</v>
      </c>
      <c r="J936" t="n">
        <v>725.1118</v>
      </c>
      <c r="K936" t="n">
        <v>2018</v>
      </c>
      <c r="L936" t="n">
        <v>2040</v>
      </c>
      <c r="M936" t="n">
        <v>0.3585</v>
      </c>
      <c r="N936" t="n">
        <v>0.1294</v>
      </c>
      <c r="O936" t="n">
        <v>2019</v>
      </c>
      <c r="P936" t="n">
        <v>2030</v>
      </c>
      <c r="Q936" t="n">
        <v>0.3852</v>
      </c>
      <c r="R936" t="n">
        <v>158.2904</v>
      </c>
      <c r="S936" t="n">
        <v>0.00100695</v>
      </c>
      <c r="T936" t="n">
        <v>0.00065008</v>
      </c>
      <c r="U936" t="n">
        <v>1332.548</v>
      </c>
      <c r="V936" t="inlineStr">
        <is>
          <t>Provided Total Emissions</t>
        </is>
      </c>
      <c r="W936" t="b">
        <v>1</v>
      </c>
      <c r="X936" t="n">
        <v>983.6929</v>
      </c>
      <c r="Y936" t="n">
        <v>3133.3286</v>
      </c>
      <c r="Z936" t="n">
        <v>-348.8551</v>
      </c>
      <c r="AA936" t="n">
        <v>1800.7806</v>
      </c>
      <c r="AB936" t="n">
        <v>-0.261796</v>
      </c>
      <c r="AC936" t="n">
        <v>1.351381</v>
      </c>
      <c r="AD936" t="inlineStr">
        <is>
          <t>High</t>
        </is>
      </c>
      <c r="AE936" t="inlineStr">
        <is>
          <t>None</t>
        </is>
      </c>
      <c r="AF936" t="n">
        <v>0.95</v>
      </c>
      <c r="AG936" t="inlineStr">
        <is>
          <t>Valid</t>
        </is>
      </c>
    </row>
    <row r="937">
      <c r="A937" t="inlineStr">
        <is>
          <t>SUP-0094</t>
        </is>
      </c>
      <c r="B937" t="inlineStr">
        <is>
          <t>Metals Supplier 094</t>
        </is>
      </c>
      <c r="C937" t="inlineStr">
        <is>
          <t>Metals</t>
        </is>
      </c>
      <c r="D937" t="n">
        <v>2020</v>
      </c>
      <c r="E937" t="n">
        <v>1023725.07</v>
      </c>
      <c r="F937" t="n">
        <v>5428043.23</v>
      </c>
      <c r="G937" t="n">
        <v>1709.4585</v>
      </c>
      <c r="H937" t="n">
        <v>472.6441</v>
      </c>
      <c r="I937" t="n">
        <v>145.6907</v>
      </c>
      <c r="J937" t="n">
        <v>1179.5321</v>
      </c>
      <c r="K937" t="n">
        <v>2018</v>
      </c>
      <c r="L937" t="n">
        <v>2040</v>
      </c>
      <c r="M937" t="n">
        <v>0.3585</v>
      </c>
      <c r="N937" t="n">
        <v>0.1294</v>
      </c>
      <c r="O937" t="n">
        <v>2019</v>
      </c>
      <c r="P937" t="n">
        <v>2030</v>
      </c>
      <c r="Q937" t="n">
        <v>0.3852</v>
      </c>
      <c r="R937" t="n">
        <v>158.2904</v>
      </c>
      <c r="S937" t="n">
        <v>0.00100695</v>
      </c>
      <c r="T937" t="n">
        <v>0.00065008</v>
      </c>
      <c r="U937" t="n">
        <v>1709.4585</v>
      </c>
      <c r="V937" t="inlineStr">
        <is>
          <t>Provided Total Emissions</t>
        </is>
      </c>
      <c r="W937" t="b">
        <v>1</v>
      </c>
      <c r="X937" t="n">
        <v>1030.84</v>
      </c>
      <c r="Y937" t="n">
        <v>3528.6623</v>
      </c>
      <c r="Z937" t="n">
        <v>-678.6185</v>
      </c>
      <c r="AA937" t="n">
        <v>1819.2038</v>
      </c>
      <c r="AB937" t="n">
        <v>-0.396979</v>
      </c>
      <c r="AC937" t="n">
        <v>1.064199</v>
      </c>
      <c r="AD937" t="inlineStr">
        <is>
          <t>High</t>
        </is>
      </c>
      <c r="AE937" t="inlineStr">
        <is>
          <t>None</t>
        </is>
      </c>
      <c r="AF937" t="n">
        <v>0.95</v>
      </c>
      <c r="AG937" t="inlineStr">
        <is>
          <t>Valid</t>
        </is>
      </c>
    </row>
    <row r="938">
      <c r="A938" t="inlineStr">
        <is>
          <t>SUP-0094</t>
        </is>
      </c>
      <c r="B938" t="inlineStr">
        <is>
          <t>Metals Supplier 094</t>
        </is>
      </c>
      <c r="C938" t="inlineStr">
        <is>
          <t>Metals</t>
        </is>
      </c>
      <c r="D938" t="n">
        <v>2021</v>
      </c>
      <c r="E938" t="n">
        <v>979155.24</v>
      </c>
      <c r="F938" t="n">
        <v>7175691</v>
      </c>
      <c r="G938" t="n">
        <v>1483.0771</v>
      </c>
      <c r="H938" t="n">
        <v>407.5887</v>
      </c>
      <c r="I938" t="n">
        <v>221.9141</v>
      </c>
      <c r="J938" t="n">
        <v>847.1215999999999</v>
      </c>
      <c r="K938" t="n">
        <v>2018</v>
      </c>
      <c r="L938" t="n">
        <v>2040</v>
      </c>
      <c r="M938" t="n">
        <v>0.3585</v>
      </c>
      <c r="N938" t="n">
        <v>0.1294</v>
      </c>
      <c r="O938" t="n">
        <v>2019</v>
      </c>
      <c r="P938" t="n">
        <v>2030</v>
      </c>
      <c r="Q938" t="n">
        <v>0.3852</v>
      </c>
      <c r="R938" t="n">
        <v>158.2904</v>
      </c>
      <c r="S938" t="n">
        <v>0.00100695</v>
      </c>
      <c r="T938" t="n">
        <v>0.00065008</v>
      </c>
      <c r="U938" t="n">
        <v>1483.0771</v>
      </c>
      <c r="V938" t="inlineStr">
        <is>
          <t>Provided Total Emissions</t>
        </is>
      </c>
      <c r="W938" t="b">
        <v>1</v>
      </c>
      <c r="X938" t="n">
        <v>985.9604</v>
      </c>
      <c r="Y938" t="n">
        <v>4664.7732</v>
      </c>
      <c r="Z938" t="n">
        <v>-497.1167</v>
      </c>
      <c r="AA938" t="n">
        <v>3181.6961</v>
      </c>
      <c r="AB938" t="n">
        <v>-0.335193</v>
      </c>
      <c r="AC938" t="n">
        <v>2.145334</v>
      </c>
      <c r="AD938" t="inlineStr">
        <is>
          <t>High</t>
        </is>
      </c>
      <c r="AE938" t="inlineStr">
        <is>
          <t>None</t>
        </is>
      </c>
      <c r="AF938" t="n">
        <v>0.95</v>
      </c>
      <c r="AG938" t="inlineStr">
        <is>
          <t>Valid</t>
        </is>
      </c>
    </row>
    <row r="939">
      <c r="A939" t="inlineStr">
        <is>
          <t>SUP-0094</t>
        </is>
      </c>
      <c r="B939" t="inlineStr">
        <is>
          <t>Metals Supplier 094</t>
        </is>
      </c>
      <c r="C939" t="inlineStr">
        <is>
          <t>Metals</t>
        </is>
      </c>
      <c r="D939" t="n">
        <v>2022</v>
      </c>
      <c r="E939" t="n">
        <v>1206215.95</v>
      </c>
      <c r="F939" t="n">
        <v>8433334.16</v>
      </c>
      <c r="G939" t="n">
        <v>1592.03</v>
      </c>
      <c r="H939" t="n">
        <v>448.254</v>
      </c>
      <c r="I939" t="n">
        <v>265.3108</v>
      </c>
      <c r="J939" t="n">
        <v>924.0183</v>
      </c>
      <c r="K939" t="n">
        <v>2018</v>
      </c>
      <c r="L939" t="n">
        <v>2040</v>
      </c>
      <c r="M939" t="n">
        <v>0.3585</v>
      </c>
      <c r="N939" t="n">
        <v>0.1294</v>
      </c>
      <c r="O939" t="n">
        <v>2019</v>
      </c>
      <c r="P939" t="n">
        <v>2030</v>
      </c>
      <c r="Q939" t="n">
        <v>0.3852</v>
      </c>
      <c r="R939" t="n">
        <v>158.2904</v>
      </c>
      <c r="S939" t="n">
        <v>0.00100695</v>
      </c>
      <c r="T939" t="n">
        <v>0.00065008</v>
      </c>
      <c r="U939" t="n">
        <v>1592.03</v>
      </c>
      <c r="V939" t="inlineStr">
        <is>
          <t>Provided Total Emissions</t>
        </is>
      </c>
      <c r="W939" t="b">
        <v>1</v>
      </c>
      <c r="X939" t="n">
        <v>1214.5992</v>
      </c>
      <c r="Y939" t="n">
        <v>5482.3419</v>
      </c>
      <c r="Z939" t="n">
        <v>-377.4308</v>
      </c>
      <c r="AA939" t="n">
        <v>3890.3119</v>
      </c>
      <c r="AB939" t="n">
        <v>-0.237075</v>
      </c>
      <c r="AC939" t="n">
        <v>2.443617</v>
      </c>
      <c r="AD939" t="inlineStr">
        <is>
          <t>High</t>
        </is>
      </c>
      <c r="AE939" t="inlineStr">
        <is>
          <t>None</t>
        </is>
      </c>
      <c r="AF939" t="n">
        <v>0.95</v>
      </c>
      <c r="AG939" t="inlineStr">
        <is>
          <t>Valid</t>
        </is>
      </c>
    </row>
    <row r="940">
      <c r="A940" t="inlineStr">
        <is>
          <t>SUP-0094</t>
        </is>
      </c>
      <c r="B940" t="inlineStr">
        <is>
          <t>Metals Supplier 094</t>
        </is>
      </c>
      <c r="C940" t="inlineStr">
        <is>
          <t>Metals</t>
        </is>
      </c>
      <c r="D940" t="n">
        <v>2023</v>
      </c>
      <c r="E940" t="n">
        <v>1005605.78</v>
      </c>
      <c r="F940" t="n">
        <v>8115824.99</v>
      </c>
      <c r="G940" t="n">
        <v>1315.6252</v>
      </c>
      <c r="H940" t="n">
        <v>326.6569</v>
      </c>
      <c r="I940" t="n">
        <v>304.3544</v>
      </c>
      <c r="J940" t="n">
        <v>715.5304</v>
      </c>
      <c r="K940" t="n">
        <v>2018</v>
      </c>
      <c r="L940" t="n">
        <v>2040</v>
      </c>
      <c r="M940" t="n">
        <v>0.3585</v>
      </c>
      <c r="N940" t="n">
        <v>0.1294</v>
      </c>
      <c r="O940" t="n">
        <v>2019</v>
      </c>
      <c r="P940" t="n">
        <v>2030</v>
      </c>
      <c r="Q940" t="n">
        <v>0.3852</v>
      </c>
      <c r="R940" t="n">
        <v>158.2904</v>
      </c>
      <c r="S940" t="n">
        <v>0.00100695</v>
      </c>
      <c r="T940" t="n">
        <v>0.00065008</v>
      </c>
      <c r="U940" t="n">
        <v>1315.6252</v>
      </c>
      <c r="V940" t="inlineStr">
        <is>
          <t>Provided Total Emissions</t>
        </is>
      </c>
      <c r="W940" t="b">
        <v>1</v>
      </c>
      <c r="X940" t="n">
        <v>1012.5947</v>
      </c>
      <c r="Y940" t="n">
        <v>5275.9355</v>
      </c>
      <c r="Z940" t="n">
        <v>-303.0305</v>
      </c>
      <c r="AA940" t="n">
        <v>3960.3103</v>
      </c>
      <c r="AB940" t="n">
        <v>-0.230332</v>
      </c>
      <c r="AC940" t="n">
        <v>3.010212</v>
      </c>
      <c r="AD940" t="inlineStr">
        <is>
          <t>High</t>
        </is>
      </c>
      <c r="AE940" t="inlineStr">
        <is>
          <t>None</t>
        </is>
      </c>
      <c r="AF940" t="n">
        <v>0.95</v>
      </c>
      <c r="AG940" t="inlineStr">
        <is>
          <t>Valid</t>
        </is>
      </c>
    </row>
    <row r="941">
      <c r="A941" t="inlineStr">
        <is>
          <t>SUP-0094</t>
        </is>
      </c>
      <c r="B941" t="inlineStr">
        <is>
          <t>Metals Supplier 094</t>
        </is>
      </c>
      <c r="C941" t="inlineStr">
        <is>
          <t>Metals</t>
        </is>
      </c>
      <c r="D941" t="n">
        <v>2024</v>
      </c>
      <c r="E941" t="n">
        <v>958604.38</v>
      </c>
      <c r="F941" t="n">
        <v>6693713.02</v>
      </c>
      <c r="G941" t="n">
        <v>1346.2844</v>
      </c>
      <c r="H941" t="n">
        <v>335.8897</v>
      </c>
      <c r="I941" t="n">
        <v>112.1387</v>
      </c>
      <c r="J941" t="n">
        <v>887.664</v>
      </c>
      <c r="K941" t="n">
        <v>2018</v>
      </c>
      <c r="L941" t="n">
        <v>2040</v>
      </c>
      <c r="M941" t="n">
        <v>0.3585</v>
      </c>
      <c r="N941" t="n">
        <v>0.1294</v>
      </c>
      <c r="O941" t="n">
        <v>2019</v>
      </c>
      <c r="P941" t="n">
        <v>2030</v>
      </c>
      <c r="Q941" t="n">
        <v>0.3852</v>
      </c>
      <c r="R941" t="n">
        <v>158.2904</v>
      </c>
      <c r="S941" t="n">
        <v>0.00100695</v>
      </c>
      <c r="T941" t="n">
        <v>0.00065008</v>
      </c>
      <c r="U941" t="n">
        <v>1346.2844</v>
      </c>
      <c r="V941" t="inlineStr">
        <is>
          <t>Provided Total Emissions</t>
        </is>
      </c>
      <c r="W941" t="b">
        <v>1</v>
      </c>
      <c r="X941" t="n">
        <v>965.2667</v>
      </c>
      <c r="Y941" t="n">
        <v>4351.449</v>
      </c>
      <c r="Z941" t="n">
        <v>-381.0177</v>
      </c>
      <c r="AA941" t="n">
        <v>3005.1646</v>
      </c>
      <c r="AB941" t="n">
        <v>-0.283014</v>
      </c>
      <c r="AC941" t="n">
        <v>2.232191</v>
      </c>
      <c r="AD941" t="inlineStr">
        <is>
          <t>High</t>
        </is>
      </c>
      <c r="AE941" t="inlineStr">
        <is>
          <t>None</t>
        </is>
      </c>
      <c r="AF941" t="n">
        <v>0.95</v>
      </c>
      <c r="AG941" t="inlineStr">
        <is>
          <t>Valid</t>
        </is>
      </c>
    </row>
    <row r="942">
      <c r="A942" t="inlineStr">
        <is>
          <t>SUP-0095</t>
        </is>
      </c>
      <c r="B942" t="inlineStr">
        <is>
          <t>Agriculture Supplier 095</t>
        </is>
      </c>
      <c r="C942" t="inlineStr">
        <is>
          <t>Agriculture</t>
        </is>
      </c>
      <c r="D942" t="n">
        <v>2015</v>
      </c>
      <c r="E942" t="n">
        <v>9334226.470000001</v>
      </c>
      <c r="F942" t="n">
        <v>60273342.81</v>
      </c>
      <c r="G942" t="n">
        <v>6697.6837</v>
      </c>
      <c r="H942" t="n">
        <v>612.7849</v>
      </c>
      <c r="I942" t="n">
        <v>592.8647</v>
      </c>
      <c r="J942" t="n">
        <v>5527.401</v>
      </c>
      <c r="K942" t="n">
        <v>2018</v>
      </c>
      <c r="L942" t="n">
        <v>2040</v>
      </c>
      <c r="M942" t="n">
        <v>0.4968</v>
      </c>
      <c r="N942" t="n">
        <v>0.2905</v>
      </c>
      <c r="O942" t="n">
        <v>2018</v>
      </c>
      <c r="P942" t="inlineStr"/>
      <c r="Q942" t="inlineStr"/>
      <c r="R942" t="n">
        <v>529.8294</v>
      </c>
      <c r="S942" t="n">
        <v>0.00091413</v>
      </c>
      <c r="T942" t="n">
        <v>0.00096913</v>
      </c>
      <c r="U942" t="n">
        <v>6697.6837</v>
      </c>
      <c r="V942" t="inlineStr">
        <is>
          <t>Provided Total Emissions</t>
        </is>
      </c>
      <c r="W942" t="b">
        <v>1</v>
      </c>
      <c r="X942" t="n">
        <v>8532.696400000001</v>
      </c>
      <c r="Y942" t="n">
        <v>58412.7047</v>
      </c>
      <c r="Z942" t="n">
        <v>1835.0127</v>
      </c>
      <c r="AA942" t="n">
        <v>51715.021</v>
      </c>
      <c r="AB942" t="n">
        <v>0.273977</v>
      </c>
      <c r="AC942" t="n">
        <v>7.721329</v>
      </c>
      <c r="AD942" t="inlineStr">
        <is>
          <t>High</t>
        </is>
      </c>
      <c r="AE942" t="inlineStr">
        <is>
          <t>None</t>
        </is>
      </c>
      <c r="AF942" t="n">
        <v>0.95</v>
      </c>
      <c r="AG942" t="inlineStr">
        <is>
          <t>Valid</t>
        </is>
      </c>
    </row>
    <row r="943">
      <c r="A943" t="inlineStr">
        <is>
          <t>SUP-0095</t>
        </is>
      </c>
      <c r="B943" t="inlineStr">
        <is>
          <t>Agriculture Supplier 095</t>
        </is>
      </c>
      <c r="C943" t="inlineStr">
        <is>
          <t>Agriculture</t>
        </is>
      </c>
      <c r="D943" t="n">
        <v>2016</v>
      </c>
      <c r="E943" t="n">
        <v>12705336.06</v>
      </c>
      <c r="F943" t="n">
        <v>60699395.46</v>
      </c>
      <c r="G943" t="n">
        <v>9037.1302</v>
      </c>
      <c r="H943" t="n">
        <v>2104.805</v>
      </c>
      <c r="I943" t="n">
        <v>666.8315</v>
      </c>
      <c r="J943" t="n">
        <v>6354.32</v>
      </c>
      <c r="K943" t="n">
        <v>2018</v>
      </c>
      <c r="L943" t="n">
        <v>2040</v>
      </c>
      <c r="M943" t="n">
        <v>0.4968</v>
      </c>
      <c r="N943" t="n">
        <v>0.2905</v>
      </c>
      <c r="O943" t="n">
        <v>2018</v>
      </c>
      <c r="P943" t="inlineStr"/>
      <c r="Q943" t="inlineStr"/>
      <c r="R943" t="n">
        <v>529.8294</v>
      </c>
      <c r="S943" t="n">
        <v>0.00091413</v>
      </c>
      <c r="T943" t="n">
        <v>0.00096913</v>
      </c>
      <c r="U943" t="n">
        <v>9037.1302</v>
      </c>
      <c r="V943" t="inlineStr">
        <is>
          <t>Provided Total Emissions</t>
        </is>
      </c>
      <c r="W943" t="b">
        <v>1</v>
      </c>
      <c r="X943" t="n">
        <v>11614.3289</v>
      </c>
      <c r="Y943" t="n">
        <v>58825.6051</v>
      </c>
      <c r="Z943" t="n">
        <v>2577.1987</v>
      </c>
      <c r="AA943" t="n">
        <v>49788.4749</v>
      </c>
      <c r="AB943" t="n">
        <v>0.285179</v>
      </c>
      <c r="AC943" t="n">
        <v>5.509324</v>
      </c>
      <c r="AD943" t="inlineStr">
        <is>
          <t>High</t>
        </is>
      </c>
      <c r="AE943" t="inlineStr">
        <is>
          <t>None</t>
        </is>
      </c>
      <c r="AF943" t="n">
        <v>0.95</v>
      </c>
      <c r="AG943" t="inlineStr">
        <is>
          <t>Valid</t>
        </is>
      </c>
    </row>
    <row r="944">
      <c r="A944" t="inlineStr">
        <is>
          <t>SUP-0095</t>
        </is>
      </c>
      <c r="B944" t="inlineStr">
        <is>
          <t>Agriculture Supplier 095</t>
        </is>
      </c>
      <c r="C944" t="inlineStr">
        <is>
          <t>Agriculture</t>
        </is>
      </c>
      <c r="D944" t="n">
        <v>2017</v>
      </c>
      <c r="E944" t="n">
        <v>11781111.26</v>
      </c>
      <c r="F944" t="n">
        <v>53519775.17</v>
      </c>
      <c r="G944" t="n">
        <v>7752.0249</v>
      </c>
      <c r="H944" t="n">
        <v>1913.5267</v>
      </c>
      <c r="I944" t="n">
        <v>1044.4467</v>
      </c>
      <c r="J944" t="n">
        <v>4865.0835</v>
      </c>
      <c r="K944" t="n">
        <v>2018</v>
      </c>
      <c r="L944" t="n">
        <v>2040</v>
      </c>
      <c r="M944" t="n">
        <v>0.4968</v>
      </c>
      <c r="N944" t="n">
        <v>0.2905</v>
      </c>
      <c r="O944" t="n">
        <v>2018</v>
      </c>
      <c r="P944" t="inlineStr"/>
      <c r="Q944" t="inlineStr"/>
      <c r="R944" t="n">
        <v>529.8294</v>
      </c>
      <c r="S944" t="n">
        <v>0.00091413</v>
      </c>
      <c r="T944" t="n">
        <v>0.00096913</v>
      </c>
      <c r="U944" t="n">
        <v>7752.0249</v>
      </c>
      <c r="V944" t="inlineStr">
        <is>
          <t>Provided Total Emissions</t>
        </is>
      </c>
      <c r="W944" t="b">
        <v>1</v>
      </c>
      <c r="X944" t="n">
        <v>10769.4672</v>
      </c>
      <c r="Y944" t="n">
        <v>51867.6197</v>
      </c>
      <c r="Z944" t="n">
        <v>3017.4423</v>
      </c>
      <c r="AA944" t="n">
        <v>44115.5948</v>
      </c>
      <c r="AB944" t="n">
        <v>0.389246</v>
      </c>
      <c r="AC944" t="n">
        <v>5.690848</v>
      </c>
      <c r="AD944" t="inlineStr">
        <is>
          <t>High</t>
        </is>
      </c>
      <c r="AE944" t="inlineStr">
        <is>
          <t>None</t>
        </is>
      </c>
      <c r="AF944" t="n">
        <v>0.95</v>
      </c>
      <c r="AG944" t="inlineStr">
        <is>
          <t>Valid</t>
        </is>
      </c>
    </row>
    <row r="945">
      <c r="A945" t="inlineStr">
        <is>
          <t>SUP-0095</t>
        </is>
      </c>
      <c r="B945" t="inlineStr">
        <is>
          <t>Agriculture Supplier 095</t>
        </is>
      </c>
      <c r="C945" t="inlineStr">
        <is>
          <t>Agriculture</t>
        </is>
      </c>
      <c r="D945" t="n">
        <v>2018</v>
      </c>
      <c r="E945" t="n">
        <v>14223681.76</v>
      </c>
      <c r="F945" t="n">
        <v>64108697.24</v>
      </c>
      <c r="G945" t="n">
        <v>8592.3112</v>
      </c>
      <c r="H945" t="n">
        <v>2052.1908</v>
      </c>
      <c r="I945" t="n">
        <v>1499.442</v>
      </c>
      <c r="J945" t="n">
        <v>4636.3459</v>
      </c>
      <c r="K945" t="n">
        <v>2018</v>
      </c>
      <c r="L945" t="n">
        <v>2040</v>
      </c>
      <c r="M945" t="n">
        <v>0.4968</v>
      </c>
      <c r="N945" t="n">
        <v>0.2905</v>
      </c>
      <c r="O945" t="n">
        <v>2018</v>
      </c>
      <c r="P945" t="inlineStr"/>
      <c r="Q945" t="inlineStr"/>
      <c r="R945" t="n">
        <v>529.8294</v>
      </c>
      <c r="S945" t="n">
        <v>0.00091413</v>
      </c>
      <c r="T945" t="n">
        <v>0.00096913</v>
      </c>
      <c r="U945" t="n">
        <v>8592.3112</v>
      </c>
      <c r="V945" t="inlineStr">
        <is>
          <t>Provided Total Emissions</t>
        </is>
      </c>
      <c r="W945" t="b">
        <v>1</v>
      </c>
      <c r="X945" t="n">
        <v>13002.2942</v>
      </c>
      <c r="Y945" t="n">
        <v>62129.6618</v>
      </c>
      <c r="Z945" t="n">
        <v>4409.983</v>
      </c>
      <c r="AA945" t="n">
        <v>53537.3506</v>
      </c>
      <c r="AB945" t="n">
        <v>0.513248</v>
      </c>
      <c r="AC945" t="n">
        <v>6.230844</v>
      </c>
      <c r="AD945" t="inlineStr">
        <is>
          <t>High</t>
        </is>
      </c>
      <c r="AE945" t="inlineStr">
        <is>
          <t>None</t>
        </is>
      </c>
      <c r="AF945" t="n">
        <v>0.95</v>
      </c>
      <c r="AG945" t="inlineStr">
        <is>
          <t>Valid</t>
        </is>
      </c>
    </row>
    <row r="946">
      <c r="A946" t="inlineStr">
        <is>
          <t>SUP-0095</t>
        </is>
      </c>
      <c r="B946" t="inlineStr">
        <is>
          <t>Agriculture Supplier 095</t>
        </is>
      </c>
      <c r="C946" t="inlineStr">
        <is>
          <t>Agriculture</t>
        </is>
      </c>
      <c r="D946" t="n">
        <v>2019</v>
      </c>
      <c r="E946" t="n">
        <v>15356761.9</v>
      </c>
      <c r="F946" t="n">
        <v>74165268.06</v>
      </c>
      <c r="G946" t="n">
        <v>9193.855</v>
      </c>
      <c r="H946" t="n">
        <v>1954.5482</v>
      </c>
      <c r="I946" t="n">
        <v>1859.7306</v>
      </c>
      <c r="J946" t="n">
        <v>5340.8464</v>
      </c>
      <c r="K946" t="n">
        <v>2018</v>
      </c>
      <c r="L946" t="n">
        <v>2040</v>
      </c>
      <c r="M946" t="n">
        <v>0.4968</v>
      </c>
      <c r="N946" t="n">
        <v>0.2905</v>
      </c>
      <c r="O946" t="n">
        <v>2018</v>
      </c>
      <c r="P946" t="inlineStr"/>
      <c r="Q946" t="inlineStr"/>
      <c r="R946" t="n">
        <v>529.8294</v>
      </c>
      <c r="S946" t="n">
        <v>0.00091413</v>
      </c>
      <c r="T946" t="n">
        <v>0.00096913</v>
      </c>
      <c r="U946" t="n">
        <v>9193.855</v>
      </c>
      <c r="V946" t="inlineStr">
        <is>
          <t>Provided Total Emissions</t>
        </is>
      </c>
      <c r="W946" t="b">
        <v>1</v>
      </c>
      <c r="X946" t="n">
        <v>14038.0768</v>
      </c>
      <c r="Y946" t="n">
        <v>71875.7862</v>
      </c>
      <c r="Z946" t="n">
        <v>4844.2218</v>
      </c>
      <c r="AA946" t="n">
        <v>62681.9312</v>
      </c>
      <c r="AB946" t="n">
        <v>0.526898</v>
      </c>
      <c r="AC946" t="n">
        <v>6.817807</v>
      </c>
      <c r="AD946" t="inlineStr">
        <is>
          <t>High</t>
        </is>
      </c>
      <c r="AE946" t="inlineStr">
        <is>
          <t>None</t>
        </is>
      </c>
      <c r="AF946" t="n">
        <v>0.95</v>
      </c>
      <c r="AG946" t="inlineStr">
        <is>
          <t>Valid</t>
        </is>
      </c>
    </row>
    <row r="947">
      <c r="A947" t="inlineStr">
        <is>
          <t>SUP-0095</t>
        </is>
      </c>
      <c r="B947" t="inlineStr">
        <is>
          <t>Agriculture Supplier 095</t>
        </is>
      </c>
      <c r="C947" t="inlineStr">
        <is>
          <t>Agriculture</t>
        </is>
      </c>
      <c r="D947" t="n">
        <v>2020</v>
      </c>
      <c r="E947" t="n">
        <v>14832117.21</v>
      </c>
      <c r="F947" t="n">
        <v>68023118.45</v>
      </c>
      <c r="G947" t="n">
        <v>7590.6999</v>
      </c>
      <c r="H947" t="n">
        <v>1559.4391</v>
      </c>
      <c r="I947" t="n">
        <v>693.5438</v>
      </c>
      <c r="J947" t="n">
        <v>5709.848</v>
      </c>
      <c r="K947" t="n">
        <v>2018</v>
      </c>
      <c r="L947" t="n">
        <v>2040</v>
      </c>
      <c r="M947" t="n">
        <v>0.4968</v>
      </c>
      <c r="N947" t="n">
        <v>0.2905</v>
      </c>
      <c r="O947" t="n">
        <v>2018</v>
      </c>
      <c r="P947" t="inlineStr"/>
      <c r="Q947" t="inlineStr"/>
      <c r="R947" t="n">
        <v>529.8294</v>
      </c>
      <c r="S947" t="n">
        <v>0.00091413</v>
      </c>
      <c r="T947" t="n">
        <v>0.00096913</v>
      </c>
      <c r="U947" t="n">
        <v>7590.6999</v>
      </c>
      <c r="V947" t="inlineStr">
        <is>
          <t>Provided Total Emissions</t>
        </is>
      </c>
      <c r="W947" t="b">
        <v>1</v>
      </c>
      <c r="X947" t="n">
        <v>13558.4833</v>
      </c>
      <c r="Y947" t="n">
        <v>65923.2448</v>
      </c>
      <c r="Z947" t="n">
        <v>5967.7834</v>
      </c>
      <c r="AA947" t="n">
        <v>58332.5449</v>
      </c>
      <c r="AB947" t="n">
        <v>0.786197</v>
      </c>
      <c r="AC947" t="n">
        <v>7.684739</v>
      </c>
      <c r="AD947" t="inlineStr">
        <is>
          <t>High</t>
        </is>
      </c>
      <c r="AE947" t="inlineStr">
        <is>
          <t>None</t>
        </is>
      </c>
      <c r="AF947" t="n">
        <v>0.95</v>
      </c>
      <c r="AG947" t="inlineStr">
        <is>
          <t>Valid</t>
        </is>
      </c>
    </row>
    <row r="948">
      <c r="A948" t="inlineStr">
        <is>
          <t>SUP-0095</t>
        </is>
      </c>
      <c r="B948" t="inlineStr">
        <is>
          <t>Agriculture Supplier 095</t>
        </is>
      </c>
      <c r="C948" t="inlineStr">
        <is>
          <t>Agriculture</t>
        </is>
      </c>
      <c r="D948" t="n">
        <v>2021</v>
      </c>
      <c r="E948" t="n">
        <v>15078892.58</v>
      </c>
      <c r="F948" t="n">
        <v>93537571.83</v>
      </c>
      <c r="G948" t="n">
        <v>7723.3408</v>
      </c>
      <c r="H948" t="n">
        <v>1946.5401</v>
      </c>
      <c r="I948" t="n">
        <v>1068.144</v>
      </c>
      <c r="J948" t="n">
        <v>4832.7716</v>
      </c>
      <c r="K948" t="n">
        <v>2018</v>
      </c>
      <c r="L948" t="n">
        <v>2040</v>
      </c>
      <c r="M948" t="n">
        <v>0.4968</v>
      </c>
      <c r="N948" t="n">
        <v>0.2905</v>
      </c>
      <c r="O948" t="n">
        <v>2018</v>
      </c>
      <c r="P948" t="inlineStr"/>
      <c r="Q948" t="inlineStr"/>
      <c r="R948" t="n">
        <v>529.8294</v>
      </c>
      <c r="S948" t="n">
        <v>0.00091413</v>
      </c>
      <c r="T948" t="n">
        <v>0.00096913</v>
      </c>
      <c r="U948" t="n">
        <v>7723.3408</v>
      </c>
      <c r="V948" t="inlineStr">
        <is>
          <t>Provided Total Emissions</t>
        </is>
      </c>
      <c r="W948" t="b">
        <v>1</v>
      </c>
      <c r="X948" t="n">
        <v>13784.0681</v>
      </c>
      <c r="Y948" t="n">
        <v>90650.067</v>
      </c>
      <c r="Z948" t="n">
        <v>6060.7273</v>
      </c>
      <c r="AA948" t="n">
        <v>82926.7262</v>
      </c>
      <c r="AB948" t="n">
        <v>0.784729</v>
      </c>
      <c r="AC948" t="n">
        <v>10.737157</v>
      </c>
      <c r="AD948" t="inlineStr">
        <is>
          <t>High</t>
        </is>
      </c>
      <c r="AE948" t="inlineStr">
        <is>
          <t>None</t>
        </is>
      </c>
      <c r="AF948" t="n">
        <v>0.95</v>
      </c>
      <c r="AG948" t="inlineStr">
        <is>
          <t>Valid</t>
        </is>
      </c>
    </row>
    <row r="949">
      <c r="A949" t="inlineStr">
        <is>
          <t>SUP-0095</t>
        </is>
      </c>
      <c r="B949" t="inlineStr">
        <is>
          <t>Agriculture Supplier 095</t>
        </is>
      </c>
      <c r="C949" t="inlineStr">
        <is>
          <t>Agriculture</t>
        </is>
      </c>
      <c r="D949" t="n">
        <v>2022</v>
      </c>
      <c r="E949" t="n">
        <v>18456733.94</v>
      </c>
      <c r="F949" t="n">
        <v>83693085.72</v>
      </c>
      <c r="G949" t="n">
        <v>8931.9566</v>
      </c>
      <c r="H949" t="n">
        <v>1401.0016</v>
      </c>
      <c r="I949" t="n">
        <v>1939.1802</v>
      </c>
      <c r="J949" t="n">
        <v>5649.2496</v>
      </c>
      <c r="K949" t="n">
        <v>2018</v>
      </c>
      <c r="L949" t="n">
        <v>2040</v>
      </c>
      <c r="M949" t="n">
        <v>0.4968</v>
      </c>
      <c r="N949" t="n">
        <v>0.2905</v>
      </c>
      <c r="O949" t="n">
        <v>2018</v>
      </c>
      <c r="P949" t="inlineStr"/>
      <c r="Q949" t="inlineStr"/>
      <c r="R949" t="n">
        <v>529.8294</v>
      </c>
      <c r="S949" t="n">
        <v>0.00091413</v>
      </c>
      <c r="T949" t="n">
        <v>0.00096913</v>
      </c>
      <c r="U949" t="n">
        <v>8931.9566</v>
      </c>
      <c r="V949" t="inlineStr">
        <is>
          <t>Provided Total Emissions</t>
        </is>
      </c>
      <c r="W949" t="b">
        <v>1</v>
      </c>
      <c r="X949" t="n">
        <v>16871.8542</v>
      </c>
      <c r="Y949" t="n">
        <v>81109.48020000001</v>
      </c>
      <c r="Z949" t="n">
        <v>7939.8976</v>
      </c>
      <c r="AA949" t="n">
        <v>72177.5236</v>
      </c>
      <c r="AB949" t="n">
        <v>0.8889320000000001</v>
      </c>
      <c r="AC949" t="n">
        <v>8.080819</v>
      </c>
      <c r="AD949" t="inlineStr">
        <is>
          <t>High</t>
        </is>
      </c>
      <c r="AE949" t="inlineStr">
        <is>
          <t>None</t>
        </is>
      </c>
      <c r="AF949" t="n">
        <v>0.95</v>
      </c>
      <c r="AG949" t="inlineStr">
        <is>
          <t>Valid</t>
        </is>
      </c>
    </row>
    <row r="950">
      <c r="A950" t="inlineStr">
        <is>
          <t>SUP-0095</t>
        </is>
      </c>
      <c r="B950" t="inlineStr">
        <is>
          <t>Agriculture Supplier 095</t>
        </is>
      </c>
      <c r="C950" t="inlineStr">
        <is>
          <t>Agriculture</t>
        </is>
      </c>
      <c r="D950" t="n">
        <v>2023</v>
      </c>
      <c r="E950" t="n">
        <v>20475689.95</v>
      </c>
      <c r="F950" t="n">
        <v>64575317.07</v>
      </c>
      <c r="G950" t="n">
        <v>9648.263199999999</v>
      </c>
      <c r="H950" t="n">
        <v>1062.6615</v>
      </c>
      <c r="I950" t="n">
        <v>1075.1856</v>
      </c>
      <c r="J950" t="n">
        <v>7613.2875</v>
      </c>
      <c r="K950" t="n">
        <v>2018</v>
      </c>
      <c r="L950" t="n">
        <v>2040</v>
      </c>
      <c r="M950" t="n">
        <v>0.4968</v>
      </c>
      <c r="N950" t="n">
        <v>0.2905</v>
      </c>
      <c r="O950" t="n">
        <v>2018</v>
      </c>
      <c r="P950" t="inlineStr"/>
      <c r="Q950" t="inlineStr"/>
      <c r="R950" t="n">
        <v>529.8294</v>
      </c>
      <c r="S950" t="n">
        <v>0.00091413</v>
      </c>
      <c r="T950" t="n">
        <v>0.00096913</v>
      </c>
      <c r="U950" t="n">
        <v>9648.263199999999</v>
      </c>
      <c r="V950" t="inlineStr">
        <is>
          <t>Provided Total Emissions</t>
        </is>
      </c>
      <c r="W950" t="b">
        <v>1</v>
      </c>
      <c r="X950" t="n">
        <v>18717.4425</v>
      </c>
      <c r="Y950" t="n">
        <v>62581.877</v>
      </c>
      <c r="Z950" t="n">
        <v>9069.1793</v>
      </c>
      <c r="AA950" t="n">
        <v>52933.6138</v>
      </c>
      <c r="AB950" t="n">
        <v>0.93998</v>
      </c>
      <c r="AC950" t="n">
        <v>5.486336</v>
      </c>
      <c r="AD950" t="inlineStr">
        <is>
          <t>High</t>
        </is>
      </c>
      <c r="AE950" t="inlineStr">
        <is>
          <t>None</t>
        </is>
      </c>
      <c r="AF950" t="n">
        <v>0.95</v>
      </c>
      <c r="AG950" t="inlineStr">
        <is>
          <t>Valid</t>
        </is>
      </c>
    </row>
    <row r="951">
      <c r="A951" t="inlineStr">
        <is>
          <t>SUP-0095</t>
        </is>
      </c>
      <c r="B951" t="inlineStr">
        <is>
          <t>Agriculture Supplier 095</t>
        </is>
      </c>
      <c r="C951" t="inlineStr">
        <is>
          <t>Agriculture</t>
        </is>
      </c>
      <c r="D951" t="n">
        <v>2024</v>
      </c>
      <c r="E951" t="n">
        <v>20340938.88</v>
      </c>
      <c r="F951" t="n">
        <v>109469999.08</v>
      </c>
      <c r="G951" t="n">
        <v>7950.7444</v>
      </c>
      <c r="H951" t="n">
        <v>2011.7181</v>
      </c>
      <c r="I951" t="n">
        <v>677.3013999999999</v>
      </c>
      <c r="J951" t="n">
        <v>4842.7849</v>
      </c>
      <c r="K951" t="n">
        <v>2018</v>
      </c>
      <c r="L951" t="n">
        <v>2040</v>
      </c>
      <c r="M951" t="n">
        <v>0.4968</v>
      </c>
      <c r="N951" t="n">
        <v>0.2905</v>
      </c>
      <c r="O951" t="n">
        <v>2018</v>
      </c>
      <c r="P951" t="inlineStr"/>
      <c r="Q951" t="inlineStr"/>
      <c r="R951" t="n">
        <v>529.8294</v>
      </c>
      <c r="S951" t="n">
        <v>0.00091413</v>
      </c>
      <c r="T951" t="n">
        <v>0.00096913</v>
      </c>
      <c r="U951" t="n">
        <v>7950.7444</v>
      </c>
      <c r="V951" t="inlineStr">
        <is>
          <t>Provided Total Emissions</t>
        </is>
      </c>
      <c r="W951" t="b">
        <v>1</v>
      </c>
      <c r="X951" t="n">
        <v>18594.2625</v>
      </c>
      <c r="Y951" t="n">
        <v>106090.6602</v>
      </c>
      <c r="Z951" t="n">
        <v>10643.5181</v>
      </c>
      <c r="AA951" t="n">
        <v>98139.9158</v>
      </c>
      <c r="AB951" t="n">
        <v>1.338682</v>
      </c>
      <c r="AC951" t="n">
        <v>12.343488</v>
      </c>
      <c r="AD951" t="inlineStr">
        <is>
          <t>High</t>
        </is>
      </c>
      <c r="AE951" t="inlineStr">
        <is>
          <t>None</t>
        </is>
      </c>
      <c r="AF951" t="n">
        <v>0.95</v>
      </c>
      <c r="AG951" t="inlineStr">
        <is>
          <t>Valid</t>
        </is>
      </c>
    </row>
    <row r="952">
      <c r="A952" t="inlineStr">
        <is>
          <t>SUP-0096</t>
        </is>
      </c>
      <c r="B952" t="inlineStr">
        <is>
          <t>Agriculture Supplier 096</t>
        </is>
      </c>
      <c r="C952" t="inlineStr">
        <is>
          <t>Agriculture</t>
        </is>
      </c>
      <c r="D952" t="n">
        <v>2015</v>
      </c>
      <c r="E952" t="n">
        <v>6822537.09</v>
      </c>
      <c r="F952" t="n">
        <v>22575394.4</v>
      </c>
      <c r="G952" t="n">
        <v>6586.4424</v>
      </c>
      <c r="H952" t="n">
        <v>738.0848999999999</v>
      </c>
      <c r="I952" t="n">
        <v>738.0645</v>
      </c>
      <c r="J952" t="n">
        <v>5373.5256</v>
      </c>
      <c r="K952" t="n">
        <v>2021</v>
      </c>
      <c r="L952" t="n">
        <v>2040</v>
      </c>
      <c r="M952" t="n">
        <v>0.619</v>
      </c>
      <c r="N952" t="n">
        <v>0.2241</v>
      </c>
      <c r="O952" t="n">
        <v>2018</v>
      </c>
      <c r="P952" t="inlineStr"/>
      <c r="Q952" t="inlineStr"/>
      <c r="R952" t="n">
        <v>529.8294</v>
      </c>
      <c r="S952" t="n">
        <v>0.00091413</v>
      </c>
      <c r="T952" t="n">
        <v>0.00096913</v>
      </c>
      <c r="U952" t="n">
        <v>6586.4424</v>
      </c>
      <c r="V952" t="inlineStr">
        <is>
          <t>Provided Total Emissions</t>
        </is>
      </c>
      <c r="W952" t="b">
        <v>1</v>
      </c>
      <c r="X952" t="n">
        <v>6236.6858</v>
      </c>
      <c r="Y952" t="n">
        <v>21878.492</v>
      </c>
      <c r="Z952" t="n">
        <v>-349.7566</v>
      </c>
      <c r="AA952" t="n">
        <v>15292.0496</v>
      </c>
      <c r="AB952" t="n">
        <v>-0.053103</v>
      </c>
      <c r="AC952" t="n">
        <v>2.321746</v>
      </c>
      <c r="AD952" t="inlineStr">
        <is>
          <t>High</t>
        </is>
      </c>
      <c r="AE952" t="inlineStr">
        <is>
          <t>None</t>
        </is>
      </c>
      <c r="AF952" t="n">
        <v>0.95</v>
      </c>
      <c r="AG952" t="inlineStr">
        <is>
          <t>Valid</t>
        </is>
      </c>
    </row>
    <row r="953">
      <c r="A953" t="inlineStr">
        <is>
          <t>SUP-0096</t>
        </is>
      </c>
      <c r="B953" t="inlineStr">
        <is>
          <t>Agriculture Supplier 096</t>
        </is>
      </c>
      <c r="C953" t="inlineStr">
        <is>
          <t>Agriculture</t>
        </is>
      </c>
      <c r="D953" t="n">
        <v>2016</v>
      </c>
      <c r="E953" t="n">
        <v>6600491.22</v>
      </c>
      <c r="F953" t="n">
        <v>24111414.13</v>
      </c>
      <c r="G953" t="n">
        <v>6381.8432</v>
      </c>
      <c r="H953" t="n">
        <v>1513.0369</v>
      </c>
      <c r="I953" t="n">
        <v>540.2131000000001</v>
      </c>
      <c r="J953" t="n">
        <v>4681.6269</v>
      </c>
      <c r="K953" t="n">
        <v>2021</v>
      </c>
      <c r="L953" t="n">
        <v>2040</v>
      </c>
      <c r="M953" t="n">
        <v>0.619</v>
      </c>
      <c r="N953" t="n">
        <v>0.2241</v>
      </c>
      <c r="O953" t="n">
        <v>2018</v>
      </c>
      <c r="P953" t="inlineStr"/>
      <c r="Q953" t="inlineStr"/>
      <c r="R953" t="n">
        <v>529.8294</v>
      </c>
      <c r="S953" t="n">
        <v>0.00091413</v>
      </c>
      <c r="T953" t="n">
        <v>0.00096913</v>
      </c>
      <c r="U953" t="n">
        <v>6381.8432</v>
      </c>
      <c r="V953" t="inlineStr">
        <is>
          <t>Provided Total Emissions</t>
        </is>
      </c>
      <c r="W953" t="b">
        <v>1</v>
      </c>
      <c r="X953" t="n">
        <v>6033.707</v>
      </c>
      <c r="Y953" t="n">
        <v>23367.0948</v>
      </c>
      <c r="Z953" t="n">
        <v>-348.1362</v>
      </c>
      <c r="AA953" t="n">
        <v>16985.2516</v>
      </c>
      <c r="AB953" t="n">
        <v>-0.054551</v>
      </c>
      <c r="AC953" t="n">
        <v>2.661496</v>
      </c>
      <c r="AD953" t="inlineStr">
        <is>
          <t>High</t>
        </is>
      </c>
      <c r="AE953" t="inlineStr">
        <is>
          <t>None</t>
        </is>
      </c>
      <c r="AF953" t="n">
        <v>0.95</v>
      </c>
      <c r="AG953" t="inlineStr">
        <is>
          <t>Valid</t>
        </is>
      </c>
    </row>
    <row r="954">
      <c r="A954" t="inlineStr">
        <is>
          <t>SUP-0096</t>
        </is>
      </c>
      <c r="B954" t="inlineStr">
        <is>
          <t>Agriculture Supplier 096</t>
        </is>
      </c>
      <c r="C954" t="inlineStr">
        <is>
          <t>Agriculture</t>
        </is>
      </c>
      <c r="D954" t="n">
        <v>2017</v>
      </c>
      <c r="E954" t="n">
        <v>8827197.26</v>
      </c>
      <c r="F954" t="n">
        <v>24141246.05</v>
      </c>
      <c r="G954" t="n">
        <v>6620.1503</v>
      </c>
      <c r="H954" t="n">
        <v>732.1153</v>
      </c>
      <c r="I954" t="n">
        <v>678.9549</v>
      </c>
      <c r="J954" t="n">
        <v>4873.4746</v>
      </c>
      <c r="K954" t="n">
        <v>2021</v>
      </c>
      <c r="L954" t="n">
        <v>2040</v>
      </c>
      <c r="M954" t="n">
        <v>0.619</v>
      </c>
      <c r="N954" t="n">
        <v>0.2241</v>
      </c>
      <c r="O954" t="n">
        <v>2018</v>
      </c>
      <c r="P954" t="inlineStr"/>
      <c r="Q954" t="inlineStr"/>
      <c r="R954" t="n">
        <v>529.8294</v>
      </c>
      <c r="S954" t="n">
        <v>0.00091413</v>
      </c>
      <c r="T954" t="n">
        <v>0.00096913</v>
      </c>
      <c r="U954" t="n">
        <v>6620.1503</v>
      </c>
      <c r="V954" t="inlineStr">
        <is>
          <t>Provided Total Emissions</t>
        </is>
      </c>
      <c r="W954" t="b">
        <v>1</v>
      </c>
      <c r="X954" t="n">
        <v>8069.2058</v>
      </c>
      <c r="Y954" t="n">
        <v>23396.0058</v>
      </c>
      <c r="Z954" t="n">
        <v>1449.0555</v>
      </c>
      <c r="AA954" t="n">
        <v>16775.8555</v>
      </c>
      <c r="AB954" t="n">
        <v>0.218886</v>
      </c>
      <c r="AC954" t="n">
        <v>2.53406</v>
      </c>
      <c r="AD954" t="inlineStr">
        <is>
          <t>High</t>
        </is>
      </c>
      <c r="AE954" t="inlineStr">
        <is>
          <t>None</t>
        </is>
      </c>
      <c r="AF954" t="n">
        <v>0.95</v>
      </c>
      <c r="AG954" t="inlineStr">
        <is>
          <t>Valid</t>
        </is>
      </c>
    </row>
    <row r="955">
      <c r="A955" t="inlineStr">
        <is>
          <t>SUP-0096</t>
        </is>
      </c>
      <c r="B955" t="inlineStr">
        <is>
          <t>Agriculture Supplier 096</t>
        </is>
      </c>
      <c r="C955" t="inlineStr">
        <is>
          <t>Agriculture</t>
        </is>
      </c>
      <c r="D955" t="n">
        <v>2018</v>
      </c>
      <c r="E955" t="n">
        <v>9608723.949999999</v>
      </c>
      <c r="F955" t="n">
        <v>26017656.56</v>
      </c>
      <c r="G955" t="n">
        <v>7103.229</v>
      </c>
      <c r="H955" t="n">
        <v>863.8228</v>
      </c>
      <c r="I955" t="n">
        <v>1365.2203</v>
      </c>
      <c r="J955" t="n">
        <v>4459.1969</v>
      </c>
      <c r="K955" t="n">
        <v>2021</v>
      </c>
      <c r="L955" t="n">
        <v>2040</v>
      </c>
      <c r="M955" t="n">
        <v>0.619</v>
      </c>
      <c r="N955" t="n">
        <v>0.2241</v>
      </c>
      <c r="O955" t="n">
        <v>2018</v>
      </c>
      <c r="P955" t="inlineStr"/>
      <c r="Q955" t="inlineStr"/>
      <c r="R955" t="n">
        <v>529.8294</v>
      </c>
      <c r="S955" t="n">
        <v>0.00091413</v>
      </c>
      <c r="T955" t="n">
        <v>0.00096913</v>
      </c>
      <c r="U955" t="n">
        <v>7103.229</v>
      </c>
      <c r="V955" t="inlineStr">
        <is>
          <t>Provided Total Emissions</t>
        </is>
      </c>
      <c r="W955" t="b">
        <v>1</v>
      </c>
      <c r="X955" t="n">
        <v>8783.622799999999</v>
      </c>
      <c r="Y955" t="n">
        <v>25214.4915</v>
      </c>
      <c r="Z955" t="n">
        <v>1680.3938</v>
      </c>
      <c r="AA955" t="n">
        <v>18111.2625</v>
      </c>
      <c r="AB955" t="n">
        <v>0.236568</v>
      </c>
      <c r="AC955" t="n">
        <v>2.549722</v>
      </c>
      <c r="AD955" t="inlineStr">
        <is>
          <t>High</t>
        </is>
      </c>
      <c r="AE955" t="inlineStr">
        <is>
          <t>None</t>
        </is>
      </c>
      <c r="AF955" t="n">
        <v>0.95</v>
      </c>
      <c r="AG955" t="inlineStr">
        <is>
          <t>Valid</t>
        </is>
      </c>
    </row>
    <row r="956">
      <c r="A956" t="inlineStr">
        <is>
          <t>SUP-0096</t>
        </is>
      </c>
      <c r="B956" t="inlineStr">
        <is>
          <t>Agriculture Supplier 096</t>
        </is>
      </c>
      <c r="C956" t="inlineStr">
        <is>
          <t>Agriculture</t>
        </is>
      </c>
      <c r="D956" t="n">
        <v>2019</v>
      </c>
      <c r="E956" t="n">
        <v>10262556.65</v>
      </c>
      <c r="F956" t="n">
        <v>20757427.39</v>
      </c>
      <c r="G956" t="n">
        <v>7120.6758</v>
      </c>
      <c r="H956" t="n">
        <v>940.9936</v>
      </c>
      <c r="I956" t="n">
        <v>873.7059</v>
      </c>
      <c r="J956" t="n">
        <v>5675.035</v>
      </c>
      <c r="K956" t="n">
        <v>2021</v>
      </c>
      <c r="L956" t="n">
        <v>2040</v>
      </c>
      <c r="M956" t="n">
        <v>0.619</v>
      </c>
      <c r="N956" t="n">
        <v>0.2241</v>
      </c>
      <c r="O956" t="n">
        <v>2018</v>
      </c>
      <c r="P956" t="inlineStr"/>
      <c r="Q956" t="inlineStr"/>
      <c r="R956" t="n">
        <v>529.8294</v>
      </c>
      <c r="S956" t="n">
        <v>0.00091413</v>
      </c>
      <c r="T956" t="n">
        <v>0.00096913</v>
      </c>
      <c r="U956" t="n">
        <v>7120.6758</v>
      </c>
      <c r="V956" t="inlineStr">
        <is>
          <t>Provided Total Emissions</t>
        </is>
      </c>
      <c r="W956" t="b">
        <v>1</v>
      </c>
      <c r="X956" t="n">
        <v>9381.3109</v>
      </c>
      <c r="Y956" t="n">
        <v>20116.6456</v>
      </c>
      <c r="Z956" t="n">
        <v>2260.6351</v>
      </c>
      <c r="AA956" t="n">
        <v>12995.9698</v>
      </c>
      <c r="AB956" t="n">
        <v>0.317475</v>
      </c>
      <c r="AC956" t="n">
        <v>1.825103</v>
      </c>
      <c r="AD956" t="inlineStr">
        <is>
          <t>High</t>
        </is>
      </c>
      <c r="AE956" t="inlineStr">
        <is>
          <t>None</t>
        </is>
      </c>
      <c r="AF956" t="n">
        <v>0.95</v>
      </c>
      <c r="AG956" t="inlineStr">
        <is>
          <t>Valid</t>
        </is>
      </c>
    </row>
    <row r="957">
      <c r="A957" t="inlineStr">
        <is>
          <t>SUP-0096</t>
        </is>
      </c>
      <c r="B957" t="inlineStr">
        <is>
          <t>Agriculture Supplier 096</t>
        </is>
      </c>
      <c r="C957" t="inlineStr">
        <is>
          <t>Agriculture</t>
        </is>
      </c>
      <c r="D957" t="n">
        <v>2020</v>
      </c>
      <c r="E957" t="n">
        <v>10387861.78</v>
      </c>
      <c r="F957" t="n">
        <v>25118195.36</v>
      </c>
      <c r="G957" t="n">
        <v>7430.0338</v>
      </c>
      <c r="H957" t="n">
        <v>1450.7566</v>
      </c>
      <c r="I957" t="n">
        <v>935.4142000000001</v>
      </c>
      <c r="J957" t="n">
        <v>4901.4448</v>
      </c>
      <c r="K957" t="n">
        <v>2021</v>
      </c>
      <c r="L957" t="n">
        <v>2040</v>
      </c>
      <c r="M957" t="n">
        <v>0.619</v>
      </c>
      <c r="N957" t="n">
        <v>0.2241</v>
      </c>
      <c r="O957" t="n">
        <v>2018</v>
      </c>
      <c r="P957" t="inlineStr"/>
      <c r="Q957" t="inlineStr"/>
      <c r="R957" t="n">
        <v>529.8294</v>
      </c>
      <c r="S957" t="n">
        <v>0.00091413</v>
      </c>
      <c r="T957" t="n">
        <v>0.00096913</v>
      </c>
      <c r="U957" t="n">
        <v>7430.0338</v>
      </c>
      <c r="V957" t="inlineStr">
        <is>
          <t>Provided Total Emissions</t>
        </is>
      </c>
      <c r="W957" t="b">
        <v>1</v>
      </c>
      <c r="X957" t="n">
        <v>9495.856100000001</v>
      </c>
      <c r="Y957" t="n">
        <v>24342.7967</v>
      </c>
      <c r="Z957" t="n">
        <v>2065.8223</v>
      </c>
      <c r="AA957" t="n">
        <v>16912.7629</v>
      </c>
      <c r="AB957" t="n">
        <v>0.278037</v>
      </c>
      <c r="AC957" t="n">
        <v>2.27627</v>
      </c>
      <c r="AD957" t="inlineStr">
        <is>
          <t>High</t>
        </is>
      </c>
      <c r="AE957" t="inlineStr">
        <is>
          <t>None</t>
        </is>
      </c>
      <c r="AF957" t="n">
        <v>0.95</v>
      </c>
      <c r="AG957" t="inlineStr">
        <is>
          <t>Valid</t>
        </is>
      </c>
    </row>
    <row r="958">
      <c r="A958" t="inlineStr">
        <is>
          <t>SUP-0096</t>
        </is>
      </c>
      <c r="B958" t="inlineStr">
        <is>
          <t>Agriculture Supplier 096</t>
        </is>
      </c>
      <c r="C958" t="inlineStr">
        <is>
          <t>Agriculture</t>
        </is>
      </c>
      <c r="D958" t="n">
        <v>2021</v>
      </c>
      <c r="E958" t="n">
        <v>12294743.13</v>
      </c>
      <c r="F958" t="n">
        <v>34861714.73</v>
      </c>
      <c r="G958" t="n">
        <v>9534.151599999999</v>
      </c>
      <c r="H958" t="n">
        <v>966.4601</v>
      </c>
      <c r="I958" t="n">
        <v>1647.8981</v>
      </c>
      <c r="J958" t="n">
        <v>6371.2657</v>
      </c>
      <c r="K958" t="n">
        <v>2021</v>
      </c>
      <c r="L958" t="n">
        <v>2040</v>
      </c>
      <c r="M958" t="n">
        <v>0.619</v>
      </c>
      <c r="N958" t="n">
        <v>0.2241</v>
      </c>
      <c r="O958" t="n">
        <v>2018</v>
      </c>
      <c r="P958" t="inlineStr"/>
      <c r="Q958" t="inlineStr"/>
      <c r="R958" t="n">
        <v>529.8294</v>
      </c>
      <c r="S958" t="n">
        <v>0.00091413</v>
      </c>
      <c r="T958" t="n">
        <v>0.00096913</v>
      </c>
      <c r="U958" t="n">
        <v>9534.151599999999</v>
      </c>
      <c r="V958" t="inlineStr">
        <is>
          <t>Provided Total Emissions</t>
        </is>
      </c>
      <c r="W958" t="b">
        <v>1</v>
      </c>
      <c r="X958" t="n">
        <v>11238.9935</v>
      </c>
      <c r="Y958" t="n">
        <v>33785.5336</v>
      </c>
      <c r="Z958" t="n">
        <v>1704.8419</v>
      </c>
      <c r="AA958" t="n">
        <v>24251.382</v>
      </c>
      <c r="AB958" t="n">
        <v>0.178814</v>
      </c>
      <c r="AC958" t="n">
        <v>2.543633</v>
      </c>
      <c r="AD958" t="inlineStr">
        <is>
          <t>High</t>
        </is>
      </c>
      <c r="AE958" t="inlineStr">
        <is>
          <t>None</t>
        </is>
      </c>
      <c r="AF958" t="n">
        <v>0.95</v>
      </c>
      <c r="AG958" t="inlineStr">
        <is>
          <t>Valid</t>
        </is>
      </c>
    </row>
    <row r="959">
      <c r="A959" t="inlineStr">
        <is>
          <t>SUP-0096</t>
        </is>
      </c>
      <c r="B959" t="inlineStr">
        <is>
          <t>Agriculture Supplier 096</t>
        </is>
      </c>
      <c r="C959" t="inlineStr">
        <is>
          <t>Agriculture</t>
        </is>
      </c>
      <c r="D959" t="n">
        <v>2022</v>
      </c>
      <c r="E959" t="n">
        <v>12212339.96</v>
      </c>
      <c r="F959" t="n">
        <v>37811290.35</v>
      </c>
      <c r="G959" t="n">
        <v>7108.2142</v>
      </c>
      <c r="H959" t="n">
        <v>1809.565</v>
      </c>
      <c r="I959" t="n">
        <v>1068.9714</v>
      </c>
      <c r="J959" t="n">
        <v>4760.5248</v>
      </c>
      <c r="K959" t="n">
        <v>2021</v>
      </c>
      <c r="L959" t="n">
        <v>2040</v>
      </c>
      <c r="M959" t="n">
        <v>0.619</v>
      </c>
      <c r="N959" t="n">
        <v>0.2241</v>
      </c>
      <c r="O959" t="n">
        <v>2018</v>
      </c>
      <c r="P959" t="inlineStr"/>
      <c r="Q959" t="inlineStr"/>
      <c r="R959" t="n">
        <v>529.8294</v>
      </c>
      <c r="S959" t="n">
        <v>0.00091413</v>
      </c>
      <c r="T959" t="n">
        <v>0.00096913</v>
      </c>
      <c r="U959" t="n">
        <v>7108.2142</v>
      </c>
      <c r="V959" t="inlineStr">
        <is>
          <t>Provided Total Emissions</t>
        </is>
      </c>
      <c r="W959" t="b">
        <v>1</v>
      </c>
      <c r="X959" t="n">
        <v>11163.6663</v>
      </c>
      <c r="Y959" t="n">
        <v>36644.0558</v>
      </c>
      <c r="Z959" t="n">
        <v>4055.4521</v>
      </c>
      <c r="AA959" t="n">
        <v>29535.8416</v>
      </c>
      <c r="AB959" t="n">
        <v>0.57053</v>
      </c>
      <c r="AC959" t="n">
        <v>4.15517</v>
      </c>
      <c r="AD959" t="inlineStr">
        <is>
          <t>High</t>
        </is>
      </c>
      <c r="AE959" t="inlineStr">
        <is>
          <t>None</t>
        </is>
      </c>
      <c r="AF959" t="n">
        <v>0.95</v>
      </c>
      <c r="AG959" t="inlineStr">
        <is>
          <t>Valid</t>
        </is>
      </c>
    </row>
    <row r="960">
      <c r="A960" t="inlineStr">
        <is>
          <t>SUP-0096</t>
        </is>
      </c>
      <c r="B960" t="inlineStr">
        <is>
          <t>Agriculture Supplier 096</t>
        </is>
      </c>
      <c r="C960" t="inlineStr">
        <is>
          <t>Agriculture</t>
        </is>
      </c>
      <c r="D960" t="n">
        <v>2023</v>
      </c>
      <c r="E960" t="n">
        <v>12083566.3</v>
      </c>
      <c r="F960" t="n">
        <v>38140212.01</v>
      </c>
      <c r="G960" t="n">
        <v>8014.9482</v>
      </c>
      <c r="H960" t="n">
        <v>1874.9921</v>
      </c>
      <c r="I960" t="n">
        <v>1192.1678</v>
      </c>
      <c r="J960" t="n">
        <v>5522.8877</v>
      </c>
      <c r="K960" t="n">
        <v>2021</v>
      </c>
      <c r="L960" t="n">
        <v>2040</v>
      </c>
      <c r="M960" t="n">
        <v>0.619</v>
      </c>
      <c r="N960" t="n">
        <v>0.2241</v>
      </c>
      <c r="O960" t="n">
        <v>2018</v>
      </c>
      <c r="P960" t="inlineStr"/>
      <c r="Q960" t="inlineStr"/>
      <c r="R960" t="n">
        <v>529.8294</v>
      </c>
      <c r="S960" t="n">
        <v>0.00091413</v>
      </c>
      <c r="T960" t="n">
        <v>0.00096913</v>
      </c>
      <c r="U960" t="n">
        <v>8014.9482</v>
      </c>
      <c r="V960" t="inlineStr">
        <is>
          <t>Provided Total Emissions</t>
        </is>
      </c>
      <c r="W960" t="b">
        <v>1</v>
      </c>
      <c r="X960" t="n">
        <v>11045.9505</v>
      </c>
      <c r="Y960" t="n">
        <v>36962.8237</v>
      </c>
      <c r="Z960" t="n">
        <v>3031.0023</v>
      </c>
      <c r="AA960" t="n">
        <v>28947.8755</v>
      </c>
      <c r="AB960" t="n">
        <v>0.378169</v>
      </c>
      <c r="AC960" t="n">
        <v>3.611736</v>
      </c>
      <c r="AD960" t="inlineStr">
        <is>
          <t>High</t>
        </is>
      </c>
      <c r="AE960" t="inlineStr">
        <is>
          <t>None</t>
        </is>
      </c>
      <c r="AF960" t="n">
        <v>0.95</v>
      </c>
      <c r="AG960" t="inlineStr">
        <is>
          <t>Valid</t>
        </is>
      </c>
    </row>
    <row r="961">
      <c r="A961" t="inlineStr">
        <is>
          <t>SUP-0096</t>
        </is>
      </c>
      <c r="B961" t="inlineStr">
        <is>
          <t>Agriculture Supplier 096</t>
        </is>
      </c>
      <c r="C961" t="inlineStr">
        <is>
          <t>Agriculture</t>
        </is>
      </c>
      <c r="D961" t="n">
        <v>2024</v>
      </c>
      <c r="E961" t="n">
        <v>12926260.84</v>
      </c>
      <c r="F961" t="n">
        <v>51411015.33</v>
      </c>
      <c r="G961" t="n">
        <v>8606.8631</v>
      </c>
      <c r="H961" t="n">
        <v>1982.4204</v>
      </c>
      <c r="I961" t="n">
        <v>1882.2176</v>
      </c>
      <c r="J961" t="n">
        <v>4804.9529</v>
      </c>
      <c r="K961" t="n">
        <v>2021</v>
      </c>
      <c r="L961" t="n">
        <v>2040</v>
      </c>
      <c r="M961" t="n">
        <v>0.619</v>
      </c>
      <c r="N961" t="n">
        <v>0.2241</v>
      </c>
      <c r="O961" t="n">
        <v>2018</v>
      </c>
      <c r="P961" t="inlineStr"/>
      <c r="Q961" t="inlineStr"/>
      <c r="R961" t="n">
        <v>529.8294</v>
      </c>
      <c r="S961" t="n">
        <v>0.00091413</v>
      </c>
      <c r="T961" t="n">
        <v>0.00096913</v>
      </c>
      <c r="U961" t="n">
        <v>8606.8631</v>
      </c>
      <c r="V961" t="inlineStr">
        <is>
          <t>Provided Total Emissions</t>
        </is>
      </c>
      <c r="W961" t="b">
        <v>1</v>
      </c>
      <c r="X961" t="n">
        <v>11816.2828</v>
      </c>
      <c r="Y961" t="n">
        <v>49823.9573</v>
      </c>
      <c r="Z961" t="n">
        <v>3209.4197</v>
      </c>
      <c r="AA961" t="n">
        <v>41217.0942</v>
      </c>
      <c r="AB961" t="n">
        <v>0.372891</v>
      </c>
      <c r="AC961" t="n">
        <v>4.788864</v>
      </c>
      <c r="AD961" t="inlineStr">
        <is>
          <t>High</t>
        </is>
      </c>
      <c r="AE961" t="inlineStr">
        <is>
          <t>None</t>
        </is>
      </c>
      <c r="AF961" t="n">
        <v>0.95</v>
      </c>
      <c r="AG961" t="inlineStr">
        <is>
          <t>Valid</t>
        </is>
      </c>
    </row>
    <row r="962">
      <c r="A962" t="inlineStr">
        <is>
          <t>SUP-0097</t>
        </is>
      </c>
      <c r="B962" t="inlineStr">
        <is>
          <t>Metals Supplier 097</t>
        </is>
      </c>
      <c r="C962" t="inlineStr">
        <is>
          <t>Metals</t>
        </is>
      </c>
      <c r="D962" t="n">
        <v>2015</v>
      </c>
      <c r="E962" t="n">
        <v>22518234.23</v>
      </c>
      <c r="F962" t="n">
        <v>138405268.2</v>
      </c>
      <c r="G962" t="n">
        <v>19233.8585</v>
      </c>
      <c r="H962" t="n">
        <v>2761.2031</v>
      </c>
      <c r="I962" t="n">
        <v>2874.7145</v>
      </c>
      <c r="J962" t="n">
        <v>14318.649</v>
      </c>
      <c r="K962" t="n">
        <v>2018</v>
      </c>
      <c r="L962" t="n">
        <v>2030</v>
      </c>
      <c r="M962" t="n">
        <v>0.503</v>
      </c>
      <c r="N962" t="n">
        <v>0.297</v>
      </c>
      <c r="O962" t="n">
        <v>2019</v>
      </c>
      <c r="P962" t="n">
        <v>2030</v>
      </c>
      <c r="Q962" t="n">
        <v>0.3852</v>
      </c>
      <c r="R962" t="n">
        <v>158.2904</v>
      </c>
      <c r="S962" t="n">
        <v>0.00100695</v>
      </c>
      <c r="T962" t="n">
        <v>0.00065008</v>
      </c>
      <c r="U962" t="n">
        <v>19233.8585</v>
      </c>
      <c r="V962" t="inlineStr">
        <is>
          <t>Provided Total Emissions</t>
        </is>
      </c>
      <c r="W962" t="b">
        <v>1</v>
      </c>
      <c r="X962" t="n">
        <v>22674.736</v>
      </c>
      <c r="Y962" t="n">
        <v>89974.49679999999</v>
      </c>
      <c r="Z962" t="n">
        <v>3440.8775</v>
      </c>
      <c r="AA962" t="n">
        <v>70740.63830000001</v>
      </c>
      <c r="AB962" t="n">
        <v>0.178897</v>
      </c>
      <c r="AC962" t="n">
        <v>3.677922</v>
      </c>
      <c r="AD962" t="inlineStr">
        <is>
          <t>High</t>
        </is>
      </c>
      <c r="AE962" t="inlineStr">
        <is>
          <t>None</t>
        </is>
      </c>
      <c r="AF962" t="n">
        <v>0.95</v>
      </c>
      <c r="AG962" t="inlineStr">
        <is>
          <t>Valid</t>
        </is>
      </c>
    </row>
    <row r="963">
      <c r="A963" t="inlineStr">
        <is>
          <t>SUP-0097</t>
        </is>
      </c>
      <c r="B963" t="inlineStr">
        <is>
          <t>Metals Supplier 097</t>
        </is>
      </c>
      <c r="C963" t="inlineStr">
        <is>
          <t>Metals</t>
        </is>
      </c>
      <c r="D963" t="n">
        <v>2016</v>
      </c>
      <c r="E963" t="n">
        <v>27364106.66</v>
      </c>
      <c r="F963" t="n">
        <v>152317075.3</v>
      </c>
      <c r="G963" t="n">
        <v>23743.4995</v>
      </c>
      <c r="H963" t="n">
        <v>6417.9924</v>
      </c>
      <c r="I963" t="n">
        <v>2550.7374</v>
      </c>
      <c r="J963" t="n">
        <v>15131.2514</v>
      </c>
      <c r="K963" t="n">
        <v>2018</v>
      </c>
      <c r="L963" t="n">
        <v>2030</v>
      </c>
      <c r="M963" t="n">
        <v>0.503</v>
      </c>
      <c r="N963" t="n">
        <v>0.297</v>
      </c>
      <c r="O963" t="n">
        <v>2019</v>
      </c>
      <c r="P963" t="n">
        <v>2030</v>
      </c>
      <c r="Q963" t="n">
        <v>0.3852</v>
      </c>
      <c r="R963" t="n">
        <v>158.2904</v>
      </c>
      <c r="S963" t="n">
        <v>0.00100695</v>
      </c>
      <c r="T963" t="n">
        <v>0.00065008</v>
      </c>
      <c r="U963" t="n">
        <v>23743.4995</v>
      </c>
      <c r="V963" t="inlineStr">
        <is>
          <t>Provided Total Emissions</t>
        </is>
      </c>
      <c r="W963" t="b">
        <v>1</v>
      </c>
      <c r="X963" t="n">
        <v>27554.2872</v>
      </c>
      <c r="Y963" t="n">
        <v>99018.2843</v>
      </c>
      <c r="Z963" t="n">
        <v>3810.7877</v>
      </c>
      <c r="AA963" t="n">
        <v>75274.78479999999</v>
      </c>
      <c r="AB963" t="n">
        <v>0.160498</v>
      </c>
      <c r="AC963" t="n">
        <v>3.170332</v>
      </c>
      <c r="AD963" t="inlineStr">
        <is>
          <t>High</t>
        </is>
      </c>
      <c r="AE963" t="inlineStr">
        <is>
          <t>None</t>
        </is>
      </c>
      <c r="AF963" t="n">
        <v>0.95</v>
      </c>
      <c r="AG963" t="inlineStr">
        <is>
          <t>Valid</t>
        </is>
      </c>
    </row>
    <row r="964">
      <c r="A964" t="inlineStr">
        <is>
          <t>SUP-0097</t>
        </is>
      </c>
      <c r="B964" t="inlineStr">
        <is>
          <t>Metals Supplier 097</t>
        </is>
      </c>
      <c r="C964" t="inlineStr">
        <is>
          <t>Metals</t>
        </is>
      </c>
      <c r="D964" t="n">
        <v>2017</v>
      </c>
      <c r="E964" t="n">
        <v>26517856.21</v>
      </c>
      <c r="F964" t="n">
        <v>109123047.12</v>
      </c>
      <c r="G964" t="n">
        <v>16066.1297</v>
      </c>
      <c r="H964" t="n">
        <v>1455.1953</v>
      </c>
      <c r="I964" t="n">
        <v>2714.9964</v>
      </c>
      <c r="J964" t="n">
        <v>12100.9271</v>
      </c>
      <c r="K964" t="n">
        <v>2018</v>
      </c>
      <c r="L964" t="n">
        <v>2030</v>
      </c>
      <c r="M964" t="n">
        <v>0.503</v>
      </c>
      <c r="N964" t="n">
        <v>0.297</v>
      </c>
      <c r="O964" t="n">
        <v>2019</v>
      </c>
      <c r="P964" t="n">
        <v>2030</v>
      </c>
      <c r="Q964" t="n">
        <v>0.3852</v>
      </c>
      <c r="R964" t="n">
        <v>158.2904</v>
      </c>
      <c r="S964" t="n">
        <v>0.00100695</v>
      </c>
      <c r="T964" t="n">
        <v>0.00065008</v>
      </c>
      <c r="U964" t="n">
        <v>16066.1297</v>
      </c>
      <c r="V964" t="inlineStr">
        <is>
          <t>Provided Total Emissions</t>
        </is>
      </c>
      <c r="W964" t="b">
        <v>1</v>
      </c>
      <c r="X964" t="n">
        <v>26702.1553</v>
      </c>
      <c r="Y964" t="n">
        <v>70938.7105</v>
      </c>
      <c r="Z964" t="n">
        <v>10636.0256</v>
      </c>
      <c r="AA964" t="n">
        <v>54872.5808</v>
      </c>
      <c r="AB964" t="n">
        <v>0.662015</v>
      </c>
      <c r="AC964" t="n">
        <v>3.41542</v>
      </c>
      <c r="AD964" t="inlineStr">
        <is>
          <t>High</t>
        </is>
      </c>
      <c r="AE964" t="inlineStr">
        <is>
          <t>None</t>
        </is>
      </c>
      <c r="AF964" t="n">
        <v>0.95</v>
      </c>
      <c r="AG964" t="inlineStr">
        <is>
          <t>Valid</t>
        </is>
      </c>
    </row>
    <row r="965">
      <c r="A965" t="inlineStr">
        <is>
          <t>SUP-0097</t>
        </is>
      </c>
      <c r="B965" t="inlineStr">
        <is>
          <t>Metals Supplier 097</t>
        </is>
      </c>
      <c r="C965" t="inlineStr">
        <is>
          <t>Metals</t>
        </is>
      </c>
      <c r="D965" t="n">
        <v>2018</v>
      </c>
      <c r="E965" t="n">
        <v>28253752.75</v>
      </c>
      <c r="F965" t="n">
        <v>157678237.2</v>
      </c>
      <c r="G965" t="n">
        <v>22871.2519</v>
      </c>
      <c r="H965" t="n">
        <v>5971.4777</v>
      </c>
      <c r="I965" t="n">
        <v>2976.2055</v>
      </c>
      <c r="J965" t="n">
        <v>14153.3241</v>
      </c>
      <c r="K965" t="n">
        <v>2018</v>
      </c>
      <c r="L965" t="n">
        <v>2030</v>
      </c>
      <c r="M965" t="n">
        <v>0.503</v>
      </c>
      <c r="N965" t="n">
        <v>0.297</v>
      </c>
      <c r="O965" t="n">
        <v>2019</v>
      </c>
      <c r="P965" t="n">
        <v>2030</v>
      </c>
      <c r="Q965" t="n">
        <v>0.3852</v>
      </c>
      <c r="R965" t="n">
        <v>158.2904</v>
      </c>
      <c r="S965" t="n">
        <v>0.00100695</v>
      </c>
      <c r="T965" t="n">
        <v>0.00065008</v>
      </c>
      <c r="U965" t="n">
        <v>22871.2519</v>
      </c>
      <c r="V965" t="inlineStr">
        <is>
          <t>Provided Total Emissions</t>
        </is>
      </c>
      <c r="W965" t="b">
        <v>1</v>
      </c>
      <c r="X965" t="n">
        <v>28450.1163</v>
      </c>
      <c r="Y965" t="n">
        <v>102503.4684</v>
      </c>
      <c r="Z965" t="n">
        <v>5578.8644</v>
      </c>
      <c r="AA965" t="n">
        <v>79632.21649999999</v>
      </c>
      <c r="AB965" t="n">
        <v>0.243925</v>
      </c>
      <c r="AC965" t="n">
        <v>3.48176</v>
      </c>
      <c r="AD965" t="inlineStr">
        <is>
          <t>High</t>
        </is>
      </c>
      <c r="AE965" t="inlineStr">
        <is>
          <t>None</t>
        </is>
      </c>
      <c r="AF965" t="n">
        <v>0.95</v>
      </c>
      <c r="AG965" t="inlineStr">
        <is>
          <t>Valid</t>
        </is>
      </c>
    </row>
    <row r="966">
      <c r="A966" t="inlineStr">
        <is>
          <t>SUP-0097</t>
        </is>
      </c>
      <c r="B966" t="inlineStr">
        <is>
          <t>Metals Supplier 097</t>
        </is>
      </c>
      <c r="C966" t="inlineStr">
        <is>
          <t>Metals</t>
        </is>
      </c>
      <c r="D966" t="n">
        <v>2019</v>
      </c>
      <c r="E966" t="n">
        <v>32078069.91</v>
      </c>
      <c r="F966" t="n">
        <v>154298287.76</v>
      </c>
      <c r="G966" t="n">
        <v>23730.4296</v>
      </c>
      <c r="H966" t="n">
        <v>2810.0053</v>
      </c>
      <c r="I966" t="n">
        <v>3501.128</v>
      </c>
      <c r="J966" t="n">
        <v>16331.8985</v>
      </c>
      <c r="K966" t="n">
        <v>2018</v>
      </c>
      <c r="L966" t="n">
        <v>2030</v>
      </c>
      <c r="M966" t="n">
        <v>0.503</v>
      </c>
      <c r="N966" t="n">
        <v>0.297</v>
      </c>
      <c r="O966" t="n">
        <v>2019</v>
      </c>
      <c r="P966" t="n">
        <v>2030</v>
      </c>
      <c r="Q966" t="n">
        <v>0.3852</v>
      </c>
      <c r="R966" t="n">
        <v>158.2904</v>
      </c>
      <c r="S966" t="n">
        <v>0.00100695</v>
      </c>
      <c r="T966" t="n">
        <v>0.00065008</v>
      </c>
      <c r="U966" t="n">
        <v>23730.4296</v>
      </c>
      <c r="V966" t="inlineStr">
        <is>
          <t>Provided Total Emissions</t>
        </is>
      </c>
      <c r="W966" t="b">
        <v>1</v>
      </c>
      <c r="X966" t="n">
        <v>32301.0125</v>
      </c>
      <c r="Y966" t="n">
        <v>100306.2309</v>
      </c>
      <c r="Z966" t="n">
        <v>8570.582899999999</v>
      </c>
      <c r="AA966" t="n">
        <v>76575.80130000001</v>
      </c>
      <c r="AB966" t="n">
        <v>0.361164</v>
      </c>
      <c r="AC966" t="n">
        <v>3.226903</v>
      </c>
      <c r="AD966" t="inlineStr">
        <is>
          <t>High</t>
        </is>
      </c>
      <c r="AE966" t="inlineStr">
        <is>
          <t>None</t>
        </is>
      </c>
      <c r="AF966" t="n">
        <v>0.95</v>
      </c>
      <c r="AG966" t="inlineStr">
        <is>
          <t>Valid</t>
        </is>
      </c>
    </row>
    <row r="967">
      <c r="A967" t="inlineStr">
        <is>
          <t>SUP-0097</t>
        </is>
      </c>
      <c r="B967" t="inlineStr">
        <is>
          <t>Metals Supplier 097</t>
        </is>
      </c>
      <c r="C967" t="inlineStr">
        <is>
          <t>Metals</t>
        </is>
      </c>
      <c r="D967" t="n">
        <v>2020</v>
      </c>
      <c r="E967" t="n">
        <v>31006975.96</v>
      </c>
      <c r="F967" t="n">
        <v>152986660.28</v>
      </c>
      <c r="G967" t="n">
        <v>22993.6789</v>
      </c>
      <c r="H967" t="n">
        <v>2608.6427</v>
      </c>
      <c r="I967" t="n">
        <v>4363.1435</v>
      </c>
      <c r="J967" t="n">
        <v>17036.6387</v>
      </c>
      <c r="K967" t="n">
        <v>2018</v>
      </c>
      <c r="L967" t="n">
        <v>2030</v>
      </c>
      <c r="M967" t="n">
        <v>0.503</v>
      </c>
      <c r="N967" t="n">
        <v>0.297</v>
      </c>
      <c r="O967" t="n">
        <v>2019</v>
      </c>
      <c r="P967" t="n">
        <v>2030</v>
      </c>
      <c r="Q967" t="n">
        <v>0.3852</v>
      </c>
      <c r="R967" t="n">
        <v>158.2904</v>
      </c>
      <c r="S967" t="n">
        <v>0.00100695</v>
      </c>
      <c r="T967" t="n">
        <v>0.00065008</v>
      </c>
      <c r="U967" t="n">
        <v>22993.6789</v>
      </c>
      <c r="V967" t="inlineStr">
        <is>
          <t>Provided Total Emissions</t>
        </is>
      </c>
      <c r="W967" t="b">
        <v>1</v>
      </c>
      <c r="X967" t="n">
        <v>31222.4744</v>
      </c>
      <c r="Y967" t="n">
        <v>99453.5681</v>
      </c>
      <c r="Z967" t="n">
        <v>8228.7955</v>
      </c>
      <c r="AA967" t="n">
        <v>76459.88920000001</v>
      </c>
      <c r="AB967" t="n">
        <v>0.357872</v>
      </c>
      <c r="AC967" t="n">
        <v>3.325257</v>
      </c>
      <c r="AD967" t="inlineStr">
        <is>
          <t>High</t>
        </is>
      </c>
      <c r="AE967" t="inlineStr">
        <is>
          <t>None</t>
        </is>
      </c>
      <c r="AF967" t="n">
        <v>0.95</v>
      </c>
      <c r="AG967" t="inlineStr">
        <is>
          <t>Valid</t>
        </is>
      </c>
    </row>
    <row r="968">
      <c r="A968" t="inlineStr">
        <is>
          <t>SUP-0097</t>
        </is>
      </c>
      <c r="B968" t="inlineStr">
        <is>
          <t>Metals Supplier 097</t>
        </is>
      </c>
      <c r="C968" t="inlineStr">
        <is>
          <t>Metals</t>
        </is>
      </c>
      <c r="D968" t="n">
        <v>2021</v>
      </c>
      <c r="E968" t="n">
        <v>26187198.23</v>
      </c>
      <c r="F968" t="n">
        <v>157258887.52</v>
      </c>
      <c r="G968" t="n">
        <v>17535.5082</v>
      </c>
      <c r="H968" t="n">
        <v>4686.4923</v>
      </c>
      <c r="I968" t="n">
        <v>3832.7203</v>
      </c>
      <c r="J968" t="n">
        <v>9439.776400000001</v>
      </c>
      <c r="K968" t="n">
        <v>2018</v>
      </c>
      <c r="L968" t="n">
        <v>2030</v>
      </c>
      <c r="M968" t="n">
        <v>0.503</v>
      </c>
      <c r="N968" t="n">
        <v>0.297</v>
      </c>
      <c r="O968" t="n">
        <v>2019</v>
      </c>
      <c r="P968" t="n">
        <v>2030</v>
      </c>
      <c r="Q968" t="n">
        <v>0.3852</v>
      </c>
      <c r="R968" t="n">
        <v>158.2904</v>
      </c>
      <c r="S968" t="n">
        <v>0.00100695</v>
      </c>
      <c r="T968" t="n">
        <v>0.00065008</v>
      </c>
      <c r="U968" t="n">
        <v>17535.5082</v>
      </c>
      <c r="V968" t="inlineStr">
        <is>
          <t>Provided Total Emissions</t>
        </is>
      </c>
      <c r="W968" t="b">
        <v>1</v>
      </c>
      <c r="X968" t="n">
        <v>26369.1993</v>
      </c>
      <c r="Y968" t="n">
        <v>102230.8576</v>
      </c>
      <c r="Z968" t="n">
        <v>8833.6911</v>
      </c>
      <c r="AA968" t="n">
        <v>84695.34940000001</v>
      </c>
      <c r="AB968" t="n">
        <v>0.50376</v>
      </c>
      <c r="AC968" t="n">
        <v>4.829934</v>
      </c>
      <c r="AD968" t="inlineStr">
        <is>
          <t>High</t>
        </is>
      </c>
      <c r="AE968" t="inlineStr">
        <is>
          <t>None</t>
        </is>
      </c>
      <c r="AF968" t="n">
        <v>0.95</v>
      </c>
      <c r="AG968" t="inlineStr">
        <is>
          <t>Valid</t>
        </is>
      </c>
    </row>
    <row r="969">
      <c r="A969" t="inlineStr">
        <is>
          <t>SUP-0097</t>
        </is>
      </c>
      <c r="B969" t="inlineStr">
        <is>
          <t>Metals Supplier 097</t>
        </is>
      </c>
      <c r="C969" t="inlineStr">
        <is>
          <t>Metals</t>
        </is>
      </c>
      <c r="D969" t="n">
        <v>2022</v>
      </c>
      <c r="E969" t="n">
        <v>31810001.34</v>
      </c>
      <c r="F969" t="n">
        <v>181113358.31</v>
      </c>
      <c r="G969" t="n">
        <v>28078.7679</v>
      </c>
      <c r="H969" t="n">
        <v>7151.2739</v>
      </c>
      <c r="I969" t="n">
        <v>5511.7949</v>
      </c>
      <c r="J969" t="n">
        <v>14228.7615</v>
      </c>
      <c r="K969" t="n">
        <v>2018</v>
      </c>
      <c r="L969" t="n">
        <v>2030</v>
      </c>
      <c r="M969" t="n">
        <v>0.503</v>
      </c>
      <c r="N969" t="n">
        <v>0.297</v>
      </c>
      <c r="O969" t="n">
        <v>2019</v>
      </c>
      <c r="P969" t="n">
        <v>2030</v>
      </c>
      <c r="Q969" t="n">
        <v>0.3852</v>
      </c>
      <c r="R969" t="n">
        <v>158.2904</v>
      </c>
      <c r="S969" t="n">
        <v>0.00100695</v>
      </c>
      <c r="T969" t="n">
        <v>0.00065008</v>
      </c>
      <c r="U969" t="n">
        <v>28078.7679</v>
      </c>
      <c r="V969" t="inlineStr">
        <is>
          <t>Provided Total Emissions</t>
        </is>
      </c>
      <c r="W969" t="b">
        <v>1</v>
      </c>
      <c r="X969" t="n">
        <v>32031.0808</v>
      </c>
      <c r="Y969" t="n">
        <v>117738.172</v>
      </c>
      <c r="Z969" t="n">
        <v>3952.3129</v>
      </c>
      <c r="AA969" t="n">
        <v>89659.4041</v>
      </c>
      <c r="AB969" t="n">
        <v>0.140758</v>
      </c>
      <c r="AC969" t="n">
        <v>3.193139</v>
      </c>
      <c r="AD969" t="inlineStr">
        <is>
          <t>High</t>
        </is>
      </c>
      <c r="AE969" t="inlineStr">
        <is>
          <t>None</t>
        </is>
      </c>
      <c r="AF969" t="n">
        <v>0.95</v>
      </c>
      <c r="AG969" t="inlineStr">
        <is>
          <t>Valid</t>
        </is>
      </c>
    </row>
    <row r="970">
      <c r="A970" t="inlineStr">
        <is>
          <t>SUP-0097</t>
        </is>
      </c>
      <c r="B970" t="inlineStr">
        <is>
          <t>Metals Supplier 097</t>
        </is>
      </c>
      <c r="C970" t="inlineStr">
        <is>
          <t>Metals</t>
        </is>
      </c>
      <c r="D970" t="n">
        <v>2023</v>
      </c>
      <c r="E970" t="n">
        <v>26046234.34</v>
      </c>
      <c r="F970" t="n">
        <v>142098234.42</v>
      </c>
      <c r="G970" t="n">
        <v>21751.8555</v>
      </c>
      <c r="H970" t="n">
        <v>2226.0539</v>
      </c>
      <c r="I970" t="n">
        <v>3112.3748</v>
      </c>
      <c r="J970" t="n">
        <v>16135.6757</v>
      </c>
      <c r="K970" t="n">
        <v>2018</v>
      </c>
      <c r="L970" t="n">
        <v>2030</v>
      </c>
      <c r="M970" t="n">
        <v>0.503</v>
      </c>
      <c r="N970" t="n">
        <v>0.297</v>
      </c>
      <c r="O970" t="n">
        <v>2019</v>
      </c>
      <c r="P970" t="n">
        <v>2030</v>
      </c>
      <c r="Q970" t="n">
        <v>0.3852</v>
      </c>
      <c r="R970" t="n">
        <v>158.2904</v>
      </c>
      <c r="S970" t="n">
        <v>0.00100695</v>
      </c>
      <c r="T970" t="n">
        <v>0.00065008</v>
      </c>
      <c r="U970" t="n">
        <v>21751.8555</v>
      </c>
      <c r="V970" t="inlineStr">
        <is>
          <t>Provided Total Emissions</t>
        </is>
      </c>
      <c r="W970" t="b">
        <v>1</v>
      </c>
      <c r="X970" t="n">
        <v>26227.2557</v>
      </c>
      <c r="Y970" t="n">
        <v>92375.2202</v>
      </c>
      <c r="Z970" t="n">
        <v>4475.4002</v>
      </c>
      <c r="AA970" t="n">
        <v>70623.36470000001</v>
      </c>
      <c r="AB970" t="n">
        <v>0.205748</v>
      </c>
      <c r="AC970" t="n">
        <v>3.246774</v>
      </c>
      <c r="AD970" t="inlineStr">
        <is>
          <t>High</t>
        </is>
      </c>
      <c r="AE970" t="inlineStr">
        <is>
          <t>None</t>
        </is>
      </c>
      <c r="AF970" t="n">
        <v>0.95</v>
      </c>
      <c r="AG970" t="inlineStr">
        <is>
          <t>Valid</t>
        </is>
      </c>
    </row>
    <row r="971">
      <c r="A971" t="inlineStr">
        <is>
          <t>SUP-0097</t>
        </is>
      </c>
      <c r="B971" t="inlineStr">
        <is>
          <t>Metals Supplier 097</t>
        </is>
      </c>
      <c r="C971" t="inlineStr">
        <is>
          <t>Metals</t>
        </is>
      </c>
      <c r="D971" t="n">
        <v>2024</v>
      </c>
      <c r="E971" t="n">
        <v>33698440.31</v>
      </c>
      <c r="F971" t="n">
        <v>182204955.02</v>
      </c>
      <c r="G971" t="n">
        <v>21921.8531</v>
      </c>
      <c r="H971" t="n">
        <v>3184.4149</v>
      </c>
      <c r="I971" t="n">
        <v>3032.0598</v>
      </c>
      <c r="J971" t="n">
        <v>16104.4523</v>
      </c>
      <c r="K971" t="n">
        <v>2018</v>
      </c>
      <c r="L971" t="n">
        <v>2030</v>
      </c>
      <c r="M971" t="n">
        <v>0.503</v>
      </c>
      <c r="N971" t="n">
        <v>0.297</v>
      </c>
      <c r="O971" t="n">
        <v>2019</v>
      </c>
      <c r="P971" t="n">
        <v>2030</v>
      </c>
      <c r="Q971" t="n">
        <v>0.3852</v>
      </c>
      <c r="R971" t="n">
        <v>158.2904</v>
      </c>
      <c r="S971" t="n">
        <v>0.00100695</v>
      </c>
      <c r="T971" t="n">
        <v>0.00065008</v>
      </c>
      <c r="U971" t="n">
        <v>21921.8531</v>
      </c>
      <c r="V971" t="inlineStr">
        <is>
          <t>Provided Total Emissions</t>
        </is>
      </c>
      <c r="W971" t="b">
        <v>1</v>
      </c>
      <c r="X971" t="n">
        <v>33932.6445</v>
      </c>
      <c r="Y971" t="n">
        <v>118447.7972</v>
      </c>
      <c r="Z971" t="n">
        <v>12010.7914</v>
      </c>
      <c r="AA971" t="n">
        <v>96525.94409999999</v>
      </c>
      <c r="AB971" t="n">
        <v>0.547891</v>
      </c>
      <c r="AC971" t="n">
        <v>4.403184</v>
      </c>
      <c r="AD971" t="inlineStr">
        <is>
          <t>High</t>
        </is>
      </c>
      <c r="AE971" t="inlineStr">
        <is>
          <t>None</t>
        </is>
      </c>
      <c r="AF971" t="n">
        <v>0.95</v>
      </c>
      <c r="AG971" t="inlineStr">
        <is>
          <t>Valid</t>
        </is>
      </c>
    </row>
    <row r="972">
      <c r="A972" t="inlineStr">
        <is>
          <t>SUP-0098</t>
        </is>
      </c>
      <c r="B972" t="inlineStr">
        <is>
          <t>Agriculture Supplier 098</t>
        </is>
      </c>
      <c r="C972" t="inlineStr">
        <is>
          <t>Agriculture</t>
        </is>
      </c>
      <c r="D972" t="n">
        <v>2015</v>
      </c>
      <c r="E972" t="n">
        <v>5187160.04</v>
      </c>
      <c r="F972" t="n">
        <v>15190302.6</v>
      </c>
      <c r="G972" t="n">
        <v>4395.8583</v>
      </c>
      <c r="H972" t="n">
        <v>1034.288</v>
      </c>
      <c r="I972" t="n">
        <v>661.0056</v>
      </c>
      <c r="J972" t="n">
        <v>2781.9724</v>
      </c>
      <c r="K972" t="n">
        <v>2018</v>
      </c>
      <c r="L972" t="n">
        <v>2040</v>
      </c>
      <c r="M972" t="n">
        <v>0.6899999999999999</v>
      </c>
      <c r="N972" t="n">
        <v>0.3364</v>
      </c>
      <c r="O972" t="n">
        <v>2018</v>
      </c>
      <c r="P972" t="inlineStr"/>
      <c r="Q972" t="inlineStr"/>
      <c r="R972" t="n">
        <v>529.8294</v>
      </c>
      <c r="S972" t="n">
        <v>0.00091413</v>
      </c>
      <c r="T972" t="n">
        <v>0.00096913</v>
      </c>
      <c r="U972" t="n">
        <v>4395.8583</v>
      </c>
      <c r="V972" t="inlineStr">
        <is>
          <t>Provided Total Emissions</t>
        </is>
      </c>
      <c r="W972" t="b">
        <v>1</v>
      </c>
      <c r="X972" t="n">
        <v>4741.7386</v>
      </c>
      <c r="Y972" t="n">
        <v>14721.378</v>
      </c>
      <c r="Z972" t="n">
        <v>345.8803</v>
      </c>
      <c r="AA972" t="n">
        <v>10325.5197</v>
      </c>
      <c r="AB972" t="n">
        <v>0.078683</v>
      </c>
      <c r="AC972" t="n">
        <v>2.34892</v>
      </c>
      <c r="AD972" t="inlineStr">
        <is>
          <t>High</t>
        </is>
      </c>
      <c r="AE972" t="inlineStr">
        <is>
          <t>None</t>
        </is>
      </c>
      <c r="AF972" t="n">
        <v>0.95</v>
      </c>
      <c r="AG972" t="inlineStr">
        <is>
          <t>Valid</t>
        </is>
      </c>
    </row>
    <row r="973">
      <c r="A973" t="inlineStr">
        <is>
          <t>SUP-0098</t>
        </is>
      </c>
      <c r="B973" t="inlineStr">
        <is>
          <t>Agriculture Supplier 098</t>
        </is>
      </c>
      <c r="C973" t="inlineStr">
        <is>
          <t>Agriculture</t>
        </is>
      </c>
      <c r="D973" t="n">
        <v>2016</v>
      </c>
      <c r="E973" t="n">
        <v>7188419.82</v>
      </c>
      <c r="F973" t="n">
        <v>16670937.41</v>
      </c>
      <c r="G973" t="n">
        <v>5519.0226</v>
      </c>
      <c r="H973" t="n">
        <v>458.8828</v>
      </c>
      <c r="I973" t="n">
        <v>1036.0014</v>
      </c>
      <c r="J973" t="n">
        <v>3653.304</v>
      </c>
      <c r="K973" t="n">
        <v>2018</v>
      </c>
      <c r="L973" t="n">
        <v>2040</v>
      </c>
      <c r="M973" t="n">
        <v>0.6899999999999999</v>
      </c>
      <c r="N973" t="n">
        <v>0.3364</v>
      </c>
      <c r="O973" t="n">
        <v>2018</v>
      </c>
      <c r="P973" t="inlineStr"/>
      <c r="Q973" t="inlineStr"/>
      <c r="R973" t="n">
        <v>529.8294</v>
      </c>
      <c r="S973" t="n">
        <v>0.00091413</v>
      </c>
      <c r="T973" t="n">
        <v>0.00096913</v>
      </c>
      <c r="U973" t="n">
        <v>5519.0226</v>
      </c>
      <c r="V973" t="inlineStr">
        <is>
          <t>Provided Total Emissions</t>
        </is>
      </c>
      <c r="W973" t="b">
        <v>1</v>
      </c>
      <c r="X973" t="n">
        <v>6571.1502</v>
      </c>
      <c r="Y973" t="n">
        <v>16156.3056</v>
      </c>
      <c r="Z973" t="n">
        <v>1052.1276</v>
      </c>
      <c r="AA973" t="n">
        <v>10637.283</v>
      </c>
      <c r="AB973" t="n">
        <v>0.190637</v>
      </c>
      <c r="AC973" t="n">
        <v>1.927385</v>
      </c>
      <c r="AD973" t="inlineStr">
        <is>
          <t>High</t>
        </is>
      </c>
      <c r="AE973" t="inlineStr">
        <is>
          <t>None</t>
        </is>
      </c>
      <c r="AF973" t="n">
        <v>0.95</v>
      </c>
      <c r="AG973" t="inlineStr">
        <is>
          <t>Valid</t>
        </is>
      </c>
    </row>
    <row r="974">
      <c r="A974" t="inlineStr">
        <is>
          <t>SUP-0098</t>
        </is>
      </c>
      <c r="B974" t="inlineStr">
        <is>
          <t>Agriculture Supplier 098</t>
        </is>
      </c>
      <c r="C974" t="inlineStr">
        <is>
          <t>Agriculture</t>
        </is>
      </c>
      <c r="D974" t="n">
        <v>2017</v>
      </c>
      <c r="E974" t="n">
        <v>6546420.09</v>
      </c>
      <c r="F974" t="n">
        <v>17002067.05</v>
      </c>
      <c r="G974" t="n">
        <v>3852.4151</v>
      </c>
      <c r="H974" t="n">
        <v>982.1092</v>
      </c>
      <c r="I974" t="n">
        <v>663.2216</v>
      </c>
      <c r="J974" t="n">
        <v>2172.0013</v>
      </c>
      <c r="K974" t="n">
        <v>2018</v>
      </c>
      <c r="L974" t="n">
        <v>2040</v>
      </c>
      <c r="M974" t="n">
        <v>0.6899999999999999</v>
      </c>
      <c r="N974" t="n">
        <v>0.3364</v>
      </c>
      <c r="O974" t="n">
        <v>2018</v>
      </c>
      <c r="P974" t="inlineStr"/>
      <c r="Q974" t="inlineStr"/>
      <c r="R974" t="n">
        <v>529.8294</v>
      </c>
      <c r="S974" t="n">
        <v>0.00091413</v>
      </c>
      <c r="T974" t="n">
        <v>0.00096913</v>
      </c>
      <c r="U974" t="n">
        <v>3852.4151</v>
      </c>
      <c r="V974" t="inlineStr">
        <is>
          <t>Provided Total Emissions</t>
        </is>
      </c>
      <c r="W974" t="b">
        <v>1</v>
      </c>
      <c r="X974" t="n">
        <v>5984.279</v>
      </c>
      <c r="Y974" t="n">
        <v>16477.2132</v>
      </c>
      <c r="Z974" t="n">
        <v>2131.8639</v>
      </c>
      <c r="AA974" t="n">
        <v>12624.7981</v>
      </c>
      <c r="AB974" t="n">
        <v>0.553384</v>
      </c>
      <c r="AC974" t="n">
        <v>3.277113</v>
      </c>
      <c r="AD974" t="inlineStr">
        <is>
          <t>High</t>
        </is>
      </c>
      <c r="AE974" t="inlineStr">
        <is>
          <t>None</t>
        </is>
      </c>
      <c r="AF974" t="n">
        <v>0.95</v>
      </c>
      <c r="AG974" t="inlineStr">
        <is>
          <t>Valid</t>
        </is>
      </c>
    </row>
    <row r="975">
      <c r="A975" t="inlineStr">
        <is>
          <t>SUP-0098</t>
        </is>
      </c>
      <c r="B975" t="inlineStr">
        <is>
          <t>Agriculture Supplier 098</t>
        </is>
      </c>
      <c r="C975" t="inlineStr">
        <is>
          <t>Agriculture</t>
        </is>
      </c>
      <c r="D975" t="n">
        <v>2018</v>
      </c>
      <c r="E975" t="n">
        <v>8200293.09</v>
      </c>
      <c r="F975" t="n">
        <v>19556724.41</v>
      </c>
      <c r="G975" t="n">
        <v>4801.2623</v>
      </c>
      <c r="H975" t="n">
        <v>1277.1851</v>
      </c>
      <c r="I975" t="n">
        <v>1043.3251</v>
      </c>
      <c r="J975" t="n">
        <v>2505.2515</v>
      </c>
      <c r="K975" t="n">
        <v>2018</v>
      </c>
      <c r="L975" t="n">
        <v>2040</v>
      </c>
      <c r="M975" t="n">
        <v>0.6899999999999999</v>
      </c>
      <c r="N975" t="n">
        <v>0.3364</v>
      </c>
      <c r="O975" t="n">
        <v>2018</v>
      </c>
      <c r="P975" t="inlineStr"/>
      <c r="Q975" t="inlineStr"/>
      <c r="R975" t="n">
        <v>529.8294</v>
      </c>
      <c r="S975" t="n">
        <v>0.00091413</v>
      </c>
      <c r="T975" t="n">
        <v>0.00096913</v>
      </c>
      <c r="U975" t="n">
        <v>4801.2623</v>
      </c>
      <c r="V975" t="inlineStr">
        <is>
          <t>Provided Total Emissions</t>
        </is>
      </c>
      <c r="W975" t="b">
        <v>1</v>
      </c>
      <c r="X975" t="n">
        <v>7496.1339</v>
      </c>
      <c r="Y975" t="n">
        <v>18953.0083</v>
      </c>
      <c r="Z975" t="n">
        <v>2694.8716</v>
      </c>
      <c r="AA975" t="n">
        <v>14151.746</v>
      </c>
      <c r="AB975" t="n">
        <v>0.561284</v>
      </c>
      <c r="AC975" t="n">
        <v>2.947505</v>
      </c>
      <c r="AD975" t="inlineStr">
        <is>
          <t>High</t>
        </is>
      </c>
      <c r="AE975" t="inlineStr">
        <is>
          <t>None</t>
        </is>
      </c>
      <c r="AF975" t="n">
        <v>0.95</v>
      </c>
      <c r="AG975" t="inlineStr">
        <is>
          <t>Valid</t>
        </is>
      </c>
    </row>
    <row r="976">
      <c r="A976" t="inlineStr">
        <is>
          <t>SUP-0098</t>
        </is>
      </c>
      <c r="B976" t="inlineStr">
        <is>
          <t>Agriculture Supplier 098</t>
        </is>
      </c>
      <c r="C976" t="inlineStr">
        <is>
          <t>Agriculture</t>
        </is>
      </c>
      <c r="D976" t="n">
        <v>2019</v>
      </c>
      <c r="E976" t="n">
        <v>9047377.92</v>
      </c>
      <c r="F976" t="n">
        <v>23362924.15</v>
      </c>
      <c r="G976" t="n">
        <v>6112.7099</v>
      </c>
      <c r="H976" t="n">
        <v>805.4678</v>
      </c>
      <c r="I976" t="n">
        <v>1296.9732</v>
      </c>
      <c r="J976" t="n">
        <v>4054.0254</v>
      </c>
      <c r="K976" t="n">
        <v>2018</v>
      </c>
      <c r="L976" t="n">
        <v>2040</v>
      </c>
      <c r="M976" t="n">
        <v>0.6899999999999999</v>
      </c>
      <c r="N976" t="n">
        <v>0.3364</v>
      </c>
      <c r="O976" t="n">
        <v>2018</v>
      </c>
      <c r="P976" t="inlineStr"/>
      <c r="Q976" t="inlineStr"/>
      <c r="R976" t="n">
        <v>529.8294</v>
      </c>
      <c r="S976" t="n">
        <v>0.00091413</v>
      </c>
      <c r="T976" t="n">
        <v>0.00096913</v>
      </c>
      <c r="U976" t="n">
        <v>6112.7099</v>
      </c>
      <c r="V976" t="inlineStr">
        <is>
          <t>Provided Total Emissions</t>
        </is>
      </c>
      <c r="W976" t="b">
        <v>1</v>
      </c>
      <c r="X976" t="n">
        <v>8270.479600000001</v>
      </c>
      <c r="Y976" t="n">
        <v>22641.7107</v>
      </c>
      <c r="Z976" t="n">
        <v>2157.7697</v>
      </c>
      <c r="AA976" t="n">
        <v>16529.0008</v>
      </c>
      <c r="AB976" t="n">
        <v>0.352997</v>
      </c>
      <c r="AC976" t="n">
        <v>2.704038</v>
      </c>
      <c r="AD976" t="inlineStr">
        <is>
          <t>High</t>
        </is>
      </c>
      <c r="AE976" t="inlineStr">
        <is>
          <t>None</t>
        </is>
      </c>
      <c r="AF976" t="n">
        <v>0.95</v>
      </c>
      <c r="AG976" t="inlineStr">
        <is>
          <t>Valid</t>
        </is>
      </c>
    </row>
    <row r="977">
      <c r="A977" t="inlineStr">
        <is>
          <t>SUP-0098</t>
        </is>
      </c>
      <c r="B977" t="inlineStr">
        <is>
          <t>Agriculture Supplier 098</t>
        </is>
      </c>
      <c r="C977" t="inlineStr">
        <is>
          <t>Agriculture</t>
        </is>
      </c>
      <c r="D977" t="n">
        <v>2020</v>
      </c>
      <c r="E977" t="n">
        <v>9412362.68</v>
      </c>
      <c r="F977" t="n">
        <v>21268744.19</v>
      </c>
      <c r="G977" t="n">
        <v>5175.0211</v>
      </c>
      <c r="H977" t="n">
        <v>742.0945</v>
      </c>
      <c r="I977" t="n">
        <v>969.5155</v>
      </c>
      <c r="J977" t="n">
        <v>3452.2301</v>
      </c>
      <c r="K977" t="n">
        <v>2018</v>
      </c>
      <c r="L977" t="n">
        <v>2040</v>
      </c>
      <c r="M977" t="n">
        <v>0.6899999999999999</v>
      </c>
      <c r="N977" t="n">
        <v>0.3364</v>
      </c>
      <c r="O977" t="n">
        <v>2018</v>
      </c>
      <c r="P977" t="inlineStr"/>
      <c r="Q977" t="inlineStr"/>
      <c r="R977" t="n">
        <v>529.8294</v>
      </c>
      <c r="S977" t="n">
        <v>0.00091413</v>
      </c>
      <c r="T977" t="n">
        <v>0.00096913</v>
      </c>
      <c r="U977" t="n">
        <v>5175.0211</v>
      </c>
      <c r="V977" t="inlineStr">
        <is>
          <t>Provided Total Emissions</t>
        </is>
      </c>
      <c r="W977" t="b">
        <v>1</v>
      </c>
      <c r="X977" t="n">
        <v>8604.123100000001</v>
      </c>
      <c r="Y977" t="n">
        <v>20612.1781</v>
      </c>
      <c r="Z977" t="n">
        <v>3429.102</v>
      </c>
      <c r="AA977" t="n">
        <v>15437.157</v>
      </c>
      <c r="AB977" t="n">
        <v>0.662626</v>
      </c>
      <c r="AC977" t="n">
        <v>2.983013</v>
      </c>
      <c r="AD977" t="inlineStr">
        <is>
          <t>High</t>
        </is>
      </c>
      <c r="AE977" t="inlineStr">
        <is>
          <t>None</t>
        </is>
      </c>
      <c r="AF977" t="n">
        <v>0.95</v>
      </c>
      <c r="AG977" t="inlineStr">
        <is>
          <t>Valid</t>
        </is>
      </c>
    </row>
    <row r="978">
      <c r="A978" t="inlineStr">
        <is>
          <t>SUP-0098</t>
        </is>
      </c>
      <c r="B978" t="inlineStr">
        <is>
          <t>Agriculture Supplier 098</t>
        </is>
      </c>
      <c r="C978" t="inlineStr">
        <is>
          <t>Agriculture</t>
        </is>
      </c>
      <c r="D978" t="n">
        <v>2021</v>
      </c>
      <c r="E978" t="n">
        <v>8239577.55</v>
      </c>
      <c r="F978" t="n">
        <v>23808530.34</v>
      </c>
      <c r="G978" t="n">
        <v>5883.5852</v>
      </c>
      <c r="H978" t="n">
        <v>851.3944</v>
      </c>
      <c r="I978" t="n">
        <v>1091.9368</v>
      </c>
      <c r="J978" t="n">
        <v>3532.1154</v>
      </c>
      <c r="K978" t="n">
        <v>2018</v>
      </c>
      <c r="L978" t="n">
        <v>2040</v>
      </c>
      <c r="M978" t="n">
        <v>0.6899999999999999</v>
      </c>
      <c r="N978" t="n">
        <v>0.3364</v>
      </c>
      <c r="O978" t="n">
        <v>2018</v>
      </c>
      <c r="P978" t="inlineStr"/>
      <c r="Q978" t="inlineStr"/>
      <c r="R978" t="n">
        <v>529.8294</v>
      </c>
      <c r="S978" t="n">
        <v>0.00091413</v>
      </c>
      <c r="T978" t="n">
        <v>0.00096913</v>
      </c>
      <c r="U978" t="n">
        <v>5883.5852</v>
      </c>
      <c r="V978" t="inlineStr">
        <is>
          <t>Provided Total Emissions</t>
        </is>
      </c>
      <c r="W978" t="b">
        <v>1</v>
      </c>
      <c r="X978" t="n">
        <v>7532.045</v>
      </c>
      <c r="Y978" t="n">
        <v>23073.561</v>
      </c>
      <c r="Z978" t="n">
        <v>1648.4598</v>
      </c>
      <c r="AA978" t="n">
        <v>17189.9758</v>
      </c>
      <c r="AB978" t="n">
        <v>0.280179</v>
      </c>
      <c r="AC978" t="n">
        <v>2.921684</v>
      </c>
      <c r="AD978" t="inlineStr">
        <is>
          <t>High</t>
        </is>
      </c>
      <c r="AE978" t="inlineStr">
        <is>
          <t>None</t>
        </is>
      </c>
      <c r="AF978" t="n">
        <v>0.95</v>
      </c>
      <c r="AG978" t="inlineStr">
        <is>
          <t>Valid</t>
        </is>
      </c>
    </row>
    <row r="979">
      <c r="A979" t="inlineStr">
        <is>
          <t>SUP-0098</t>
        </is>
      </c>
      <c r="B979" t="inlineStr">
        <is>
          <t>Agriculture Supplier 098</t>
        </is>
      </c>
      <c r="C979" t="inlineStr">
        <is>
          <t>Agriculture</t>
        </is>
      </c>
      <c r="D979" t="n">
        <v>2022</v>
      </c>
      <c r="E979" t="n">
        <v>9632002.970000001</v>
      </c>
      <c r="F979" t="n">
        <v>22071256.58</v>
      </c>
      <c r="G979" t="n">
        <v>6100.1315</v>
      </c>
      <c r="H979" t="n">
        <v>1175.1247</v>
      </c>
      <c r="I979" t="n">
        <v>580.7793</v>
      </c>
      <c r="J979" t="n">
        <v>4193.5557</v>
      </c>
      <c r="K979" t="n">
        <v>2018</v>
      </c>
      <c r="L979" t="n">
        <v>2040</v>
      </c>
      <c r="M979" t="n">
        <v>0.6899999999999999</v>
      </c>
      <c r="N979" t="n">
        <v>0.3364</v>
      </c>
      <c r="O979" t="n">
        <v>2018</v>
      </c>
      <c r="P979" t="inlineStr"/>
      <c r="Q979" t="inlineStr"/>
      <c r="R979" t="n">
        <v>529.8294</v>
      </c>
      <c r="S979" t="n">
        <v>0.00091413</v>
      </c>
      <c r="T979" t="n">
        <v>0.00096913</v>
      </c>
      <c r="U979" t="n">
        <v>6100.1315</v>
      </c>
      <c r="V979" t="inlineStr">
        <is>
          <t>Provided Total Emissions</t>
        </is>
      </c>
      <c r="W979" t="b">
        <v>1</v>
      </c>
      <c r="X979" t="n">
        <v>8804.902899999999</v>
      </c>
      <c r="Y979" t="n">
        <v>21389.9169</v>
      </c>
      <c r="Z979" t="n">
        <v>2704.7714</v>
      </c>
      <c r="AA979" t="n">
        <v>15289.7854</v>
      </c>
      <c r="AB979" t="n">
        <v>0.443396</v>
      </c>
      <c r="AC979" t="n">
        <v>2.506468</v>
      </c>
      <c r="AD979" t="inlineStr">
        <is>
          <t>High</t>
        </is>
      </c>
      <c r="AE979" t="inlineStr">
        <is>
          <t>None</t>
        </is>
      </c>
      <c r="AF979" t="n">
        <v>0.95</v>
      </c>
      <c r="AG979" t="inlineStr">
        <is>
          <t>Valid</t>
        </is>
      </c>
    </row>
    <row r="980">
      <c r="A980" t="inlineStr">
        <is>
          <t>SUP-0098</t>
        </is>
      </c>
      <c r="B980" t="inlineStr">
        <is>
          <t>Agriculture Supplier 098</t>
        </is>
      </c>
      <c r="C980" t="inlineStr">
        <is>
          <t>Agriculture</t>
        </is>
      </c>
      <c r="D980" t="n">
        <v>2023</v>
      </c>
      <c r="E980" t="n">
        <v>10164459.19</v>
      </c>
      <c r="F980" t="n">
        <v>25050637.37</v>
      </c>
      <c r="G980" t="n">
        <v>8463.5864</v>
      </c>
      <c r="H980" t="n">
        <v>865.4156</v>
      </c>
      <c r="I980" t="n">
        <v>1661.3056</v>
      </c>
      <c r="J980" t="n">
        <v>6185.1384</v>
      </c>
      <c r="K980" t="n">
        <v>2018</v>
      </c>
      <c r="L980" t="n">
        <v>2040</v>
      </c>
      <c r="M980" t="n">
        <v>0.6899999999999999</v>
      </c>
      <c r="N980" t="n">
        <v>0.3364</v>
      </c>
      <c r="O980" t="n">
        <v>2018</v>
      </c>
      <c r="P980" t="inlineStr"/>
      <c r="Q980" t="inlineStr"/>
      <c r="R980" t="n">
        <v>529.8294</v>
      </c>
      <c r="S980" t="n">
        <v>0.00091413</v>
      </c>
      <c r="T980" t="n">
        <v>0.00096913</v>
      </c>
      <c r="U980" t="n">
        <v>8463.5864</v>
      </c>
      <c r="V980" t="inlineStr">
        <is>
          <t>Provided Total Emissions</t>
        </is>
      </c>
      <c r="W980" t="b">
        <v>1</v>
      </c>
      <c r="X980" t="n">
        <v>9291.6371</v>
      </c>
      <c r="Y980" t="n">
        <v>24277.3242</v>
      </c>
      <c r="Z980" t="n">
        <v>828.0507</v>
      </c>
      <c r="AA980" t="n">
        <v>15813.7378</v>
      </c>
      <c r="AB980" t="n">
        <v>0.09783699999999999</v>
      </c>
      <c r="AC980" t="n">
        <v>1.868444</v>
      </c>
      <c r="AD980" t="inlineStr">
        <is>
          <t>High</t>
        </is>
      </c>
      <c r="AE980" t="inlineStr">
        <is>
          <t>None</t>
        </is>
      </c>
      <c r="AF980" t="n">
        <v>0.95</v>
      </c>
      <c r="AG980" t="inlineStr">
        <is>
          <t>Valid</t>
        </is>
      </c>
    </row>
    <row r="981">
      <c r="A981" t="inlineStr">
        <is>
          <t>SUP-0098</t>
        </is>
      </c>
      <c r="B981" t="inlineStr">
        <is>
          <t>Agriculture Supplier 098</t>
        </is>
      </c>
      <c r="C981" t="inlineStr">
        <is>
          <t>Agriculture</t>
        </is>
      </c>
      <c r="D981" t="n">
        <v>2024</v>
      </c>
      <c r="E981" t="n">
        <v>13020933.35</v>
      </c>
      <c r="F981" t="n">
        <v>27032088.13</v>
      </c>
      <c r="G981" t="n">
        <v>9228.651400000001</v>
      </c>
      <c r="H981" t="n">
        <v>2118.8366</v>
      </c>
      <c r="I981" t="n">
        <v>837.7094</v>
      </c>
      <c r="J981" t="n">
        <v>6800.3033</v>
      </c>
      <c r="K981" t="n">
        <v>2018</v>
      </c>
      <c r="L981" t="n">
        <v>2040</v>
      </c>
      <c r="M981" t="n">
        <v>0.6899999999999999</v>
      </c>
      <c r="N981" t="n">
        <v>0.3364</v>
      </c>
      <c r="O981" t="n">
        <v>2018</v>
      </c>
      <c r="P981" t="inlineStr"/>
      <c r="Q981" t="inlineStr"/>
      <c r="R981" t="n">
        <v>529.8294</v>
      </c>
      <c r="S981" t="n">
        <v>0.00091413</v>
      </c>
      <c r="T981" t="n">
        <v>0.00096913</v>
      </c>
      <c r="U981" t="n">
        <v>9228.651400000001</v>
      </c>
      <c r="V981" t="inlineStr">
        <is>
          <t>Provided Total Emissions</t>
        </is>
      </c>
      <c r="W981" t="b">
        <v>1</v>
      </c>
      <c r="X981" t="n">
        <v>11902.8258</v>
      </c>
      <c r="Y981" t="n">
        <v>26197.6076</v>
      </c>
      <c r="Z981" t="n">
        <v>2674.1744</v>
      </c>
      <c r="AA981" t="n">
        <v>16968.9562</v>
      </c>
      <c r="AB981" t="n">
        <v>0.289769</v>
      </c>
      <c r="AC981" t="n">
        <v>1.838725</v>
      </c>
      <c r="AD981" t="inlineStr">
        <is>
          <t>High</t>
        </is>
      </c>
      <c r="AE981" t="inlineStr">
        <is>
          <t>None</t>
        </is>
      </c>
      <c r="AF981" t="n">
        <v>0.95</v>
      </c>
      <c r="AG981" t="inlineStr">
        <is>
          <t>Valid</t>
        </is>
      </c>
    </row>
    <row r="982">
      <c r="A982" t="inlineStr">
        <is>
          <t>SUP-0099</t>
        </is>
      </c>
      <c r="B982" t="inlineStr">
        <is>
          <t>Electronics Supplier 099</t>
        </is>
      </c>
      <c r="C982" t="inlineStr">
        <is>
          <t>Electronics</t>
        </is>
      </c>
      <c r="D982" t="n">
        <v>2015</v>
      </c>
      <c r="E982" t="n">
        <v>14219401.56</v>
      </c>
      <c r="F982" t="n">
        <v>113490318</v>
      </c>
      <c r="G982" t="n">
        <v>14012.1536</v>
      </c>
      <c r="H982" t="n">
        <v>3072.3499</v>
      </c>
      <c r="I982" t="n">
        <v>1282.144</v>
      </c>
      <c r="J982" t="n">
        <v>9856.667600000001</v>
      </c>
      <c r="K982" t="inlineStr"/>
      <c r="L982" t="inlineStr"/>
      <c r="M982" t="inlineStr"/>
      <c r="N982" t="inlineStr"/>
      <c r="O982" t="n">
        <v>2018</v>
      </c>
      <c r="P982" t="n">
        <v>2040</v>
      </c>
      <c r="Q982" t="n">
        <v>0.3424</v>
      </c>
      <c r="R982" t="n">
        <v>635.1588</v>
      </c>
      <c r="S982" t="n">
        <v>0.00086105</v>
      </c>
      <c r="T982" t="n">
        <v>0.00013947</v>
      </c>
      <c r="U982" t="n">
        <v>14012.1536</v>
      </c>
      <c r="V982" t="inlineStr">
        <is>
          <t>Provided Total Emissions</t>
        </is>
      </c>
      <c r="W982" t="b">
        <v>1</v>
      </c>
      <c r="X982" t="n">
        <v>12243.6157</v>
      </c>
      <c r="Y982" t="n">
        <v>15828.4947</v>
      </c>
      <c r="Z982" t="n">
        <v>-1768.5379</v>
      </c>
      <c r="AA982" t="n">
        <v>1816.3411</v>
      </c>
      <c r="AB982" t="n">
        <v>-0.126215</v>
      </c>
      <c r="AC982" t="n">
        <v>0.129626</v>
      </c>
      <c r="AD982" t="inlineStr">
        <is>
          <t>High</t>
        </is>
      </c>
      <c r="AE982" t="inlineStr">
        <is>
          <t>None</t>
        </is>
      </c>
      <c r="AF982" t="n">
        <v>0.95</v>
      </c>
      <c r="AG982" t="inlineStr">
        <is>
          <t>Valid</t>
        </is>
      </c>
    </row>
    <row r="983">
      <c r="A983" t="inlineStr">
        <is>
          <t>SUP-0099</t>
        </is>
      </c>
      <c r="B983" t="inlineStr">
        <is>
          <t>Electronics Supplier 099</t>
        </is>
      </c>
      <c r="C983" t="inlineStr">
        <is>
          <t>Electronics</t>
        </is>
      </c>
      <c r="D983" t="n">
        <v>2016</v>
      </c>
      <c r="E983" t="n">
        <v>13539045.32</v>
      </c>
      <c r="F983" t="n">
        <v>110688288.5</v>
      </c>
      <c r="G983" t="n">
        <v>12626.5667</v>
      </c>
      <c r="H983" t="n">
        <v>2427.4577</v>
      </c>
      <c r="I983" t="n">
        <v>1708.8392</v>
      </c>
      <c r="J983" t="n">
        <v>9269.0371</v>
      </c>
      <c r="K983" t="inlineStr"/>
      <c r="L983" t="inlineStr"/>
      <c r="M983" t="inlineStr"/>
      <c r="N983" t="inlineStr"/>
      <c r="O983" t="n">
        <v>2018</v>
      </c>
      <c r="P983" t="n">
        <v>2040</v>
      </c>
      <c r="Q983" t="n">
        <v>0.3424</v>
      </c>
      <c r="R983" t="n">
        <v>635.1588</v>
      </c>
      <c r="S983" t="n">
        <v>0.00086105</v>
      </c>
      <c r="T983" t="n">
        <v>0.00013947</v>
      </c>
      <c r="U983" t="n">
        <v>12626.5667</v>
      </c>
      <c r="V983" t="inlineStr">
        <is>
          <t>Provided Total Emissions</t>
        </is>
      </c>
      <c r="W983" t="b">
        <v>1</v>
      </c>
      <c r="X983" t="n">
        <v>11657.795</v>
      </c>
      <c r="Y983" t="n">
        <v>15437.6956</v>
      </c>
      <c r="Z983" t="n">
        <v>-968.7717</v>
      </c>
      <c r="AA983" t="n">
        <v>2811.1289</v>
      </c>
      <c r="AB983" t="n">
        <v>-0.076725</v>
      </c>
      <c r="AC983" t="n">
        <v>0.222636</v>
      </c>
      <c r="AD983" t="inlineStr">
        <is>
          <t>High</t>
        </is>
      </c>
      <c r="AE983" t="inlineStr">
        <is>
          <t>None</t>
        </is>
      </c>
      <c r="AF983" t="n">
        <v>0.95</v>
      </c>
      <c r="AG983" t="inlineStr">
        <is>
          <t>Valid</t>
        </is>
      </c>
    </row>
    <row r="984">
      <c r="A984" t="inlineStr">
        <is>
          <t>SUP-0099</t>
        </is>
      </c>
      <c r="B984" t="inlineStr">
        <is>
          <t>Electronics Supplier 099</t>
        </is>
      </c>
      <c r="C984" t="inlineStr">
        <is>
          <t>Electronics</t>
        </is>
      </c>
      <c r="D984" t="n">
        <v>2017</v>
      </c>
      <c r="E984" t="n">
        <v>16069183.28</v>
      </c>
      <c r="F984" t="n">
        <v>124425937.66</v>
      </c>
      <c r="G984" t="n">
        <v>14337.4849</v>
      </c>
      <c r="H984" t="n">
        <v>2243.2945</v>
      </c>
      <c r="I984" t="n">
        <v>2167.7765</v>
      </c>
      <c r="J984" t="n">
        <v>9117.753199999999</v>
      </c>
      <c r="K984" t="inlineStr"/>
      <c r="L984" t="inlineStr"/>
      <c r="M984" t="inlineStr"/>
      <c r="N984" t="inlineStr"/>
      <c r="O984" t="n">
        <v>2018</v>
      </c>
      <c r="P984" t="n">
        <v>2040</v>
      </c>
      <c r="Q984" t="n">
        <v>0.3424</v>
      </c>
      <c r="R984" t="n">
        <v>635.1588</v>
      </c>
      <c r="S984" t="n">
        <v>0.00086105</v>
      </c>
      <c r="T984" t="n">
        <v>0.00013947</v>
      </c>
      <c r="U984" t="n">
        <v>14337.4849</v>
      </c>
      <c r="V984" t="inlineStr">
        <is>
          <t>Provided Total Emissions</t>
        </is>
      </c>
      <c r="W984" t="b">
        <v>1</v>
      </c>
      <c r="X984" t="n">
        <v>13836.3703</v>
      </c>
      <c r="Y984" t="n">
        <v>17353.6855</v>
      </c>
      <c r="Z984" t="n">
        <v>-501.1146</v>
      </c>
      <c r="AA984" t="n">
        <v>3016.2006</v>
      </c>
      <c r="AB984" t="n">
        <v>-0.034951</v>
      </c>
      <c r="AC984" t="n">
        <v>0.210372</v>
      </c>
      <c r="AD984" t="inlineStr">
        <is>
          <t>High</t>
        </is>
      </c>
      <c r="AE984" t="inlineStr">
        <is>
          <t>None</t>
        </is>
      </c>
      <c r="AF984" t="n">
        <v>0.95</v>
      </c>
      <c r="AG984" t="inlineStr">
        <is>
          <t>Valid</t>
        </is>
      </c>
    </row>
    <row r="985">
      <c r="A985" t="inlineStr">
        <is>
          <t>SUP-0099</t>
        </is>
      </c>
      <c r="B985" t="inlineStr">
        <is>
          <t>Electronics Supplier 099</t>
        </is>
      </c>
      <c r="C985" t="inlineStr">
        <is>
          <t>Electronics</t>
        </is>
      </c>
      <c r="D985" t="n">
        <v>2018</v>
      </c>
      <c r="E985" t="n">
        <v>17447330.89</v>
      </c>
      <c r="F985" t="n">
        <v>79811208.73999999</v>
      </c>
      <c r="G985" t="n">
        <v>16574.4934</v>
      </c>
      <c r="H985" t="n">
        <v>1667.2068</v>
      </c>
      <c r="I985" t="n">
        <v>3315.9773</v>
      </c>
      <c r="J985" t="n">
        <v>13154.4295</v>
      </c>
      <c r="K985" t="inlineStr"/>
      <c r="L985" t="inlineStr"/>
      <c r="M985" t="inlineStr"/>
      <c r="N985" t="inlineStr"/>
      <c r="O985" t="n">
        <v>2018</v>
      </c>
      <c r="P985" t="n">
        <v>2040</v>
      </c>
      <c r="Q985" t="n">
        <v>0.3424</v>
      </c>
      <c r="R985" t="n">
        <v>635.1588</v>
      </c>
      <c r="S985" t="n">
        <v>0.00086105</v>
      </c>
      <c r="T985" t="n">
        <v>0.00013947</v>
      </c>
      <c r="U985" t="n">
        <v>16574.4934</v>
      </c>
      <c r="V985" t="inlineStr">
        <is>
          <t>Provided Total Emissions</t>
        </is>
      </c>
      <c r="W985" t="b">
        <v>1</v>
      </c>
      <c r="X985" t="n">
        <v>15023.0243</v>
      </c>
      <c r="Y985" t="n">
        <v>11131.2693</v>
      </c>
      <c r="Z985" t="n">
        <v>-1551.4691</v>
      </c>
      <c r="AA985" t="n">
        <v>-5443.2241</v>
      </c>
      <c r="AB985" t="n">
        <v>-0.09360599999999999</v>
      </c>
      <c r="AC985" t="n">
        <v>-0.32841</v>
      </c>
      <c r="AD985" t="inlineStr">
        <is>
          <t>High</t>
        </is>
      </c>
      <c r="AE985" t="inlineStr">
        <is>
          <t>None</t>
        </is>
      </c>
      <c r="AF985" t="n">
        <v>0.95</v>
      </c>
      <c r="AG985" t="inlineStr">
        <is>
          <t>Valid</t>
        </is>
      </c>
    </row>
    <row r="986">
      <c r="A986" t="inlineStr">
        <is>
          <t>SUP-0099</t>
        </is>
      </c>
      <c r="B986" t="inlineStr">
        <is>
          <t>Electronics Supplier 099</t>
        </is>
      </c>
      <c r="C986" t="inlineStr">
        <is>
          <t>Electronics</t>
        </is>
      </c>
      <c r="D986" t="n">
        <v>2019</v>
      </c>
      <c r="E986" t="n">
        <v>16393744.63</v>
      </c>
      <c r="F986" t="n">
        <v>139704411.32</v>
      </c>
      <c r="G986" t="n">
        <v>16117.9146</v>
      </c>
      <c r="H986" t="n">
        <v>2997.9488</v>
      </c>
      <c r="I986" t="n">
        <v>1452.5465</v>
      </c>
      <c r="J986" t="n">
        <v>11674.9315</v>
      </c>
      <c r="K986" t="inlineStr"/>
      <c r="L986" t="inlineStr"/>
      <c r="M986" t="inlineStr"/>
      <c r="N986" t="inlineStr"/>
      <c r="O986" t="n">
        <v>2018</v>
      </c>
      <c r="P986" t="n">
        <v>2040</v>
      </c>
      <c r="Q986" t="n">
        <v>0.3424</v>
      </c>
      <c r="R986" t="n">
        <v>635.1588</v>
      </c>
      <c r="S986" t="n">
        <v>0.00086105</v>
      </c>
      <c r="T986" t="n">
        <v>0.00013947</v>
      </c>
      <c r="U986" t="n">
        <v>16117.9146</v>
      </c>
      <c r="V986" t="inlineStr">
        <is>
          <t>Provided Total Emissions</t>
        </is>
      </c>
      <c r="W986" t="b">
        <v>1</v>
      </c>
      <c r="X986" t="n">
        <v>14115.8338</v>
      </c>
      <c r="Y986" t="n">
        <v>19484.5742</v>
      </c>
      <c r="Z986" t="n">
        <v>-2002.0808</v>
      </c>
      <c r="AA986" t="n">
        <v>3366.6596</v>
      </c>
      <c r="AB986" t="n">
        <v>-0.124215</v>
      </c>
      <c r="AC986" t="n">
        <v>0.208877</v>
      </c>
      <c r="AD986" t="inlineStr">
        <is>
          <t>High</t>
        </is>
      </c>
      <c r="AE986" t="inlineStr">
        <is>
          <t>None</t>
        </is>
      </c>
      <c r="AF986" t="n">
        <v>0.95</v>
      </c>
      <c r="AG986" t="inlineStr">
        <is>
          <t>Valid</t>
        </is>
      </c>
    </row>
    <row r="987">
      <c r="A987" t="inlineStr">
        <is>
          <t>SUP-0099</t>
        </is>
      </c>
      <c r="B987" t="inlineStr">
        <is>
          <t>Electronics Supplier 099</t>
        </is>
      </c>
      <c r="C987" t="inlineStr">
        <is>
          <t>Electronics</t>
        </is>
      </c>
      <c r="D987" t="n">
        <v>2020</v>
      </c>
      <c r="E987" t="n">
        <v>16954443.49</v>
      </c>
      <c r="F987" t="n">
        <v>104611483.7</v>
      </c>
      <c r="G987" t="n">
        <v>14641.9562</v>
      </c>
      <c r="H987" t="n">
        <v>1486.0346</v>
      </c>
      <c r="I987" t="n">
        <v>2506.204</v>
      </c>
      <c r="J987" t="n">
        <v>11359.1499</v>
      </c>
      <c r="K987" t="inlineStr"/>
      <c r="L987" t="inlineStr"/>
      <c r="M987" t="inlineStr"/>
      <c r="N987" t="inlineStr"/>
      <c r="O987" t="n">
        <v>2018</v>
      </c>
      <c r="P987" t="n">
        <v>2040</v>
      </c>
      <c r="Q987" t="n">
        <v>0.3424</v>
      </c>
      <c r="R987" t="n">
        <v>635.1588</v>
      </c>
      <c r="S987" t="n">
        <v>0.00086105</v>
      </c>
      <c r="T987" t="n">
        <v>0.00013947</v>
      </c>
      <c r="U987" t="n">
        <v>14641.9562</v>
      </c>
      <c r="V987" t="inlineStr">
        <is>
          <t>Provided Total Emissions</t>
        </is>
      </c>
      <c r="W987" t="b">
        <v>1</v>
      </c>
      <c r="X987" t="n">
        <v>14598.6236</v>
      </c>
      <c r="Y987" t="n">
        <v>14590.1636</v>
      </c>
      <c r="Z987" t="n">
        <v>-43.3326</v>
      </c>
      <c r="AA987" t="n">
        <v>-51.7926</v>
      </c>
      <c r="AB987" t="n">
        <v>-0.002959</v>
      </c>
      <c r="AC987" t="n">
        <v>-0.003537</v>
      </c>
      <c r="AD987" t="inlineStr">
        <is>
          <t>High</t>
        </is>
      </c>
      <c r="AE987" t="inlineStr">
        <is>
          <t>None</t>
        </is>
      </c>
      <c r="AF987" t="n">
        <v>0.95</v>
      </c>
      <c r="AG987" t="inlineStr">
        <is>
          <t>Valid</t>
        </is>
      </c>
    </row>
    <row r="988">
      <c r="A988" t="inlineStr">
        <is>
          <t>SUP-0099</t>
        </is>
      </c>
      <c r="B988" t="inlineStr">
        <is>
          <t>Electronics Supplier 099</t>
        </is>
      </c>
      <c r="C988" t="inlineStr">
        <is>
          <t>Electronics</t>
        </is>
      </c>
      <c r="D988" t="n">
        <v>2021</v>
      </c>
      <c r="E988" t="n">
        <v>17481976.02</v>
      </c>
      <c r="F988" t="n">
        <v>146172792.09</v>
      </c>
      <c r="G988" t="n">
        <v>16827.3921</v>
      </c>
      <c r="H988" t="n">
        <v>1964.9271</v>
      </c>
      <c r="I988" t="n">
        <v>1636.2643</v>
      </c>
      <c r="J988" t="n">
        <v>12773.0758</v>
      </c>
      <c r="K988" t="inlineStr"/>
      <c r="L988" t="inlineStr"/>
      <c r="M988" t="inlineStr"/>
      <c r="N988" t="inlineStr"/>
      <c r="O988" t="n">
        <v>2018</v>
      </c>
      <c r="P988" t="n">
        <v>2040</v>
      </c>
      <c r="Q988" t="n">
        <v>0.3424</v>
      </c>
      <c r="R988" t="n">
        <v>635.1588</v>
      </c>
      <c r="S988" t="n">
        <v>0.00086105</v>
      </c>
      <c r="T988" t="n">
        <v>0.00013947</v>
      </c>
      <c r="U988" t="n">
        <v>16827.3921</v>
      </c>
      <c r="V988" t="inlineStr">
        <is>
          <t>Provided Total Emissions</t>
        </is>
      </c>
      <c r="W988" t="b">
        <v>1</v>
      </c>
      <c r="X988" t="n">
        <v>15052.8555</v>
      </c>
      <c r="Y988" t="n">
        <v>20386.7193</v>
      </c>
      <c r="Z988" t="n">
        <v>-1774.5366</v>
      </c>
      <c r="AA988" t="n">
        <v>3559.3272</v>
      </c>
      <c r="AB988" t="n">
        <v>-0.105455</v>
      </c>
      <c r="AC988" t="n">
        <v>0.21152</v>
      </c>
      <c r="AD988" t="inlineStr">
        <is>
          <t>High</t>
        </is>
      </c>
      <c r="AE988" t="inlineStr">
        <is>
          <t>None</t>
        </is>
      </c>
      <c r="AF988" t="n">
        <v>0.95</v>
      </c>
      <c r="AG988" t="inlineStr">
        <is>
          <t>Valid</t>
        </is>
      </c>
    </row>
    <row r="989">
      <c r="A989" t="inlineStr">
        <is>
          <t>SUP-0099</t>
        </is>
      </c>
      <c r="B989" t="inlineStr">
        <is>
          <t>Electronics Supplier 099</t>
        </is>
      </c>
      <c r="C989" t="inlineStr">
        <is>
          <t>Electronics</t>
        </is>
      </c>
      <c r="D989" t="n">
        <v>2022</v>
      </c>
      <c r="E989" t="n">
        <v>20695105.41</v>
      </c>
      <c r="F989" t="n">
        <v>127225038.99</v>
      </c>
      <c r="G989" t="n">
        <v>19705.2327</v>
      </c>
      <c r="H989" t="n">
        <v>4300.3817</v>
      </c>
      <c r="I989" t="n">
        <v>3692.1102</v>
      </c>
      <c r="J989" t="n">
        <v>11283.4371</v>
      </c>
      <c r="K989" t="inlineStr"/>
      <c r="L989" t="inlineStr"/>
      <c r="M989" t="inlineStr"/>
      <c r="N989" t="inlineStr"/>
      <c r="O989" t="n">
        <v>2018</v>
      </c>
      <c r="P989" t="n">
        <v>2040</v>
      </c>
      <c r="Q989" t="n">
        <v>0.3424</v>
      </c>
      <c r="R989" t="n">
        <v>635.1588</v>
      </c>
      <c r="S989" t="n">
        <v>0.00086105</v>
      </c>
      <c r="T989" t="n">
        <v>0.00013947</v>
      </c>
      <c r="U989" t="n">
        <v>19705.2327</v>
      </c>
      <c r="V989" t="inlineStr">
        <is>
          <t>Provided Total Emissions</t>
        </is>
      </c>
      <c r="W989" t="b">
        <v>1</v>
      </c>
      <c r="X989" t="n">
        <v>17819.5205</v>
      </c>
      <c r="Y989" t="n">
        <v>17744.0762</v>
      </c>
      <c r="Z989" t="n">
        <v>-1885.7122</v>
      </c>
      <c r="AA989" t="n">
        <v>-1961.1565</v>
      </c>
      <c r="AB989" t="n">
        <v>-0.095696</v>
      </c>
      <c r="AC989" t="n">
        <v>-0.099525</v>
      </c>
      <c r="AD989" t="inlineStr">
        <is>
          <t>High</t>
        </is>
      </c>
      <c r="AE989" t="inlineStr">
        <is>
          <t>None</t>
        </is>
      </c>
      <c r="AF989" t="n">
        <v>0.95</v>
      </c>
      <c r="AG989" t="inlineStr">
        <is>
          <t>Valid</t>
        </is>
      </c>
    </row>
    <row r="990">
      <c r="A990" t="inlineStr">
        <is>
          <t>SUP-0099</t>
        </is>
      </c>
      <c r="B990" t="inlineStr">
        <is>
          <t>Electronics Supplier 099</t>
        </is>
      </c>
      <c r="C990" t="inlineStr">
        <is>
          <t>Electronics</t>
        </is>
      </c>
      <c r="D990" t="n">
        <v>2023</v>
      </c>
      <c r="E990" t="n">
        <v>19518863.16</v>
      </c>
      <c r="F990" t="n">
        <v>137810329.72</v>
      </c>
      <c r="G990" t="n">
        <v>17267.8245</v>
      </c>
      <c r="H990" t="n">
        <v>4294.1847</v>
      </c>
      <c r="I990" t="n">
        <v>2489.7378</v>
      </c>
      <c r="J990" t="n">
        <v>9072.6073</v>
      </c>
      <c r="K990" t="inlineStr"/>
      <c r="L990" t="inlineStr"/>
      <c r="M990" t="inlineStr"/>
      <c r="N990" t="inlineStr"/>
      <c r="O990" t="n">
        <v>2018</v>
      </c>
      <c r="P990" t="n">
        <v>2040</v>
      </c>
      <c r="Q990" t="n">
        <v>0.3424</v>
      </c>
      <c r="R990" t="n">
        <v>635.1588</v>
      </c>
      <c r="S990" t="n">
        <v>0.00086105</v>
      </c>
      <c r="T990" t="n">
        <v>0.00013947</v>
      </c>
      <c r="U990" t="n">
        <v>17267.8245</v>
      </c>
      <c r="V990" t="inlineStr">
        <is>
          <t>Provided Total Emissions</t>
        </is>
      </c>
      <c r="W990" t="b">
        <v>1</v>
      </c>
      <c r="X990" t="n">
        <v>16806.7171</v>
      </c>
      <c r="Y990" t="n">
        <v>19220.4067</v>
      </c>
      <c r="Z990" t="n">
        <v>-461.1074</v>
      </c>
      <c r="AA990" t="n">
        <v>1952.5822</v>
      </c>
      <c r="AB990" t="n">
        <v>-0.026703</v>
      </c>
      <c r="AC990" t="n">
        <v>0.113076</v>
      </c>
      <c r="AD990" t="inlineStr">
        <is>
          <t>High</t>
        </is>
      </c>
      <c r="AE990" t="inlineStr">
        <is>
          <t>None</t>
        </is>
      </c>
      <c r="AF990" t="n">
        <v>0.95</v>
      </c>
      <c r="AG990" t="inlineStr">
        <is>
          <t>Valid</t>
        </is>
      </c>
    </row>
    <row r="991">
      <c r="A991" t="inlineStr">
        <is>
          <t>SUP-0099</t>
        </is>
      </c>
      <c r="B991" t="inlineStr">
        <is>
          <t>Electronics Supplier 099</t>
        </is>
      </c>
      <c r="C991" t="inlineStr">
        <is>
          <t>Electronics</t>
        </is>
      </c>
      <c r="D991" t="n">
        <v>2024</v>
      </c>
      <c r="E991" t="n">
        <v>20992163.61</v>
      </c>
      <c r="F991" t="n">
        <v>160096225.06</v>
      </c>
      <c r="G991" t="n">
        <v>18252.1913</v>
      </c>
      <c r="H991" t="n">
        <v>2435.7444</v>
      </c>
      <c r="I991" t="n">
        <v>2310.3448</v>
      </c>
      <c r="J991" t="n">
        <v>14376.6566</v>
      </c>
      <c r="K991" t="inlineStr"/>
      <c r="L991" t="inlineStr"/>
      <c r="M991" t="inlineStr"/>
      <c r="N991" t="inlineStr"/>
      <c r="O991" t="n">
        <v>2018</v>
      </c>
      <c r="P991" t="n">
        <v>2040</v>
      </c>
      <c r="Q991" t="n">
        <v>0.3424</v>
      </c>
      <c r="R991" t="n">
        <v>635.1588</v>
      </c>
      <c r="S991" t="n">
        <v>0.00086105</v>
      </c>
      <c r="T991" t="n">
        <v>0.00013947</v>
      </c>
      <c r="U991" t="n">
        <v>18252.1913</v>
      </c>
      <c r="V991" t="inlineStr">
        <is>
          <t>Provided Total Emissions</t>
        </is>
      </c>
      <c r="W991" t="b">
        <v>1</v>
      </c>
      <c r="X991" t="n">
        <v>18075.3025</v>
      </c>
      <c r="Y991" t="n">
        <v>22328.6205</v>
      </c>
      <c r="Z991" t="n">
        <v>-176.8888</v>
      </c>
      <c r="AA991" t="n">
        <v>4076.4292</v>
      </c>
      <c r="AB991" t="n">
        <v>-0.009691</v>
      </c>
      <c r="AC991" t="n">
        <v>0.223339</v>
      </c>
      <c r="AD991" t="inlineStr">
        <is>
          <t>High</t>
        </is>
      </c>
      <c r="AE991" t="inlineStr">
        <is>
          <t>None</t>
        </is>
      </c>
      <c r="AF991" t="n">
        <v>0.95</v>
      </c>
      <c r="AG991" t="inlineStr">
        <is>
          <t>Valid</t>
        </is>
      </c>
    </row>
    <row r="992">
      <c r="A992" t="inlineStr">
        <is>
          <t>SUP-0100</t>
        </is>
      </c>
      <c r="B992" t="inlineStr">
        <is>
          <t>Textiles Supplier 100</t>
        </is>
      </c>
      <c r="C992" t="inlineStr">
        <is>
          <t>Textiles</t>
        </is>
      </c>
      <c r="D992" t="n">
        <v>2015</v>
      </c>
      <c r="E992" t="n">
        <v>13718581.43</v>
      </c>
      <c r="F992" t="n">
        <v>106749313.62</v>
      </c>
      <c r="G992" t="n">
        <v>2384.4465</v>
      </c>
      <c r="H992" t="n">
        <v>307.9411</v>
      </c>
      <c r="I992" t="n">
        <v>204.2674</v>
      </c>
      <c r="J992" t="n">
        <v>2077.9014</v>
      </c>
      <c r="K992" t="n">
        <v>2021</v>
      </c>
      <c r="L992" t="n">
        <v>2040</v>
      </c>
      <c r="M992" t="n">
        <v>0.4388</v>
      </c>
      <c r="N992" t="n">
        <v>0.2538</v>
      </c>
      <c r="O992" t="n">
        <v>2019</v>
      </c>
      <c r="P992" t="n">
        <v>2030</v>
      </c>
      <c r="Q992" t="n">
        <v>0.3171</v>
      </c>
      <c r="R992" t="n">
        <v>401.7335</v>
      </c>
      <c r="S992" t="n">
        <v>0.00029221</v>
      </c>
      <c r="T992" t="n">
        <v>0.00017343</v>
      </c>
      <c r="U992" t="n">
        <v>2384.4465</v>
      </c>
      <c r="V992" t="inlineStr">
        <is>
          <t>Provided Total Emissions</t>
        </is>
      </c>
      <c r="W992" t="b">
        <v>1</v>
      </c>
      <c r="X992" t="n">
        <v>4008.7067</v>
      </c>
      <c r="Y992" t="n">
        <v>18513.5335</v>
      </c>
      <c r="Z992" t="n">
        <v>1624.2602</v>
      </c>
      <c r="AA992" t="n">
        <v>16129.087</v>
      </c>
      <c r="AB992" t="n">
        <v>0.68119</v>
      </c>
      <c r="AC992" t="n">
        <v>6.76429</v>
      </c>
      <c r="AD992" t="inlineStr">
        <is>
          <t>High</t>
        </is>
      </c>
      <c r="AE992" t="inlineStr">
        <is>
          <t>None</t>
        </is>
      </c>
      <c r="AF992" t="n">
        <v>0.95</v>
      </c>
      <c r="AG992" t="inlineStr">
        <is>
          <t>Valid</t>
        </is>
      </c>
    </row>
    <row r="993">
      <c r="A993" t="inlineStr">
        <is>
          <t>SUP-0100</t>
        </is>
      </c>
      <c r="B993" t="inlineStr">
        <is>
          <t>Textiles Supplier 100</t>
        </is>
      </c>
      <c r="C993" t="inlineStr">
        <is>
          <t>Textiles</t>
        </is>
      </c>
      <c r="D993" t="n">
        <v>2016</v>
      </c>
      <c r="E993" t="n">
        <v>17187988.86</v>
      </c>
      <c r="F993" t="n">
        <v>84683323.48999999</v>
      </c>
      <c r="G993" t="n">
        <v>3813.1932</v>
      </c>
      <c r="H993" t="n">
        <v>381.845</v>
      </c>
      <c r="I993" t="n">
        <v>323.0969</v>
      </c>
      <c r="J993" t="n">
        <v>3115.7329</v>
      </c>
      <c r="K993" t="n">
        <v>2021</v>
      </c>
      <c r="L993" t="n">
        <v>2040</v>
      </c>
      <c r="M993" t="n">
        <v>0.4388</v>
      </c>
      <c r="N993" t="n">
        <v>0.2538</v>
      </c>
      <c r="O993" t="n">
        <v>2019</v>
      </c>
      <c r="P993" t="n">
        <v>2030</v>
      </c>
      <c r="Q993" t="n">
        <v>0.3171</v>
      </c>
      <c r="R993" t="n">
        <v>401.7335</v>
      </c>
      <c r="S993" t="n">
        <v>0.00029221</v>
      </c>
      <c r="T993" t="n">
        <v>0.00017343</v>
      </c>
      <c r="U993" t="n">
        <v>3813.1932</v>
      </c>
      <c r="V993" t="inlineStr">
        <is>
          <t>Provided Total Emissions</t>
        </is>
      </c>
      <c r="W993" t="b">
        <v>1</v>
      </c>
      <c r="X993" t="n">
        <v>5022.5022</v>
      </c>
      <c r="Y993" t="n">
        <v>14686.6288</v>
      </c>
      <c r="Z993" t="n">
        <v>1209.309</v>
      </c>
      <c r="AA993" t="n">
        <v>10873.4356</v>
      </c>
      <c r="AB993" t="n">
        <v>0.317138</v>
      </c>
      <c r="AC993" t="n">
        <v>2.85153</v>
      </c>
      <c r="AD993" t="inlineStr">
        <is>
          <t>High</t>
        </is>
      </c>
      <c r="AE993" t="inlineStr">
        <is>
          <t>None</t>
        </is>
      </c>
      <c r="AF993" t="n">
        <v>0.95</v>
      </c>
      <c r="AG993" t="inlineStr">
        <is>
          <t>Valid</t>
        </is>
      </c>
    </row>
    <row r="994">
      <c r="A994" t="inlineStr">
        <is>
          <t>SUP-0100</t>
        </is>
      </c>
      <c r="B994" t="inlineStr">
        <is>
          <t>Textiles Supplier 100</t>
        </is>
      </c>
      <c r="C994" t="inlineStr">
        <is>
          <t>Textiles</t>
        </is>
      </c>
      <c r="D994" t="n">
        <v>2017</v>
      </c>
      <c r="E994" t="n">
        <v>12596103.48</v>
      </c>
      <c r="F994" t="n">
        <v>84877044.79000001</v>
      </c>
      <c r="G994" t="n">
        <v>1985.1952</v>
      </c>
      <c r="H994" t="n">
        <v>368.3827</v>
      </c>
      <c r="I994" t="n">
        <v>152.7146</v>
      </c>
      <c r="J994" t="n">
        <v>1479.6647</v>
      </c>
      <c r="K994" t="n">
        <v>2021</v>
      </c>
      <c r="L994" t="n">
        <v>2040</v>
      </c>
      <c r="M994" t="n">
        <v>0.4388</v>
      </c>
      <c r="N994" t="n">
        <v>0.2538</v>
      </c>
      <c r="O994" t="n">
        <v>2019</v>
      </c>
      <c r="P994" t="n">
        <v>2030</v>
      </c>
      <c r="Q994" t="n">
        <v>0.3171</v>
      </c>
      <c r="R994" t="n">
        <v>401.7335</v>
      </c>
      <c r="S994" t="n">
        <v>0.00029221</v>
      </c>
      <c r="T994" t="n">
        <v>0.00017343</v>
      </c>
      <c r="U994" t="n">
        <v>1985.1952</v>
      </c>
      <c r="V994" t="inlineStr">
        <is>
          <t>Provided Total Emissions</t>
        </is>
      </c>
      <c r="W994" t="b">
        <v>1</v>
      </c>
      <c r="X994" t="n">
        <v>3680.7074</v>
      </c>
      <c r="Y994" t="n">
        <v>14720.2259</v>
      </c>
      <c r="Z994" t="n">
        <v>1695.5122</v>
      </c>
      <c r="AA994" t="n">
        <v>12735.0307</v>
      </c>
      <c r="AB994" t="n">
        <v>0.854078</v>
      </c>
      <c r="AC994" t="n">
        <v>6.415002</v>
      </c>
      <c r="AD994" t="inlineStr">
        <is>
          <t>High</t>
        </is>
      </c>
      <c r="AE994" t="inlineStr">
        <is>
          <t>None</t>
        </is>
      </c>
      <c r="AF994" t="n">
        <v>0.95</v>
      </c>
      <c r="AG994" t="inlineStr">
        <is>
          <t>Valid</t>
        </is>
      </c>
    </row>
    <row r="995">
      <c r="A995" t="inlineStr">
        <is>
          <t>SUP-0100</t>
        </is>
      </c>
      <c r="B995" t="inlineStr">
        <is>
          <t>Textiles Supplier 100</t>
        </is>
      </c>
      <c r="C995" t="inlineStr">
        <is>
          <t>Textiles</t>
        </is>
      </c>
      <c r="D995" t="n">
        <v>2018</v>
      </c>
      <c r="E995" t="n">
        <v>14932737.31</v>
      </c>
      <c r="F995" t="n">
        <v>72839947.68000001</v>
      </c>
      <c r="G995" t="n">
        <v>2975.3629</v>
      </c>
      <c r="H995" t="n">
        <v>820.2539</v>
      </c>
      <c r="I995" t="n">
        <v>599.8927</v>
      </c>
      <c r="J995" t="n">
        <v>1873.328</v>
      </c>
      <c r="K995" t="n">
        <v>2021</v>
      </c>
      <c r="L995" t="n">
        <v>2040</v>
      </c>
      <c r="M995" t="n">
        <v>0.4388</v>
      </c>
      <c r="N995" t="n">
        <v>0.2538</v>
      </c>
      <c r="O995" t="n">
        <v>2019</v>
      </c>
      <c r="P995" t="n">
        <v>2030</v>
      </c>
      <c r="Q995" t="n">
        <v>0.3171</v>
      </c>
      <c r="R995" t="n">
        <v>401.7335</v>
      </c>
      <c r="S995" t="n">
        <v>0.00029221</v>
      </c>
      <c r="T995" t="n">
        <v>0.00017343</v>
      </c>
      <c r="U995" t="n">
        <v>2975.3629</v>
      </c>
      <c r="V995" t="inlineStr">
        <is>
          <t>Provided Total Emissions</t>
        </is>
      </c>
      <c r="W995" t="b">
        <v>1</v>
      </c>
      <c r="X995" t="n">
        <v>4363.4952</v>
      </c>
      <c r="Y995" t="n">
        <v>12632.6321</v>
      </c>
      <c r="Z995" t="n">
        <v>1388.1323</v>
      </c>
      <c r="AA995" t="n">
        <v>9657.269200000001</v>
      </c>
      <c r="AB995" t="n">
        <v>0.466542</v>
      </c>
      <c r="AC995" t="n">
        <v>3.245745</v>
      </c>
      <c r="AD995" t="inlineStr">
        <is>
          <t>High</t>
        </is>
      </c>
      <c r="AE995" t="inlineStr">
        <is>
          <t>None</t>
        </is>
      </c>
      <c r="AF995" t="n">
        <v>0.95</v>
      </c>
      <c r="AG995" t="inlineStr">
        <is>
          <t>Valid</t>
        </is>
      </c>
    </row>
    <row r="996">
      <c r="A996" t="inlineStr">
        <is>
          <t>SUP-0100</t>
        </is>
      </c>
      <c r="B996" t="inlineStr">
        <is>
          <t>Textiles Supplier 100</t>
        </is>
      </c>
      <c r="C996" t="inlineStr">
        <is>
          <t>Textiles</t>
        </is>
      </c>
      <c r="D996" t="n">
        <v>2019</v>
      </c>
      <c r="E996" t="n">
        <v>16443779.31</v>
      </c>
      <c r="F996" t="n">
        <v>84578057.51000001</v>
      </c>
      <c r="G996" t="n">
        <v>3143.7062</v>
      </c>
      <c r="H996" t="n">
        <v>801.4589</v>
      </c>
      <c r="I996" t="n">
        <v>440.31</v>
      </c>
      <c r="J996" t="n">
        <v>1932.104</v>
      </c>
      <c r="K996" t="n">
        <v>2021</v>
      </c>
      <c r="L996" t="n">
        <v>2040</v>
      </c>
      <c r="M996" t="n">
        <v>0.4388</v>
      </c>
      <c r="N996" t="n">
        <v>0.2538</v>
      </c>
      <c r="O996" t="n">
        <v>2019</v>
      </c>
      <c r="P996" t="n">
        <v>2030</v>
      </c>
      <c r="Q996" t="n">
        <v>0.3171</v>
      </c>
      <c r="R996" t="n">
        <v>401.7335</v>
      </c>
      <c r="S996" t="n">
        <v>0.00029221</v>
      </c>
      <c r="T996" t="n">
        <v>0.00017343</v>
      </c>
      <c r="U996" t="n">
        <v>3143.7062</v>
      </c>
      <c r="V996" t="inlineStr">
        <is>
          <t>Provided Total Emissions</t>
        </is>
      </c>
      <c r="W996" t="b">
        <v>1</v>
      </c>
      <c r="X996" t="n">
        <v>4805.0368</v>
      </c>
      <c r="Y996" t="n">
        <v>14668.3725</v>
      </c>
      <c r="Z996" t="n">
        <v>1661.3306</v>
      </c>
      <c r="AA996" t="n">
        <v>11524.6663</v>
      </c>
      <c r="AB996" t="n">
        <v>0.528462</v>
      </c>
      <c r="AC996" t="n">
        <v>3.665949</v>
      </c>
      <c r="AD996" t="inlineStr">
        <is>
          <t>High</t>
        </is>
      </c>
      <c r="AE996" t="inlineStr">
        <is>
          <t>None</t>
        </is>
      </c>
      <c r="AF996" t="n">
        <v>0.95</v>
      </c>
      <c r="AG996" t="inlineStr">
        <is>
          <t>Valid</t>
        </is>
      </c>
    </row>
    <row r="997">
      <c r="A997" t="inlineStr">
        <is>
          <t>SUP-0100</t>
        </is>
      </c>
      <c r="B997" t="inlineStr">
        <is>
          <t>Textiles Supplier 100</t>
        </is>
      </c>
      <c r="C997" t="inlineStr">
        <is>
          <t>Textiles</t>
        </is>
      </c>
      <c r="D997" t="n">
        <v>2020</v>
      </c>
      <c r="E997" t="n">
        <v>16320806.31</v>
      </c>
      <c r="F997" t="n">
        <v>91639535.77</v>
      </c>
      <c r="G997" t="n">
        <v>2549.134</v>
      </c>
      <c r="H997" t="n">
        <v>457.0056</v>
      </c>
      <c r="I997" t="n">
        <v>183.8167</v>
      </c>
      <c r="J997" t="n">
        <v>2067.0889</v>
      </c>
      <c r="K997" t="n">
        <v>2021</v>
      </c>
      <c r="L997" t="n">
        <v>2040</v>
      </c>
      <c r="M997" t="n">
        <v>0.4388</v>
      </c>
      <c r="N997" t="n">
        <v>0.2538</v>
      </c>
      <c r="O997" t="n">
        <v>2019</v>
      </c>
      <c r="P997" t="n">
        <v>2030</v>
      </c>
      <c r="Q997" t="n">
        <v>0.3171</v>
      </c>
      <c r="R997" t="n">
        <v>401.7335</v>
      </c>
      <c r="S997" t="n">
        <v>0.00029221</v>
      </c>
      <c r="T997" t="n">
        <v>0.00017343</v>
      </c>
      <c r="U997" t="n">
        <v>2549.134</v>
      </c>
      <c r="V997" t="inlineStr">
        <is>
          <t>Provided Total Emissions</t>
        </is>
      </c>
      <c r="W997" t="b">
        <v>1</v>
      </c>
      <c r="X997" t="n">
        <v>4769.1028</v>
      </c>
      <c r="Y997" t="n">
        <v>15893.0447</v>
      </c>
      <c r="Z997" t="n">
        <v>2219.9688</v>
      </c>
      <c r="AA997" t="n">
        <v>13343.9107</v>
      </c>
      <c r="AB997" t="n">
        <v>0.870872</v>
      </c>
      <c r="AC997" t="n">
        <v>5.234684</v>
      </c>
      <c r="AD997" t="inlineStr">
        <is>
          <t>High</t>
        </is>
      </c>
      <c r="AE997" t="inlineStr">
        <is>
          <t>None</t>
        </is>
      </c>
      <c r="AF997" t="n">
        <v>0.95</v>
      </c>
      <c r="AG997" t="inlineStr">
        <is>
          <t>Valid</t>
        </is>
      </c>
    </row>
    <row r="998">
      <c r="A998" t="inlineStr">
        <is>
          <t>SUP-0100</t>
        </is>
      </c>
      <c r="B998" t="inlineStr">
        <is>
          <t>Textiles Supplier 100</t>
        </is>
      </c>
      <c r="C998" t="inlineStr">
        <is>
          <t>Textiles</t>
        </is>
      </c>
      <c r="D998" t="n">
        <v>2021</v>
      </c>
      <c r="E998" t="n">
        <v>15485788.82</v>
      </c>
      <c r="F998" t="n">
        <v>85489603.54000001</v>
      </c>
      <c r="G998" t="n">
        <v>2981.1122</v>
      </c>
      <c r="H998" t="n">
        <v>277.5135</v>
      </c>
      <c r="I998" t="n">
        <v>249.052</v>
      </c>
      <c r="J998" t="n">
        <v>2512.6167</v>
      </c>
      <c r="K998" t="n">
        <v>2021</v>
      </c>
      <c r="L998" t="n">
        <v>2040</v>
      </c>
      <c r="M998" t="n">
        <v>0.4388</v>
      </c>
      <c r="N998" t="n">
        <v>0.2538</v>
      </c>
      <c r="O998" t="n">
        <v>2019</v>
      </c>
      <c r="P998" t="n">
        <v>2030</v>
      </c>
      <c r="Q998" t="n">
        <v>0.3171</v>
      </c>
      <c r="R998" t="n">
        <v>401.7335</v>
      </c>
      <c r="S998" t="n">
        <v>0.00029221</v>
      </c>
      <c r="T998" t="n">
        <v>0.00017343</v>
      </c>
      <c r="U998" t="n">
        <v>2981.1122</v>
      </c>
      <c r="V998" t="inlineStr">
        <is>
          <t>Provided Total Emissions</t>
        </is>
      </c>
      <c r="W998" t="b">
        <v>1</v>
      </c>
      <c r="X998" t="n">
        <v>4525.1024</v>
      </c>
      <c r="Y998" t="n">
        <v>14826.4619</v>
      </c>
      <c r="Z998" t="n">
        <v>1543.9902</v>
      </c>
      <c r="AA998" t="n">
        <v>11845.3497</v>
      </c>
      <c r="AB998" t="n">
        <v>0.5179240000000001</v>
      </c>
      <c r="AC998" t="n">
        <v>3.973467</v>
      </c>
      <c r="AD998" t="inlineStr">
        <is>
          <t>High</t>
        </is>
      </c>
      <c r="AE998" t="inlineStr">
        <is>
          <t>None</t>
        </is>
      </c>
      <c r="AF998" t="n">
        <v>0.95</v>
      </c>
      <c r="AG998" t="inlineStr">
        <is>
          <t>Valid</t>
        </is>
      </c>
    </row>
    <row r="999">
      <c r="A999" t="inlineStr">
        <is>
          <t>SUP-0100</t>
        </is>
      </c>
      <c r="B999" t="inlineStr">
        <is>
          <t>Textiles Supplier 100</t>
        </is>
      </c>
      <c r="C999" t="inlineStr">
        <is>
          <t>Textiles</t>
        </is>
      </c>
      <c r="D999" t="n">
        <v>2022</v>
      </c>
      <c r="E999" t="n">
        <v>15752555.25</v>
      </c>
      <c r="F999" t="n">
        <v>96550144.47</v>
      </c>
      <c r="G999" t="n">
        <v>2848.0414</v>
      </c>
      <c r="H999" t="n">
        <v>250.7892</v>
      </c>
      <c r="I999" t="n">
        <v>317.6502</v>
      </c>
      <c r="J999" t="n">
        <v>2143.8433</v>
      </c>
      <c r="K999" t="n">
        <v>2021</v>
      </c>
      <c r="L999" t="n">
        <v>2040</v>
      </c>
      <c r="M999" t="n">
        <v>0.4388</v>
      </c>
      <c r="N999" t="n">
        <v>0.2538</v>
      </c>
      <c r="O999" t="n">
        <v>2019</v>
      </c>
      <c r="P999" t="n">
        <v>2030</v>
      </c>
      <c r="Q999" t="n">
        <v>0.3171</v>
      </c>
      <c r="R999" t="n">
        <v>401.7335</v>
      </c>
      <c r="S999" t="n">
        <v>0.00029221</v>
      </c>
      <c r="T999" t="n">
        <v>0.00017343</v>
      </c>
      <c r="U999" t="n">
        <v>2848.0414</v>
      </c>
      <c r="V999" t="inlineStr">
        <is>
          <t>Provided Total Emissions</t>
        </is>
      </c>
      <c r="W999" t="b">
        <v>1</v>
      </c>
      <c r="X999" t="n">
        <v>4603.0542</v>
      </c>
      <c r="Y999" t="n">
        <v>16744.6916</v>
      </c>
      <c r="Z999" t="n">
        <v>1755.0128</v>
      </c>
      <c r="AA999" t="n">
        <v>13896.6502</v>
      </c>
      <c r="AB999" t="n">
        <v>0.616217</v>
      </c>
      <c r="AC999" t="n">
        <v>4.879371</v>
      </c>
      <c r="AD999" t="inlineStr">
        <is>
          <t>High</t>
        </is>
      </c>
      <c r="AE999" t="inlineStr">
        <is>
          <t>None</t>
        </is>
      </c>
      <c r="AF999" t="n">
        <v>0.95</v>
      </c>
      <c r="AG999" t="inlineStr">
        <is>
          <t>Valid</t>
        </is>
      </c>
    </row>
    <row r="1000">
      <c r="A1000" t="inlineStr">
        <is>
          <t>SUP-0100</t>
        </is>
      </c>
      <c r="B1000" t="inlineStr">
        <is>
          <t>Textiles Supplier 100</t>
        </is>
      </c>
      <c r="C1000" t="inlineStr">
        <is>
          <t>Textiles</t>
        </is>
      </c>
      <c r="D1000" t="n">
        <v>2023</v>
      </c>
      <c r="E1000" t="n">
        <v>16449695.07</v>
      </c>
      <c r="F1000" t="n">
        <v>99813279.56999999</v>
      </c>
      <c r="G1000" t="n">
        <v>2997.4418</v>
      </c>
      <c r="H1000" t="n">
        <v>706.7492999999999</v>
      </c>
      <c r="I1000" t="n">
        <v>312.2851</v>
      </c>
      <c r="J1000" t="n">
        <v>1792.0128</v>
      </c>
      <c r="K1000" t="n">
        <v>2021</v>
      </c>
      <c r="L1000" t="n">
        <v>2040</v>
      </c>
      <c r="M1000" t="n">
        <v>0.4388</v>
      </c>
      <c r="N1000" t="n">
        <v>0.2538</v>
      </c>
      <c r="O1000" t="n">
        <v>2019</v>
      </c>
      <c r="P1000" t="n">
        <v>2030</v>
      </c>
      <c r="Q1000" t="n">
        <v>0.3171</v>
      </c>
      <c r="R1000" t="n">
        <v>401.7335</v>
      </c>
      <c r="S1000" t="n">
        <v>0.00029221</v>
      </c>
      <c r="T1000" t="n">
        <v>0.00017343</v>
      </c>
      <c r="U1000" t="n">
        <v>2997.4418</v>
      </c>
      <c r="V1000" t="inlineStr">
        <is>
          <t>Provided Total Emissions</t>
        </is>
      </c>
      <c r="W1000" t="b">
        <v>1</v>
      </c>
      <c r="X1000" t="n">
        <v>4806.7654</v>
      </c>
      <c r="Y1000" t="n">
        <v>17310.6171</v>
      </c>
      <c r="Z1000" t="n">
        <v>1809.3236</v>
      </c>
      <c r="AA1000" t="n">
        <v>14313.1753</v>
      </c>
      <c r="AB1000" t="n">
        <v>0.603623</v>
      </c>
      <c r="AC1000" t="n">
        <v>4.77513</v>
      </c>
      <c r="AD1000" t="inlineStr">
        <is>
          <t>High</t>
        </is>
      </c>
      <c r="AE1000" t="inlineStr">
        <is>
          <t>None</t>
        </is>
      </c>
      <c r="AF1000" t="n">
        <v>0.95</v>
      </c>
      <c r="AG1000" t="inlineStr">
        <is>
          <t>Valid</t>
        </is>
      </c>
    </row>
    <row r="1001">
      <c r="A1001" t="inlineStr">
        <is>
          <t>SUP-0100</t>
        </is>
      </c>
      <c r="B1001" t="inlineStr">
        <is>
          <t>Textiles Supplier 100</t>
        </is>
      </c>
      <c r="C1001" t="inlineStr">
        <is>
          <t>Textiles</t>
        </is>
      </c>
      <c r="D1001" t="n">
        <v>2024</v>
      </c>
      <c r="E1001" t="n">
        <v>13864228.9</v>
      </c>
      <c r="F1001" t="n">
        <v>112478844.45</v>
      </c>
      <c r="G1001" t="n">
        <v>2905.4854</v>
      </c>
      <c r="H1001" t="n">
        <v>541.6402</v>
      </c>
      <c r="I1001" t="n">
        <v>572.5276</v>
      </c>
      <c r="J1001" t="n">
        <v>1759.8716</v>
      </c>
      <c r="K1001" t="n">
        <v>2021</v>
      </c>
      <c r="L1001" t="n">
        <v>2040</v>
      </c>
      <c r="M1001" t="n">
        <v>0.4388</v>
      </c>
      <c r="N1001" t="n">
        <v>0.2538</v>
      </c>
      <c r="O1001" t="n">
        <v>2019</v>
      </c>
      <c r="P1001" t="n">
        <v>2030</v>
      </c>
      <c r="Q1001" t="n">
        <v>0.3171</v>
      </c>
      <c r="R1001" t="n">
        <v>401.7335</v>
      </c>
      <c r="S1001" t="n">
        <v>0.00029221</v>
      </c>
      <c r="T1001" t="n">
        <v>0.00017343</v>
      </c>
      <c r="U1001" t="n">
        <v>2905.4854</v>
      </c>
      <c r="V1001" t="inlineStr">
        <is>
          <t>Provided Total Emissions</t>
        </is>
      </c>
      <c r="W1001" t="b">
        <v>1</v>
      </c>
      <c r="X1001" t="n">
        <v>4051.2663</v>
      </c>
      <c r="Y1001" t="n">
        <v>19507.206</v>
      </c>
      <c r="Z1001" t="n">
        <v>1145.7809</v>
      </c>
      <c r="AA1001" t="n">
        <v>16601.7206</v>
      </c>
      <c r="AB1001" t="n">
        <v>0.394351</v>
      </c>
      <c r="AC1001" t="n">
        <v>5.713923</v>
      </c>
      <c r="AD1001" t="inlineStr">
        <is>
          <t>High</t>
        </is>
      </c>
      <c r="AE1001" t="inlineStr">
        <is>
          <t>None</t>
        </is>
      </c>
      <c r="AF1001" t="n">
        <v>0.95</v>
      </c>
      <c r="AG1001" t="inlineStr">
        <is>
          <t>Valid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Supplier_Name</t>
        </is>
      </c>
      <c r="C1" t="inlineStr">
        <is>
          <t>Supplier_Industry</t>
        </is>
      </c>
      <c r="D1" t="inlineStr">
        <is>
          <t>Supplier_Year</t>
        </is>
      </c>
      <c r="E1" t="inlineStr">
        <is>
          <t>Baseline_Year</t>
        </is>
      </c>
      <c r="F1" t="inlineStr">
        <is>
          <t>Target_Year</t>
        </is>
      </c>
      <c r="G1" t="inlineStr">
        <is>
          <t>Reported_Emissions</t>
        </is>
      </c>
      <c r="H1" t="inlineStr">
        <is>
          <t>Scope1_Emission</t>
        </is>
      </c>
      <c r="I1" t="inlineStr">
        <is>
          <t>Scope2_Emission</t>
        </is>
      </c>
      <c r="J1" t="inlineStr">
        <is>
          <t>Scope3_Emission</t>
        </is>
      </c>
      <c r="K1" t="inlineStr">
        <is>
          <t>Gross_Spend</t>
        </is>
      </c>
      <c r="L1" t="inlineStr">
        <is>
          <t>Revenue</t>
        </is>
      </c>
      <c r="M1" t="inlineStr">
        <is>
          <t>Total_Emission_Value</t>
        </is>
      </c>
      <c r="N1" t="inlineStr">
        <is>
          <t>Emission_Source_Flag</t>
        </is>
      </c>
      <c r="O1" t="inlineStr">
        <is>
          <t>Emissions_Data_Available_Flag</t>
        </is>
      </c>
      <c r="P1" t="inlineStr">
        <is>
          <t>Historical_Trend</t>
        </is>
      </c>
      <c r="Q1" t="inlineStr">
        <is>
          <t>Supplier_Growth_Projection</t>
        </is>
      </c>
      <c r="R1" t="inlineStr">
        <is>
          <t>Spend_Based_Emission</t>
        </is>
      </c>
      <c r="S1" t="inlineStr">
        <is>
          <t>Revenue_Based_Emission</t>
        </is>
      </c>
      <c r="T1" t="inlineStr">
        <is>
          <t>Spend_Based_vs_Actual</t>
        </is>
      </c>
      <c r="U1" t="inlineStr">
        <is>
          <t>Revenue_Based_vs_Actual</t>
        </is>
      </c>
      <c r="V1" t="inlineStr">
        <is>
          <t>Spend_Based_Variance_Percentage</t>
        </is>
      </c>
      <c r="W1" t="inlineStr">
        <is>
          <t>Revenue_Based_Variance_Percentage</t>
        </is>
      </c>
      <c r="X1" t="inlineStr">
        <is>
          <t>Data_Quality_Flag</t>
        </is>
      </c>
      <c r="Y1" t="inlineStr">
        <is>
          <t>Missing_Parameter_Flag</t>
        </is>
      </c>
      <c r="Z1" t="inlineStr">
        <is>
          <t>Validation_Flag</t>
        </is>
      </c>
      <c r="AA1" t="inlineStr">
        <is>
          <t>Forecast_Year</t>
        </is>
      </c>
      <c r="AB1" t="inlineStr">
        <is>
          <t>Forecast_Method_Flag</t>
        </is>
      </c>
      <c r="AC1" t="inlineStr">
        <is>
          <t>Baseline_Emission</t>
        </is>
      </c>
      <c r="AD1" t="inlineStr">
        <is>
          <t>Target_Emission</t>
        </is>
      </c>
      <c r="AE1" t="inlineStr">
        <is>
          <t>Forecast_Emission</t>
        </is>
      </c>
      <c r="AF1" t="inlineStr">
        <is>
          <t>Glide_Path_Emission</t>
        </is>
      </c>
      <c r="AG1" t="inlineStr">
        <is>
          <t>Absolute_Reduction</t>
        </is>
      </c>
      <c r="AH1" t="inlineStr">
        <is>
          <t>Emission_Intensity</t>
        </is>
      </c>
      <c r="AI1" t="inlineStr">
        <is>
          <t>Intensity_Reduction</t>
        </is>
      </c>
      <c r="AJ1" t="inlineStr">
        <is>
          <t>Gap_to_Target</t>
        </is>
      </c>
      <c r="AK1" t="inlineStr">
        <is>
          <t>Annual_Reduction_Required</t>
        </is>
      </c>
      <c r="AL1" t="inlineStr">
        <is>
          <t>Carbon_Budget_Remaining</t>
        </is>
      </c>
      <c r="AM1" t="inlineStr">
        <is>
          <t>Cumulative_Emissions</t>
        </is>
      </c>
      <c r="AN1" t="inlineStr">
        <is>
          <t>Confidence_Score</t>
        </is>
      </c>
      <c r="AO1" t="inlineStr">
        <is>
          <t>Supplier_Risk_Category</t>
        </is>
      </c>
      <c r="AP1" t="inlineStr">
        <is>
          <t>Target_Achievement_Status</t>
        </is>
      </c>
    </row>
    <row r="2">
      <c r="A2" t="inlineStr">
        <is>
          <t>SUP-0001</t>
        </is>
      </c>
      <c r="B2" t="inlineStr">
        <is>
          <t>Professional Supplier 001</t>
        </is>
      </c>
      <c r="C2" t="inlineStr">
        <is>
          <t>Professional Services</t>
        </is>
      </c>
      <c r="D2" t="n">
        <v>2024</v>
      </c>
      <c r="E2" t="n">
        <v>2021</v>
      </c>
      <c r="F2" t="n">
        <v>2040</v>
      </c>
      <c r="G2" t="n">
        <v>996.923</v>
      </c>
      <c r="H2" t="n">
        <v>170.7065</v>
      </c>
      <c r="I2" t="n">
        <v>70.4457</v>
      </c>
      <c r="J2" t="n">
        <v>823.8057</v>
      </c>
      <c r="K2" t="n">
        <v>14659284.07</v>
      </c>
      <c r="L2" t="n">
        <v>38852519.79</v>
      </c>
      <c r="M2" t="n">
        <v>996.923</v>
      </c>
      <c r="N2" t="inlineStr">
        <is>
          <t>Provided Total Emissions</t>
        </is>
      </c>
      <c r="O2" t="b">
        <v>1</v>
      </c>
      <c r="P2" t="n">
        <v>0.016417</v>
      </c>
      <c r="Q2" t="n">
        <v>0.056622</v>
      </c>
      <c r="R2" t="n">
        <v>1891.9272</v>
      </c>
      <c r="S2" t="n">
        <v>7637.6283</v>
      </c>
      <c r="T2" t="n">
        <v>895.0042</v>
      </c>
      <c r="U2" t="n">
        <v>6640.7053</v>
      </c>
      <c r="V2" t="n">
        <v>0.897767</v>
      </c>
      <c r="W2" t="n">
        <v>6.661202</v>
      </c>
      <c r="X2" t="inlineStr">
        <is>
          <t>High</t>
        </is>
      </c>
      <c r="Y2" t="inlineStr">
        <is>
          <t>None</t>
        </is>
      </c>
      <c r="Z2" t="inlineStr">
        <is>
          <t>Valid</t>
        </is>
      </c>
      <c r="AA2" t="n">
        <v>2025</v>
      </c>
      <c r="AB2" t="inlineStr">
        <is>
          <t>Supplier Target Pathway</t>
        </is>
      </c>
      <c r="AC2" t="n">
        <v>799.0691</v>
      </c>
      <c r="AD2" t="n">
        <v>417.1141</v>
      </c>
      <c r="AE2" t="n">
        <v>718.6575</v>
      </c>
      <c r="AF2" t="n">
        <v>718.6575</v>
      </c>
      <c r="AG2" t="n">
        <v>80.41160000000001</v>
      </c>
      <c r="AH2" t="n">
        <v>4.902e-05</v>
      </c>
      <c r="AI2" t="n">
        <v>0.100632</v>
      </c>
      <c r="AJ2" t="n">
        <v>301.5434</v>
      </c>
      <c r="AK2" t="n">
        <v>20.1029</v>
      </c>
      <c r="AL2" t="n">
        <v>5955.1681</v>
      </c>
      <c r="AM2" t="n">
        <v>718.6575</v>
      </c>
      <c r="AN2" t="n">
        <v>0.99</v>
      </c>
      <c r="AO2" t="inlineStr">
        <is>
          <t>Critical</t>
        </is>
      </c>
      <c r="AP2" t="inlineStr">
        <is>
          <t>On Track to Glide Path</t>
        </is>
      </c>
    </row>
    <row r="3">
      <c r="A3" t="inlineStr">
        <is>
          <t>SUP-0001</t>
        </is>
      </c>
      <c r="B3" t="inlineStr">
        <is>
          <t>Professional Supplier 001</t>
        </is>
      </c>
      <c r="C3" t="inlineStr">
        <is>
          <t>Professional Services</t>
        </is>
      </c>
      <c r="D3" t="n">
        <v>2024</v>
      </c>
      <c r="E3" t="n">
        <v>2021</v>
      </c>
      <c r="F3" t="n">
        <v>2040</v>
      </c>
      <c r="G3" t="n">
        <v>996.923</v>
      </c>
      <c r="H3" t="n">
        <v>170.7065</v>
      </c>
      <c r="I3" t="n">
        <v>70.4457</v>
      </c>
      <c r="J3" t="n">
        <v>823.8057</v>
      </c>
      <c r="K3" t="n">
        <v>14659284.07</v>
      </c>
      <c r="L3" t="n">
        <v>38852519.79</v>
      </c>
      <c r="M3" t="n">
        <v>996.923</v>
      </c>
      <c r="N3" t="inlineStr">
        <is>
          <t>Provided Total Emissions</t>
        </is>
      </c>
      <c r="O3" t="b">
        <v>1</v>
      </c>
      <c r="P3" t="n">
        <v>0.016417</v>
      </c>
      <c r="Q3" t="n">
        <v>0.056622</v>
      </c>
      <c r="R3" t="n">
        <v>1891.9272</v>
      </c>
      <c r="S3" t="n">
        <v>7637.6283</v>
      </c>
      <c r="T3" t="n">
        <v>895.0042</v>
      </c>
      <c r="U3" t="n">
        <v>6640.7053</v>
      </c>
      <c r="V3" t="n">
        <v>0.897767</v>
      </c>
      <c r="W3" t="n">
        <v>6.661202</v>
      </c>
      <c r="X3" t="inlineStr">
        <is>
          <t>High</t>
        </is>
      </c>
      <c r="Y3" t="inlineStr">
        <is>
          <t>None</t>
        </is>
      </c>
      <c r="Z3" t="inlineStr">
        <is>
          <t>Valid</t>
        </is>
      </c>
      <c r="AA3" t="n">
        <v>2026</v>
      </c>
      <c r="AB3" t="inlineStr">
        <is>
          <t>Supplier Target Pathway</t>
        </is>
      </c>
      <c r="AC3" t="n">
        <v>799.0691</v>
      </c>
      <c r="AD3" t="n">
        <v>417.1141</v>
      </c>
      <c r="AE3" t="n">
        <v>698.5546000000001</v>
      </c>
      <c r="AF3" t="n">
        <v>698.5546000000001</v>
      </c>
      <c r="AG3" t="n">
        <v>100.5145</v>
      </c>
      <c r="AH3" t="n">
        <v>4.765e-05</v>
      </c>
      <c r="AI3" t="n">
        <v>0.125789</v>
      </c>
      <c r="AJ3" t="n">
        <v>281.4405</v>
      </c>
      <c r="AK3" t="n">
        <v>20.1029</v>
      </c>
      <c r="AL3" t="n">
        <v>5256.6135</v>
      </c>
      <c r="AM3" t="n">
        <v>1417.2121</v>
      </c>
      <c r="AN3" t="n">
        <v>0.99</v>
      </c>
      <c r="AO3" t="inlineStr">
        <is>
          <t>Critical</t>
        </is>
      </c>
      <c r="AP3" t="inlineStr">
        <is>
          <t>On Track to Glide Path</t>
        </is>
      </c>
    </row>
    <row r="4">
      <c r="A4" t="inlineStr">
        <is>
          <t>SUP-0001</t>
        </is>
      </c>
      <c r="B4" t="inlineStr">
        <is>
          <t>Professional Supplier 001</t>
        </is>
      </c>
      <c r="C4" t="inlineStr">
        <is>
          <t>Professional Services</t>
        </is>
      </c>
      <c r="D4" t="n">
        <v>2024</v>
      </c>
      <c r="E4" t="n">
        <v>2021</v>
      </c>
      <c r="F4" t="n">
        <v>2040</v>
      </c>
      <c r="G4" t="n">
        <v>996.923</v>
      </c>
      <c r="H4" t="n">
        <v>170.7065</v>
      </c>
      <c r="I4" t="n">
        <v>70.4457</v>
      </c>
      <c r="J4" t="n">
        <v>823.8057</v>
      </c>
      <c r="K4" t="n">
        <v>14659284.07</v>
      </c>
      <c r="L4" t="n">
        <v>38852519.79</v>
      </c>
      <c r="M4" t="n">
        <v>996.923</v>
      </c>
      <c r="N4" t="inlineStr">
        <is>
          <t>Provided Total Emissions</t>
        </is>
      </c>
      <c r="O4" t="b">
        <v>1</v>
      </c>
      <c r="P4" t="n">
        <v>0.016417</v>
      </c>
      <c r="Q4" t="n">
        <v>0.056622</v>
      </c>
      <c r="R4" t="n">
        <v>1891.9272</v>
      </c>
      <c r="S4" t="n">
        <v>7637.6283</v>
      </c>
      <c r="T4" t="n">
        <v>895.0042</v>
      </c>
      <c r="U4" t="n">
        <v>6640.7053</v>
      </c>
      <c r="V4" t="n">
        <v>0.897767</v>
      </c>
      <c r="W4" t="n">
        <v>6.661202</v>
      </c>
      <c r="X4" t="inlineStr">
        <is>
          <t>High</t>
        </is>
      </c>
      <c r="Y4" t="inlineStr">
        <is>
          <t>None</t>
        </is>
      </c>
      <c r="Z4" t="inlineStr">
        <is>
          <t>Valid</t>
        </is>
      </c>
      <c r="AA4" t="n">
        <v>2027</v>
      </c>
      <c r="AB4" t="inlineStr">
        <is>
          <t>Supplier Target Pathway</t>
        </is>
      </c>
      <c r="AC4" t="n">
        <v>799.0691</v>
      </c>
      <c r="AD4" t="n">
        <v>417.1141</v>
      </c>
      <c r="AE4" t="n">
        <v>678.4517</v>
      </c>
      <c r="AF4" t="n">
        <v>678.4517</v>
      </c>
      <c r="AG4" t="n">
        <v>120.6174</v>
      </c>
      <c r="AH4" t="n">
        <v>4.628e-05</v>
      </c>
      <c r="AI4" t="n">
        <v>0.150947</v>
      </c>
      <c r="AJ4" t="n">
        <v>261.3377</v>
      </c>
      <c r="AK4" t="n">
        <v>20.1029</v>
      </c>
      <c r="AL4" t="n">
        <v>4578.1618</v>
      </c>
      <c r="AM4" t="n">
        <v>2095.6638</v>
      </c>
      <c r="AN4" t="n">
        <v>0.99</v>
      </c>
      <c r="AO4" t="inlineStr">
        <is>
          <t>Critical</t>
        </is>
      </c>
      <c r="AP4" t="inlineStr">
        <is>
          <t>On Track to Glide Path</t>
        </is>
      </c>
    </row>
    <row r="5">
      <c r="A5" t="inlineStr">
        <is>
          <t>SUP-0001</t>
        </is>
      </c>
      <c r="B5" t="inlineStr">
        <is>
          <t>Professional Supplier 001</t>
        </is>
      </c>
      <c r="C5" t="inlineStr">
        <is>
          <t>Professional Services</t>
        </is>
      </c>
      <c r="D5" t="n">
        <v>2024</v>
      </c>
      <c r="E5" t="n">
        <v>2021</v>
      </c>
      <c r="F5" t="n">
        <v>2040</v>
      </c>
      <c r="G5" t="n">
        <v>996.923</v>
      </c>
      <c r="H5" t="n">
        <v>170.7065</v>
      </c>
      <c r="I5" t="n">
        <v>70.4457</v>
      </c>
      <c r="J5" t="n">
        <v>823.8057</v>
      </c>
      <c r="K5" t="n">
        <v>14659284.07</v>
      </c>
      <c r="L5" t="n">
        <v>38852519.79</v>
      </c>
      <c r="M5" t="n">
        <v>996.923</v>
      </c>
      <c r="N5" t="inlineStr">
        <is>
          <t>Provided Total Emissions</t>
        </is>
      </c>
      <c r="O5" t="b">
        <v>1</v>
      </c>
      <c r="P5" t="n">
        <v>0.016417</v>
      </c>
      <c r="Q5" t="n">
        <v>0.056622</v>
      </c>
      <c r="R5" t="n">
        <v>1891.9272</v>
      </c>
      <c r="S5" t="n">
        <v>7637.6283</v>
      </c>
      <c r="T5" t="n">
        <v>895.0042</v>
      </c>
      <c r="U5" t="n">
        <v>6640.7053</v>
      </c>
      <c r="V5" t="n">
        <v>0.897767</v>
      </c>
      <c r="W5" t="n">
        <v>6.661202</v>
      </c>
      <c r="X5" t="inlineStr">
        <is>
          <t>High</t>
        </is>
      </c>
      <c r="Y5" t="inlineStr">
        <is>
          <t>None</t>
        </is>
      </c>
      <c r="Z5" t="inlineStr">
        <is>
          <t>Valid</t>
        </is>
      </c>
      <c r="AA5" t="n">
        <v>2028</v>
      </c>
      <c r="AB5" t="inlineStr">
        <is>
          <t>Supplier Target Pathway</t>
        </is>
      </c>
      <c r="AC5" t="n">
        <v>799.0691</v>
      </c>
      <c r="AD5" t="n">
        <v>417.1141</v>
      </c>
      <c r="AE5" t="n">
        <v>658.3488</v>
      </c>
      <c r="AF5" t="n">
        <v>658.3488</v>
      </c>
      <c r="AG5" t="n">
        <v>140.7203</v>
      </c>
      <c r="AH5" t="n">
        <v>4.491e-05</v>
      </c>
      <c r="AI5" t="n">
        <v>0.176105</v>
      </c>
      <c r="AJ5" t="n">
        <v>241.2348</v>
      </c>
      <c r="AK5" t="n">
        <v>20.1029</v>
      </c>
      <c r="AL5" t="n">
        <v>3919.813</v>
      </c>
      <c r="AM5" t="n">
        <v>2754.0126</v>
      </c>
      <c r="AN5" t="n">
        <v>0.99</v>
      </c>
      <c r="AO5" t="inlineStr">
        <is>
          <t>Critical</t>
        </is>
      </c>
      <c r="AP5" t="inlineStr">
        <is>
          <t>On Track to Glide Path</t>
        </is>
      </c>
    </row>
    <row r="6">
      <c r="A6" t="inlineStr">
        <is>
          <t>SUP-0001</t>
        </is>
      </c>
      <c r="B6" t="inlineStr">
        <is>
          <t>Professional Supplier 001</t>
        </is>
      </c>
      <c r="C6" t="inlineStr">
        <is>
          <t>Professional Services</t>
        </is>
      </c>
      <c r="D6" t="n">
        <v>2024</v>
      </c>
      <c r="E6" t="n">
        <v>2021</v>
      </c>
      <c r="F6" t="n">
        <v>2040</v>
      </c>
      <c r="G6" t="n">
        <v>996.923</v>
      </c>
      <c r="H6" t="n">
        <v>170.7065</v>
      </c>
      <c r="I6" t="n">
        <v>70.4457</v>
      </c>
      <c r="J6" t="n">
        <v>823.8057</v>
      </c>
      <c r="K6" t="n">
        <v>14659284.07</v>
      </c>
      <c r="L6" t="n">
        <v>38852519.79</v>
      </c>
      <c r="M6" t="n">
        <v>996.923</v>
      </c>
      <c r="N6" t="inlineStr">
        <is>
          <t>Provided Total Emissions</t>
        </is>
      </c>
      <c r="O6" t="b">
        <v>1</v>
      </c>
      <c r="P6" t="n">
        <v>0.016417</v>
      </c>
      <c r="Q6" t="n">
        <v>0.056622</v>
      </c>
      <c r="R6" t="n">
        <v>1891.9272</v>
      </c>
      <c r="S6" t="n">
        <v>7637.6283</v>
      </c>
      <c r="T6" t="n">
        <v>895.0042</v>
      </c>
      <c r="U6" t="n">
        <v>6640.7053</v>
      </c>
      <c r="V6" t="n">
        <v>0.897767</v>
      </c>
      <c r="W6" t="n">
        <v>6.661202</v>
      </c>
      <c r="X6" t="inlineStr">
        <is>
          <t>High</t>
        </is>
      </c>
      <c r="Y6" t="inlineStr">
        <is>
          <t>None</t>
        </is>
      </c>
      <c r="Z6" t="inlineStr">
        <is>
          <t>Valid</t>
        </is>
      </c>
      <c r="AA6" t="n">
        <v>2029</v>
      </c>
      <c r="AB6" t="inlineStr">
        <is>
          <t>Supplier Target Pathway</t>
        </is>
      </c>
      <c r="AC6" t="n">
        <v>799.0691</v>
      </c>
      <c r="AD6" t="n">
        <v>417.1141</v>
      </c>
      <c r="AE6" t="n">
        <v>638.2459</v>
      </c>
      <c r="AF6" t="n">
        <v>638.2459</v>
      </c>
      <c r="AG6" t="n">
        <v>160.8232</v>
      </c>
      <c r="AH6" t="n">
        <v>4.354e-05</v>
      </c>
      <c r="AI6" t="n">
        <v>0.201263</v>
      </c>
      <c r="AJ6" t="n">
        <v>221.1319</v>
      </c>
      <c r="AK6" t="n">
        <v>20.1029</v>
      </c>
      <c r="AL6" t="n">
        <v>3281.5671</v>
      </c>
      <c r="AM6" t="n">
        <v>3392.2585</v>
      </c>
      <c r="AN6" t="n">
        <v>0.99</v>
      </c>
      <c r="AO6" t="inlineStr">
        <is>
          <t>Critical</t>
        </is>
      </c>
      <c r="AP6" t="inlineStr">
        <is>
          <t>On Track to Glide Path</t>
        </is>
      </c>
    </row>
    <row r="7">
      <c r="A7" t="inlineStr">
        <is>
          <t>SUP-0001</t>
        </is>
      </c>
      <c r="B7" t="inlineStr">
        <is>
          <t>Professional Supplier 001</t>
        </is>
      </c>
      <c r="C7" t="inlineStr">
        <is>
          <t>Professional Services</t>
        </is>
      </c>
      <c r="D7" t="n">
        <v>2024</v>
      </c>
      <c r="E7" t="n">
        <v>2021</v>
      </c>
      <c r="F7" t="n">
        <v>2040</v>
      </c>
      <c r="G7" t="n">
        <v>996.923</v>
      </c>
      <c r="H7" t="n">
        <v>170.7065</v>
      </c>
      <c r="I7" t="n">
        <v>70.4457</v>
      </c>
      <c r="J7" t="n">
        <v>823.8057</v>
      </c>
      <c r="K7" t="n">
        <v>14659284.07</v>
      </c>
      <c r="L7" t="n">
        <v>38852519.79</v>
      </c>
      <c r="M7" t="n">
        <v>996.923</v>
      </c>
      <c r="N7" t="inlineStr">
        <is>
          <t>Provided Total Emissions</t>
        </is>
      </c>
      <c r="O7" t="b">
        <v>1</v>
      </c>
      <c r="P7" t="n">
        <v>0.016417</v>
      </c>
      <c r="Q7" t="n">
        <v>0.056622</v>
      </c>
      <c r="R7" t="n">
        <v>1891.9272</v>
      </c>
      <c r="S7" t="n">
        <v>7637.6283</v>
      </c>
      <c r="T7" t="n">
        <v>895.0042</v>
      </c>
      <c r="U7" t="n">
        <v>6640.7053</v>
      </c>
      <c r="V7" t="n">
        <v>0.897767</v>
      </c>
      <c r="W7" t="n">
        <v>6.661202</v>
      </c>
      <c r="X7" t="inlineStr">
        <is>
          <t>High</t>
        </is>
      </c>
      <c r="Y7" t="inlineStr">
        <is>
          <t>None</t>
        </is>
      </c>
      <c r="Z7" t="inlineStr">
        <is>
          <t>Valid</t>
        </is>
      </c>
      <c r="AA7" t="n">
        <v>2030</v>
      </c>
      <c r="AB7" t="inlineStr">
        <is>
          <t>Supplier Target Pathway</t>
        </is>
      </c>
      <c r="AC7" t="n">
        <v>799.0691</v>
      </c>
      <c r="AD7" t="n">
        <v>417.1141</v>
      </c>
      <c r="AE7" t="n">
        <v>618.143</v>
      </c>
      <c r="AF7" t="n">
        <v>618.143</v>
      </c>
      <c r="AG7" t="n">
        <v>180.9261</v>
      </c>
      <c r="AH7" t="n">
        <v>4.217e-05</v>
      </c>
      <c r="AI7" t="n">
        <v>0.226421</v>
      </c>
      <c r="AJ7" t="n">
        <v>201.029</v>
      </c>
      <c r="AK7" t="n">
        <v>20.1029</v>
      </c>
      <c r="AL7" t="n">
        <v>2663.4241</v>
      </c>
      <c r="AM7" t="n">
        <v>4010.4015</v>
      </c>
      <c r="AN7" t="n">
        <v>0.99</v>
      </c>
      <c r="AO7" t="inlineStr">
        <is>
          <t>Critical</t>
        </is>
      </c>
      <c r="AP7" t="inlineStr">
        <is>
          <t>On Track to Glide Path</t>
        </is>
      </c>
    </row>
    <row r="8">
      <c r="A8" t="inlineStr">
        <is>
          <t>SUP-0001</t>
        </is>
      </c>
      <c r="B8" t="inlineStr">
        <is>
          <t>Professional Supplier 001</t>
        </is>
      </c>
      <c r="C8" t="inlineStr">
        <is>
          <t>Professional Services</t>
        </is>
      </c>
      <c r="D8" t="n">
        <v>2024</v>
      </c>
      <c r="E8" t="n">
        <v>2021</v>
      </c>
      <c r="F8" t="n">
        <v>2040</v>
      </c>
      <c r="G8" t="n">
        <v>996.923</v>
      </c>
      <c r="H8" t="n">
        <v>170.7065</v>
      </c>
      <c r="I8" t="n">
        <v>70.4457</v>
      </c>
      <c r="J8" t="n">
        <v>823.8057</v>
      </c>
      <c r="K8" t="n">
        <v>14659284.07</v>
      </c>
      <c r="L8" t="n">
        <v>38852519.79</v>
      </c>
      <c r="M8" t="n">
        <v>996.923</v>
      </c>
      <c r="N8" t="inlineStr">
        <is>
          <t>Provided Total Emissions</t>
        </is>
      </c>
      <c r="O8" t="b">
        <v>1</v>
      </c>
      <c r="P8" t="n">
        <v>0.016417</v>
      </c>
      <c r="Q8" t="n">
        <v>0.056622</v>
      </c>
      <c r="R8" t="n">
        <v>1891.9272</v>
      </c>
      <c r="S8" t="n">
        <v>7637.6283</v>
      </c>
      <c r="T8" t="n">
        <v>895.0042</v>
      </c>
      <c r="U8" t="n">
        <v>6640.7053</v>
      </c>
      <c r="V8" t="n">
        <v>0.897767</v>
      </c>
      <c r="W8" t="n">
        <v>6.661202</v>
      </c>
      <c r="X8" t="inlineStr">
        <is>
          <t>High</t>
        </is>
      </c>
      <c r="Y8" t="inlineStr">
        <is>
          <t>None</t>
        </is>
      </c>
      <c r="Z8" t="inlineStr">
        <is>
          <t>Valid</t>
        </is>
      </c>
      <c r="AA8" t="n">
        <v>2031</v>
      </c>
      <c r="AB8" t="inlineStr">
        <is>
          <t>Supplier Target Pathway</t>
        </is>
      </c>
      <c r="AC8" t="n">
        <v>799.0691</v>
      </c>
      <c r="AD8" t="n">
        <v>417.1141</v>
      </c>
      <c r="AE8" t="n">
        <v>598.0401000000001</v>
      </c>
      <c r="AF8" t="n">
        <v>598.0401000000001</v>
      </c>
      <c r="AG8" t="n">
        <v>201.029</v>
      </c>
      <c r="AH8" t="n">
        <v>4.08e-05</v>
      </c>
      <c r="AI8" t="n">
        <v>0.251579</v>
      </c>
      <c r="AJ8" t="n">
        <v>180.9261</v>
      </c>
      <c r="AK8" t="n">
        <v>20.1029</v>
      </c>
      <c r="AL8" t="n">
        <v>2065.384</v>
      </c>
      <c r="AM8" t="n">
        <v>4608.4416</v>
      </c>
      <c r="AN8" t="n">
        <v>0.99</v>
      </c>
      <c r="AO8" t="inlineStr">
        <is>
          <t>Critical</t>
        </is>
      </c>
      <c r="AP8" t="inlineStr">
        <is>
          <t>On Track to Glide Path</t>
        </is>
      </c>
    </row>
    <row r="9">
      <c r="A9" t="inlineStr">
        <is>
          <t>SUP-0001</t>
        </is>
      </c>
      <c r="B9" t="inlineStr">
        <is>
          <t>Professional Supplier 001</t>
        </is>
      </c>
      <c r="C9" t="inlineStr">
        <is>
          <t>Professional Services</t>
        </is>
      </c>
      <c r="D9" t="n">
        <v>2024</v>
      </c>
      <c r="E9" t="n">
        <v>2021</v>
      </c>
      <c r="F9" t="n">
        <v>2040</v>
      </c>
      <c r="G9" t="n">
        <v>996.923</v>
      </c>
      <c r="H9" t="n">
        <v>170.7065</v>
      </c>
      <c r="I9" t="n">
        <v>70.4457</v>
      </c>
      <c r="J9" t="n">
        <v>823.8057</v>
      </c>
      <c r="K9" t="n">
        <v>14659284.07</v>
      </c>
      <c r="L9" t="n">
        <v>38852519.79</v>
      </c>
      <c r="M9" t="n">
        <v>996.923</v>
      </c>
      <c r="N9" t="inlineStr">
        <is>
          <t>Provided Total Emissions</t>
        </is>
      </c>
      <c r="O9" t="b">
        <v>1</v>
      </c>
      <c r="P9" t="n">
        <v>0.016417</v>
      </c>
      <c r="Q9" t="n">
        <v>0.056622</v>
      </c>
      <c r="R9" t="n">
        <v>1891.9272</v>
      </c>
      <c r="S9" t="n">
        <v>7637.6283</v>
      </c>
      <c r="T9" t="n">
        <v>895.0042</v>
      </c>
      <c r="U9" t="n">
        <v>6640.7053</v>
      </c>
      <c r="V9" t="n">
        <v>0.897767</v>
      </c>
      <c r="W9" t="n">
        <v>6.661202</v>
      </c>
      <c r="X9" t="inlineStr">
        <is>
          <t>High</t>
        </is>
      </c>
      <c r="Y9" t="inlineStr">
        <is>
          <t>None</t>
        </is>
      </c>
      <c r="Z9" t="inlineStr">
        <is>
          <t>Valid</t>
        </is>
      </c>
      <c r="AA9" t="n">
        <v>2032</v>
      </c>
      <c r="AB9" t="inlineStr">
        <is>
          <t>Supplier Target Pathway</t>
        </is>
      </c>
      <c r="AC9" t="n">
        <v>799.0691</v>
      </c>
      <c r="AD9" t="n">
        <v>417.1141</v>
      </c>
      <c r="AE9" t="n">
        <v>577.9372</v>
      </c>
      <c r="AF9" t="n">
        <v>577.9372</v>
      </c>
      <c r="AG9" t="n">
        <v>221.1319</v>
      </c>
      <c r="AH9" t="n">
        <v>3.942e-05</v>
      </c>
      <c r="AI9" t="n">
        <v>0.276737</v>
      </c>
      <c r="AJ9" t="n">
        <v>160.8232</v>
      </c>
      <c r="AK9" t="n">
        <v>20.1029</v>
      </c>
      <c r="AL9" t="n">
        <v>1487.4468</v>
      </c>
      <c r="AM9" t="n">
        <v>5186.3788</v>
      </c>
      <c r="AN9" t="n">
        <v>0.99</v>
      </c>
      <c r="AO9" t="inlineStr">
        <is>
          <t>Critical</t>
        </is>
      </c>
      <c r="AP9" t="inlineStr">
        <is>
          <t>On Track to Glide Path</t>
        </is>
      </c>
    </row>
    <row r="10">
      <c r="A10" t="inlineStr">
        <is>
          <t>SUP-0001</t>
        </is>
      </c>
      <c r="B10" t="inlineStr">
        <is>
          <t>Professional Supplier 001</t>
        </is>
      </c>
      <c r="C10" t="inlineStr">
        <is>
          <t>Professional Services</t>
        </is>
      </c>
      <c r="D10" t="n">
        <v>2024</v>
      </c>
      <c r="E10" t="n">
        <v>2021</v>
      </c>
      <c r="F10" t="n">
        <v>2040</v>
      </c>
      <c r="G10" t="n">
        <v>996.923</v>
      </c>
      <c r="H10" t="n">
        <v>170.7065</v>
      </c>
      <c r="I10" t="n">
        <v>70.4457</v>
      </c>
      <c r="J10" t="n">
        <v>823.8057</v>
      </c>
      <c r="K10" t="n">
        <v>14659284.07</v>
      </c>
      <c r="L10" t="n">
        <v>38852519.79</v>
      </c>
      <c r="M10" t="n">
        <v>996.923</v>
      </c>
      <c r="N10" t="inlineStr">
        <is>
          <t>Provided Total Emissions</t>
        </is>
      </c>
      <c r="O10" t="b">
        <v>1</v>
      </c>
      <c r="P10" t="n">
        <v>0.016417</v>
      </c>
      <c r="Q10" t="n">
        <v>0.056622</v>
      </c>
      <c r="R10" t="n">
        <v>1891.9272</v>
      </c>
      <c r="S10" t="n">
        <v>7637.6283</v>
      </c>
      <c r="T10" t="n">
        <v>895.0042</v>
      </c>
      <c r="U10" t="n">
        <v>6640.7053</v>
      </c>
      <c r="V10" t="n">
        <v>0.897767</v>
      </c>
      <c r="W10" t="n">
        <v>6.661202</v>
      </c>
      <c r="X10" t="inlineStr">
        <is>
          <t>High</t>
        </is>
      </c>
      <c r="Y10" t="inlineStr">
        <is>
          <t>None</t>
        </is>
      </c>
      <c r="Z10" t="inlineStr">
        <is>
          <t>Valid</t>
        </is>
      </c>
      <c r="AA10" t="n">
        <v>2033</v>
      </c>
      <c r="AB10" t="inlineStr">
        <is>
          <t>Supplier Target Pathway</t>
        </is>
      </c>
      <c r="AC10" t="n">
        <v>799.0691</v>
      </c>
      <c r="AD10" t="n">
        <v>417.1141</v>
      </c>
      <c r="AE10" t="n">
        <v>557.8343</v>
      </c>
      <c r="AF10" t="n">
        <v>557.8343</v>
      </c>
      <c r="AG10" t="n">
        <v>241.2348</v>
      </c>
      <c r="AH10" t="n">
        <v>3.805e-05</v>
      </c>
      <c r="AI10" t="n">
        <v>0.301895</v>
      </c>
      <c r="AJ10" t="n">
        <v>140.7203</v>
      </c>
      <c r="AK10" t="n">
        <v>20.1029</v>
      </c>
      <c r="AL10" t="n">
        <v>929.6125</v>
      </c>
      <c r="AM10" t="n">
        <v>5744.2131</v>
      </c>
      <c r="AN10" t="n">
        <v>0.99</v>
      </c>
      <c r="AO10" t="inlineStr">
        <is>
          <t>High</t>
        </is>
      </c>
      <c r="AP10" t="inlineStr">
        <is>
          <t>On Track to Glide Path</t>
        </is>
      </c>
    </row>
    <row r="11">
      <c r="A11" t="inlineStr">
        <is>
          <t>SUP-0001</t>
        </is>
      </c>
      <c r="B11" t="inlineStr">
        <is>
          <t>Professional Supplier 001</t>
        </is>
      </c>
      <c r="C11" t="inlineStr">
        <is>
          <t>Professional Services</t>
        </is>
      </c>
      <c r="D11" t="n">
        <v>2024</v>
      </c>
      <c r="E11" t="n">
        <v>2021</v>
      </c>
      <c r="F11" t="n">
        <v>2040</v>
      </c>
      <c r="G11" t="n">
        <v>996.923</v>
      </c>
      <c r="H11" t="n">
        <v>170.7065</v>
      </c>
      <c r="I11" t="n">
        <v>70.4457</v>
      </c>
      <c r="J11" t="n">
        <v>823.8057</v>
      </c>
      <c r="K11" t="n">
        <v>14659284.07</v>
      </c>
      <c r="L11" t="n">
        <v>38852519.79</v>
      </c>
      <c r="M11" t="n">
        <v>996.923</v>
      </c>
      <c r="N11" t="inlineStr">
        <is>
          <t>Provided Total Emissions</t>
        </is>
      </c>
      <c r="O11" t="b">
        <v>1</v>
      </c>
      <c r="P11" t="n">
        <v>0.016417</v>
      </c>
      <c r="Q11" t="n">
        <v>0.056622</v>
      </c>
      <c r="R11" t="n">
        <v>1891.9272</v>
      </c>
      <c r="S11" t="n">
        <v>7637.6283</v>
      </c>
      <c r="T11" t="n">
        <v>895.0042</v>
      </c>
      <c r="U11" t="n">
        <v>6640.7053</v>
      </c>
      <c r="V11" t="n">
        <v>0.897767</v>
      </c>
      <c r="W11" t="n">
        <v>6.661202</v>
      </c>
      <c r="X11" t="inlineStr">
        <is>
          <t>High</t>
        </is>
      </c>
      <c r="Y11" t="inlineStr">
        <is>
          <t>None</t>
        </is>
      </c>
      <c r="Z11" t="inlineStr">
        <is>
          <t>Valid</t>
        </is>
      </c>
      <c r="AA11" t="n">
        <v>2034</v>
      </c>
      <c r="AB11" t="inlineStr">
        <is>
          <t>Supplier Target Pathway</t>
        </is>
      </c>
      <c r="AC11" t="n">
        <v>799.0691</v>
      </c>
      <c r="AD11" t="n">
        <v>417.1141</v>
      </c>
      <c r="AE11" t="n">
        <v>537.7314</v>
      </c>
      <c r="AF11" t="n">
        <v>537.7314</v>
      </c>
      <c r="AG11" t="n">
        <v>261.3377</v>
      </c>
      <c r="AH11" t="n">
        <v>3.668e-05</v>
      </c>
      <c r="AI11" t="n">
        <v>0.327053</v>
      </c>
      <c r="AJ11" t="n">
        <v>120.6174</v>
      </c>
      <c r="AK11" t="n">
        <v>20.1029</v>
      </c>
      <c r="AL11" t="n">
        <v>391.8811</v>
      </c>
      <c r="AM11" t="n">
        <v>6281.9445</v>
      </c>
      <c r="AN11" t="n">
        <v>0.99</v>
      </c>
      <c r="AO11" t="inlineStr">
        <is>
          <t>High</t>
        </is>
      </c>
      <c r="AP11" t="inlineStr">
        <is>
          <t>On Track to Glide Path</t>
        </is>
      </c>
    </row>
    <row r="12">
      <c r="A12" t="inlineStr">
        <is>
          <t>SUP-0001</t>
        </is>
      </c>
      <c r="B12" t="inlineStr">
        <is>
          <t>Professional Supplier 001</t>
        </is>
      </c>
      <c r="C12" t="inlineStr">
        <is>
          <t>Professional Services</t>
        </is>
      </c>
      <c r="D12" t="n">
        <v>2024</v>
      </c>
      <c r="E12" t="n">
        <v>2021</v>
      </c>
      <c r="F12" t="n">
        <v>2040</v>
      </c>
      <c r="G12" t="n">
        <v>996.923</v>
      </c>
      <c r="H12" t="n">
        <v>170.7065</v>
      </c>
      <c r="I12" t="n">
        <v>70.4457</v>
      </c>
      <c r="J12" t="n">
        <v>823.8057</v>
      </c>
      <c r="K12" t="n">
        <v>14659284.07</v>
      </c>
      <c r="L12" t="n">
        <v>38852519.79</v>
      </c>
      <c r="M12" t="n">
        <v>996.923</v>
      </c>
      <c r="N12" t="inlineStr">
        <is>
          <t>Provided Total Emissions</t>
        </is>
      </c>
      <c r="O12" t="b">
        <v>1</v>
      </c>
      <c r="P12" t="n">
        <v>0.016417</v>
      </c>
      <c r="Q12" t="n">
        <v>0.056622</v>
      </c>
      <c r="R12" t="n">
        <v>1891.9272</v>
      </c>
      <c r="S12" t="n">
        <v>7637.6283</v>
      </c>
      <c r="T12" t="n">
        <v>895.0042</v>
      </c>
      <c r="U12" t="n">
        <v>6640.7053</v>
      </c>
      <c r="V12" t="n">
        <v>0.897767</v>
      </c>
      <c r="W12" t="n">
        <v>6.661202</v>
      </c>
      <c r="X12" t="inlineStr">
        <is>
          <t>High</t>
        </is>
      </c>
      <c r="Y12" t="inlineStr">
        <is>
          <t>None</t>
        </is>
      </c>
      <c r="Z12" t="inlineStr">
        <is>
          <t>Valid</t>
        </is>
      </c>
      <c r="AA12" t="n">
        <v>2035</v>
      </c>
      <c r="AB12" t="inlineStr">
        <is>
          <t>Supplier Target Pathway</t>
        </is>
      </c>
      <c r="AC12" t="n">
        <v>799.0691</v>
      </c>
      <c r="AD12" t="n">
        <v>417.1141</v>
      </c>
      <c r="AE12" t="n">
        <v>517.6286</v>
      </c>
      <c r="AF12" t="n">
        <v>517.6286</v>
      </c>
      <c r="AG12" t="n">
        <v>281.4405</v>
      </c>
      <c r="AH12" t="n">
        <v>3.531e-05</v>
      </c>
      <c r="AI12" t="n">
        <v>0.352211</v>
      </c>
      <c r="AJ12" t="n">
        <v>100.5145</v>
      </c>
      <c r="AK12" t="n">
        <v>20.1029</v>
      </c>
      <c r="AL12" t="n">
        <v>-125.7475</v>
      </c>
      <c r="AM12" t="n">
        <v>6799.5731</v>
      </c>
      <c r="AN12" t="n">
        <v>0.99</v>
      </c>
      <c r="AO12" t="inlineStr">
        <is>
          <t>High</t>
        </is>
      </c>
      <c r="AP12" t="inlineStr">
        <is>
          <t>On Track to Glide Path</t>
        </is>
      </c>
    </row>
    <row r="13">
      <c r="A13" t="inlineStr">
        <is>
          <t>SUP-0001</t>
        </is>
      </c>
      <c r="B13" t="inlineStr">
        <is>
          <t>Professional Supplier 001</t>
        </is>
      </c>
      <c r="C13" t="inlineStr">
        <is>
          <t>Professional Services</t>
        </is>
      </c>
      <c r="D13" t="n">
        <v>2024</v>
      </c>
      <c r="E13" t="n">
        <v>2021</v>
      </c>
      <c r="F13" t="n">
        <v>2040</v>
      </c>
      <c r="G13" t="n">
        <v>996.923</v>
      </c>
      <c r="H13" t="n">
        <v>170.7065</v>
      </c>
      <c r="I13" t="n">
        <v>70.4457</v>
      </c>
      <c r="J13" t="n">
        <v>823.8057</v>
      </c>
      <c r="K13" t="n">
        <v>14659284.07</v>
      </c>
      <c r="L13" t="n">
        <v>38852519.79</v>
      </c>
      <c r="M13" t="n">
        <v>996.923</v>
      </c>
      <c r="N13" t="inlineStr">
        <is>
          <t>Provided Total Emissions</t>
        </is>
      </c>
      <c r="O13" t="b">
        <v>1</v>
      </c>
      <c r="P13" t="n">
        <v>0.016417</v>
      </c>
      <c r="Q13" t="n">
        <v>0.056622</v>
      </c>
      <c r="R13" t="n">
        <v>1891.9272</v>
      </c>
      <c r="S13" t="n">
        <v>7637.6283</v>
      </c>
      <c r="T13" t="n">
        <v>895.0042</v>
      </c>
      <c r="U13" t="n">
        <v>6640.7053</v>
      </c>
      <c r="V13" t="n">
        <v>0.897767</v>
      </c>
      <c r="W13" t="n">
        <v>6.661202</v>
      </c>
      <c r="X13" t="inlineStr">
        <is>
          <t>High</t>
        </is>
      </c>
      <c r="Y13" t="inlineStr">
        <is>
          <t>None</t>
        </is>
      </c>
      <c r="Z13" t="inlineStr">
        <is>
          <t>Valid</t>
        </is>
      </c>
      <c r="AA13" t="n">
        <v>2036</v>
      </c>
      <c r="AB13" t="inlineStr">
        <is>
          <t>Supplier Target Pathway</t>
        </is>
      </c>
      <c r="AC13" t="n">
        <v>799.0691</v>
      </c>
      <c r="AD13" t="n">
        <v>417.1141</v>
      </c>
      <c r="AE13" t="n">
        <v>497.5257</v>
      </c>
      <c r="AF13" t="n">
        <v>497.5257</v>
      </c>
      <c r="AG13" t="n">
        <v>301.5434</v>
      </c>
      <c r="AH13" t="n">
        <v>3.394e-05</v>
      </c>
      <c r="AI13" t="n">
        <v>0.377368</v>
      </c>
      <c r="AJ13" t="n">
        <v>80.41160000000001</v>
      </c>
      <c r="AK13" t="n">
        <v>20.1029</v>
      </c>
      <c r="AL13" t="n">
        <v>-623.2732</v>
      </c>
      <c r="AM13" t="n">
        <v>7297.0988</v>
      </c>
      <c r="AN13" t="n">
        <v>0.99</v>
      </c>
      <c r="AO13" t="inlineStr">
        <is>
          <t>High</t>
        </is>
      </c>
      <c r="AP13" t="inlineStr">
        <is>
          <t>On Track to Glide Path</t>
        </is>
      </c>
    </row>
    <row r="14">
      <c r="A14" t="inlineStr">
        <is>
          <t>SUP-0001</t>
        </is>
      </c>
      <c r="B14" t="inlineStr">
        <is>
          <t>Professional Supplier 001</t>
        </is>
      </c>
      <c r="C14" t="inlineStr">
        <is>
          <t>Professional Services</t>
        </is>
      </c>
      <c r="D14" t="n">
        <v>2024</v>
      </c>
      <c r="E14" t="n">
        <v>2021</v>
      </c>
      <c r="F14" t="n">
        <v>2040</v>
      </c>
      <c r="G14" t="n">
        <v>996.923</v>
      </c>
      <c r="H14" t="n">
        <v>170.7065</v>
      </c>
      <c r="I14" t="n">
        <v>70.4457</v>
      </c>
      <c r="J14" t="n">
        <v>823.8057</v>
      </c>
      <c r="K14" t="n">
        <v>14659284.07</v>
      </c>
      <c r="L14" t="n">
        <v>38852519.79</v>
      </c>
      <c r="M14" t="n">
        <v>996.923</v>
      </c>
      <c r="N14" t="inlineStr">
        <is>
          <t>Provided Total Emissions</t>
        </is>
      </c>
      <c r="O14" t="b">
        <v>1</v>
      </c>
      <c r="P14" t="n">
        <v>0.016417</v>
      </c>
      <c r="Q14" t="n">
        <v>0.056622</v>
      </c>
      <c r="R14" t="n">
        <v>1891.9272</v>
      </c>
      <c r="S14" t="n">
        <v>7637.6283</v>
      </c>
      <c r="T14" t="n">
        <v>895.0042</v>
      </c>
      <c r="U14" t="n">
        <v>6640.7053</v>
      </c>
      <c r="V14" t="n">
        <v>0.897767</v>
      </c>
      <c r="W14" t="n">
        <v>6.661202</v>
      </c>
      <c r="X14" t="inlineStr">
        <is>
          <t>High</t>
        </is>
      </c>
      <c r="Y14" t="inlineStr">
        <is>
          <t>None</t>
        </is>
      </c>
      <c r="Z14" t="inlineStr">
        <is>
          <t>Valid</t>
        </is>
      </c>
      <c r="AA14" t="n">
        <v>2037</v>
      </c>
      <c r="AB14" t="inlineStr">
        <is>
          <t>Supplier Target Pathway</t>
        </is>
      </c>
      <c r="AC14" t="n">
        <v>799.0691</v>
      </c>
      <c r="AD14" t="n">
        <v>417.1141</v>
      </c>
      <c r="AE14" t="n">
        <v>477.4228</v>
      </c>
      <c r="AF14" t="n">
        <v>477.4228</v>
      </c>
      <c r="AG14" t="n">
        <v>321.6463</v>
      </c>
      <c r="AH14" t="n">
        <v>3.257e-05</v>
      </c>
      <c r="AI14" t="n">
        <v>0.402526</v>
      </c>
      <c r="AJ14" t="n">
        <v>60.3087</v>
      </c>
      <c r="AK14" t="n">
        <v>20.1029</v>
      </c>
      <c r="AL14" t="n">
        <v>-1100.696</v>
      </c>
      <c r="AM14" t="n">
        <v>7774.5216</v>
      </c>
      <c r="AN14" t="n">
        <v>0.99</v>
      </c>
      <c r="AO14" t="inlineStr">
        <is>
          <t>Medium</t>
        </is>
      </c>
      <c r="AP14" t="inlineStr">
        <is>
          <t>On Track to Glide Path</t>
        </is>
      </c>
    </row>
    <row r="15">
      <c r="A15" t="inlineStr">
        <is>
          <t>SUP-0001</t>
        </is>
      </c>
      <c r="B15" t="inlineStr">
        <is>
          <t>Professional Supplier 001</t>
        </is>
      </c>
      <c r="C15" t="inlineStr">
        <is>
          <t>Professional Services</t>
        </is>
      </c>
      <c r="D15" t="n">
        <v>2024</v>
      </c>
      <c r="E15" t="n">
        <v>2021</v>
      </c>
      <c r="F15" t="n">
        <v>2040</v>
      </c>
      <c r="G15" t="n">
        <v>996.923</v>
      </c>
      <c r="H15" t="n">
        <v>170.7065</v>
      </c>
      <c r="I15" t="n">
        <v>70.4457</v>
      </c>
      <c r="J15" t="n">
        <v>823.8057</v>
      </c>
      <c r="K15" t="n">
        <v>14659284.07</v>
      </c>
      <c r="L15" t="n">
        <v>38852519.79</v>
      </c>
      <c r="M15" t="n">
        <v>996.923</v>
      </c>
      <c r="N15" t="inlineStr">
        <is>
          <t>Provided Total Emissions</t>
        </is>
      </c>
      <c r="O15" t="b">
        <v>1</v>
      </c>
      <c r="P15" t="n">
        <v>0.016417</v>
      </c>
      <c r="Q15" t="n">
        <v>0.056622</v>
      </c>
      <c r="R15" t="n">
        <v>1891.9272</v>
      </c>
      <c r="S15" t="n">
        <v>7637.6283</v>
      </c>
      <c r="T15" t="n">
        <v>895.0042</v>
      </c>
      <c r="U15" t="n">
        <v>6640.7053</v>
      </c>
      <c r="V15" t="n">
        <v>0.897767</v>
      </c>
      <c r="W15" t="n">
        <v>6.661202</v>
      </c>
      <c r="X15" t="inlineStr">
        <is>
          <t>High</t>
        </is>
      </c>
      <c r="Y15" t="inlineStr">
        <is>
          <t>None</t>
        </is>
      </c>
      <c r="Z15" t="inlineStr">
        <is>
          <t>Valid</t>
        </is>
      </c>
      <c r="AA15" t="n">
        <v>2038</v>
      </c>
      <c r="AB15" t="inlineStr">
        <is>
          <t>Supplier Target Pathway</t>
        </is>
      </c>
      <c r="AC15" t="n">
        <v>799.0691</v>
      </c>
      <c r="AD15" t="n">
        <v>417.1141</v>
      </c>
      <c r="AE15" t="n">
        <v>457.3199</v>
      </c>
      <c r="AF15" t="n">
        <v>457.3199</v>
      </c>
      <c r="AG15" t="n">
        <v>341.7492</v>
      </c>
      <c r="AH15" t="n">
        <v>3.12e-05</v>
      </c>
      <c r="AI15" t="n">
        <v>0.427684</v>
      </c>
      <c r="AJ15" t="n">
        <v>40.2058</v>
      </c>
      <c r="AK15" t="n">
        <v>20.1029</v>
      </c>
      <c r="AL15" t="n">
        <v>-1558.0159</v>
      </c>
      <c r="AM15" t="n">
        <v>8231.8415</v>
      </c>
      <c r="AN15" t="n">
        <v>0.99</v>
      </c>
      <c r="AO15" t="inlineStr">
        <is>
          <t>Medium</t>
        </is>
      </c>
      <c r="AP15" t="inlineStr">
        <is>
          <t>On Track to Glide Path</t>
        </is>
      </c>
    </row>
    <row r="16">
      <c r="A16" t="inlineStr">
        <is>
          <t>SUP-0001</t>
        </is>
      </c>
      <c r="B16" t="inlineStr">
        <is>
          <t>Professional Supplier 001</t>
        </is>
      </c>
      <c r="C16" t="inlineStr">
        <is>
          <t>Professional Services</t>
        </is>
      </c>
      <c r="D16" t="n">
        <v>2024</v>
      </c>
      <c r="E16" t="n">
        <v>2021</v>
      </c>
      <c r="F16" t="n">
        <v>2040</v>
      </c>
      <c r="G16" t="n">
        <v>996.923</v>
      </c>
      <c r="H16" t="n">
        <v>170.7065</v>
      </c>
      <c r="I16" t="n">
        <v>70.4457</v>
      </c>
      <c r="J16" t="n">
        <v>823.8057</v>
      </c>
      <c r="K16" t="n">
        <v>14659284.07</v>
      </c>
      <c r="L16" t="n">
        <v>38852519.79</v>
      </c>
      <c r="M16" t="n">
        <v>996.923</v>
      </c>
      <c r="N16" t="inlineStr">
        <is>
          <t>Provided Total Emissions</t>
        </is>
      </c>
      <c r="O16" t="b">
        <v>1</v>
      </c>
      <c r="P16" t="n">
        <v>0.016417</v>
      </c>
      <c r="Q16" t="n">
        <v>0.056622</v>
      </c>
      <c r="R16" t="n">
        <v>1891.9272</v>
      </c>
      <c r="S16" t="n">
        <v>7637.6283</v>
      </c>
      <c r="T16" t="n">
        <v>895.0042</v>
      </c>
      <c r="U16" t="n">
        <v>6640.7053</v>
      </c>
      <c r="V16" t="n">
        <v>0.897767</v>
      </c>
      <c r="W16" t="n">
        <v>6.661202</v>
      </c>
      <c r="X16" t="inlineStr">
        <is>
          <t>High</t>
        </is>
      </c>
      <c r="Y16" t="inlineStr">
        <is>
          <t>None</t>
        </is>
      </c>
      <c r="Z16" t="inlineStr">
        <is>
          <t>Valid</t>
        </is>
      </c>
      <c r="AA16" t="n">
        <v>2039</v>
      </c>
      <c r="AB16" t="inlineStr">
        <is>
          <t>Supplier Target Pathway</t>
        </is>
      </c>
      <c r="AC16" t="n">
        <v>799.0691</v>
      </c>
      <c r="AD16" t="n">
        <v>417.1141</v>
      </c>
      <c r="AE16" t="n">
        <v>437.217</v>
      </c>
      <c r="AF16" t="n">
        <v>437.217</v>
      </c>
      <c r="AG16" t="n">
        <v>361.8521</v>
      </c>
      <c r="AH16" t="n">
        <v>2.983e-05</v>
      </c>
      <c r="AI16" t="n">
        <v>0.452842</v>
      </c>
      <c r="AJ16" t="n">
        <v>20.1029</v>
      </c>
      <c r="AK16" t="n">
        <v>20.1029</v>
      </c>
      <c r="AL16" t="n">
        <v>-1995.2329</v>
      </c>
      <c r="AM16" t="n">
        <v>8669.058499999999</v>
      </c>
      <c r="AN16" t="n">
        <v>0.99</v>
      </c>
      <c r="AO16" t="inlineStr">
        <is>
          <t>Medium</t>
        </is>
      </c>
      <c r="AP16" t="inlineStr">
        <is>
          <t>On Track to Glide Path</t>
        </is>
      </c>
    </row>
    <row r="17">
      <c r="A17" t="inlineStr">
        <is>
          <t>SUP-0001</t>
        </is>
      </c>
      <c r="B17" t="inlineStr">
        <is>
          <t>Professional Supplier 001</t>
        </is>
      </c>
      <c r="C17" t="inlineStr">
        <is>
          <t>Professional Services</t>
        </is>
      </c>
      <c r="D17" t="n">
        <v>2024</v>
      </c>
      <c r="E17" t="n">
        <v>2021</v>
      </c>
      <c r="F17" t="n">
        <v>2040</v>
      </c>
      <c r="G17" t="n">
        <v>996.923</v>
      </c>
      <c r="H17" t="n">
        <v>170.7065</v>
      </c>
      <c r="I17" t="n">
        <v>70.4457</v>
      </c>
      <c r="J17" t="n">
        <v>823.8057</v>
      </c>
      <c r="K17" t="n">
        <v>14659284.07</v>
      </c>
      <c r="L17" t="n">
        <v>38852519.79</v>
      </c>
      <c r="M17" t="n">
        <v>996.923</v>
      </c>
      <c r="N17" t="inlineStr">
        <is>
          <t>Provided Total Emissions</t>
        </is>
      </c>
      <c r="O17" t="b">
        <v>1</v>
      </c>
      <c r="P17" t="n">
        <v>0.016417</v>
      </c>
      <c r="Q17" t="n">
        <v>0.056622</v>
      </c>
      <c r="R17" t="n">
        <v>1891.9272</v>
      </c>
      <c r="S17" t="n">
        <v>7637.6283</v>
      </c>
      <c r="T17" t="n">
        <v>895.0042</v>
      </c>
      <c r="U17" t="n">
        <v>6640.7053</v>
      </c>
      <c r="V17" t="n">
        <v>0.897767</v>
      </c>
      <c r="W17" t="n">
        <v>6.661202</v>
      </c>
      <c r="X17" t="inlineStr">
        <is>
          <t>High</t>
        </is>
      </c>
      <c r="Y17" t="inlineStr">
        <is>
          <t>None</t>
        </is>
      </c>
      <c r="Z17" t="inlineStr">
        <is>
          <t>Valid</t>
        </is>
      </c>
      <c r="AA17" t="n">
        <v>2040</v>
      </c>
      <c r="AB17" t="inlineStr">
        <is>
          <t>Supplier Target Pathway</t>
        </is>
      </c>
      <c r="AC17" t="n">
        <v>799.0691</v>
      </c>
      <c r="AD17" t="n">
        <v>417.1141</v>
      </c>
      <c r="AE17" t="n">
        <v>417.1141</v>
      </c>
      <c r="AF17" t="n">
        <v>417.1141</v>
      </c>
      <c r="AG17" t="n">
        <v>381.955</v>
      </c>
      <c r="AH17" t="n">
        <v>2.845e-05</v>
      </c>
      <c r="AI17" t="n">
        <v>0.478</v>
      </c>
      <c r="AJ17" t="n">
        <v>0</v>
      </c>
      <c r="AK17" t="n">
        <v>20.1029</v>
      </c>
      <c r="AL17" t="n">
        <v>-2412.347</v>
      </c>
      <c r="AM17" t="n">
        <v>9086.1726</v>
      </c>
      <c r="AN17" t="n">
        <v>0.99</v>
      </c>
      <c r="AO17" t="inlineStr">
        <is>
          <t>Low</t>
        </is>
      </c>
      <c r="AP17" t="inlineStr">
        <is>
          <t>On Track</t>
        </is>
      </c>
    </row>
    <row r="18">
      <c r="A18" t="inlineStr">
        <is>
          <t>SUP-0002</t>
        </is>
      </c>
      <c r="B18" t="inlineStr">
        <is>
          <t>Textiles Supplier 002</t>
        </is>
      </c>
      <c r="C18" t="inlineStr">
        <is>
          <t>Textiles</t>
        </is>
      </c>
      <c r="D18" t="n">
        <v>2024</v>
      </c>
      <c r="E18" t="n">
        <v>2021</v>
      </c>
      <c r="F18" t="n">
        <v>2040</v>
      </c>
      <c r="G18" t="n">
        <v>609.8191</v>
      </c>
      <c r="H18" t="n">
        <v>130.8505</v>
      </c>
      <c r="I18" t="n">
        <v>61.9081</v>
      </c>
      <c r="J18" t="n">
        <v>437.2972</v>
      </c>
      <c r="K18" t="n">
        <v>1961826.78</v>
      </c>
      <c r="L18" t="n">
        <v>7611105.33</v>
      </c>
      <c r="M18" t="n">
        <v>609.8191</v>
      </c>
      <c r="N18" t="inlineStr">
        <is>
          <t>Provided Total Emissions</t>
        </is>
      </c>
      <c r="O18" t="b">
        <v>1</v>
      </c>
      <c r="P18" t="n">
        <v>0.02252</v>
      </c>
      <c r="Q18" t="n">
        <v>0.011478</v>
      </c>
      <c r="R18" t="n">
        <v>573.2654</v>
      </c>
      <c r="S18" t="n">
        <v>1319.994</v>
      </c>
      <c r="T18" t="n">
        <v>-36.5537</v>
      </c>
      <c r="U18" t="n">
        <v>710.1749</v>
      </c>
      <c r="V18" t="n">
        <v>-0.059942</v>
      </c>
      <c r="W18" t="n">
        <v>1.164567</v>
      </c>
      <c r="X18" t="inlineStr">
        <is>
          <t>High</t>
        </is>
      </c>
      <c r="Y18" t="inlineStr">
        <is>
          <t>None</t>
        </is>
      </c>
      <c r="Z18" t="inlineStr">
        <is>
          <t>Valid</t>
        </is>
      </c>
      <c r="AA18" t="n">
        <v>2025</v>
      </c>
      <c r="AB18" t="inlineStr">
        <is>
          <t>Supplier Target Pathway</t>
        </is>
      </c>
      <c r="AC18" t="n">
        <v>523.6636999999999</v>
      </c>
      <c r="AD18" t="n">
        <v>357.9765</v>
      </c>
      <c r="AE18" t="n">
        <v>488.7822</v>
      </c>
      <c r="AF18" t="n">
        <v>488.7822</v>
      </c>
      <c r="AG18" t="n">
        <v>34.8815</v>
      </c>
      <c r="AH18" t="n">
        <v>0.00024915</v>
      </c>
      <c r="AI18" t="n">
        <v>0.066611</v>
      </c>
      <c r="AJ18" t="n">
        <v>130.8057</v>
      </c>
      <c r="AK18" t="n">
        <v>8.7204</v>
      </c>
      <c r="AL18" t="n">
        <v>5238.8418</v>
      </c>
      <c r="AM18" t="n">
        <v>488.7822</v>
      </c>
      <c r="AN18" t="n">
        <v>0.99</v>
      </c>
      <c r="AO18" t="inlineStr">
        <is>
          <t>Critical</t>
        </is>
      </c>
      <c r="AP18" t="inlineStr">
        <is>
          <t>On Track to Glide Path</t>
        </is>
      </c>
    </row>
    <row r="19">
      <c r="A19" t="inlineStr">
        <is>
          <t>SUP-0002</t>
        </is>
      </c>
      <c r="B19" t="inlineStr">
        <is>
          <t>Textiles Supplier 002</t>
        </is>
      </c>
      <c r="C19" t="inlineStr">
        <is>
          <t>Textiles</t>
        </is>
      </c>
      <c r="D19" t="n">
        <v>2024</v>
      </c>
      <c r="E19" t="n">
        <v>2021</v>
      </c>
      <c r="F19" t="n">
        <v>2040</v>
      </c>
      <c r="G19" t="n">
        <v>609.8191</v>
      </c>
      <c r="H19" t="n">
        <v>130.8505</v>
      </c>
      <c r="I19" t="n">
        <v>61.9081</v>
      </c>
      <c r="J19" t="n">
        <v>437.2972</v>
      </c>
      <c r="K19" t="n">
        <v>1961826.78</v>
      </c>
      <c r="L19" t="n">
        <v>7611105.33</v>
      </c>
      <c r="M19" t="n">
        <v>609.8191</v>
      </c>
      <c r="N19" t="inlineStr">
        <is>
          <t>Provided Total Emissions</t>
        </is>
      </c>
      <c r="O19" t="b">
        <v>1</v>
      </c>
      <c r="P19" t="n">
        <v>0.02252</v>
      </c>
      <c r="Q19" t="n">
        <v>0.011478</v>
      </c>
      <c r="R19" t="n">
        <v>573.2654</v>
      </c>
      <c r="S19" t="n">
        <v>1319.994</v>
      </c>
      <c r="T19" t="n">
        <v>-36.5537</v>
      </c>
      <c r="U19" t="n">
        <v>710.1749</v>
      </c>
      <c r="V19" t="n">
        <v>-0.059942</v>
      </c>
      <c r="W19" t="n">
        <v>1.164567</v>
      </c>
      <c r="X19" t="inlineStr">
        <is>
          <t>High</t>
        </is>
      </c>
      <c r="Y19" t="inlineStr">
        <is>
          <t>None</t>
        </is>
      </c>
      <c r="Z19" t="inlineStr">
        <is>
          <t>Valid</t>
        </is>
      </c>
      <c r="AA19" t="n">
        <v>2026</v>
      </c>
      <c r="AB19" t="inlineStr">
        <is>
          <t>Supplier Target Pathway</t>
        </is>
      </c>
      <c r="AC19" t="n">
        <v>523.6636999999999</v>
      </c>
      <c r="AD19" t="n">
        <v>357.9765</v>
      </c>
      <c r="AE19" t="n">
        <v>480.0618</v>
      </c>
      <c r="AF19" t="n">
        <v>480.0618</v>
      </c>
      <c r="AG19" t="n">
        <v>43.6019</v>
      </c>
      <c r="AH19" t="n">
        <v>0.0002447</v>
      </c>
      <c r="AI19" t="n">
        <v>0.083263</v>
      </c>
      <c r="AJ19" t="n">
        <v>122.0853</v>
      </c>
      <c r="AK19" t="n">
        <v>8.7204</v>
      </c>
      <c r="AL19" t="n">
        <v>4758.78</v>
      </c>
      <c r="AM19" t="n">
        <v>968.8440000000001</v>
      </c>
      <c r="AN19" t="n">
        <v>0.99</v>
      </c>
      <c r="AO19" t="inlineStr">
        <is>
          <t>High</t>
        </is>
      </c>
      <c r="AP19" t="inlineStr">
        <is>
          <t>On Track to Glide Path</t>
        </is>
      </c>
    </row>
    <row r="20">
      <c r="A20" t="inlineStr">
        <is>
          <t>SUP-0002</t>
        </is>
      </c>
      <c r="B20" t="inlineStr">
        <is>
          <t>Textiles Supplier 002</t>
        </is>
      </c>
      <c r="C20" t="inlineStr">
        <is>
          <t>Textiles</t>
        </is>
      </c>
      <c r="D20" t="n">
        <v>2024</v>
      </c>
      <c r="E20" t="n">
        <v>2021</v>
      </c>
      <c r="F20" t="n">
        <v>2040</v>
      </c>
      <c r="G20" t="n">
        <v>609.8191</v>
      </c>
      <c r="H20" t="n">
        <v>130.8505</v>
      </c>
      <c r="I20" t="n">
        <v>61.9081</v>
      </c>
      <c r="J20" t="n">
        <v>437.2972</v>
      </c>
      <c r="K20" t="n">
        <v>1961826.78</v>
      </c>
      <c r="L20" t="n">
        <v>7611105.33</v>
      </c>
      <c r="M20" t="n">
        <v>609.8191</v>
      </c>
      <c r="N20" t="inlineStr">
        <is>
          <t>Provided Total Emissions</t>
        </is>
      </c>
      <c r="O20" t="b">
        <v>1</v>
      </c>
      <c r="P20" t="n">
        <v>0.02252</v>
      </c>
      <c r="Q20" t="n">
        <v>0.011478</v>
      </c>
      <c r="R20" t="n">
        <v>573.2654</v>
      </c>
      <c r="S20" t="n">
        <v>1319.994</v>
      </c>
      <c r="T20" t="n">
        <v>-36.5537</v>
      </c>
      <c r="U20" t="n">
        <v>710.1749</v>
      </c>
      <c r="V20" t="n">
        <v>-0.059942</v>
      </c>
      <c r="W20" t="n">
        <v>1.164567</v>
      </c>
      <c r="X20" t="inlineStr">
        <is>
          <t>High</t>
        </is>
      </c>
      <c r="Y20" t="inlineStr">
        <is>
          <t>None</t>
        </is>
      </c>
      <c r="Z20" t="inlineStr">
        <is>
          <t>Valid</t>
        </is>
      </c>
      <c r="AA20" t="n">
        <v>2027</v>
      </c>
      <c r="AB20" t="inlineStr">
        <is>
          <t>Supplier Target Pathway</t>
        </is>
      </c>
      <c r="AC20" t="n">
        <v>523.6636999999999</v>
      </c>
      <c r="AD20" t="n">
        <v>357.9765</v>
      </c>
      <c r="AE20" t="n">
        <v>471.3414</v>
      </c>
      <c r="AF20" t="n">
        <v>471.3414</v>
      </c>
      <c r="AG20" t="n">
        <v>52.3223</v>
      </c>
      <c r="AH20" t="n">
        <v>0.00024026</v>
      </c>
      <c r="AI20" t="n">
        <v>0.099916</v>
      </c>
      <c r="AJ20" t="n">
        <v>113.3649</v>
      </c>
      <c r="AK20" t="n">
        <v>8.7204</v>
      </c>
      <c r="AL20" t="n">
        <v>4287.4386</v>
      </c>
      <c r="AM20" t="n">
        <v>1440.1854</v>
      </c>
      <c r="AN20" t="n">
        <v>0.99</v>
      </c>
      <c r="AO20" t="inlineStr">
        <is>
          <t>High</t>
        </is>
      </c>
      <c r="AP20" t="inlineStr">
        <is>
          <t>On Track to Glide Path</t>
        </is>
      </c>
    </row>
    <row r="21">
      <c r="A21" t="inlineStr">
        <is>
          <t>SUP-0002</t>
        </is>
      </c>
      <c r="B21" t="inlineStr">
        <is>
          <t>Textiles Supplier 002</t>
        </is>
      </c>
      <c r="C21" t="inlineStr">
        <is>
          <t>Textiles</t>
        </is>
      </c>
      <c r="D21" t="n">
        <v>2024</v>
      </c>
      <c r="E21" t="n">
        <v>2021</v>
      </c>
      <c r="F21" t="n">
        <v>2040</v>
      </c>
      <c r="G21" t="n">
        <v>609.8191</v>
      </c>
      <c r="H21" t="n">
        <v>130.8505</v>
      </c>
      <c r="I21" t="n">
        <v>61.9081</v>
      </c>
      <c r="J21" t="n">
        <v>437.2972</v>
      </c>
      <c r="K21" t="n">
        <v>1961826.78</v>
      </c>
      <c r="L21" t="n">
        <v>7611105.33</v>
      </c>
      <c r="M21" t="n">
        <v>609.8191</v>
      </c>
      <c r="N21" t="inlineStr">
        <is>
          <t>Provided Total Emissions</t>
        </is>
      </c>
      <c r="O21" t="b">
        <v>1</v>
      </c>
      <c r="P21" t="n">
        <v>0.02252</v>
      </c>
      <c r="Q21" t="n">
        <v>0.011478</v>
      </c>
      <c r="R21" t="n">
        <v>573.2654</v>
      </c>
      <c r="S21" t="n">
        <v>1319.994</v>
      </c>
      <c r="T21" t="n">
        <v>-36.5537</v>
      </c>
      <c r="U21" t="n">
        <v>710.1749</v>
      </c>
      <c r="V21" t="n">
        <v>-0.059942</v>
      </c>
      <c r="W21" t="n">
        <v>1.164567</v>
      </c>
      <c r="X21" t="inlineStr">
        <is>
          <t>High</t>
        </is>
      </c>
      <c r="Y21" t="inlineStr">
        <is>
          <t>None</t>
        </is>
      </c>
      <c r="Z21" t="inlineStr">
        <is>
          <t>Valid</t>
        </is>
      </c>
      <c r="AA21" t="n">
        <v>2028</v>
      </c>
      <c r="AB21" t="inlineStr">
        <is>
          <t>Supplier Target Pathway</t>
        </is>
      </c>
      <c r="AC21" t="n">
        <v>523.6636999999999</v>
      </c>
      <c r="AD21" t="n">
        <v>357.9765</v>
      </c>
      <c r="AE21" t="n">
        <v>462.621</v>
      </c>
      <c r="AF21" t="n">
        <v>462.621</v>
      </c>
      <c r="AG21" t="n">
        <v>61.0427</v>
      </c>
      <c r="AH21" t="n">
        <v>0.00023581</v>
      </c>
      <c r="AI21" t="n">
        <v>0.116568</v>
      </c>
      <c r="AJ21" t="n">
        <v>104.6445</v>
      </c>
      <c r="AK21" t="n">
        <v>8.7204</v>
      </c>
      <c r="AL21" t="n">
        <v>3824.8176</v>
      </c>
      <c r="AM21" t="n">
        <v>1902.8064</v>
      </c>
      <c r="AN21" t="n">
        <v>0.99</v>
      </c>
      <c r="AO21" t="inlineStr">
        <is>
          <t>High</t>
        </is>
      </c>
      <c r="AP21" t="inlineStr">
        <is>
          <t>On Track to Glide Path</t>
        </is>
      </c>
    </row>
    <row r="22">
      <c r="A22" t="inlineStr">
        <is>
          <t>SUP-0002</t>
        </is>
      </c>
      <c r="B22" t="inlineStr">
        <is>
          <t>Textiles Supplier 002</t>
        </is>
      </c>
      <c r="C22" t="inlineStr">
        <is>
          <t>Textiles</t>
        </is>
      </c>
      <c r="D22" t="n">
        <v>2024</v>
      </c>
      <c r="E22" t="n">
        <v>2021</v>
      </c>
      <c r="F22" t="n">
        <v>2040</v>
      </c>
      <c r="G22" t="n">
        <v>609.8191</v>
      </c>
      <c r="H22" t="n">
        <v>130.8505</v>
      </c>
      <c r="I22" t="n">
        <v>61.9081</v>
      </c>
      <c r="J22" t="n">
        <v>437.2972</v>
      </c>
      <c r="K22" t="n">
        <v>1961826.78</v>
      </c>
      <c r="L22" t="n">
        <v>7611105.33</v>
      </c>
      <c r="M22" t="n">
        <v>609.8191</v>
      </c>
      <c r="N22" t="inlineStr">
        <is>
          <t>Provided Total Emissions</t>
        </is>
      </c>
      <c r="O22" t="b">
        <v>1</v>
      </c>
      <c r="P22" t="n">
        <v>0.02252</v>
      </c>
      <c r="Q22" t="n">
        <v>0.011478</v>
      </c>
      <c r="R22" t="n">
        <v>573.2654</v>
      </c>
      <c r="S22" t="n">
        <v>1319.994</v>
      </c>
      <c r="T22" t="n">
        <v>-36.5537</v>
      </c>
      <c r="U22" t="n">
        <v>710.1749</v>
      </c>
      <c r="V22" t="n">
        <v>-0.059942</v>
      </c>
      <c r="W22" t="n">
        <v>1.164567</v>
      </c>
      <c r="X22" t="inlineStr">
        <is>
          <t>High</t>
        </is>
      </c>
      <c r="Y22" t="inlineStr">
        <is>
          <t>None</t>
        </is>
      </c>
      <c r="Z22" t="inlineStr">
        <is>
          <t>Valid</t>
        </is>
      </c>
      <c r="AA22" t="n">
        <v>2029</v>
      </c>
      <c r="AB22" t="inlineStr">
        <is>
          <t>Supplier Target Pathway</t>
        </is>
      </c>
      <c r="AC22" t="n">
        <v>523.6636999999999</v>
      </c>
      <c r="AD22" t="n">
        <v>357.9765</v>
      </c>
      <c r="AE22" t="n">
        <v>453.9007</v>
      </c>
      <c r="AF22" t="n">
        <v>453.9007</v>
      </c>
      <c r="AG22" t="n">
        <v>69.76300000000001</v>
      </c>
      <c r="AH22" t="n">
        <v>0.00023137</v>
      </c>
      <c r="AI22" t="n">
        <v>0.133221</v>
      </c>
      <c r="AJ22" t="n">
        <v>95.9242</v>
      </c>
      <c r="AK22" t="n">
        <v>8.7204</v>
      </c>
      <c r="AL22" t="n">
        <v>3370.9169</v>
      </c>
      <c r="AM22" t="n">
        <v>2356.7071</v>
      </c>
      <c r="AN22" t="n">
        <v>0.99</v>
      </c>
      <c r="AO22" t="inlineStr">
        <is>
          <t>High</t>
        </is>
      </c>
      <c r="AP22" t="inlineStr">
        <is>
          <t>On Track to Glide Path</t>
        </is>
      </c>
    </row>
    <row r="23">
      <c r="A23" t="inlineStr">
        <is>
          <t>SUP-0002</t>
        </is>
      </c>
      <c r="B23" t="inlineStr">
        <is>
          <t>Textiles Supplier 002</t>
        </is>
      </c>
      <c r="C23" t="inlineStr">
        <is>
          <t>Textiles</t>
        </is>
      </c>
      <c r="D23" t="n">
        <v>2024</v>
      </c>
      <c r="E23" t="n">
        <v>2021</v>
      </c>
      <c r="F23" t="n">
        <v>2040</v>
      </c>
      <c r="G23" t="n">
        <v>609.8191</v>
      </c>
      <c r="H23" t="n">
        <v>130.8505</v>
      </c>
      <c r="I23" t="n">
        <v>61.9081</v>
      </c>
      <c r="J23" t="n">
        <v>437.2972</v>
      </c>
      <c r="K23" t="n">
        <v>1961826.78</v>
      </c>
      <c r="L23" t="n">
        <v>7611105.33</v>
      </c>
      <c r="M23" t="n">
        <v>609.8191</v>
      </c>
      <c r="N23" t="inlineStr">
        <is>
          <t>Provided Total Emissions</t>
        </is>
      </c>
      <c r="O23" t="b">
        <v>1</v>
      </c>
      <c r="P23" t="n">
        <v>0.02252</v>
      </c>
      <c r="Q23" t="n">
        <v>0.011478</v>
      </c>
      <c r="R23" t="n">
        <v>573.2654</v>
      </c>
      <c r="S23" t="n">
        <v>1319.994</v>
      </c>
      <c r="T23" t="n">
        <v>-36.5537</v>
      </c>
      <c r="U23" t="n">
        <v>710.1749</v>
      </c>
      <c r="V23" t="n">
        <v>-0.059942</v>
      </c>
      <c r="W23" t="n">
        <v>1.164567</v>
      </c>
      <c r="X23" t="inlineStr">
        <is>
          <t>High</t>
        </is>
      </c>
      <c r="Y23" t="inlineStr">
        <is>
          <t>None</t>
        </is>
      </c>
      <c r="Z23" t="inlineStr">
        <is>
          <t>Valid</t>
        </is>
      </c>
      <c r="AA23" t="n">
        <v>2030</v>
      </c>
      <c r="AB23" t="inlineStr">
        <is>
          <t>Supplier Target Pathway</t>
        </is>
      </c>
      <c r="AC23" t="n">
        <v>523.6636999999999</v>
      </c>
      <c r="AD23" t="n">
        <v>357.9765</v>
      </c>
      <c r="AE23" t="n">
        <v>445.1803</v>
      </c>
      <c r="AF23" t="n">
        <v>445.1803</v>
      </c>
      <c r="AG23" t="n">
        <v>78.4834</v>
      </c>
      <c r="AH23" t="n">
        <v>0.00022692</v>
      </c>
      <c r="AI23" t="n">
        <v>0.149874</v>
      </c>
      <c r="AJ23" t="n">
        <v>87.2038</v>
      </c>
      <c r="AK23" t="n">
        <v>8.7204</v>
      </c>
      <c r="AL23" t="n">
        <v>2925.7366</v>
      </c>
      <c r="AM23" t="n">
        <v>2801.8874</v>
      </c>
      <c r="AN23" t="n">
        <v>0.99</v>
      </c>
      <c r="AO23" t="inlineStr">
        <is>
          <t>High</t>
        </is>
      </c>
      <c r="AP23" t="inlineStr">
        <is>
          <t>On Track to Glide Path</t>
        </is>
      </c>
    </row>
    <row r="24">
      <c r="A24" t="inlineStr">
        <is>
          <t>SUP-0002</t>
        </is>
      </c>
      <c r="B24" t="inlineStr">
        <is>
          <t>Textiles Supplier 002</t>
        </is>
      </c>
      <c r="C24" t="inlineStr">
        <is>
          <t>Textiles</t>
        </is>
      </c>
      <c r="D24" t="n">
        <v>2024</v>
      </c>
      <c r="E24" t="n">
        <v>2021</v>
      </c>
      <c r="F24" t="n">
        <v>2040</v>
      </c>
      <c r="G24" t="n">
        <v>609.8191</v>
      </c>
      <c r="H24" t="n">
        <v>130.8505</v>
      </c>
      <c r="I24" t="n">
        <v>61.9081</v>
      </c>
      <c r="J24" t="n">
        <v>437.2972</v>
      </c>
      <c r="K24" t="n">
        <v>1961826.78</v>
      </c>
      <c r="L24" t="n">
        <v>7611105.33</v>
      </c>
      <c r="M24" t="n">
        <v>609.8191</v>
      </c>
      <c r="N24" t="inlineStr">
        <is>
          <t>Provided Total Emissions</t>
        </is>
      </c>
      <c r="O24" t="b">
        <v>1</v>
      </c>
      <c r="P24" t="n">
        <v>0.02252</v>
      </c>
      <c r="Q24" t="n">
        <v>0.011478</v>
      </c>
      <c r="R24" t="n">
        <v>573.2654</v>
      </c>
      <c r="S24" t="n">
        <v>1319.994</v>
      </c>
      <c r="T24" t="n">
        <v>-36.5537</v>
      </c>
      <c r="U24" t="n">
        <v>710.1749</v>
      </c>
      <c r="V24" t="n">
        <v>-0.059942</v>
      </c>
      <c r="W24" t="n">
        <v>1.164567</v>
      </c>
      <c r="X24" t="inlineStr">
        <is>
          <t>High</t>
        </is>
      </c>
      <c r="Y24" t="inlineStr">
        <is>
          <t>None</t>
        </is>
      </c>
      <c r="Z24" t="inlineStr">
        <is>
          <t>Valid</t>
        </is>
      </c>
      <c r="AA24" t="n">
        <v>2031</v>
      </c>
      <c r="AB24" t="inlineStr">
        <is>
          <t>Supplier Target Pathway</t>
        </is>
      </c>
      <c r="AC24" t="n">
        <v>523.6636999999999</v>
      </c>
      <c r="AD24" t="n">
        <v>357.9765</v>
      </c>
      <c r="AE24" t="n">
        <v>436.4599</v>
      </c>
      <c r="AF24" t="n">
        <v>436.4599</v>
      </c>
      <c r="AG24" t="n">
        <v>87.2038</v>
      </c>
      <c r="AH24" t="n">
        <v>0.00022248</v>
      </c>
      <c r="AI24" t="n">
        <v>0.166526</v>
      </c>
      <c r="AJ24" t="n">
        <v>78.4834</v>
      </c>
      <c r="AK24" t="n">
        <v>8.7204</v>
      </c>
      <c r="AL24" t="n">
        <v>2489.2767</v>
      </c>
      <c r="AM24" t="n">
        <v>3238.3473</v>
      </c>
      <c r="AN24" t="n">
        <v>0.99</v>
      </c>
      <c r="AO24" t="inlineStr">
        <is>
          <t>High</t>
        </is>
      </c>
      <c r="AP24" t="inlineStr">
        <is>
          <t>On Track to Glide Path</t>
        </is>
      </c>
    </row>
    <row r="25">
      <c r="A25" t="inlineStr">
        <is>
          <t>SUP-0002</t>
        </is>
      </c>
      <c r="B25" t="inlineStr">
        <is>
          <t>Textiles Supplier 002</t>
        </is>
      </c>
      <c r="C25" t="inlineStr">
        <is>
          <t>Textiles</t>
        </is>
      </c>
      <c r="D25" t="n">
        <v>2024</v>
      </c>
      <c r="E25" t="n">
        <v>2021</v>
      </c>
      <c r="F25" t="n">
        <v>2040</v>
      </c>
      <c r="G25" t="n">
        <v>609.8191</v>
      </c>
      <c r="H25" t="n">
        <v>130.8505</v>
      </c>
      <c r="I25" t="n">
        <v>61.9081</v>
      </c>
      <c r="J25" t="n">
        <v>437.2972</v>
      </c>
      <c r="K25" t="n">
        <v>1961826.78</v>
      </c>
      <c r="L25" t="n">
        <v>7611105.33</v>
      </c>
      <c r="M25" t="n">
        <v>609.8191</v>
      </c>
      <c r="N25" t="inlineStr">
        <is>
          <t>Provided Total Emissions</t>
        </is>
      </c>
      <c r="O25" t="b">
        <v>1</v>
      </c>
      <c r="P25" t="n">
        <v>0.02252</v>
      </c>
      <c r="Q25" t="n">
        <v>0.011478</v>
      </c>
      <c r="R25" t="n">
        <v>573.2654</v>
      </c>
      <c r="S25" t="n">
        <v>1319.994</v>
      </c>
      <c r="T25" t="n">
        <v>-36.5537</v>
      </c>
      <c r="U25" t="n">
        <v>710.1749</v>
      </c>
      <c r="V25" t="n">
        <v>-0.059942</v>
      </c>
      <c r="W25" t="n">
        <v>1.164567</v>
      </c>
      <c r="X25" t="inlineStr">
        <is>
          <t>High</t>
        </is>
      </c>
      <c r="Y25" t="inlineStr">
        <is>
          <t>None</t>
        </is>
      </c>
      <c r="Z25" t="inlineStr">
        <is>
          <t>Valid</t>
        </is>
      </c>
      <c r="AA25" t="n">
        <v>2032</v>
      </c>
      <c r="AB25" t="inlineStr">
        <is>
          <t>Supplier Target Pathway</t>
        </is>
      </c>
      <c r="AC25" t="n">
        <v>523.6636999999999</v>
      </c>
      <c r="AD25" t="n">
        <v>357.9765</v>
      </c>
      <c r="AE25" t="n">
        <v>427.7395</v>
      </c>
      <c r="AF25" t="n">
        <v>427.7395</v>
      </c>
      <c r="AG25" t="n">
        <v>95.9242</v>
      </c>
      <c r="AH25" t="n">
        <v>0.00021803</v>
      </c>
      <c r="AI25" t="n">
        <v>0.183179</v>
      </c>
      <c r="AJ25" t="n">
        <v>69.76300000000001</v>
      </c>
      <c r="AK25" t="n">
        <v>8.7204</v>
      </c>
      <c r="AL25" t="n">
        <v>2061.5372</v>
      </c>
      <c r="AM25" t="n">
        <v>3666.0868</v>
      </c>
      <c r="AN25" t="n">
        <v>0.99</v>
      </c>
      <c r="AO25" t="inlineStr">
        <is>
          <t>High</t>
        </is>
      </c>
      <c r="AP25" t="inlineStr">
        <is>
          <t>On Track to Glide Path</t>
        </is>
      </c>
    </row>
    <row r="26">
      <c r="A26" t="inlineStr">
        <is>
          <t>SUP-0002</t>
        </is>
      </c>
      <c r="B26" t="inlineStr">
        <is>
          <t>Textiles Supplier 002</t>
        </is>
      </c>
      <c r="C26" t="inlineStr">
        <is>
          <t>Textiles</t>
        </is>
      </c>
      <c r="D26" t="n">
        <v>2024</v>
      </c>
      <c r="E26" t="n">
        <v>2021</v>
      </c>
      <c r="F26" t="n">
        <v>2040</v>
      </c>
      <c r="G26" t="n">
        <v>609.8191</v>
      </c>
      <c r="H26" t="n">
        <v>130.8505</v>
      </c>
      <c r="I26" t="n">
        <v>61.9081</v>
      </c>
      <c r="J26" t="n">
        <v>437.2972</v>
      </c>
      <c r="K26" t="n">
        <v>1961826.78</v>
      </c>
      <c r="L26" t="n">
        <v>7611105.33</v>
      </c>
      <c r="M26" t="n">
        <v>609.8191</v>
      </c>
      <c r="N26" t="inlineStr">
        <is>
          <t>Provided Total Emissions</t>
        </is>
      </c>
      <c r="O26" t="b">
        <v>1</v>
      </c>
      <c r="P26" t="n">
        <v>0.02252</v>
      </c>
      <c r="Q26" t="n">
        <v>0.011478</v>
      </c>
      <c r="R26" t="n">
        <v>573.2654</v>
      </c>
      <c r="S26" t="n">
        <v>1319.994</v>
      </c>
      <c r="T26" t="n">
        <v>-36.5537</v>
      </c>
      <c r="U26" t="n">
        <v>710.1749</v>
      </c>
      <c r="V26" t="n">
        <v>-0.059942</v>
      </c>
      <c r="W26" t="n">
        <v>1.164567</v>
      </c>
      <c r="X26" t="inlineStr">
        <is>
          <t>High</t>
        </is>
      </c>
      <c r="Y26" t="inlineStr">
        <is>
          <t>None</t>
        </is>
      </c>
      <c r="Z26" t="inlineStr">
        <is>
          <t>Valid</t>
        </is>
      </c>
      <c r="AA26" t="n">
        <v>2033</v>
      </c>
      <c r="AB26" t="inlineStr">
        <is>
          <t>Supplier Target Pathway</t>
        </is>
      </c>
      <c r="AC26" t="n">
        <v>523.6636999999999</v>
      </c>
      <c r="AD26" t="n">
        <v>357.9765</v>
      </c>
      <c r="AE26" t="n">
        <v>419.0192</v>
      </c>
      <c r="AF26" t="n">
        <v>419.0192</v>
      </c>
      <c r="AG26" t="n">
        <v>104.6445</v>
      </c>
      <c r="AH26" t="n">
        <v>0.00021359</v>
      </c>
      <c r="AI26" t="n">
        <v>0.199832</v>
      </c>
      <c r="AJ26" t="n">
        <v>61.0427</v>
      </c>
      <c r="AK26" t="n">
        <v>8.7204</v>
      </c>
      <c r="AL26" t="n">
        <v>1642.518</v>
      </c>
      <c r="AM26" t="n">
        <v>4085.106</v>
      </c>
      <c r="AN26" t="n">
        <v>0.99</v>
      </c>
      <c r="AO26" t="inlineStr">
        <is>
          <t>High</t>
        </is>
      </c>
      <c r="AP26" t="inlineStr">
        <is>
          <t>On Track to Glide Path</t>
        </is>
      </c>
    </row>
    <row r="27">
      <c r="A27" t="inlineStr">
        <is>
          <t>SUP-0002</t>
        </is>
      </c>
      <c r="B27" t="inlineStr">
        <is>
          <t>Textiles Supplier 002</t>
        </is>
      </c>
      <c r="C27" t="inlineStr">
        <is>
          <t>Textiles</t>
        </is>
      </c>
      <c r="D27" t="n">
        <v>2024</v>
      </c>
      <c r="E27" t="n">
        <v>2021</v>
      </c>
      <c r="F27" t="n">
        <v>2040</v>
      </c>
      <c r="G27" t="n">
        <v>609.8191</v>
      </c>
      <c r="H27" t="n">
        <v>130.8505</v>
      </c>
      <c r="I27" t="n">
        <v>61.9081</v>
      </c>
      <c r="J27" t="n">
        <v>437.2972</v>
      </c>
      <c r="K27" t="n">
        <v>1961826.78</v>
      </c>
      <c r="L27" t="n">
        <v>7611105.33</v>
      </c>
      <c r="M27" t="n">
        <v>609.8191</v>
      </c>
      <c r="N27" t="inlineStr">
        <is>
          <t>Provided Total Emissions</t>
        </is>
      </c>
      <c r="O27" t="b">
        <v>1</v>
      </c>
      <c r="P27" t="n">
        <v>0.02252</v>
      </c>
      <c r="Q27" t="n">
        <v>0.011478</v>
      </c>
      <c r="R27" t="n">
        <v>573.2654</v>
      </c>
      <c r="S27" t="n">
        <v>1319.994</v>
      </c>
      <c r="T27" t="n">
        <v>-36.5537</v>
      </c>
      <c r="U27" t="n">
        <v>710.1749</v>
      </c>
      <c r="V27" t="n">
        <v>-0.059942</v>
      </c>
      <c r="W27" t="n">
        <v>1.164567</v>
      </c>
      <c r="X27" t="inlineStr">
        <is>
          <t>High</t>
        </is>
      </c>
      <c r="Y27" t="inlineStr">
        <is>
          <t>None</t>
        </is>
      </c>
      <c r="Z27" t="inlineStr">
        <is>
          <t>Valid</t>
        </is>
      </c>
      <c r="AA27" t="n">
        <v>2034</v>
      </c>
      <c r="AB27" t="inlineStr">
        <is>
          <t>Supplier Target Pathway</t>
        </is>
      </c>
      <c r="AC27" t="n">
        <v>523.6636999999999</v>
      </c>
      <c r="AD27" t="n">
        <v>357.9765</v>
      </c>
      <c r="AE27" t="n">
        <v>410.2988</v>
      </c>
      <c r="AF27" t="n">
        <v>410.2988</v>
      </c>
      <c r="AG27" t="n">
        <v>113.3649</v>
      </c>
      <c r="AH27" t="n">
        <v>0.00020914</v>
      </c>
      <c r="AI27" t="n">
        <v>0.216484</v>
      </c>
      <c r="AJ27" t="n">
        <v>52.3223</v>
      </c>
      <c r="AK27" t="n">
        <v>8.7204</v>
      </c>
      <c r="AL27" t="n">
        <v>1232.2192</v>
      </c>
      <c r="AM27" t="n">
        <v>4495.4048</v>
      </c>
      <c r="AN27" t="n">
        <v>0.99</v>
      </c>
      <c r="AO27" t="inlineStr">
        <is>
          <t>Medium</t>
        </is>
      </c>
      <c r="AP27" t="inlineStr">
        <is>
          <t>On Track to Glide Path</t>
        </is>
      </c>
    </row>
    <row r="28">
      <c r="A28" t="inlineStr">
        <is>
          <t>SUP-0002</t>
        </is>
      </c>
      <c r="B28" t="inlineStr">
        <is>
          <t>Textiles Supplier 002</t>
        </is>
      </c>
      <c r="C28" t="inlineStr">
        <is>
          <t>Textiles</t>
        </is>
      </c>
      <c r="D28" t="n">
        <v>2024</v>
      </c>
      <c r="E28" t="n">
        <v>2021</v>
      </c>
      <c r="F28" t="n">
        <v>2040</v>
      </c>
      <c r="G28" t="n">
        <v>609.8191</v>
      </c>
      <c r="H28" t="n">
        <v>130.8505</v>
      </c>
      <c r="I28" t="n">
        <v>61.9081</v>
      </c>
      <c r="J28" t="n">
        <v>437.2972</v>
      </c>
      <c r="K28" t="n">
        <v>1961826.78</v>
      </c>
      <c r="L28" t="n">
        <v>7611105.33</v>
      </c>
      <c r="M28" t="n">
        <v>609.8191</v>
      </c>
      <c r="N28" t="inlineStr">
        <is>
          <t>Provided Total Emissions</t>
        </is>
      </c>
      <c r="O28" t="b">
        <v>1</v>
      </c>
      <c r="P28" t="n">
        <v>0.02252</v>
      </c>
      <c r="Q28" t="n">
        <v>0.011478</v>
      </c>
      <c r="R28" t="n">
        <v>573.2654</v>
      </c>
      <c r="S28" t="n">
        <v>1319.994</v>
      </c>
      <c r="T28" t="n">
        <v>-36.5537</v>
      </c>
      <c r="U28" t="n">
        <v>710.1749</v>
      </c>
      <c r="V28" t="n">
        <v>-0.059942</v>
      </c>
      <c r="W28" t="n">
        <v>1.164567</v>
      </c>
      <c r="X28" t="inlineStr">
        <is>
          <t>High</t>
        </is>
      </c>
      <c r="Y28" t="inlineStr">
        <is>
          <t>None</t>
        </is>
      </c>
      <c r="Z28" t="inlineStr">
        <is>
          <t>Valid</t>
        </is>
      </c>
      <c r="AA28" t="n">
        <v>2035</v>
      </c>
      <c r="AB28" t="inlineStr">
        <is>
          <t>Supplier Target Pathway</t>
        </is>
      </c>
      <c r="AC28" t="n">
        <v>523.6636999999999</v>
      </c>
      <c r="AD28" t="n">
        <v>357.9765</v>
      </c>
      <c r="AE28" t="n">
        <v>401.5784</v>
      </c>
      <c r="AF28" t="n">
        <v>401.5784</v>
      </c>
      <c r="AG28" t="n">
        <v>122.0853</v>
      </c>
      <c r="AH28" t="n">
        <v>0.0002047</v>
      </c>
      <c r="AI28" t="n">
        <v>0.233137</v>
      </c>
      <c r="AJ28" t="n">
        <v>43.6019</v>
      </c>
      <c r="AK28" t="n">
        <v>8.7204</v>
      </c>
      <c r="AL28" t="n">
        <v>830.6408</v>
      </c>
      <c r="AM28" t="n">
        <v>4896.9832</v>
      </c>
      <c r="AN28" t="n">
        <v>0.99</v>
      </c>
      <c r="AO28" t="inlineStr">
        <is>
          <t>Medium</t>
        </is>
      </c>
      <c r="AP28" t="inlineStr">
        <is>
          <t>On Track to Glide Path</t>
        </is>
      </c>
    </row>
    <row r="29">
      <c r="A29" t="inlineStr">
        <is>
          <t>SUP-0002</t>
        </is>
      </c>
      <c r="B29" t="inlineStr">
        <is>
          <t>Textiles Supplier 002</t>
        </is>
      </c>
      <c r="C29" t="inlineStr">
        <is>
          <t>Textiles</t>
        </is>
      </c>
      <c r="D29" t="n">
        <v>2024</v>
      </c>
      <c r="E29" t="n">
        <v>2021</v>
      </c>
      <c r="F29" t="n">
        <v>2040</v>
      </c>
      <c r="G29" t="n">
        <v>609.8191</v>
      </c>
      <c r="H29" t="n">
        <v>130.8505</v>
      </c>
      <c r="I29" t="n">
        <v>61.9081</v>
      </c>
      <c r="J29" t="n">
        <v>437.2972</v>
      </c>
      <c r="K29" t="n">
        <v>1961826.78</v>
      </c>
      <c r="L29" t="n">
        <v>7611105.33</v>
      </c>
      <c r="M29" t="n">
        <v>609.8191</v>
      </c>
      <c r="N29" t="inlineStr">
        <is>
          <t>Provided Total Emissions</t>
        </is>
      </c>
      <c r="O29" t="b">
        <v>1</v>
      </c>
      <c r="P29" t="n">
        <v>0.02252</v>
      </c>
      <c r="Q29" t="n">
        <v>0.011478</v>
      </c>
      <c r="R29" t="n">
        <v>573.2654</v>
      </c>
      <c r="S29" t="n">
        <v>1319.994</v>
      </c>
      <c r="T29" t="n">
        <v>-36.5537</v>
      </c>
      <c r="U29" t="n">
        <v>710.1749</v>
      </c>
      <c r="V29" t="n">
        <v>-0.059942</v>
      </c>
      <c r="W29" t="n">
        <v>1.164567</v>
      </c>
      <c r="X29" t="inlineStr">
        <is>
          <t>High</t>
        </is>
      </c>
      <c r="Y29" t="inlineStr">
        <is>
          <t>None</t>
        </is>
      </c>
      <c r="Z29" t="inlineStr">
        <is>
          <t>Valid</t>
        </is>
      </c>
      <c r="AA29" t="n">
        <v>2036</v>
      </c>
      <c r="AB29" t="inlineStr">
        <is>
          <t>Supplier Target Pathway</t>
        </is>
      </c>
      <c r="AC29" t="n">
        <v>523.6636999999999</v>
      </c>
      <c r="AD29" t="n">
        <v>357.9765</v>
      </c>
      <c r="AE29" t="n">
        <v>392.858</v>
      </c>
      <c r="AF29" t="n">
        <v>392.858</v>
      </c>
      <c r="AG29" t="n">
        <v>130.8057</v>
      </c>
      <c r="AH29" t="n">
        <v>0.00020025</v>
      </c>
      <c r="AI29" t="n">
        <v>0.249789</v>
      </c>
      <c r="AJ29" t="n">
        <v>34.8815</v>
      </c>
      <c r="AK29" t="n">
        <v>8.7204</v>
      </c>
      <c r="AL29" t="n">
        <v>437.7828</v>
      </c>
      <c r="AM29" t="n">
        <v>5289.8412</v>
      </c>
      <c r="AN29" t="n">
        <v>0.99</v>
      </c>
      <c r="AO29" t="inlineStr">
        <is>
          <t>Medium</t>
        </is>
      </c>
      <c r="AP29" t="inlineStr">
        <is>
          <t>On Track to Glide Path</t>
        </is>
      </c>
    </row>
    <row r="30">
      <c r="A30" t="inlineStr">
        <is>
          <t>SUP-0002</t>
        </is>
      </c>
      <c r="B30" t="inlineStr">
        <is>
          <t>Textiles Supplier 002</t>
        </is>
      </c>
      <c r="C30" t="inlineStr">
        <is>
          <t>Textiles</t>
        </is>
      </c>
      <c r="D30" t="n">
        <v>2024</v>
      </c>
      <c r="E30" t="n">
        <v>2021</v>
      </c>
      <c r="F30" t="n">
        <v>2040</v>
      </c>
      <c r="G30" t="n">
        <v>609.8191</v>
      </c>
      <c r="H30" t="n">
        <v>130.8505</v>
      </c>
      <c r="I30" t="n">
        <v>61.9081</v>
      </c>
      <c r="J30" t="n">
        <v>437.2972</v>
      </c>
      <c r="K30" t="n">
        <v>1961826.78</v>
      </c>
      <c r="L30" t="n">
        <v>7611105.33</v>
      </c>
      <c r="M30" t="n">
        <v>609.8191</v>
      </c>
      <c r="N30" t="inlineStr">
        <is>
          <t>Provided Total Emissions</t>
        </is>
      </c>
      <c r="O30" t="b">
        <v>1</v>
      </c>
      <c r="P30" t="n">
        <v>0.02252</v>
      </c>
      <c r="Q30" t="n">
        <v>0.011478</v>
      </c>
      <c r="R30" t="n">
        <v>573.2654</v>
      </c>
      <c r="S30" t="n">
        <v>1319.994</v>
      </c>
      <c r="T30" t="n">
        <v>-36.5537</v>
      </c>
      <c r="U30" t="n">
        <v>710.1749</v>
      </c>
      <c r="V30" t="n">
        <v>-0.059942</v>
      </c>
      <c r="W30" t="n">
        <v>1.164567</v>
      </c>
      <c r="X30" t="inlineStr">
        <is>
          <t>High</t>
        </is>
      </c>
      <c r="Y30" t="inlineStr">
        <is>
          <t>None</t>
        </is>
      </c>
      <c r="Z30" t="inlineStr">
        <is>
          <t>Valid</t>
        </is>
      </c>
      <c r="AA30" t="n">
        <v>2037</v>
      </c>
      <c r="AB30" t="inlineStr">
        <is>
          <t>Supplier Target Pathway</t>
        </is>
      </c>
      <c r="AC30" t="n">
        <v>523.6636999999999</v>
      </c>
      <c r="AD30" t="n">
        <v>357.9765</v>
      </c>
      <c r="AE30" t="n">
        <v>384.1376</v>
      </c>
      <c r="AF30" t="n">
        <v>384.1376</v>
      </c>
      <c r="AG30" t="n">
        <v>139.5261</v>
      </c>
      <c r="AH30" t="n">
        <v>0.00019581</v>
      </c>
      <c r="AI30" t="n">
        <v>0.266442</v>
      </c>
      <c r="AJ30" t="n">
        <v>26.1611</v>
      </c>
      <c r="AK30" t="n">
        <v>8.7204</v>
      </c>
      <c r="AL30" t="n">
        <v>53.6452</v>
      </c>
      <c r="AM30" t="n">
        <v>5673.9788</v>
      </c>
      <c r="AN30" t="n">
        <v>0.99</v>
      </c>
      <c r="AO30" t="inlineStr">
        <is>
          <t>Medium</t>
        </is>
      </c>
      <c r="AP30" t="inlineStr">
        <is>
          <t>On Track to Glide Path</t>
        </is>
      </c>
    </row>
    <row r="31">
      <c r="A31" t="inlineStr">
        <is>
          <t>SUP-0002</t>
        </is>
      </c>
      <c r="B31" t="inlineStr">
        <is>
          <t>Textiles Supplier 002</t>
        </is>
      </c>
      <c r="C31" t="inlineStr">
        <is>
          <t>Textiles</t>
        </is>
      </c>
      <c r="D31" t="n">
        <v>2024</v>
      </c>
      <c r="E31" t="n">
        <v>2021</v>
      </c>
      <c r="F31" t="n">
        <v>2040</v>
      </c>
      <c r="G31" t="n">
        <v>609.8191</v>
      </c>
      <c r="H31" t="n">
        <v>130.8505</v>
      </c>
      <c r="I31" t="n">
        <v>61.9081</v>
      </c>
      <c r="J31" t="n">
        <v>437.2972</v>
      </c>
      <c r="K31" t="n">
        <v>1961826.78</v>
      </c>
      <c r="L31" t="n">
        <v>7611105.33</v>
      </c>
      <c r="M31" t="n">
        <v>609.8191</v>
      </c>
      <c r="N31" t="inlineStr">
        <is>
          <t>Provided Total Emissions</t>
        </is>
      </c>
      <c r="O31" t="b">
        <v>1</v>
      </c>
      <c r="P31" t="n">
        <v>0.02252</v>
      </c>
      <c r="Q31" t="n">
        <v>0.011478</v>
      </c>
      <c r="R31" t="n">
        <v>573.2654</v>
      </c>
      <c r="S31" t="n">
        <v>1319.994</v>
      </c>
      <c r="T31" t="n">
        <v>-36.5537</v>
      </c>
      <c r="U31" t="n">
        <v>710.1749</v>
      </c>
      <c r="V31" t="n">
        <v>-0.059942</v>
      </c>
      <c r="W31" t="n">
        <v>1.164567</v>
      </c>
      <c r="X31" t="inlineStr">
        <is>
          <t>High</t>
        </is>
      </c>
      <c r="Y31" t="inlineStr">
        <is>
          <t>None</t>
        </is>
      </c>
      <c r="Z31" t="inlineStr">
        <is>
          <t>Valid</t>
        </is>
      </c>
      <c r="AA31" t="n">
        <v>2038</v>
      </c>
      <c r="AB31" t="inlineStr">
        <is>
          <t>Supplier Target Pathway</t>
        </is>
      </c>
      <c r="AC31" t="n">
        <v>523.6636999999999</v>
      </c>
      <c r="AD31" t="n">
        <v>357.9765</v>
      </c>
      <c r="AE31" t="n">
        <v>375.4173</v>
      </c>
      <c r="AF31" t="n">
        <v>375.4173</v>
      </c>
      <c r="AG31" t="n">
        <v>148.2464</v>
      </c>
      <c r="AH31" t="n">
        <v>0.00019136</v>
      </c>
      <c r="AI31" t="n">
        <v>0.283095</v>
      </c>
      <c r="AJ31" t="n">
        <v>17.4408</v>
      </c>
      <c r="AK31" t="n">
        <v>8.7204</v>
      </c>
      <c r="AL31" t="n">
        <v>-321.7721</v>
      </c>
      <c r="AM31" t="n">
        <v>6049.3961</v>
      </c>
      <c r="AN31" t="n">
        <v>0.99</v>
      </c>
      <c r="AO31" t="inlineStr">
        <is>
          <t>Medium</t>
        </is>
      </c>
      <c r="AP31" t="inlineStr">
        <is>
          <t>On Track to Glide Path</t>
        </is>
      </c>
    </row>
    <row r="32">
      <c r="A32" t="inlineStr">
        <is>
          <t>SUP-0002</t>
        </is>
      </c>
      <c r="B32" t="inlineStr">
        <is>
          <t>Textiles Supplier 002</t>
        </is>
      </c>
      <c r="C32" t="inlineStr">
        <is>
          <t>Textiles</t>
        </is>
      </c>
      <c r="D32" t="n">
        <v>2024</v>
      </c>
      <c r="E32" t="n">
        <v>2021</v>
      </c>
      <c r="F32" t="n">
        <v>2040</v>
      </c>
      <c r="G32" t="n">
        <v>609.8191</v>
      </c>
      <c r="H32" t="n">
        <v>130.8505</v>
      </c>
      <c r="I32" t="n">
        <v>61.9081</v>
      </c>
      <c r="J32" t="n">
        <v>437.2972</v>
      </c>
      <c r="K32" t="n">
        <v>1961826.78</v>
      </c>
      <c r="L32" t="n">
        <v>7611105.33</v>
      </c>
      <c r="M32" t="n">
        <v>609.8191</v>
      </c>
      <c r="N32" t="inlineStr">
        <is>
          <t>Provided Total Emissions</t>
        </is>
      </c>
      <c r="O32" t="b">
        <v>1</v>
      </c>
      <c r="P32" t="n">
        <v>0.02252</v>
      </c>
      <c r="Q32" t="n">
        <v>0.011478</v>
      </c>
      <c r="R32" t="n">
        <v>573.2654</v>
      </c>
      <c r="S32" t="n">
        <v>1319.994</v>
      </c>
      <c r="T32" t="n">
        <v>-36.5537</v>
      </c>
      <c r="U32" t="n">
        <v>710.1749</v>
      </c>
      <c r="V32" t="n">
        <v>-0.059942</v>
      </c>
      <c r="W32" t="n">
        <v>1.164567</v>
      </c>
      <c r="X32" t="inlineStr">
        <is>
          <t>High</t>
        </is>
      </c>
      <c r="Y32" t="inlineStr">
        <is>
          <t>None</t>
        </is>
      </c>
      <c r="Z32" t="inlineStr">
        <is>
          <t>Valid</t>
        </is>
      </c>
      <c r="AA32" t="n">
        <v>2039</v>
      </c>
      <c r="AB32" t="inlineStr">
        <is>
          <t>Supplier Target Pathway</t>
        </is>
      </c>
      <c r="AC32" t="n">
        <v>523.6636999999999</v>
      </c>
      <c r="AD32" t="n">
        <v>357.9765</v>
      </c>
      <c r="AE32" t="n">
        <v>366.6969</v>
      </c>
      <c r="AF32" t="n">
        <v>366.6969</v>
      </c>
      <c r="AG32" t="n">
        <v>156.9668</v>
      </c>
      <c r="AH32" t="n">
        <v>0.00018692</v>
      </c>
      <c r="AI32" t="n">
        <v>0.299747</v>
      </c>
      <c r="AJ32" t="n">
        <v>8.7204</v>
      </c>
      <c r="AK32" t="n">
        <v>8.7204</v>
      </c>
      <c r="AL32" t="n">
        <v>-688.4690000000001</v>
      </c>
      <c r="AM32" t="n">
        <v>6416.093</v>
      </c>
      <c r="AN32" t="n">
        <v>0.99</v>
      </c>
      <c r="AO32" t="inlineStr">
        <is>
          <t>Medium</t>
        </is>
      </c>
      <c r="AP32" t="inlineStr">
        <is>
          <t>On Track to Glide Path</t>
        </is>
      </c>
    </row>
    <row r="33">
      <c r="A33" t="inlineStr">
        <is>
          <t>SUP-0002</t>
        </is>
      </c>
      <c r="B33" t="inlineStr">
        <is>
          <t>Textiles Supplier 002</t>
        </is>
      </c>
      <c r="C33" t="inlineStr">
        <is>
          <t>Textiles</t>
        </is>
      </c>
      <c r="D33" t="n">
        <v>2024</v>
      </c>
      <c r="E33" t="n">
        <v>2021</v>
      </c>
      <c r="F33" t="n">
        <v>2040</v>
      </c>
      <c r="G33" t="n">
        <v>609.8191</v>
      </c>
      <c r="H33" t="n">
        <v>130.8505</v>
      </c>
      <c r="I33" t="n">
        <v>61.9081</v>
      </c>
      <c r="J33" t="n">
        <v>437.2972</v>
      </c>
      <c r="K33" t="n">
        <v>1961826.78</v>
      </c>
      <c r="L33" t="n">
        <v>7611105.33</v>
      </c>
      <c r="M33" t="n">
        <v>609.8191</v>
      </c>
      <c r="N33" t="inlineStr">
        <is>
          <t>Provided Total Emissions</t>
        </is>
      </c>
      <c r="O33" t="b">
        <v>1</v>
      </c>
      <c r="P33" t="n">
        <v>0.02252</v>
      </c>
      <c r="Q33" t="n">
        <v>0.011478</v>
      </c>
      <c r="R33" t="n">
        <v>573.2654</v>
      </c>
      <c r="S33" t="n">
        <v>1319.994</v>
      </c>
      <c r="T33" t="n">
        <v>-36.5537</v>
      </c>
      <c r="U33" t="n">
        <v>710.1749</v>
      </c>
      <c r="V33" t="n">
        <v>-0.059942</v>
      </c>
      <c r="W33" t="n">
        <v>1.164567</v>
      </c>
      <c r="X33" t="inlineStr">
        <is>
          <t>High</t>
        </is>
      </c>
      <c r="Y33" t="inlineStr">
        <is>
          <t>None</t>
        </is>
      </c>
      <c r="Z33" t="inlineStr">
        <is>
          <t>Valid</t>
        </is>
      </c>
      <c r="AA33" t="n">
        <v>2040</v>
      </c>
      <c r="AB33" t="inlineStr">
        <is>
          <t>Supplier Target Pathway</t>
        </is>
      </c>
      <c r="AC33" t="n">
        <v>523.6636999999999</v>
      </c>
      <c r="AD33" t="n">
        <v>357.9765</v>
      </c>
      <c r="AE33" t="n">
        <v>357.9765</v>
      </c>
      <c r="AF33" t="n">
        <v>357.9765</v>
      </c>
      <c r="AG33" t="n">
        <v>165.6872</v>
      </c>
      <c r="AH33" t="n">
        <v>0.00018247</v>
      </c>
      <c r="AI33" t="n">
        <v>0.3164</v>
      </c>
      <c r="AJ33" t="n">
        <v>0</v>
      </c>
      <c r="AK33" t="n">
        <v>8.7204</v>
      </c>
      <c r="AL33" t="n">
        <v>-1046.4455</v>
      </c>
      <c r="AM33" t="n">
        <v>6774.0695</v>
      </c>
      <c r="AN33" t="n">
        <v>0.99</v>
      </c>
      <c r="AO33" t="inlineStr">
        <is>
          <t>Low</t>
        </is>
      </c>
      <c r="AP33" t="inlineStr">
        <is>
          <t>On Track</t>
        </is>
      </c>
    </row>
    <row r="34">
      <c r="A34" t="inlineStr">
        <is>
          <t>SUP-0003</t>
        </is>
      </c>
      <c r="B34" t="inlineStr">
        <is>
          <t>Electronics Supplier 003</t>
        </is>
      </c>
      <c r="C34" t="inlineStr">
        <is>
          <t>Electronics</t>
        </is>
      </c>
      <c r="D34" t="n">
        <v>2024</v>
      </c>
      <c r="E34" t="n">
        <v>2018</v>
      </c>
      <c r="F34" t="n">
        <v>2030</v>
      </c>
      <c r="G34" t="n">
        <v>10076.1724</v>
      </c>
      <c r="H34" t="n">
        <v>1598.8289</v>
      </c>
      <c r="I34" t="n">
        <v>1283.6593</v>
      </c>
      <c r="J34" t="n">
        <v>7805.0472</v>
      </c>
      <c r="K34" t="n">
        <v>13228903.84</v>
      </c>
      <c r="L34" t="n">
        <v>91085503.23</v>
      </c>
      <c r="M34" t="n">
        <v>10076.1724</v>
      </c>
      <c r="N34" t="inlineStr">
        <is>
          <t>Provided Total Emissions</t>
        </is>
      </c>
      <c r="O34" t="b">
        <v>1</v>
      </c>
      <c r="P34" t="n">
        <v>0.001871</v>
      </c>
      <c r="Q34" t="n">
        <v>0.034608</v>
      </c>
      <c r="R34" t="n">
        <v>11390.7477</v>
      </c>
      <c r="S34" t="n">
        <v>12703.6951</v>
      </c>
      <c r="T34" t="n">
        <v>1314.5753</v>
      </c>
      <c r="U34" t="n">
        <v>2627.5227</v>
      </c>
      <c r="V34" t="n">
        <v>0.130464</v>
      </c>
      <c r="W34" t="n">
        <v>0.260766</v>
      </c>
      <c r="X34" t="inlineStr">
        <is>
          <t>High</t>
        </is>
      </c>
      <c r="Y34" t="inlineStr">
        <is>
          <t>None</t>
        </is>
      </c>
      <c r="Z34" t="inlineStr">
        <is>
          <t>Valid</t>
        </is>
      </c>
      <c r="AA34" t="n">
        <v>2025</v>
      </c>
      <c r="AB34" t="inlineStr">
        <is>
          <t>Supplier Target Pathway</t>
        </is>
      </c>
      <c r="AC34" t="n">
        <v>12549.8807</v>
      </c>
      <c r="AD34" t="n">
        <v>6849.7249</v>
      </c>
      <c r="AE34" t="n">
        <v>9224.7898</v>
      </c>
      <c r="AF34" t="n">
        <v>9224.7898</v>
      </c>
      <c r="AG34" t="n">
        <v>3325.0909</v>
      </c>
      <c r="AH34" t="n">
        <v>0.00069732</v>
      </c>
      <c r="AI34" t="n">
        <v>0.26495</v>
      </c>
      <c r="AJ34" t="n">
        <v>2375.0649</v>
      </c>
      <c r="AK34" t="n">
        <v>475.013</v>
      </c>
      <c r="AL34" t="n">
        <v>31873.5596</v>
      </c>
      <c r="AM34" t="n">
        <v>9224.7898</v>
      </c>
      <c r="AN34" t="n">
        <v>0.99</v>
      </c>
      <c r="AO34" t="inlineStr">
        <is>
          <t>High</t>
        </is>
      </c>
      <c r="AP34" t="inlineStr">
        <is>
          <t>On Track to Glide Path</t>
        </is>
      </c>
    </row>
    <row r="35">
      <c r="A35" t="inlineStr">
        <is>
          <t>SUP-0003</t>
        </is>
      </c>
      <c r="B35" t="inlineStr">
        <is>
          <t>Electronics Supplier 003</t>
        </is>
      </c>
      <c r="C35" t="inlineStr">
        <is>
          <t>Electronics</t>
        </is>
      </c>
      <c r="D35" t="n">
        <v>2024</v>
      </c>
      <c r="E35" t="n">
        <v>2018</v>
      </c>
      <c r="F35" t="n">
        <v>2030</v>
      </c>
      <c r="G35" t="n">
        <v>10076.1724</v>
      </c>
      <c r="H35" t="n">
        <v>1598.8289</v>
      </c>
      <c r="I35" t="n">
        <v>1283.6593</v>
      </c>
      <c r="J35" t="n">
        <v>7805.0472</v>
      </c>
      <c r="K35" t="n">
        <v>13228903.84</v>
      </c>
      <c r="L35" t="n">
        <v>91085503.23</v>
      </c>
      <c r="M35" t="n">
        <v>10076.1724</v>
      </c>
      <c r="N35" t="inlineStr">
        <is>
          <t>Provided Total Emissions</t>
        </is>
      </c>
      <c r="O35" t="b">
        <v>1</v>
      </c>
      <c r="P35" t="n">
        <v>0.001871</v>
      </c>
      <c r="Q35" t="n">
        <v>0.034608</v>
      </c>
      <c r="R35" t="n">
        <v>11390.7477</v>
      </c>
      <c r="S35" t="n">
        <v>12703.6951</v>
      </c>
      <c r="T35" t="n">
        <v>1314.5753</v>
      </c>
      <c r="U35" t="n">
        <v>2627.5227</v>
      </c>
      <c r="V35" t="n">
        <v>0.130464</v>
      </c>
      <c r="W35" t="n">
        <v>0.260766</v>
      </c>
      <c r="X35" t="inlineStr">
        <is>
          <t>High</t>
        </is>
      </c>
      <c r="Y35" t="inlineStr">
        <is>
          <t>None</t>
        </is>
      </c>
      <c r="Z35" t="inlineStr">
        <is>
          <t>Valid</t>
        </is>
      </c>
      <c r="AA35" t="n">
        <v>2026</v>
      </c>
      <c r="AB35" t="inlineStr">
        <is>
          <t>Supplier Target Pathway</t>
        </is>
      </c>
      <c r="AC35" t="n">
        <v>12549.8807</v>
      </c>
      <c r="AD35" t="n">
        <v>6849.7249</v>
      </c>
      <c r="AE35" t="n">
        <v>8749.7768</v>
      </c>
      <c r="AF35" t="n">
        <v>8749.7768</v>
      </c>
      <c r="AG35" t="n">
        <v>3800.1039</v>
      </c>
      <c r="AH35" t="n">
        <v>0.00066141</v>
      </c>
      <c r="AI35" t="n">
        <v>0.3028</v>
      </c>
      <c r="AJ35" t="n">
        <v>1900.0519</v>
      </c>
      <c r="AK35" t="n">
        <v>475.013</v>
      </c>
      <c r="AL35" t="n">
        <v>23123.7828</v>
      </c>
      <c r="AM35" t="n">
        <v>17974.5666</v>
      </c>
      <c r="AN35" t="n">
        <v>0.99</v>
      </c>
      <c r="AO35" t="inlineStr">
        <is>
          <t>High</t>
        </is>
      </c>
      <c r="AP35" t="inlineStr">
        <is>
          <t>On Track to Glide Path</t>
        </is>
      </c>
    </row>
    <row r="36">
      <c r="A36" t="inlineStr">
        <is>
          <t>SUP-0003</t>
        </is>
      </c>
      <c r="B36" t="inlineStr">
        <is>
          <t>Electronics Supplier 003</t>
        </is>
      </c>
      <c r="C36" t="inlineStr">
        <is>
          <t>Electronics</t>
        </is>
      </c>
      <c r="D36" t="n">
        <v>2024</v>
      </c>
      <c r="E36" t="n">
        <v>2018</v>
      </c>
      <c r="F36" t="n">
        <v>2030</v>
      </c>
      <c r="G36" t="n">
        <v>10076.1724</v>
      </c>
      <c r="H36" t="n">
        <v>1598.8289</v>
      </c>
      <c r="I36" t="n">
        <v>1283.6593</v>
      </c>
      <c r="J36" t="n">
        <v>7805.0472</v>
      </c>
      <c r="K36" t="n">
        <v>13228903.84</v>
      </c>
      <c r="L36" t="n">
        <v>91085503.23</v>
      </c>
      <c r="M36" t="n">
        <v>10076.1724</v>
      </c>
      <c r="N36" t="inlineStr">
        <is>
          <t>Provided Total Emissions</t>
        </is>
      </c>
      <c r="O36" t="b">
        <v>1</v>
      </c>
      <c r="P36" t="n">
        <v>0.001871</v>
      </c>
      <c r="Q36" t="n">
        <v>0.034608</v>
      </c>
      <c r="R36" t="n">
        <v>11390.7477</v>
      </c>
      <c r="S36" t="n">
        <v>12703.6951</v>
      </c>
      <c r="T36" t="n">
        <v>1314.5753</v>
      </c>
      <c r="U36" t="n">
        <v>2627.5227</v>
      </c>
      <c r="V36" t="n">
        <v>0.130464</v>
      </c>
      <c r="W36" t="n">
        <v>0.260766</v>
      </c>
      <c r="X36" t="inlineStr">
        <is>
          <t>High</t>
        </is>
      </c>
      <c r="Y36" t="inlineStr">
        <is>
          <t>None</t>
        </is>
      </c>
      <c r="Z36" t="inlineStr">
        <is>
          <t>Valid</t>
        </is>
      </c>
      <c r="AA36" t="n">
        <v>2027</v>
      </c>
      <c r="AB36" t="inlineStr">
        <is>
          <t>Supplier Target Pathway</t>
        </is>
      </c>
      <c r="AC36" t="n">
        <v>12549.8807</v>
      </c>
      <c r="AD36" t="n">
        <v>6849.7249</v>
      </c>
      <c r="AE36" t="n">
        <v>8274.763800000001</v>
      </c>
      <c r="AF36" t="n">
        <v>8274.763800000001</v>
      </c>
      <c r="AG36" t="n">
        <v>4275.1169</v>
      </c>
      <c r="AH36" t="n">
        <v>0.00062551</v>
      </c>
      <c r="AI36" t="n">
        <v>0.34065</v>
      </c>
      <c r="AJ36" t="n">
        <v>1425.039</v>
      </c>
      <c r="AK36" t="n">
        <v>475.013</v>
      </c>
      <c r="AL36" t="n">
        <v>14849.019</v>
      </c>
      <c r="AM36" t="n">
        <v>26249.3304</v>
      </c>
      <c r="AN36" t="n">
        <v>0.99</v>
      </c>
      <c r="AO36" t="inlineStr">
        <is>
          <t>High</t>
        </is>
      </c>
      <c r="AP36" t="inlineStr">
        <is>
          <t>On Track to Glide Path</t>
        </is>
      </c>
    </row>
    <row r="37">
      <c r="A37" t="inlineStr">
        <is>
          <t>SUP-0003</t>
        </is>
      </c>
      <c r="B37" t="inlineStr">
        <is>
          <t>Electronics Supplier 003</t>
        </is>
      </c>
      <c r="C37" t="inlineStr">
        <is>
          <t>Electronics</t>
        </is>
      </c>
      <c r="D37" t="n">
        <v>2024</v>
      </c>
      <c r="E37" t="n">
        <v>2018</v>
      </c>
      <c r="F37" t="n">
        <v>2030</v>
      </c>
      <c r="G37" t="n">
        <v>10076.1724</v>
      </c>
      <c r="H37" t="n">
        <v>1598.8289</v>
      </c>
      <c r="I37" t="n">
        <v>1283.6593</v>
      </c>
      <c r="J37" t="n">
        <v>7805.0472</v>
      </c>
      <c r="K37" t="n">
        <v>13228903.84</v>
      </c>
      <c r="L37" t="n">
        <v>91085503.23</v>
      </c>
      <c r="M37" t="n">
        <v>10076.1724</v>
      </c>
      <c r="N37" t="inlineStr">
        <is>
          <t>Provided Total Emissions</t>
        </is>
      </c>
      <c r="O37" t="b">
        <v>1</v>
      </c>
      <c r="P37" t="n">
        <v>0.001871</v>
      </c>
      <c r="Q37" t="n">
        <v>0.034608</v>
      </c>
      <c r="R37" t="n">
        <v>11390.7477</v>
      </c>
      <c r="S37" t="n">
        <v>12703.6951</v>
      </c>
      <c r="T37" t="n">
        <v>1314.5753</v>
      </c>
      <c r="U37" t="n">
        <v>2627.5227</v>
      </c>
      <c r="V37" t="n">
        <v>0.130464</v>
      </c>
      <c r="W37" t="n">
        <v>0.260766</v>
      </c>
      <c r="X37" t="inlineStr">
        <is>
          <t>High</t>
        </is>
      </c>
      <c r="Y37" t="inlineStr">
        <is>
          <t>None</t>
        </is>
      </c>
      <c r="Z37" t="inlineStr">
        <is>
          <t>Valid</t>
        </is>
      </c>
      <c r="AA37" t="n">
        <v>2028</v>
      </c>
      <c r="AB37" t="inlineStr">
        <is>
          <t>Supplier Target Pathway</t>
        </is>
      </c>
      <c r="AC37" t="n">
        <v>12549.8807</v>
      </c>
      <c r="AD37" t="n">
        <v>6849.7249</v>
      </c>
      <c r="AE37" t="n">
        <v>7799.7509</v>
      </c>
      <c r="AF37" t="n">
        <v>7799.7509</v>
      </c>
      <c r="AG37" t="n">
        <v>4750.1298</v>
      </c>
      <c r="AH37" t="n">
        <v>0.0005896</v>
      </c>
      <c r="AI37" t="n">
        <v>0.3785</v>
      </c>
      <c r="AJ37" t="n">
        <v>950.026</v>
      </c>
      <c r="AK37" t="n">
        <v>475.013</v>
      </c>
      <c r="AL37" t="n">
        <v>7049.2681</v>
      </c>
      <c r="AM37" t="n">
        <v>34049.0813</v>
      </c>
      <c r="AN37" t="n">
        <v>0.99</v>
      </c>
      <c r="AO37" t="inlineStr">
        <is>
          <t>Medium</t>
        </is>
      </c>
      <c r="AP37" t="inlineStr">
        <is>
          <t>On Track to Glide Path</t>
        </is>
      </c>
    </row>
    <row r="38">
      <c r="A38" t="inlineStr">
        <is>
          <t>SUP-0003</t>
        </is>
      </c>
      <c r="B38" t="inlineStr">
        <is>
          <t>Electronics Supplier 003</t>
        </is>
      </c>
      <c r="C38" t="inlineStr">
        <is>
          <t>Electronics</t>
        </is>
      </c>
      <c r="D38" t="n">
        <v>2024</v>
      </c>
      <c r="E38" t="n">
        <v>2018</v>
      </c>
      <c r="F38" t="n">
        <v>2030</v>
      </c>
      <c r="G38" t="n">
        <v>10076.1724</v>
      </c>
      <c r="H38" t="n">
        <v>1598.8289</v>
      </c>
      <c r="I38" t="n">
        <v>1283.6593</v>
      </c>
      <c r="J38" t="n">
        <v>7805.0472</v>
      </c>
      <c r="K38" t="n">
        <v>13228903.84</v>
      </c>
      <c r="L38" t="n">
        <v>91085503.23</v>
      </c>
      <c r="M38" t="n">
        <v>10076.1724</v>
      </c>
      <c r="N38" t="inlineStr">
        <is>
          <t>Provided Total Emissions</t>
        </is>
      </c>
      <c r="O38" t="b">
        <v>1</v>
      </c>
      <c r="P38" t="n">
        <v>0.001871</v>
      </c>
      <c r="Q38" t="n">
        <v>0.034608</v>
      </c>
      <c r="R38" t="n">
        <v>11390.7477</v>
      </c>
      <c r="S38" t="n">
        <v>12703.6951</v>
      </c>
      <c r="T38" t="n">
        <v>1314.5753</v>
      </c>
      <c r="U38" t="n">
        <v>2627.5227</v>
      </c>
      <c r="V38" t="n">
        <v>0.130464</v>
      </c>
      <c r="W38" t="n">
        <v>0.260766</v>
      </c>
      <c r="X38" t="inlineStr">
        <is>
          <t>High</t>
        </is>
      </c>
      <c r="Y38" t="inlineStr">
        <is>
          <t>None</t>
        </is>
      </c>
      <c r="Z38" t="inlineStr">
        <is>
          <t>Valid</t>
        </is>
      </c>
      <c r="AA38" t="n">
        <v>2029</v>
      </c>
      <c r="AB38" t="inlineStr">
        <is>
          <t>Supplier Target Pathway</t>
        </is>
      </c>
      <c r="AC38" t="n">
        <v>12549.8807</v>
      </c>
      <c r="AD38" t="n">
        <v>6849.7249</v>
      </c>
      <c r="AE38" t="n">
        <v>7324.7379</v>
      </c>
      <c r="AF38" t="n">
        <v>7324.7379</v>
      </c>
      <c r="AG38" t="n">
        <v>5225.1428</v>
      </c>
      <c r="AH38" t="n">
        <v>0.00055369</v>
      </c>
      <c r="AI38" t="n">
        <v>0.41635</v>
      </c>
      <c r="AJ38" t="n">
        <v>475.013</v>
      </c>
      <c r="AK38" t="n">
        <v>475.013</v>
      </c>
      <c r="AL38" t="n">
        <v>-275.4698</v>
      </c>
      <c r="AM38" t="n">
        <v>41373.8192</v>
      </c>
      <c r="AN38" t="n">
        <v>0.99</v>
      </c>
      <c r="AO38" t="inlineStr">
        <is>
          <t>Medium</t>
        </is>
      </c>
      <c r="AP38" t="inlineStr">
        <is>
          <t>On Track to Glide Path</t>
        </is>
      </c>
    </row>
    <row r="39">
      <c r="A39" t="inlineStr">
        <is>
          <t>SUP-0003</t>
        </is>
      </c>
      <c r="B39" t="inlineStr">
        <is>
          <t>Electronics Supplier 003</t>
        </is>
      </c>
      <c r="C39" t="inlineStr">
        <is>
          <t>Electronics</t>
        </is>
      </c>
      <c r="D39" t="n">
        <v>2024</v>
      </c>
      <c r="E39" t="n">
        <v>2018</v>
      </c>
      <c r="F39" t="n">
        <v>2030</v>
      </c>
      <c r="G39" t="n">
        <v>10076.1724</v>
      </c>
      <c r="H39" t="n">
        <v>1598.8289</v>
      </c>
      <c r="I39" t="n">
        <v>1283.6593</v>
      </c>
      <c r="J39" t="n">
        <v>7805.0472</v>
      </c>
      <c r="K39" t="n">
        <v>13228903.84</v>
      </c>
      <c r="L39" t="n">
        <v>91085503.23</v>
      </c>
      <c r="M39" t="n">
        <v>10076.1724</v>
      </c>
      <c r="N39" t="inlineStr">
        <is>
          <t>Provided Total Emissions</t>
        </is>
      </c>
      <c r="O39" t="b">
        <v>1</v>
      </c>
      <c r="P39" t="n">
        <v>0.001871</v>
      </c>
      <c r="Q39" t="n">
        <v>0.034608</v>
      </c>
      <c r="R39" t="n">
        <v>11390.7477</v>
      </c>
      <c r="S39" t="n">
        <v>12703.6951</v>
      </c>
      <c r="T39" t="n">
        <v>1314.5753</v>
      </c>
      <c r="U39" t="n">
        <v>2627.5227</v>
      </c>
      <c r="V39" t="n">
        <v>0.130464</v>
      </c>
      <c r="W39" t="n">
        <v>0.260766</v>
      </c>
      <c r="X39" t="inlineStr">
        <is>
          <t>High</t>
        </is>
      </c>
      <c r="Y39" t="inlineStr">
        <is>
          <t>None</t>
        </is>
      </c>
      <c r="Z39" t="inlineStr">
        <is>
          <t>Valid</t>
        </is>
      </c>
      <c r="AA39" t="n">
        <v>2030</v>
      </c>
      <c r="AB39" t="inlineStr">
        <is>
          <t>Supplier Target Pathway</t>
        </is>
      </c>
      <c r="AC39" t="n">
        <v>12549.8807</v>
      </c>
      <c r="AD39" t="n">
        <v>6849.7249</v>
      </c>
      <c r="AE39" t="n">
        <v>6849.7249</v>
      </c>
      <c r="AF39" t="n">
        <v>6849.7249</v>
      </c>
      <c r="AG39" t="n">
        <v>5700.1558</v>
      </c>
      <c r="AH39" t="n">
        <v>0.00051778</v>
      </c>
      <c r="AI39" t="n">
        <v>0.4542</v>
      </c>
      <c r="AJ39" t="n">
        <v>0</v>
      </c>
      <c r="AK39" t="n">
        <v>475.013</v>
      </c>
      <c r="AL39" t="n">
        <v>-7125.1947</v>
      </c>
      <c r="AM39" t="n">
        <v>48223.5441</v>
      </c>
      <c r="AN39" t="n">
        <v>0.99</v>
      </c>
      <c r="AO39" t="inlineStr">
        <is>
          <t>Low</t>
        </is>
      </c>
      <c r="AP39" t="inlineStr">
        <is>
          <t>On Track</t>
        </is>
      </c>
    </row>
    <row r="40">
      <c r="A40" t="inlineStr">
        <is>
          <t>SUP-0003</t>
        </is>
      </c>
      <c r="B40" t="inlineStr">
        <is>
          <t>Electronics Supplier 003</t>
        </is>
      </c>
      <c r="C40" t="inlineStr">
        <is>
          <t>Electronics</t>
        </is>
      </c>
      <c r="D40" t="n">
        <v>2024</v>
      </c>
      <c r="E40" t="n">
        <v>2018</v>
      </c>
      <c r="F40" t="n">
        <v>2030</v>
      </c>
      <c r="G40" t="n">
        <v>10076.1724</v>
      </c>
      <c r="H40" t="n">
        <v>1598.8289</v>
      </c>
      <c r="I40" t="n">
        <v>1283.6593</v>
      </c>
      <c r="J40" t="n">
        <v>7805.0472</v>
      </c>
      <c r="K40" t="n">
        <v>13228903.84</v>
      </c>
      <c r="L40" t="n">
        <v>91085503.23</v>
      </c>
      <c r="M40" t="n">
        <v>10076.1724</v>
      </c>
      <c r="N40" t="inlineStr">
        <is>
          <t>Provided Total Emissions</t>
        </is>
      </c>
      <c r="O40" t="b">
        <v>1</v>
      </c>
      <c r="P40" t="n">
        <v>0.001871</v>
      </c>
      <c r="Q40" t="n">
        <v>0.034608</v>
      </c>
      <c r="R40" t="n">
        <v>11390.7477</v>
      </c>
      <c r="S40" t="n">
        <v>12703.6951</v>
      </c>
      <c r="T40" t="n">
        <v>1314.5753</v>
      </c>
      <c r="U40" t="n">
        <v>2627.5227</v>
      </c>
      <c r="V40" t="n">
        <v>0.130464</v>
      </c>
      <c r="W40" t="n">
        <v>0.260766</v>
      </c>
      <c r="X40" t="inlineStr">
        <is>
          <t>High</t>
        </is>
      </c>
      <c r="Y40" t="inlineStr">
        <is>
          <t>None</t>
        </is>
      </c>
      <c r="Z40" t="inlineStr">
        <is>
          <t>Valid</t>
        </is>
      </c>
      <c r="AA40" t="n">
        <v>2031</v>
      </c>
      <c r="AB40" t="inlineStr">
        <is>
          <t>Supplier Target Pathway</t>
        </is>
      </c>
      <c r="AC40" t="n">
        <v>12549.8807</v>
      </c>
      <c r="AD40" t="n">
        <v>6849.7249</v>
      </c>
      <c r="AE40" t="n">
        <v>6849.7249</v>
      </c>
      <c r="AF40" t="n">
        <v>6849.7249</v>
      </c>
      <c r="AG40" t="n">
        <v>5700.1558</v>
      </c>
      <c r="AH40" t="n">
        <v>0.00051778</v>
      </c>
      <c r="AI40" t="n">
        <v>0.4542</v>
      </c>
      <c r="AJ40" t="n">
        <v>0</v>
      </c>
      <c r="AK40" t="n">
        <v>475.013</v>
      </c>
      <c r="AL40" t="n">
        <v>-13974.9196</v>
      </c>
      <c r="AM40" t="n">
        <v>55073.269</v>
      </c>
      <c r="AN40" t="n">
        <v>0.99</v>
      </c>
      <c r="AO40" t="inlineStr">
        <is>
          <t>Low</t>
        </is>
      </c>
      <c r="AP40" t="inlineStr">
        <is>
          <t>On Track</t>
        </is>
      </c>
    </row>
    <row r="41">
      <c r="A41" t="inlineStr">
        <is>
          <t>SUP-0003</t>
        </is>
      </c>
      <c r="B41" t="inlineStr">
        <is>
          <t>Electronics Supplier 003</t>
        </is>
      </c>
      <c r="C41" t="inlineStr">
        <is>
          <t>Electronics</t>
        </is>
      </c>
      <c r="D41" t="n">
        <v>2024</v>
      </c>
      <c r="E41" t="n">
        <v>2018</v>
      </c>
      <c r="F41" t="n">
        <v>2030</v>
      </c>
      <c r="G41" t="n">
        <v>10076.1724</v>
      </c>
      <c r="H41" t="n">
        <v>1598.8289</v>
      </c>
      <c r="I41" t="n">
        <v>1283.6593</v>
      </c>
      <c r="J41" t="n">
        <v>7805.0472</v>
      </c>
      <c r="K41" t="n">
        <v>13228903.84</v>
      </c>
      <c r="L41" t="n">
        <v>91085503.23</v>
      </c>
      <c r="M41" t="n">
        <v>10076.1724</v>
      </c>
      <c r="N41" t="inlineStr">
        <is>
          <t>Provided Total Emissions</t>
        </is>
      </c>
      <c r="O41" t="b">
        <v>1</v>
      </c>
      <c r="P41" t="n">
        <v>0.001871</v>
      </c>
      <c r="Q41" t="n">
        <v>0.034608</v>
      </c>
      <c r="R41" t="n">
        <v>11390.7477</v>
      </c>
      <c r="S41" t="n">
        <v>12703.6951</v>
      </c>
      <c r="T41" t="n">
        <v>1314.5753</v>
      </c>
      <c r="U41" t="n">
        <v>2627.5227</v>
      </c>
      <c r="V41" t="n">
        <v>0.130464</v>
      </c>
      <c r="W41" t="n">
        <v>0.260766</v>
      </c>
      <c r="X41" t="inlineStr">
        <is>
          <t>High</t>
        </is>
      </c>
      <c r="Y41" t="inlineStr">
        <is>
          <t>None</t>
        </is>
      </c>
      <c r="Z41" t="inlineStr">
        <is>
          <t>Valid</t>
        </is>
      </c>
      <c r="AA41" t="n">
        <v>2032</v>
      </c>
      <c r="AB41" t="inlineStr">
        <is>
          <t>Supplier Target Pathway</t>
        </is>
      </c>
      <c r="AC41" t="n">
        <v>12549.8807</v>
      </c>
      <c r="AD41" t="n">
        <v>6849.7249</v>
      </c>
      <c r="AE41" t="n">
        <v>6849.7249</v>
      </c>
      <c r="AF41" t="n">
        <v>6849.7249</v>
      </c>
      <c r="AG41" t="n">
        <v>5700.1558</v>
      </c>
      <c r="AH41" t="n">
        <v>0.00051778</v>
      </c>
      <c r="AI41" t="n">
        <v>0.4542</v>
      </c>
      <c r="AJ41" t="n">
        <v>0</v>
      </c>
      <c r="AK41" t="n">
        <v>475.013</v>
      </c>
      <c r="AL41" t="n">
        <v>-20824.6445</v>
      </c>
      <c r="AM41" t="n">
        <v>61922.9939</v>
      </c>
      <c r="AN41" t="n">
        <v>0.99</v>
      </c>
      <c r="AO41" t="inlineStr">
        <is>
          <t>Low</t>
        </is>
      </c>
      <c r="AP41" t="inlineStr">
        <is>
          <t>On Track</t>
        </is>
      </c>
    </row>
    <row r="42">
      <c r="A42" t="inlineStr">
        <is>
          <t>SUP-0003</t>
        </is>
      </c>
      <c r="B42" t="inlineStr">
        <is>
          <t>Electronics Supplier 003</t>
        </is>
      </c>
      <c r="C42" t="inlineStr">
        <is>
          <t>Electronics</t>
        </is>
      </c>
      <c r="D42" t="n">
        <v>2024</v>
      </c>
      <c r="E42" t="n">
        <v>2018</v>
      </c>
      <c r="F42" t="n">
        <v>2030</v>
      </c>
      <c r="G42" t="n">
        <v>10076.1724</v>
      </c>
      <c r="H42" t="n">
        <v>1598.8289</v>
      </c>
      <c r="I42" t="n">
        <v>1283.6593</v>
      </c>
      <c r="J42" t="n">
        <v>7805.0472</v>
      </c>
      <c r="K42" t="n">
        <v>13228903.84</v>
      </c>
      <c r="L42" t="n">
        <v>91085503.23</v>
      </c>
      <c r="M42" t="n">
        <v>10076.1724</v>
      </c>
      <c r="N42" t="inlineStr">
        <is>
          <t>Provided Total Emissions</t>
        </is>
      </c>
      <c r="O42" t="b">
        <v>1</v>
      </c>
      <c r="P42" t="n">
        <v>0.001871</v>
      </c>
      <c r="Q42" t="n">
        <v>0.034608</v>
      </c>
      <c r="R42" t="n">
        <v>11390.7477</v>
      </c>
      <c r="S42" t="n">
        <v>12703.6951</v>
      </c>
      <c r="T42" t="n">
        <v>1314.5753</v>
      </c>
      <c r="U42" t="n">
        <v>2627.5227</v>
      </c>
      <c r="V42" t="n">
        <v>0.130464</v>
      </c>
      <c r="W42" t="n">
        <v>0.260766</v>
      </c>
      <c r="X42" t="inlineStr">
        <is>
          <t>High</t>
        </is>
      </c>
      <c r="Y42" t="inlineStr">
        <is>
          <t>None</t>
        </is>
      </c>
      <c r="Z42" t="inlineStr">
        <is>
          <t>Valid</t>
        </is>
      </c>
      <c r="AA42" t="n">
        <v>2033</v>
      </c>
      <c r="AB42" t="inlineStr">
        <is>
          <t>Supplier Target Pathway</t>
        </is>
      </c>
      <c r="AC42" t="n">
        <v>12549.8807</v>
      </c>
      <c r="AD42" t="n">
        <v>6849.7249</v>
      </c>
      <c r="AE42" t="n">
        <v>6849.7249</v>
      </c>
      <c r="AF42" t="n">
        <v>6849.7249</v>
      </c>
      <c r="AG42" t="n">
        <v>5700.1558</v>
      </c>
      <c r="AH42" t="n">
        <v>0.00051778</v>
      </c>
      <c r="AI42" t="n">
        <v>0.4542</v>
      </c>
      <c r="AJ42" t="n">
        <v>0</v>
      </c>
      <c r="AK42" t="n">
        <v>475.013</v>
      </c>
      <c r="AL42" t="n">
        <v>-27674.3694</v>
      </c>
      <c r="AM42" t="n">
        <v>68772.7188</v>
      </c>
      <c r="AN42" t="n">
        <v>0.99</v>
      </c>
      <c r="AO42" t="inlineStr">
        <is>
          <t>Low</t>
        </is>
      </c>
      <c r="AP42" t="inlineStr">
        <is>
          <t>On Track</t>
        </is>
      </c>
    </row>
    <row r="43">
      <c r="A43" t="inlineStr">
        <is>
          <t>SUP-0003</t>
        </is>
      </c>
      <c r="B43" t="inlineStr">
        <is>
          <t>Electronics Supplier 003</t>
        </is>
      </c>
      <c r="C43" t="inlineStr">
        <is>
          <t>Electronics</t>
        </is>
      </c>
      <c r="D43" t="n">
        <v>2024</v>
      </c>
      <c r="E43" t="n">
        <v>2018</v>
      </c>
      <c r="F43" t="n">
        <v>2030</v>
      </c>
      <c r="G43" t="n">
        <v>10076.1724</v>
      </c>
      <c r="H43" t="n">
        <v>1598.8289</v>
      </c>
      <c r="I43" t="n">
        <v>1283.6593</v>
      </c>
      <c r="J43" t="n">
        <v>7805.0472</v>
      </c>
      <c r="K43" t="n">
        <v>13228903.84</v>
      </c>
      <c r="L43" t="n">
        <v>91085503.23</v>
      </c>
      <c r="M43" t="n">
        <v>10076.1724</v>
      </c>
      <c r="N43" t="inlineStr">
        <is>
          <t>Provided Total Emissions</t>
        </is>
      </c>
      <c r="O43" t="b">
        <v>1</v>
      </c>
      <c r="P43" t="n">
        <v>0.001871</v>
      </c>
      <c r="Q43" t="n">
        <v>0.034608</v>
      </c>
      <c r="R43" t="n">
        <v>11390.7477</v>
      </c>
      <c r="S43" t="n">
        <v>12703.6951</v>
      </c>
      <c r="T43" t="n">
        <v>1314.5753</v>
      </c>
      <c r="U43" t="n">
        <v>2627.5227</v>
      </c>
      <c r="V43" t="n">
        <v>0.130464</v>
      </c>
      <c r="W43" t="n">
        <v>0.260766</v>
      </c>
      <c r="X43" t="inlineStr">
        <is>
          <t>High</t>
        </is>
      </c>
      <c r="Y43" t="inlineStr">
        <is>
          <t>None</t>
        </is>
      </c>
      <c r="Z43" t="inlineStr">
        <is>
          <t>Valid</t>
        </is>
      </c>
      <c r="AA43" t="n">
        <v>2034</v>
      </c>
      <c r="AB43" t="inlineStr">
        <is>
          <t>Supplier Target Pathway</t>
        </is>
      </c>
      <c r="AC43" t="n">
        <v>12549.8807</v>
      </c>
      <c r="AD43" t="n">
        <v>6849.7249</v>
      </c>
      <c r="AE43" t="n">
        <v>6849.7249</v>
      </c>
      <c r="AF43" t="n">
        <v>6849.7249</v>
      </c>
      <c r="AG43" t="n">
        <v>5700.1558</v>
      </c>
      <c r="AH43" t="n">
        <v>0.00051778</v>
      </c>
      <c r="AI43" t="n">
        <v>0.4542</v>
      </c>
      <c r="AJ43" t="n">
        <v>0</v>
      </c>
      <c r="AK43" t="n">
        <v>475.013</v>
      </c>
      <c r="AL43" t="n">
        <v>-34524.0943</v>
      </c>
      <c r="AM43" t="n">
        <v>75622.4437</v>
      </c>
      <c r="AN43" t="n">
        <v>0.99</v>
      </c>
      <c r="AO43" t="inlineStr">
        <is>
          <t>Low</t>
        </is>
      </c>
      <c r="AP43" t="inlineStr">
        <is>
          <t>On Track</t>
        </is>
      </c>
    </row>
    <row r="44">
      <c r="A44" t="inlineStr">
        <is>
          <t>SUP-0003</t>
        </is>
      </c>
      <c r="B44" t="inlineStr">
        <is>
          <t>Electronics Supplier 003</t>
        </is>
      </c>
      <c r="C44" t="inlineStr">
        <is>
          <t>Electronics</t>
        </is>
      </c>
      <c r="D44" t="n">
        <v>2024</v>
      </c>
      <c r="E44" t="n">
        <v>2018</v>
      </c>
      <c r="F44" t="n">
        <v>2030</v>
      </c>
      <c r="G44" t="n">
        <v>10076.1724</v>
      </c>
      <c r="H44" t="n">
        <v>1598.8289</v>
      </c>
      <c r="I44" t="n">
        <v>1283.6593</v>
      </c>
      <c r="J44" t="n">
        <v>7805.0472</v>
      </c>
      <c r="K44" t="n">
        <v>13228903.84</v>
      </c>
      <c r="L44" t="n">
        <v>91085503.23</v>
      </c>
      <c r="M44" t="n">
        <v>10076.1724</v>
      </c>
      <c r="N44" t="inlineStr">
        <is>
          <t>Provided Total Emissions</t>
        </is>
      </c>
      <c r="O44" t="b">
        <v>1</v>
      </c>
      <c r="P44" t="n">
        <v>0.001871</v>
      </c>
      <c r="Q44" t="n">
        <v>0.034608</v>
      </c>
      <c r="R44" t="n">
        <v>11390.7477</v>
      </c>
      <c r="S44" t="n">
        <v>12703.6951</v>
      </c>
      <c r="T44" t="n">
        <v>1314.5753</v>
      </c>
      <c r="U44" t="n">
        <v>2627.5227</v>
      </c>
      <c r="V44" t="n">
        <v>0.130464</v>
      </c>
      <c r="W44" t="n">
        <v>0.260766</v>
      </c>
      <c r="X44" t="inlineStr">
        <is>
          <t>High</t>
        </is>
      </c>
      <c r="Y44" t="inlineStr">
        <is>
          <t>None</t>
        </is>
      </c>
      <c r="Z44" t="inlineStr">
        <is>
          <t>Valid</t>
        </is>
      </c>
      <c r="AA44" t="n">
        <v>2035</v>
      </c>
      <c r="AB44" t="inlineStr">
        <is>
          <t>Supplier Target Pathway</t>
        </is>
      </c>
      <c r="AC44" t="n">
        <v>12549.8807</v>
      </c>
      <c r="AD44" t="n">
        <v>6849.7249</v>
      </c>
      <c r="AE44" t="n">
        <v>6849.7249</v>
      </c>
      <c r="AF44" t="n">
        <v>6849.7249</v>
      </c>
      <c r="AG44" t="n">
        <v>5700.1558</v>
      </c>
      <c r="AH44" t="n">
        <v>0.00051778</v>
      </c>
      <c r="AI44" t="n">
        <v>0.4542</v>
      </c>
      <c r="AJ44" t="n">
        <v>0</v>
      </c>
      <c r="AK44" t="n">
        <v>475.013</v>
      </c>
      <c r="AL44" t="n">
        <v>-41373.8192</v>
      </c>
      <c r="AM44" t="n">
        <v>82472.1686</v>
      </c>
      <c r="AN44" t="n">
        <v>0.99</v>
      </c>
      <c r="AO44" t="inlineStr">
        <is>
          <t>Low</t>
        </is>
      </c>
      <c r="AP44" t="inlineStr">
        <is>
          <t>On Track</t>
        </is>
      </c>
    </row>
    <row r="45">
      <c r="A45" t="inlineStr">
        <is>
          <t>SUP-0003</t>
        </is>
      </c>
      <c r="B45" t="inlineStr">
        <is>
          <t>Electronics Supplier 003</t>
        </is>
      </c>
      <c r="C45" t="inlineStr">
        <is>
          <t>Electronics</t>
        </is>
      </c>
      <c r="D45" t="n">
        <v>2024</v>
      </c>
      <c r="E45" t="n">
        <v>2018</v>
      </c>
      <c r="F45" t="n">
        <v>2030</v>
      </c>
      <c r="G45" t="n">
        <v>10076.1724</v>
      </c>
      <c r="H45" t="n">
        <v>1598.8289</v>
      </c>
      <c r="I45" t="n">
        <v>1283.6593</v>
      </c>
      <c r="J45" t="n">
        <v>7805.0472</v>
      </c>
      <c r="K45" t="n">
        <v>13228903.84</v>
      </c>
      <c r="L45" t="n">
        <v>91085503.23</v>
      </c>
      <c r="M45" t="n">
        <v>10076.1724</v>
      </c>
      <c r="N45" t="inlineStr">
        <is>
          <t>Provided Total Emissions</t>
        </is>
      </c>
      <c r="O45" t="b">
        <v>1</v>
      </c>
      <c r="P45" t="n">
        <v>0.001871</v>
      </c>
      <c r="Q45" t="n">
        <v>0.034608</v>
      </c>
      <c r="R45" t="n">
        <v>11390.7477</v>
      </c>
      <c r="S45" t="n">
        <v>12703.6951</v>
      </c>
      <c r="T45" t="n">
        <v>1314.5753</v>
      </c>
      <c r="U45" t="n">
        <v>2627.5227</v>
      </c>
      <c r="V45" t="n">
        <v>0.130464</v>
      </c>
      <c r="W45" t="n">
        <v>0.260766</v>
      </c>
      <c r="X45" t="inlineStr">
        <is>
          <t>High</t>
        </is>
      </c>
      <c r="Y45" t="inlineStr">
        <is>
          <t>None</t>
        </is>
      </c>
      <c r="Z45" t="inlineStr">
        <is>
          <t>Valid</t>
        </is>
      </c>
      <c r="AA45" t="n">
        <v>2036</v>
      </c>
      <c r="AB45" t="inlineStr">
        <is>
          <t>Supplier Target Pathway</t>
        </is>
      </c>
      <c r="AC45" t="n">
        <v>12549.8807</v>
      </c>
      <c r="AD45" t="n">
        <v>6849.7249</v>
      </c>
      <c r="AE45" t="n">
        <v>6849.7249</v>
      </c>
      <c r="AF45" t="n">
        <v>6849.7249</v>
      </c>
      <c r="AG45" t="n">
        <v>5700.1558</v>
      </c>
      <c r="AH45" t="n">
        <v>0.00051778</v>
      </c>
      <c r="AI45" t="n">
        <v>0.4542</v>
      </c>
      <c r="AJ45" t="n">
        <v>0</v>
      </c>
      <c r="AK45" t="n">
        <v>475.013</v>
      </c>
      <c r="AL45" t="n">
        <v>-48223.5441</v>
      </c>
      <c r="AM45" t="n">
        <v>89321.89350000001</v>
      </c>
      <c r="AN45" t="n">
        <v>0.99</v>
      </c>
      <c r="AO45" t="inlineStr">
        <is>
          <t>Low</t>
        </is>
      </c>
      <c r="AP45" t="inlineStr">
        <is>
          <t>On Track</t>
        </is>
      </c>
    </row>
    <row r="46">
      <c r="A46" t="inlineStr">
        <is>
          <t>SUP-0003</t>
        </is>
      </c>
      <c r="B46" t="inlineStr">
        <is>
          <t>Electronics Supplier 003</t>
        </is>
      </c>
      <c r="C46" t="inlineStr">
        <is>
          <t>Electronics</t>
        </is>
      </c>
      <c r="D46" t="n">
        <v>2024</v>
      </c>
      <c r="E46" t="n">
        <v>2018</v>
      </c>
      <c r="F46" t="n">
        <v>2030</v>
      </c>
      <c r="G46" t="n">
        <v>10076.1724</v>
      </c>
      <c r="H46" t="n">
        <v>1598.8289</v>
      </c>
      <c r="I46" t="n">
        <v>1283.6593</v>
      </c>
      <c r="J46" t="n">
        <v>7805.0472</v>
      </c>
      <c r="K46" t="n">
        <v>13228903.84</v>
      </c>
      <c r="L46" t="n">
        <v>91085503.23</v>
      </c>
      <c r="M46" t="n">
        <v>10076.1724</v>
      </c>
      <c r="N46" t="inlineStr">
        <is>
          <t>Provided Total Emissions</t>
        </is>
      </c>
      <c r="O46" t="b">
        <v>1</v>
      </c>
      <c r="P46" t="n">
        <v>0.001871</v>
      </c>
      <c r="Q46" t="n">
        <v>0.034608</v>
      </c>
      <c r="R46" t="n">
        <v>11390.7477</v>
      </c>
      <c r="S46" t="n">
        <v>12703.6951</v>
      </c>
      <c r="T46" t="n">
        <v>1314.5753</v>
      </c>
      <c r="U46" t="n">
        <v>2627.5227</v>
      </c>
      <c r="V46" t="n">
        <v>0.130464</v>
      </c>
      <c r="W46" t="n">
        <v>0.260766</v>
      </c>
      <c r="X46" t="inlineStr">
        <is>
          <t>High</t>
        </is>
      </c>
      <c r="Y46" t="inlineStr">
        <is>
          <t>None</t>
        </is>
      </c>
      <c r="Z46" t="inlineStr">
        <is>
          <t>Valid</t>
        </is>
      </c>
      <c r="AA46" t="n">
        <v>2037</v>
      </c>
      <c r="AB46" t="inlineStr">
        <is>
          <t>Supplier Target Pathway</t>
        </is>
      </c>
      <c r="AC46" t="n">
        <v>12549.8807</v>
      </c>
      <c r="AD46" t="n">
        <v>6849.7249</v>
      </c>
      <c r="AE46" t="n">
        <v>6849.7249</v>
      </c>
      <c r="AF46" t="n">
        <v>6849.7249</v>
      </c>
      <c r="AG46" t="n">
        <v>5700.1558</v>
      </c>
      <c r="AH46" t="n">
        <v>0.00051778</v>
      </c>
      <c r="AI46" t="n">
        <v>0.4542</v>
      </c>
      <c r="AJ46" t="n">
        <v>0</v>
      </c>
      <c r="AK46" t="n">
        <v>475.013</v>
      </c>
      <c r="AL46" t="n">
        <v>-55073.269</v>
      </c>
      <c r="AM46" t="n">
        <v>96171.61840000001</v>
      </c>
      <c r="AN46" t="n">
        <v>0.99</v>
      </c>
      <c r="AO46" t="inlineStr">
        <is>
          <t>Low</t>
        </is>
      </c>
      <c r="AP46" t="inlineStr">
        <is>
          <t>On Track</t>
        </is>
      </c>
    </row>
    <row r="47">
      <c r="A47" t="inlineStr">
        <is>
          <t>SUP-0003</t>
        </is>
      </c>
      <c r="B47" t="inlineStr">
        <is>
          <t>Electronics Supplier 003</t>
        </is>
      </c>
      <c r="C47" t="inlineStr">
        <is>
          <t>Electronics</t>
        </is>
      </c>
      <c r="D47" t="n">
        <v>2024</v>
      </c>
      <c r="E47" t="n">
        <v>2018</v>
      </c>
      <c r="F47" t="n">
        <v>2030</v>
      </c>
      <c r="G47" t="n">
        <v>10076.1724</v>
      </c>
      <c r="H47" t="n">
        <v>1598.8289</v>
      </c>
      <c r="I47" t="n">
        <v>1283.6593</v>
      </c>
      <c r="J47" t="n">
        <v>7805.0472</v>
      </c>
      <c r="K47" t="n">
        <v>13228903.84</v>
      </c>
      <c r="L47" t="n">
        <v>91085503.23</v>
      </c>
      <c r="M47" t="n">
        <v>10076.1724</v>
      </c>
      <c r="N47" t="inlineStr">
        <is>
          <t>Provided Total Emissions</t>
        </is>
      </c>
      <c r="O47" t="b">
        <v>1</v>
      </c>
      <c r="P47" t="n">
        <v>0.001871</v>
      </c>
      <c r="Q47" t="n">
        <v>0.034608</v>
      </c>
      <c r="R47" t="n">
        <v>11390.7477</v>
      </c>
      <c r="S47" t="n">
        <v>12703.6951</v>
      </c>
      <c r="T47" t="n">
        <v>1314.5753</v>
      </c>
      <c r="U47" t="n">
        <v>2627.5227</v>
      </c>
      <c r="V47" t="n">
        <v>0.130464</v>
      </c>
      <c r="W47" t="n">
        <v>0.260766</v>
      </c>
      <c r="X47" t="inlineStr">
        <is>
          <t>High</t>
        </is>
      </c>
      <c r="Y47" t="inlineStr">
        <is>
          <t>None</t>
        </is>
      </c>
      <c r="Z47" t="inlineStr">
        <is>
          <t>Valid</t>
        </is>
      </c>
      <c r="AA47" t="n">
        <v>2038</v>
      </c>
      <c r="AB47" t="inlineStr">
        <is>
          <t>Supplier Target Pathway</t>
        </is>
      </c>
      <c r="AC47" t="n">
        <v>12549.8807</v>
      </c>
      <c r="AD47" t="n">
        <v>6849.7249</v>
      </c>
      <c r="AE47" t="n">
        <v>6849.7249</v>
      </c>
      <c r="AF47" t="n">
        <v>6849.7249</v>
      </c>
      <c r="AG47" t="n">
        <v>5700.1558</v>
      </c>
      <c r="AH47" t="n">
        <v>0.00051778</v>
      </c>
      <c r="AI47" t="n">
        <v>0.4542</v>
      </c>
      <c r="AJ47" t="n">
        <v>0</v>
      </c>
      <c r="AK47" t="n">
        <v>475.013</v>
      </c>
      <c r="AL47" t="n">
        <v>-61922.9939</v>
      </c>
      <c r="AM47" t="n">
        <v>103021.3433</v>
      </c>
      <c r="AN47" t="n">
        <v>0.99</v>
      </c>
      <c r="AO47" t="inlineStr">
        <is>
          <t>Low</t>
        </is>
      </c>
      <c r="AP47" t="inlineStr">
        <is>
          <t>On Track</t>
        </is>
      </c>
    </row>
    <row r="48">
      <c r="A48" t="inlineStr">
        <is>
          <t>SUP-0003</t>
        </is>
      </c>
      <c r="B48" t="inlineStr">
        <is>
          <t>Electronics Supplier 003</t>
        </is>
      </c>
      <c r="C48" t="inlineStr">
        <is>
          <t>Electronics</t>
        </is>
      </c>
      <c r="D48" t="n">
        <v>2024</v>
      </c>
      <c r="E48" t="n">
        <v>2018</v>
      </c>
      <c r="F48" t="n">
        <v>2030</v>
      </c>
      <c r="G48" t="n">
        <v>10076.1724</v>
      </c>
      <c r="H48" t="n">
        <v>1598.8289</v>
      </c>
      <c r="I48" t="n">
        <v>1283.6593</v>
      </c>
      <c r="J48" t="n">
        <v>7805.0472</v>
      </c>
      <c r="K48" t="n">
        <v>13228903.84</v>
      </c>
      <c r="L48" t="n">
        <v>91085503.23</v>
      </c>
      <c r="M48" t="n">
        <v>10076.1724</v>
      </c>
      <c r="N48" t="inlineStr">
        <is>
          <t>Provided Total Emissions</t>
        </is>
      </c>
      <c r="O48" t="b">
        <v>1</v>
      </c>
      <c r="P48" t="n">
        <v>0.001871</v>
      </c>
      <c r="Q48" t="n">
        <v>0.034608</v>
      </c>
      <c r="R48" t="n">
        <v>11390.7477</v>
      </c>
      <c r="S48" t="n">
        <v>12703.6951</v>
      </c>
      <c r="T48" t="n">
        <v>1314.5753</v>
      </c>
      <c r="U48" t="n">
        <v>2627.5227</v>
      </c>
      <c r="V48" t="n">
        <v>0.130464</v>
      </c>
      <c r="W48" t="n">
        <v>0.260766</v>
      </c>
      <c r="X48" t="inlineStr">
        <is>
          <t>High</t>
        </is>
      </c>
      <c r="Y48" t="inlineStr">
        <is>
          <t>None</t>
        </is>
      </c>
      <c r="Z48" t="inlineStr">
        <is>
          <t>Valid</t>
        </is>
      </c>
      <c r="AA48" t="n">
        <v>2039</v>
      </c>
      <c r="AB48" t="inlineStr">
        <is>
          <t>Supplier Target Pathway</t>
        </is>
      </c>
      <c r="AC48" t="n">
        <v>12549.8807</v>
      </c>
      <c r="AD48" t="n">
        <v>6849.7249</v>
      </c>
      <c r="AE48" t="n">
        <v>6849.7249</v>
      </c>
      <c r="AF48" t="n">
        <v>6849.7249</v>
      </c>
      <c r="AG48" t="n">
        <v>5700.1558</v>
      </c>
      <c r="AH48" t="n">
        <v>0.00051778</v>
      </c>
      <c r="AI48" t="n">
        <v>0.4542</v>
      </c>
      <c r="AJ48" t="n">
        <v>0</v>
      </c>
      <c r="AK48" t="n">
        <v>475.013</v>
      </c>
      <c r="AL48" t="n">
        <v>-68772.7188</v>
      </c>
      <c r="AM48" t="n">
        <v>109871.0682</v>
      </c>
      <c r="AN48" t="n">
        <v>0.99</v>
      </c>
      <c r="AO48" t="inlineStr">
        <is>
          <t>Low</t>
        </is>
      </c>
      <c r="AP48" t="inlineStr">
        <is>
          <t>On Track</t>
        </is>
      </c>
    </row>
    <row r="49">
      <c r="A49" t="inlineStr">
        <is>
          <t>SUP-0003</t>
        </is>
      </c>
      <c r="B49" t="inlineStr">
        <is>
          <t>Electronics Supplier 003</t>
        </is>
      </c>
      <c r="C49" t="inlineStr">
        <is>
          <t>Electronics</t>
        </is>
      </c>
      <c r="D49" t="n">
        <v>2024</v>
      </c>
      <c r="E49" t="n">
        <v>2018</v>
      </c>
      <c r="F49" t="n">
        <v>2030</v>
      </c>
      <c r="G49" t="n">
        <v>10076.1724</v>
      </c>
      <c r="H49" t="n">
        <v>1598.8289</v>
      </c>
      <c r="I49" t="n">
        <v>1283.6593</v>
      </c>
      <c r="J49" t="n">
        <v>7805.0472</v>
      </c>
      <c r="K49" t="n">
        <v>13228903.84</v>
      </c>
      <c r="L49" t="n">
        <v>91085503.23</v>
      </c>
      <c r="M49" t="n">
        <v>10076.1724</v>
      </c>
      <c r="N49" t="inlineStr">
        <is>
          <t>Provided Total Emissions</t>
        </is>
      </c>
      <c r="O49" t="b">
        <v>1</v>
      </c>
      <c r="P49" t="n">
        <v>0.001871</v>
      </c>
      <c r="Q49" t="n">
        <v>0.034608</v>
      </c>
      <c r="R49" t="n">
        <v>11390.7477</v>
      </c>
      <c r="S49" t="n">
        <v>12703.6951</v>
      </c>
      <c r="T49" t="n">
        <v>1314.5753</v>
      </c>
      <c r="U49" t="n">
        <v>2627.5227</v>
      </c>
      <c r="V49" t="n">
        <v>0.130464</v>
      </c>
      <c r="W49" t="n">
        <v>0.260766</v>
      </c>
      <c r="X49" t="inlineStr">
        <is>
          <t>High</t>
        </is>
      </c>
      <c r="Y49" t="inlineStr">
        <is>
          <t>None</t>
        </is>
      </c>
      <c r="Z49" t="inlineStr">
        <is>
          <t>Valid</t>
        </is>
      </c>
      <c r="AA49" t="n">
        <v>2040</v>
      </c>
      <c r="AB49" t="inlineStr">
        <is>
          <t>Supplier Target Pathway</t>
        </is>
      </c>
      <c r="AC49" t="n">
        <v>12549.8807</v>
      </c>
      <c r="AD49" t="n">
        <v>6849.7249</v>
      </c>
      <c r="AE49" t="n">
        <v>6849.7249</v>
      </c>
      <c r="AF49" t="n">
        <v>6849.7249</v>
      </c>
      <c r="AG49" t="n">
        <v>5700.1558</v>
      </c>
      <c r="AH49" t="n">
        <v>0.00051778</v>
      </c>
      <c r="AI49" t="n">
        <v>0.4542</v>
      </c>
      <c r="AJ49" t="n">
        <v>0</v>
      </c>
      <c r="AK49" t="n">
        <v>475.013</v>
      </c>
      <c r="AL49" t="n">
        <v>-75622.4437</v>
      </c>
      <c r="AM49" t="n">
        <v>116720.7931</v>
      </c>
      <c r="AN49" t="n">
        <v>0.99</v>
      </c>
      <c r="AO49" t="inlineStr">
        <is>
          <t>Low</t>
        </is>
      </c>
      <c r="AP49" t="inlineStr">
        <is>
          <t>On Track</t>
        </is>
      </c>
    </row>
    <row r="50">
      <c r="A50" t="inlineStr">
        <is>
          <t>SUP-0004</t>
        </is>
      </c>
      <c r="B50" t="inlineStr">
        <is>
          <t>Agriculture Supplier 004</t>
        </is>
      </c>
      <c r="C50" t="inlineStr">
        <is>
          <t>Agriculture</t>
        </is>
      </c>
      <c r="D50" t="n">
        <v>2024</v>
      </c>
      <c r="E50" t="n">
        <v>2020</v>
      </c>
      <c r="F50" t="n">
        <v>2040</v>
      </c>
      <c r="G50" t="n">
        <v>1450.8271</v>
      </c>
      <c r="H50" t="n">
        <v>153.3148</v>
      </c>
      <c r="I50" t="n">
        <v>105.5242</v>
      </c>
      <c r="J50" t="n">
        <v>1198.7452</v>
      </c>
      <c r="K50" t="n">
        <v>3011484.28</v>
      </c>
      <c r="L50" t="n">
        <v>23161310.55</v>
      </c>
      <c r="M50" t="n">
        <v>1450.8271</v>
      </c>
      <c r="N50" t="inlineStr">
        <is>
          <t>Provided Total Emissions</t>
        </is>
      </c>
      <c r="O50" t="b">
        <v>1</v>
      </c>
      <c r="P50" t="n">
        <v>-0.026977</v>
      </c>
      <c r="Q50" t="n">
        <v>-0.008375</v>
      </c>
      <c r="R50" t="n">
        <v>2752.8881</v>
      </c>
      <c r="S50" t="n">
        <v>22446.3209</v>
      </c>
      <c r="T50" t="n">
        <v>1302.061</v>
      </c>
      <c r="U50" t="n">
        <v>20995.4938</v>
      </c>
      <c r="V50" t="n">
        <v>0.897461</v>
      </c>
      <c r="W50" t="n">
        <v>14.471396</v>
      </c>
      <c r="X50" t="inlineStr">
        <is>
          <t>High</t>
        </is>
      </c>
      <c r="Y50" t="inlineStr">
        <is>
          <t>None</t>
        </is>
      </c>
      <c r="Z50" t="inlineStr">
        <is>
          <t>Valid</t>
        </is>
      </c>
      <c r="AA50" t="n">
        <v>2025</v>
      </c>
      <c r="AB50" t="inlineStr">
        <is>
          <t>Supplier Target Pathway</t>
        </is>
      </c>
      <c r="AC50" t="n">
        <v>1681.5914</v>
      </c>
      <c r="AD50" t="n">
        <v>694.1609</v>
      </c>
      <c r="AE50" t="n">
        <v>1434.7338</v>
      </c>
      <c r="AF50" t="n">
        <v>1434.7338</v>
      </c>
      <c r="AG50" t="n">
        <v>246.8576</v>
      </c>
      <c r="AH50" t="n">
        <v>0.00047642</v>
      </c>
      <c r="AI50" t="n">
        <v>0.1468</v>
      </c>
      <c r="AJ50" t="n">
        <v>740.5729</v>
      </c>
      <c r="AK50" t="n">
        <v>49.3715</v>
      </c>
      <c r="AL50" t="n">
        <v>9671.8406</v>
      </c>
      <c r="AM50" t="n">
        <v>1434.7338</v>
      </c>
      <c r="AN50" t="n">
        <v>0.99</v>
      </c>
      <c r="AO50" t="inlineStr">
        <is>
          <t>Critical</t>
        </is>
      </c>
      <c r="AP50" t="inlineStr">
        <is>
          <t>On Track to Glide Path</t>
        </is>
      </c>
    </row>
    <row r="51">
      <c r="A51" t="inlineStr">
        <is>
          <t>SUP-0004</t>
        </is>
      </c>
      <c r="B51" t="inlineStr">
        <is>
          <t>Agriculture Supplier 004</t>
        </is>
      </c>
      <c r="C51" t="inlineStr">
        <is>
          <t>Agriculture</t>
        </is>
      </c>
      <c r="D51" t="n">
        <v>2024</v>
      </c>
      <c r="E51" t="n">
        <v>2020</v>
      </c>
      <c r="F51" t="n">
        <v>2040</v>
      </c>
      <c r="G51" t="n">
        <v>1450.8271</v>
      </c>
      <c r="H51" t="n">
        <v>153.3148</v>
      </c>
      <c r="I51" t="n">
        <v>105.5242</v>
      </c>
      <c r="J51" t="n">
        <v>1198.7452</v>
      </c>
      <c r="K51" t="n">
        <v>3011484.28</v>
      </c>
      <c r="L51" t="n">
        <v>23161310.55</v>
      </c>
      <c r="M51" t="n">
        <v>1450.8271</v>
      </c>
      <c r="N51" t="inlineStr">
        <is>
          <t>Provided Total Emissions</t>
        </is>
      </c>
      <c r="O51" t="b">
        <v>1</v>
      </c>
      <c r="P51" t="n">
        <v>-0.026977</v>
      </c>
      <c r="Q51" t="n">
        <v>-0.008375</v>
      </c>
      <c r="R51" t="n">
        <v>2752.8881</v>
      </c>
      <c r="S51" t="n">
        <v>22446.3209</v>
      </c>
      <c r="T51" t="n">
        <v>1302.061</v>
      </c>
      <c r="U51" t="n">
        <v>20995.4938</v>
      </c>
      <c r="V51" t="n">
        <v>0.897461</v>
      </c>
      <c r="W51" t="n">
        <v>14.471396</v>
      </c>
      <c r="X51" t="inlineStr">
        <is>
          <t>High</t>
        </is>
      </c>
      <c r="Y51" t="inlineStr">
        <is>
          <t>None</t>
        </is>
      </c>
      <c r="Z51" t="inlineStr">
        <is>
          <t>Valid</t>
        </is>
      </c>
      <c r="AA51" t="n">
        <v>2026</v>
      </c>
      <c r="AB51" t="inlineStr">
        <is>
          <t>Supplier Target Pathway</t>
        </is>
      </c>
      <c r="AC51" t="n">
        <v>1681.5914</v>
      </c>
      <c r="AD51" t="n">
        <v>694.1609</v>
      </c>
      <c r="AE51" t="n">
        <v>1385.3623</v>
      </c>
      <c r="AF51" t="n">
        <v>1385.3623</v>
      </c>
      <c r="AG51" t="n">
        <v>296.2291</v>
      </c>
      <c r="AH51" t="n">
        <v>0.00046003</v>
      </c>
      <c r="AI51" t="n">
        <v>0.17616</v>
      </c>
      <c r="AJ51" t="n">
        <v>691.2012999999999</v>
      </c>
      <c r="AK51" t="n">
        <v>49.3715</v>
      </c>
      <c r="AL51" t="n">
        <v>8286.478300000001</v>
      </c>
      <c r="AM51" t="n">
        <v>2820.0961</v>
      </c>
      <c r="AN51" t="n">
        <v>0.99</v>
      </c>
      <c r="AO51" t="inlineStr">
        <is>
          <t>Critical</t>
        </is>
      </c>
      <c r="AP51" t="inlineStr">
        <is>
          <t>On Track to Glide Path</t>
        </is>
      </c>
    </row>
    <row r="52">
      <c r="A52" t="inlineStr">
        <is>
          <t>SUP-0004</t>
        </is>
      </c>
      <c r="B52" t="inlineStr">
        <is>
          <t>Agriculture Supplier 004</t>
        </is>
      </c>
      <c r="C52" t="inlineStr">
        <is>
          <t>Agriculture</t>
        </is>
      </c>
      <c r="D52" t="n">
        <v>2024</v>
      </c>
      <c r="E52" t="n">
        <v>2020</v>
      </c>
      <c r="F52" t="n">
        <v>2040</v>
      </c>
      <c r="G52" t="n">
        <v>1450.8271</v>
      </c>
      <c r="H52" t="n">
        <v>153.3148</v>
      </c>
      <c r="I52" t="n">
        <v>105.5242</v>
      </c>
      <c r="J52" t="n">
        <v>1198.7452</v>
      </c>
      <c r="K52" t="n">
        <v>3011484.28</v>
      </c>
      <c r="L52" t="n">
        <v>23161310.55</v>
      </c>
      <c r="M52" t="n">
        <v>1450.8271</v>
      </c>
      <c r="N52" t="inlineStr">
        <is>
          <t>Provided Total Emissions</t>
        </is>
      </c>
      <c r="O52" t="b">
        <v>1</v>
      </c>
      <c r="P52" t="n">
        <v>-0.026977</v>
      </c>
      <c r="Q52" t="n">
        <v>-0.008375</v>
      </c>
      <c r="R52" t="n">
        <v>2752.8881</v>
      </c>
      <c r="S52" t="n">
        <v>22446.3209</v>
      </c>
      <c r="T52" t="n">
        <v>1302.061</v>
      </c>
      <c r="U52" t="n">
        <v>20995.4938</v>
      </c>
      <c r="V52" t="n">
        <v>0.897461</v>
      </c>
      <c r="W52" t="n">
        <v>14.471396</v>
      </c>
      <c r="X52" t="inlineStr">
        <is>
          <t>High</t>
        </is>
      </c>
      <c r="Y52" t="inlineStr">
        <is>
          <t>None</t>
        </is>
      </c>
      <c r="Z52" t="inlineStr">
        <is>
          <t>Valid</t>
        </is>
      </c>
      <c r="AA52" t="n">
        <v>2027</v>
      </c>
      <c r="AB52" t="inlineStr">
        <is>
          <t>Supplier Target Pathway</t>
        </is>
      </c>
      <c r="AC52" t="n">
        <v>1681.5914</v>
      </c>
      <c r="AD52" t="n">
        <v>694.1609</v>
      </c>
      <c r="AE52" t="n">
        <v>1335.9907</v>
      </c>
      <c r="AF52" t="n">
        <v>1335.9907</v>
      </c>
      <c r="AG52" t="n">
        <v>345.6007</v>
      </c>
      <c r="AH52" t="n">
        <v>0.00044363</v>
      </c>
      <c r="AI52" t="n">
        <v>0.20552</v>
      </c>
      <c r="AJ52" t="n">
        <v>641.8298</v>
      </c>
      <c r="AK52" t="n">
        <v>49.3715</v>
      </c>
      <c r="AL52" t="n">
        <v>6950.4876</v>
      </c>
      <c r="AM52" t="n">
        <v>4156.0868</v>
      </c>
      <c r="AN52" t="n">
        <v>0.99</v>
      </c>
      <c r="AO52" t="inlineStr">
        <is>
          <t>Critical</t>
        </is>
      </c>
      <c r="AP52" t="inlineStr">
        <is>
          <t>On Track to Glide Path</t>
        </is>
      </c>
    </row>
    <row r="53">
      <c r="A53" t="inlineStr">
        <is>
          <t>SUP-0004</t>
        </is>
      </c>
      <c r="B53" t="inlineStr">
        <is>
          <t>Agriculture Supplier 004</t>
        </is>
      </c>
      <c r="C53" t="inlineStr">
        <is>
          <t>Agriculture</t>
        </is>
      </c>
      <c r="D53" t="n">
        <v>2024</v>
      </c>
      <c r="E53" t="n">
        <v>2020</v>
      </c>
      <c r="F53" t="n">
        <v>2040</v>
      </c>
      <c r="G53" t="n">
        <v>1450.8271</v>
      </c>
      <c r="H53" t="n">
        <v>153.3148</v>
      </c>
      <c r="I53" t="n">
        <v>105.5242</v>
      </c>
      <c r="J53" t="n">
        <v>1198.7452</v>
      </c>
      <c r="K53" t="n">
        <v>3011484.28</v>
      </c>
      <c r="L53" t="n">
        <v>23161310.55</v>
      </c>
      <c r="M53" t="n">
        <v>1450.8271</v>
      </c>
      <c r="N53" t="inlineStr">
        <is>
          <t>Provided Total Emissions</t>
        </is>
      </c>
      <c r="O53" t="b">
        <v>1</v>
      </c>
      <c r="P53" t="n">
        <v>-0.026977</v>
      </c>
      <c r="Q53" t="n">
        <v>-0.008375</v>
      </c>
      <c r="R53" t="n">
        <v>2752.8881</v>
      </c>
      <c r="S53" t="n">
        <v>22446.3209</v>
      </c>
      <c r="T53" t="n">
        <v>1302.061</v>
      </c>
      <c r="U53" t="n">
        <v>20995.4938</v>
      </c>
      <c r="V53" t="n">
        <v>0.897461</v>
      </c>
      <c r="W53" t="n">
        <v>14.471396</v>
      </c>
      <c r="X53" t="inlineStr">
        <is>
          <t>High</t>
        </is>
      </c>
      <c r="Y53" t="inlineStr">
        <is>
          <t>None</t>
        </is>
      </c>
      <c r="Z53" t="inlineStr">
        <is>
          <t>Valid</t>
        </is>
      </c>
      <c r="AA53" t="n">
        <v>2028</v>
      </c>
      <c r="AB53" t="inlineStr">
        <is>
          <t>Supplier Target Pathway</t>
        </is>
      </c>
      <c r="AC53" t="n">
        <v>1681.5914</v>
      </c>
      <c r="AD53" t="n">
        <v>694.1609</v>
      </c>
      <c r="AE53" t="n">
        <v>1286.6192</v>
      </c>
      <c r="AF53" t="n">
        <v>1286.6192</v>
      </c>
      <c r="AG53" t="n">
        <v>394.9722</v>
      </c>
      <c r="AH53" t="n">
        <v>0.00042724</v>
      </c>
      <c r="AI53" t="n">
        <v>0.23488</v>
      </c>
      <c r="AJ53" t="n">
        <v>592.4583</v>
      </c>
      <c r="AK53" t="n">
        <v>49.3715</v>
      </c>
      <c r="AL53" t="n">
        <v>5663.8684</v>
      </c>
      <c r="AM53" t="n">
        <v>5442.706</v>
      </c>
      <c r="AN53" t="n">
        <v>0.99</v>
      </c>
      <c r="AO53" t="inlineStr">
        <is>
          <t>Critical</t>
        </is>
      </c>
      <c r="AP53" t="inlineStr">
        <is>
          <t>On Track to Glide Path</t>
        </is>
      </c>
    </row>
    <row r="54">
      <c r="A54" t="inlineStr">
        <is>
          <t>SUP-0004</t>
        </is>
      </c>
      <c r="B54" t="inlineStr">
        <is>
          <t>Agriculture Supplier 004</t>
        </is>
      </c>
      <c r="C54" t="inlineStr">
        <is>
          <t>Agriculture</t>
        </is>
      </c>
      <c r="D54" t="n">
        <v>2024</v>
      </c>
      <c r="E54" t="n">
        <v>2020</v>
      </c>
      <c r="F54" t="n">
        <v>2040</v>
      </c>
      <c r="G54" t="n">
        <v>1450.8271</v>
      </c>
      <c r="H54" t="n">
        <v>153.3148</v>
      </c>
      <c r="I54" t="n">
        <v>105.5242</v>
      </c>
      <c r="J54" t="n">
        <v>1198.7452</v>
      </c>
      <c r="K54" t="n">
        <v>3011484.28</v>
      </c>
      <c r="L54" t="n">
        <v>23161310.55</v>
      </c>
      <c r="M54" t="n">
        <v>1450.8271</v>
      </c>
      <c r="N54" t="inlineStr">
        <is>
          <t>Provided Total Emissions</t>
        </is>
      </c>
      <c r="O54" t="b">
        <v>1</v>
      </c>
      <c r="P54" t="n">
        <v>-0.026977</v>
      </c>
      <c r="Q54" t="n">
        <v>-0.008375</v>
      </c>
      <c r="R54" t="n">
        <v>2752.8881</v>
      </c>
      <c r="S54" t="n">
        <v>22446.3209</v>
      </c>
      <c r="T54" t="n">
        <v>1302.061</v>
      </c>
      <c r="U54" t="n">
        <v>20995.4938</v>
      </c>
      <c r="V54" t="n">
        <v>0.897461</v>
      </c>
      <c r="W54" t="n">
        <v>14.471396</v>
      </c>
      <c r="X54" t="inlineStr">
        <is>
          <t>High</t>
        </is>
      </c>
      <c r="Y54" t="inlineStr">
        <is>
          <t>None</t>
        </is>
      </c>
      <c r="Z54" t="inlineStr">
        <is>
          <t>Valid</t>
        </is>
      </c>
      <c r="AA54" t="n">
        <v>2029</v>
      </c>
      <c r="AB54" t="inlineStr">
        <is>
          <t>Supplier Target Pathway</t>
        </is>
      </c>
      <c r="AC54" t="n">
        <v>1681.5914</v>
      </c>
      <c r="AD54" t="n">
        <v>694.1609</v>
      </c>
      <c r="AE54" t="n">
        <v>1237.2477</v>
      </c>
      <c r="AF54" t="n">
        <v>1237.2477</v>
      </c>
      <c r="AG54" t="n">
        <v>444.3437</v>
      </c>
      <c r="AH54" t="n">
        <v>0.00041084</v>
      </c>
      <c r="AI54" t="n">
        <v>0.26424</v>
      </c>
      <c r="AJ54" t="n">
        <v>543.0868</v>
      </c>
      <c r="AK54" t="n">
        <v>49.3715</v>
      </c>
      <c r="AL54" t="n">
        <v>4426.6207</v>
      </c>
      <c r="AM54" t="n">
        <v>6679.9537</v>
      </c>
      <c r="AN54" t="n">
        <v>0.99</v>
      </c>
      <c r="AO54" t="inlineStr">
        <is>
          <t>Critical</t>
        </is>
      </c>
      <c r="AP54" t="inlineStr">
        <is>
          <t>On Track to Glide Path</t>
        </is>
      </c>
    </row>
    <row r="55">
      <c r="A55" t="inlineStr">
        <is>
          <t>SUP-0004</t>
        </is>
      </c>
      <c r="B55" t="inlineStr">
        <is>
          <t>Agriculture Supplier 004</t>
        </is>
      </c>
      <c r="C55" t="inlineStr">
        <is>
          <t>Agriculture</t>
        </is>
      </c>
      <c r="D55" t="n">
        <v>2024</v>
      </c>
      <c r="E55" t="n">
        <v>2020</v>
      </c>
      <c r="F55" t="n">
        <v>2040</v>
      </c>
      <c r="G55" t="n">
        <v>1450.8271</v>
      </c>
      <c r="H55" t="n">
        <v>153.3148</v>
      </c>
      <c r="I55" t="n">
        <v>105.5242</v>
      </c>
      <c r="J55" t="n">
        <v>1198.7452</v>
      </c>
      <c r="K55" t="n">
        <v>3011484.28</v>
      </c>
      <c r="L55" t="n">
        <v>23161310.55</v>
      </c>
      <c r="M55" t="n">
        <v>1450.8271</v>
      </c>
      <c r="N55" t="inlineStr">
        <is>
          <t>Provided Total Emissions</t>
        </is>
      </c>
      <c r="O55" t="b">
        <v>1</v>
      </c>
      <c r="P55" t="n">
        <v>-0.026977</v>
      </c>
      <c r="Q55" t="n">
        <v>-0.008375</v>
      </c>
      <c r="R55" t="n">
        <v>2752.8881</v>
      </c>
      <c r="S55" t="n">
        <v>22446.3209</v>
      </c>
      <c r="T55" t="n">
        <v>1302.061</v>
      </c>
      <c r="U55" t="n">
        <v>20995.4938</v>
      </c>
      <c r="V55" t="n">
        <v>0.897461</v>
      </c>
      <c r="W55" t="n">
        <v>14.471396</v>
      </c>
      <c r="X55" t="inlineStr">
        <is>
          <t>High</t>
        </is>
      </c>
      <c r="Y55" t="inlineStr">
        <is>
          <t>None</t>
        </is>
      </c>
      <c r="Z55" t="inlineStr">
        <is>
          <t>Valid</t>
        </is>
      </c>
      <c r="AA55" t="n">
        <v>2030</v>
      </c>
      <c r="AB55" t="inlineStr">
        <is>
          <t>Supplier Target Pathway</t>
        </is>
      </c>
      <c r="AC55" t="n">
        <v>1681.5914</v>
      </c>
      <c r="AD55" t="n">
        <v>694.1609</v>
      </c>
      <c r="AE55" t="n">
        <v>1187.8762</v>
      </c>
      <c r="AF55" t="n">
        <v>1187.8762</v>
      </c>
      <c r="AG55" t="n">
        <v>493.7152</v>
      </c>
      <c r="AH55" t="n">
        <v>0.00039445</v>
      </c>
      <c r="AI55" t="n">
        <v>0.2936</v>
      </c>
      <c r="AJ55" t="n">
        <v>493.7152</v>
      </c>
      <c r="AK55" t="n">
        <v>49.3715</v>
      </c>
      <c r="AL55" t="n">
        <v>3238.7445</v>
      </c>
      <c r="AM55" t="n">
        <v>7867.8299</v>
      </c>
      <c r="AN55" t="n">
        <v>0.99</v>
      </c>
      <c r="AO55" t="inlineStr">
        <is>
          <t>Critical</t>
        </is>
      </c>
      <c r="AP55" t="inlineStr">
        <is>
          <t>On Track to Glide Path</t>
        </is>
      </c>
    </row>
    <row r="56">
      <c r="A56" t="inlineStr">
        <is>
          <t>SUP-0004</t>
        </is>
      </c>
      <c r="B56" t="inlineStr">
        <is>
          <t>Agriculture Supplier 004</t>
        </is>
      </c>
      <c r="C56" t="inlineStr">
        <is>
          <t>Agriculture</t>
        </is>
      </c>
      <c r="D56" t="n">
        <v>2024</v>
      </c>
      <c r="E56" t="n">
        <v>2020</v>
      </c>
      <c r="F56" t="n">
        <v>2040</v>
      </c>
      <c r="G56" t="n">
        <v>1450.8271</v>
      </c>
      <c r="H56" t="n">
        <v>153.3148</v>
      </c>
      <c r="I56" t="n">
        <v>105.5242</v>
      </c>
      <c r="J56" t="n">
        <v>1198.7452</v>
      </c>
      <c r="K56" t="n">
        <v>3011484.28</v>
      </c>
      <c r="L56" t="n">
        <v>23161310.55</v>
      </c>
      <c r="M56" t="n">
        <v>1450.8271</v>
      </c>
      <c r="N56" t="inlineStr">
        <is>
          <t>Provided Total Emissions</t>
        </is>
      </c>
      <c r="O56" t="b">
        <v>1</v>
      </c>
      <c r="P56" t="n">
        <v>-0.026977</v>
      </c>
      <c r="Q56" t="n">
        <v>-0.008375</v>
      </c>
      <c r="R56" t="n">
        <v>2752.8881</v>
      </c>
      <c r="S56" t="n">
        <v>22446.3209</v>
      </c>
      <c r="T56" t="n">
        <v>1302.061</v>
      </c>
      <c r="U56" t="n">
        <v>20995.4938</v>
      </c>
      <c r="V56" t="n">
        <v>0.897461</v>
      </c>
      <c r="W56" t="n">
        <v>14.471396</v>
      </c>
      <c r="X56" t="inlineStr">
        <is>
          <t>High</t>
        </is>
      </c>
      <c r="Y56" t="inlineStr">
        <is>
          <t>None</t>
        </is>
      </c>
      <c r="Z56" t="inlineStr">
        <is>
          <t>Valid</t>
        </is>
      </c>
      <c r="AA56" t="n">
        <v>2031</v>
      </c>
      <c r="AB56" t="inlineStr">
        <is>
          <t>Supplier Target Pathway</t>
        </is>
      </c>
      <c r="AC56" t="n">
        <v>1681.5914</v>
      </c>
      <c r="AD56" t="n">
        <v>694.1609</v>
      </c>
      <c r="AE56" t="n">
        <v>1138.5046</v>
      </c>
      <c r="AF56" t="n">
        <v>1138.5046</v>
      </c>
      <c r="AG56" t="n">
        <v>543.0868</v>
      </c>
      <c r="AH56" t="n">
        <v>0.00037805</v>
      </c>
      <c r="AI56" t="n">
        <v>0.32296</v>
      </c>
      <c r="AJ56" t="n">
        <v>444.3437</v>
      </c>
      <c r="AK56" t="n">
        <v>49.3715</v>
      </c>
      <c r="AL56" t="n">
        <v>2100.2399</v>
      </c>
      <c r="AM56" t="n">
        <v>9006.334500000001</v>
      </c>
      <c r="AN56" t="n">
        <v>0.99</v>
      </c>
      <c r="AO56" t="inlineStr">
        <is>
          <t>Critical</t>
        </is>
      </c>
      <c r="AP56" t="inlineStr">
        <is>
          <t>On Track to Glide Path</t>
        </is>
      </c>
    </row>
    <row r="57">
      <c r="A57" t="inlineStr">
        <is>
          <t>SUP-0004</t>
        </is>
      </c>
      <c r="B57" t="inlineStr">
        <is>
          <t>Agriculture Supplier 004</t>
        </is>
      </c>
      <c r="C57" t="inlineStr">
        <is>
          <t>Agriculture</t>
        </is>
      </c>
      <c r="D57" t="n">
        <v>2024</v>
      </c>
      <c r="E57" t="n">
        <v>2020</v>
      </c>
      <c r="F57" t="n">
        <v>2040</v>
      </c>
      <c r="G57" t="n">
        <v>1450.8271</v>
      </c>
      <c r="H57" t="n">
        <v>153.3148</v>
      </c>
      <c r="I57" t="n">
        <v>105.5242</v>
      </c>
      <c r="J57" t="n">
        <v>1198.7452</v>
      </c>
      <c r="K57" t="n">
        <v>3011484.28</v>
      </c>
      <c r="L57" t="n">
        <v>23161310.55</v>
      </c>
      <c r="M57" t="n">
        <v>1450.8271</v>
      </c>
      <c r="N57" t="inlineStr">
        <is>
          <t>Provided Total Emissions</t>
        </is>
      </c>
      <c r="O57" t="b">
        <v>1</v>
      </c>
      <c r="P57" t="n">
        <v>-0.026977</v>
      </c>
      <c r="Q57" t="n">
        <v>-0.008375</v>
      </c>
      <c r="R57" t="n">
        <v>2752.8881</v>
      </c>
      <c r="S57" t="n">
        <v>22446.3209</v>
      </c>
      <c r="T57" t="n">
        <v>1302.061</v>
      </c>
      <c r="U57" t="n">
        <v>20995.4938</v>
      </c>
      <c r="V57" t="n">
        <v>0.897461</v>
      </c>
      <c r="W57" t="n">
        <v>14.471396</v>
      </c>
      <c r="X57" t="inlineStr">
        <is>
          <t>High</t>
        </is>
      </c>
      <c r="Y57" t="inlineStr">
        <is>
          <t>None</t>
        </is>
      </c>
      <c r="Z57" t="inlineStr">
        <is>
          <t>Valid</t>
        </is>
      </c>
      <c r="AA57" t="n">
        <v>2032</v>
      </c>
      <c r="AB57" t="inlineStr">
        <is>
          <t>Supplier Target Pathway</t>
        </is>
      </c>
      <c r="AC57" t="n">
        <v>1681.5914</v>
      </c>
      <c r="AD57" t="n">
        <v>694.1609</v>
      </c>
      <c r="AE57" t="n">
        <v>1089.1331</v>
      </c>
      <c r="AF57" t="n">
        <v>1089.1331</v>
      </c>
      <c r="AG57" t="n">
        <v>592.4583</v>
      </c>
      <c r="AH57" t="n">
        <v>0.00036166</v>
      </c>
      <c r="AI57" t="n">
        <v>0.35232</v>
      </c>
      <c r="AJ57" t="n">
        <v>394.9722</v>
      </c>
      <c r="AK57" t="n">
        <v>49.3715</v>
      </c>
      <c r="AL57" t="n">
        <v>1011.1068</v>
      </c>
      <c r="AM57" t="n">
        <v>10095.4676</v>
      </c>
      <c r="AN57" t="n">
        <v>0.99</v>
      </c>
      <c r="AO57" t="inlineStr">
        <is>
          <t>Critical</t>
        </is>
      </c>
      <c r="AP57" t="inlineStr">
        <is>
          <t>On Track to Glide Path</t>
        </is>
      </c>
    </row>
    <row r="58">
      <c r="A58" t="inlineStr">
        <is>
          <t>SUP-0004</t>
        </is>
      </c>
      <c r="B58" t="inlineStr">
        <is>
          <t>Agriculture Supplier 004</t>
        </is>
      </c>
      <c r="C58" t="inlineStr">
        <is>
          <t>Agriculture</t>
        </is>
      </c>
      <c r="D58" t="n">
        <v>2024</v>
      </c>
      <c r="E58" t="n">
        <v>2020</v>
      </c>
      <c r="F58" t="n">
        <v>2040</v>
      </c>
      <c r="G58" t="n">
        <v>1450.8271</v>
      </c>
      <c r="H58" t="n">
        <v>153.3148</v>
      </c>
      <c r="I58" t="n">
        <v>105.5242</v>
      </c>
      <c r="J58" t="n">
        <v>1198.7452</v>
      </c>
      <c r="K58" t="n">
        <v>3011484.28</v>
      </c>
      <c r="L58" t="n">
        <v>23161310.55</v>
      </c>
      <c r="M58" t="n">
        <v>1450.8271</v>
      </c>
      <c r="N58" t="inlineStr">
        <is>
          <t>Provided Total Emissions</t>
        </is>
      </c>
      <c r="O58" t="b">
        <v>1</v>
      </c>
      <c r="P58" t="n">
        <v>-0.026977</v>
      </c>
      <c r="Q58" t="n">
        <v>-0.008375</v>
      </c>
      <c r="R58" t="n">
        <v>2752.8881</v>
      </c>
      <c r="S58" t="n">
        <v>22446.3209</v>
      </c>
      <c r="T58" t="n">
        <v>1302.061</v>
      </c>
      <c r="U58" t="n">
        <v>20995.4938</v>
      </c>
      <c r="V58" t="n">
        <v>0.897461</v>
      </c>
      <c r="W58" t="n">
        <v>14.471396</v>
      </c>
      <c r="X58" t="inlineStr">
        <is>
          <t>High</t>
        </is>
      </c>
      <c r="Y58" t="inlineStr">
        <is>
          <t>None</t>
        </is>
      </c>
      <c r="Z58" t="inlineStr">
        <is>
          <t>Valid</t>
        </is>
      </c>
      <c r="AA58" t="n">
        <v>2033</v>
      </c>
      <c r="AB58" t="inlineStr">
        <is>
          <t>Supplier Target Pathway</t>
        </is>
      </c>
      <c r="AC58" t="n">
        <v>1681.5914</v>
      </c>
      <c r="AD58" t="n">
        <v>694.1609</v>
      </c>
      <c r="AE58" t="n">
        <v>1039.7616</v>
      </c>
      <c r="AF58" t="n">
        <v>1039.7616</v>
      </c>
      <c r="AG58" t="n">
        <v>641.8298</v>
      </c>
      <c r="AH58" t="n">
        <v>0.00034527</v>
      </c>
      <c r="AI58" t="n">
        <v>0.38168</v>
      </c>
      <c r="AJ58" t="n">
        <v>345.6007</v>
      </c>
      <c r="AK58" t="n">
        <v>49.3715</v>
      </c>
      <c r="AL58" t="n">
        <v>-28.6548</v>
      </c>
      <c r="AM58" t="n">
        <v>11135.2292</v>
      </c>
      <c r="AN58" t="n">
        <v>0.99</v>
      </c>
      <c r="AO58" t="inlineStr">
        <is>
          <t>Critical</t>
        </is>
      </c>
      <c r="AP58" t="inlineStr">
        <is>
          <t>On Track to Glide Path</t>
        </is>
      </c>
    </row>
    <row r="59">
      <c r="A59" t="inlineStr">
        <is>
          <t>SUP-0004</t>
        </is>
      </c>
      <c r="B59" t="inlineStr">
        <is>
          <t>Agriculture Supplier 004</t>
        </is>
      </c>
      <c r="C59" t="inlineStr">
        <is>
          <t>Agriculture</t>
        </is>
      </c>
      <c r="D59" t="n">
        <v>2024</v>
      </c>
      <c r="E59" t="n">
        <v>2020</v>
      </c>
      <c r="F59" t="n">
        <v>2040</v>
      </c>
      <c r="G59" t="n">
        <v>1450.8271</v>
      </c>
      <c r="H59" t="n">
        <v>153.3148</v>
      </c>
      <c r="I59" t="n">
        <v>105.5242</v>
      </c>
      <c r="J59" t="n">
        <v>1198.7452</v>
      </c>
      <c r="K59" t="n">
        <v>3011484.28</v>
      </c>
      <c r="L59" t="n">
        <v>23161310.55</v>
      </c>
      <c r="M59" t="n">
        <v>1450.8271</v>
      </c>
      <c r="N59" t="inlineStr">
        <is>
          <t>Provided Total Emissions</t>
        </is>
      </c>
      <c r="O59" t="b">
        <v>1</v>
      </c>
      <c r="P59" t="n">
        <v>-0.026977</v>
      </c>
      <c r="Q59" t="n">
        <v>-0.008375</v>
      </c>
      <c r="R59" t="n">
        <v>2752.8881</v>
      </c>
      <c r="S59" t="n">
        <v>22446.3209</v>
      </c>
      <c r="T59" t="n">
        <v>1302.061</v>
      </c>
      <c r="U59" t="n">
        <v>20995.4938</v>
      </c>
      <c r="V59" t="n">
        <v>0.897461</v>
      </c>
      <c r="W59" t="n">
        <v>14.471396</v>
      </c>
      <c r="X59" t="inlineStr">
        <is>
          <t>High</t>
        </is>
      </c>
      <c r="Y59" t="inlineStr">
        <is>
          <t>None</t>
        </is>
      </c>
      <c r="Z59" t="inlineStr">
        <is>
          <t>Valid</t>
        </is>
      </c>
      <c r="AA59" t="n">
        <v>2034</v>
      </c>
      <c r="AB59" t="inlineStr">
        <is>
          <t>Supplier Target Pathway</t>
        </is>
      </c>
      <c r="AC59" t="n">
        <v>1681.5914</v>
      </c>
      <c r="AD59" t="n">
        <v>694.1609</v>
      </c>
      <c r="AE59" t="n">
        <v>990.3901</v>
      </c>
      <c r="AF59" t="n">
        <v>990.3901</v>
      </c>
      <c r="AG59" t="n">
        <v>691.2012999999999</v>
      </c>
      <c r="AH59" t="n">
        <v>0.00032887</v>
      </c>
      <c r="AI59" t="n">
        <v>0.41104</v>
      </c>
      <c r="AJ59" t="n">
        <v>296.2291</v>
      </c>
      <c r="AK59" t="n">
        <v>49.3715</v>
      </c>
      <c r="AL59" t="n">
        <v>-1019.0449</v>
      </c>
      <c r="AM59" t="n">
        <v>12125.6193</v>
      </c>
      <c r="AN59" t="n">
        <v>0.99</v>
      </c>
      <c r="AO59" t="inlineStr">
        <is>
          <t>Critical</t>
        </is>
      </c>
      <c r="AP59" t="inlineStr">
        <is>
          <t>On Track to Glide Path</t>
        </is>
      </c>
    </row>
    <row r="60">
      <c r="A60" t="inlineStr">
        <is>
          <t>SUP-0004</t>
        </is>
      </c>
      <c r="B60" t="inlineStr">
        <is>
          <t>Agriculture Supplier 004</t>
        </is>
      </c>
      <c r="C60" t="inlineStr">
        <is>
          <t>Agriculture</t>
        </is>
      </c>
      <c r="D60" t="n">
        <v>2024</v>
      </c>
      <c r="E60" t="n">
        <v>2020</v>
      </c>
      <c r="F60" t="n">
        <v>2040</v>
      </c>
      <c r="G60" t="n">
        <v>1450.8271</v>
      </c>
      <c r="H60" t="n">
        <v>153.3148</v>
      </c>
      <c r="I60" t="n">
        <v>105.5242</v>
      </c>
      <c r="J60" t="n">
        <v>1198.7452</v>
      </c>
      <c r="K60" t="n">
        <v>3011484.28</v>
      </c>
      <c r="L60" t="n">
        <v>23161310.55</v>
      </c>
      <c r="M60" t="n">
        <v>1450.8271</v>
      </c>
      <c r="N60" t="inlineStr">
        <is>
          <t>Provided Total Emissions</t>
        </is>
      </c>
      <c r="O60" t="b">
        <v>1</v>
      </c>
      <c r="P60" t="n">
        <v>-0.026977</v>
      </c>
      <c r="Q60" t="n">
        <v>-0.008375</v>
      </c>
      <c r="R60" t="n">
        <v>2752.8881</v>
      </c>
      <c r="S60" t="n">
        <v>22446.3209</v>
      </c>
      <c r="T60" t="n">
        <v>1302.061</v>
      </c>
      <c r="U60" t="n">
        <v>20995.4938</v>
      </c>
      <c r="V60" t="n">
        <v>0.897461</v>
      </c>
      <c r="W60" t="n">
        <v>14.471396</v>
      </c>
      <c r="X60" t="inlineStr">
        <is>
          <t>High</t>
        </is>
      </c>
      <c r="Y60" t="inlineStr">
        <is>
          <t>None</t>
        </is>
      </c>
      <c r="Z60" t="inlineStr">
        <is>
          <t>Valid</t>
        </is>
      </c>
      <c r="AA60" t="n">
        <v>2035</v>
      </c>
      <c r="AB60" t="inlineStr">
        <is>
          <t>Supplier Target Pathway</t>
        </is>
      </c>
      <c r="AC60" t="n">
        <v>1681.5914</v>
      </c>
      <c r="AD60" t="n">
        <v>694.1609</v>
      </c>
      <c r="AE60" t="n">
        <v>941.0185</v>
      </c>
      <c r="AF60" t="n">
        <v>941.0185</v>
      </c>
      <c r="AG60" t="n">
        <v>740.5729</v>
      </c>
      <c r="AH60" t="n">
        <v>0.00031248</v>
      </c>
      <c r="AI60" t="n">
        <v>0.4404</v>
      </c>
      <c r="AJ60" t="n">
        <v>246.8576</v>
      </c>
      <c r="AK60" t="n">
        <v>49.3715</v>
      </c>
      <c r="AL60" t="n">
        <v>-1960.0634</v>
      </c>
      <c r="AM60" t="n">
        <v>13066.6378</v>
      </c>
      <c r="AN60" t="n">
        <v>0.99</v>
      </c>
      <c r="AO60" t="inlineStr">
        <is>
          <t>Critical</t>
        </is>
      </c>
      <c r="AP60" t="inlineStr">
        <is>
          <t>On Track to Glide Path</t>
        </is>
      </c>
    </row>
    <row r="61">
      <c r="A61" t="inlineStr">
        <is>
          <t>SUP-0004</t>
        </is>
      </c>
      <c r="B61" t="inlineStr">
        <is>
          <t>Agriculture Supplier 004</t>
        </is>
      </c>
      <c r="C61" t="inlineStr">
        <is>
          <t>Agriculture</t>
        </is>
      </c>
      <c r="D61" t="n">
        <v>2024</v>
      </c>
      <c r="E61" t="n">
        <v>2020</v>
      </c>
      <c r="F61" t="n">
        <v>2040</v>
      </c>
      <c r="G61" t="n">
        <v>1450.8271</v>
      </c>
      <c r="H61" t="n">
        <v>153.3148</v>
      </c>
      <c r="I61" t="n">
        <v>105.5242</v>
      </c>
      <c r="J61" t="n">
        <v>1198.7452</v>
      </c>
      <c r="K61" t="n">
        <v>3011484.28</v>
      </c>
      <c r="L61" t="n">
        <v>23161310.55</v>
      </c>
      <c r="M61" t="n">
        <v>1450.8271</v>
      </c>
      <c r="N61" t="inlineStr">
        <is>
          <t>Provided Total Emissions</t>
        </is>
      </c>
      <c r="O61" t="b">
        <v>1</v>
      </c>
      <c r="P61" t="n">
        <v>-0.026977</v>
      </c>
      <c r="Q61" t="n">
        <v>-0.008375</v>
      </c>
      <c r="R61" t="n">
        <v>2752.8881</v>
      </c>
      <c r="S61" t="n">
        <v>22446.3209</v>
      </c>
      <c r="T61" t="n">
        <v>1302.061</v>
      </c>
      <c r="U61" t="n">
        <v>20995.4938</v>
      </c>
      <c r="V61" t="n">
        <v>0.897461</v>
      </c>
      <c r="W61" t="n">
        <v>14.471396</v>
      </c>
      <c r="X61" t="inlineStr">
        <is>
          <t>High</t>
        </is>
      </c>
      <c r="Y61" t="inlineStr">
        <is>
          <t>None</t>
        </is>
      </c>
      <c r="Z61" t="inlineStr">
        <is>
          <t>Valid</t>
        </is>
      </c>
      <c r="AA61" t="n">
        <v>2036</v>
      </c>
      <c r="AB61" t="inlineStr">
        <is>
          <t>Supplier Target Pathway</t>
        </is>
      </c>
      <c r="AC61" t="n">
        <v>1681.5914</v>
      </c>
      <c r="AD61" t="n">
        <v>694.1609</v>
      </c>
      <c r="AE61" t="n">
        <v>891.647</v>
      </c>
      <c r="AF61" t="n">
        <v>891.647</v>
      </c>
      <c r="AG61" t="n">
        <v>789.9444</v>
      </c>
      <c r="AH61" t="n">
        <v>0.00029608</v>
      </c>
      <c r="AI61" t="n">
        <v>0.46976</v>
      </c>
      <c r="AJ61" t="n">
        <v>197.4861</v>
      </c>
      <c r="AK61" t="n">
        <v>49.3715</v>
      </c>
      <c r="AL61" t="n">
        <v>-2851.7104</v>
      </c>
      <c r="AM61" t="n">
        <v>13958.2848</v>
      </c>
      <c r="AN61" t="n">
        <v>0.99</v>
      </c>
      <c r="AO61" t="inlineStr">
        <is>
          <t>High</t>
        </is>
      </c>
      <c r="AP61" t="inlineStr">
        <is>
          <t>On Track to Glide Path</t>
        </is>
      </c>
    </row>
    <row r="62">
      <c r="A62" t="inlineStr">
        <is>
          <t>SUP-0004</t>
        </is>
      </c>
      <c r="B62" t="inlineStr">
        <is>
          <t>Agriculture Supplier 004</t>
        </is>
      </c>
      <c r="C62" t="inlineStr">
        <is>
          <t>Agriculture</t>
        </is>
      </c>
      <c r="D62" t="n">
        <v>2024</v>
      </c>
      <c r="E62" t="n">
        <v>2020</v>
      </c>
      <c r="F62" t="n">
        <v>2040</v>
      </c>
      <c r="G62" t="n">
        <v>1450.8271</v>
      </c>
      <c r="H62" t="n">
        <v>153.3148</v>
      </c>
      <c r="I62" t="n">
        <v>105.5242</v>
      </c>
      <c r="J62" t="n">
        <v>1198.7452</v>
      </c>
      <c r="K62" t="n">
        <v>3011484.28</v>
      </c>
      <c r="L62" t="n">
        <v>23161310.55</v>
      </c>
      <c r="M62" t="n">
        <v>1450.8271</v>
      </c>
      <c r="N62" t="inlineStr">
        <is>
          <t>Provided Total Emissions</t>
        </is>
      </c>
      <c r="O62" t="b">
        <v>1</v>
      </c>
      <c r="P62" t="n">
        <v>-0.026977</v>
      </c>
      <c r="Q62" t="n">
        <v>-0.008375</v>
      </c>
      <c r="R62" t="n">
        <v>2752.8881</v>
      </c>
      <c r="S62" t="n">
        <v>22446.3209</v>
      </c>
      <c r="T62" t="n">
        <v>1302.061</v>
      </c>
      <c r="U62" t="n">
        <v>20995.4938</v>
      </c>
      <c r="V62" t="n">
        <v>0.897461</v>
      </c>
      <c r="W62" t="n">
        <v>14.471396</v>
      </c>
      <c r="X62" t="inlineStr">
        <is>
          <t>High</t>
        </is>
      </c>
      <c r="Y62" t="inlineStr">
        <is>
          <t>None</t>
        </is>
      </c>
      <c r="Z62" t="inlineStr">
        <is>
          <t>Valid</t>
        </is>
      </c>
      <c r="AA62" t="n">
        <v>2037</v>
      </c>
      <c r="AB62" t="inlineStr">
        <is>
          <t>Supplier Target Pathway</t>
        </is>
      </c>
      <c r="AC62" t="n">
        <v>1681.5914</v>
      </c>
      <c r="AD62" t="n">
        <v>694.1609</v>
      </c>
      <c r="AE62" t="n">
        <v>842.2755</v>
      </c>
      <c r="AF62" t="n">
        <v>842.2755</v>
      </c>
      <c r="AG62" t="n">
        <v>839.3159000000001</v>
      </c>
      <c r="AH62" t="n">
        <v>0.00027969</v>
      </c>
      <c r="AI62" t="n">
        <v>0.49912</v>
      </c>
      <c r="AJ62" t="n">
        <v>148.1146</v>
      </c>
      <c r="AK62" t="n">
        <v>49.3715</v>
      </c>
      <c r="AL62" t="n">
        <v>-3693.9859</v>
      </c>
      <c r="AM62" t="n">
        <v>14800.5603</v>
      </c>
      <c r="AN62" t="n">
        <v>0.99</v>
      </c>
      <c r="AO62" t="inlineStr">
        <is>
          <t>High</t>
        </is>
      </c>
      <c r="AP62" t="inlineStr">
        <is>
          <t>On Track to Glide Path</t>
        </is>
      </c>
    </row>
    <row r="63">
      <c r="A63" t="inlineStr">
        <is>
          <t>SUP-0004</t>
        </is>
      </c>
      <c r="B63" t="inlineStr">
        <is>
          <t>Agriculture Supplier 004</t>
        </is>
      </c>
      <c r="C63" t="inlineStr">
        <is>
          <t>Agriculture</t>
        </is>
      </c>
      <c r="D63" t="n">
        <v>2024</v>
      </c>
      <c r="E63" t="n">
        <v>2020</v>
      </c>
      <c r="F63" t="n">
        <v>2040</v>
      </c>
      <c r="G63" t="n">
        <v>1450.8271</v>
      </c>
      <c r="H63" t="n">
        <v>153.3148</v>
      </c>
      <c r="I63" t="n">
        <v>105.5242</v>
      </c>
      <c r="J63" t="n">
        <v>1198.7452</v>
      </c>
      <c r="K63" t="n">
        <v>3011484.28</v>
      </c>
      <c r="L63" t="n">
        <v>23161310.55</v>
      </c>
      <c r="M63" t="n">
        <v>1450.8271</v>
      </c>
      <c r="N63" t="inlineStr">
        <is>
          <t>Provided Total Emissions</t>
        </is>
      </c>
      <c r="O63" t="b">
        <v>1</v>
      </c>
      <c r="P63" t="n">
        <v>-0.026977</v>
      </c>
      <c r="Q63" t="n">
        <v>-0.008375</v>
      </c>
      <c r="R63" t="n">
        <v>2752.8881</v>
      </c>
      <c r="S63" t="n">
        <v>22446.3209</v>
      </c>
      <c r="T63" t="n">
        <v>1302.061</v>
      </c>
      <c r="U63" t="n">
        <v>20995.4938</v>
      </c>
      <c r="V63" t="n">
        <v>0.897461</v>
      </c>
      <c r="W63" t="n">
        <v>14.471396</v>
      </c>
      <c r="X63" t="inlineStr">
        <is>
          <t>High</t>
        </is>
      </c>
      <c r="Y63" t="inlineStr">
        <is>
          <t>None</t>
        </is>
      </c>
      <c r="Z63" t="inlineStr">
        <is>
          <t>Valid</t>
        </is>
      </c>
      <c r="AA63" t="n">
        <v>2038</v>
      </c>
      <c r="AB63" t="inlineStr">
        <is>
          <t>Supplier Target Pathway</t>
        </is>
      </c>
      <c r="AC63" t="n">
        <v>1681.5914</v>
      </c>
      <c r="AD63" t="n">
        <v>694.1609</v>
      </c>
      <c r="AE63" t="n">
        <v>792.904</v>
      </c>
      <c r="AF63" t="n">
        <v>792.904</v>
      </c>
      <c r="AG63" t="n">
        <v>888.6874</v>
      </c>
      <c r="AH63" t="n">
        <v>0.00026329</v>
      </c>
      <c r="AI63" t="n">
        <v>0.5284799999999999</v>
      </c>
      <c r="AJ63" t="n">
        <v>98.74299999999999</v>
      </c>
      <c r="AK63" t="n">
        <v>49.3715</v>
      </c>
      <c r="AL63" t="n">
        <v>-4486.8899</v>
      </c>
      <c r="AM63" t="n">
        <v>15593.4643</v>
      </c>
      <c r="AN63" t="n">
        <v>0.99</v>
      </c>
      <c r="AO63" t="inlineStr">
        <is>
          <t>Medium</t>
        </is>
      </c>
      <c r="AP63" t="inlineStr">
        <is>
          <t>On Track to Glide Path</t>
        </is>
      </c>
    </row>
    <row r="64">
      <c r="A64" t="inlineStr">
        <is>
          <t>SUP-0004</t>
        </is>
      </c>
      <c r="B64" t="inlineStr">
        <is>
          <t>Agriculture Supplier 004</t>
        </is>
      </c>
      <c r="C64" t="inlineStr">
        <is>
          <t>Agriculture</t>
        </is>
      </c>
      <c r="D64" t="n">
        <v>2024</v>
      </c>
      <c r="E64" t="n">
        <v>2020</v>
      </c>
      <c r="F64" t="n">
        <v>2040</v>
      </c>
      <c r="G64" t="n">
        <v>1450.8271</v>
      </c>
      <c r="H64" t="n">
        <v>153.3148</v>
      </c>
      <c r="I64" t="n">
        <v>105.5242</v>
      </c>
      <c r="J64" t="n">
        <v>1198.7452</v>
      </c>
      <c r="K64" t="n">
        <v>3011484.28</v>
      </c>
      <c r="L64" t="n">
        <v>23161310.55</v>
      </c>
      <c r="M64" t="n">
        <v>1450.8271</v>
      </c>
      <c r="N64" t="inlineStr">
        <is>
          <t>Provided Total Emissions</t>
        </is>
      </c>
      <c r="O64" t="b">
        <v>1</v>
      </c>
      <c r="P64" t="n">
        <v>-0.026977</v>
      </c>
      <c r="Q64" t="n">
        <v>-0.008375</v>
      </c>
      <c r="R64" t="n">
        <v>2752.8881</v>
      </c>
      <c r="S64" t="n">
        <v>22446.3209</v>
      </c>
      <c r="T64" t="n">
        <v>1302.061</v>
      </c>
      <c r="U64" t="n">
        <v>20995.4938</v>
      </c>
      <c r="V64" t="n">
        <v>0.897461</v>
      </c>
      <c r="W64" t="n">
        <v>14.471396</v>
      </c>
      <c r="X64" t="inlineStr">
        <is>
          <t>High</t>
        </is>
      </c>
      <c r="Y64" t="inlineStr">
        <is>
          <t>None</t>
        </is>
      </c>
      <c r="Z64" t="inlineStr">
        <is>
          <t>Valid</t>
        </is>
      </c>
      <c r="AA64" t="n">
        <v>2039</v>
      </c>
      <c r="AB64" t="inlineStr">
        <is>
          <t>Supplier Target Pathway</t>
        </is>
      </c>
      <c r="AC64" t="n">
        <v>1681.5914</v>
      </c>
      <c r="AD64" t="n">
        <v>694.1609</v>
      </c>
      <c r="AE64" t="n">
        <v>743.5325</v>
      </c>
      <c r="AF64" t="n">
        <v>743.5325</v>
      </c>
      <c r="AG64" t="n">
        <v>938.0589</v>
      </c>
      <c r="AH64" t="n">
        <v>0.0002469</v>
      </c>
      <c r="AI64" t="n">
        <v>0.55784</v>
      </c>
      <c r="AJ64" t="n">
        <v>49.3715</v>
      </c>
      <c r="AK64" t="n">
        <v>49.3715</v>
      </c>
      <c r="AL64" t="n">
        <v>-5230.4224</v>
      </c>
      <c r="AM64" t="n">
        <v>16336.9968</v>
      </c>
      <c r="AN64" t="n">
        <v>0.99</v>
      </c>
      <c r="AO64" t="inlineStr">
        <is>
          <t>Medium</t>
        </is>
      </c>
      <c r="AP64" t="inlineStr">
        <is>
          <t>On Track to Glide Path</t>
        </is>
      </c>
    </row>
    <row r="65">
      <c r="A65" t="inlineStr">
        <is>
          <t>SUP-0004</t>
        </is>
      </c>
      <c r="B65" t="inlineStr">
        <is>
          <t>Agriculture Supplier 004</t>
        </is>
      </c>
      <c r="C65" t="inlineStr">
        <is>
          <t>Agriculture</t>
        </is>
      </c>
      <c r="D65" t="n">
        <v>2024</v>
      </c>
      <c r="E65" t="n">
        <v>2020</v>
      </c>
      <c r="F65" t="n">
        <v>2040</v>
      </c>
      <c r="G65" t="n">
        <v>1450.8271</v>
      </c>
      <c r="H65" t="n">
        <v>153.3148</v>
      </c>
      <c r="I65" t="n">
        <v>105.5242</v>
      </c>
      <c r="J65" t="n">
        <v>1198.7452</v>
      </c>
      <c r="K65" t="n">
        <v>3011484.28</v>
      </c>
      <c r="L65" t="n">
        <v>23161310.55</v>
      </c>
      <c r="M65" t="n">
        <v>1450.8271</v>
      </c>
      <c r="N65" t="inlineStr">
        <is>
          <t>Provided Total Emissions</t>
        </is>
      </c>
      <c r="O65" t="b">
        <v>1</v>
      </c>
      <c r="P65" t="n">
        <v>-0.026977</v>
      </c>
      <c r="Q65" t="n">
        <v>-0.008375</v>
      </c>
      <c r="R65" t="n">
        <v>2752.8881</v>
      </c>
      <c r="S65" t="n">
        <v>22446.3209</v>
      </c>
      <c r="T65" t="n">
        <v>1302.061</v>
      </c>
      <c r="U65" t="n">
        <v>20995.4938</v>
      </c>
      <c r="V65" t="n">
        <v>0.897461</v>
      </c>
      <c r="W65" t="n">
        <v>14.471396</v>
      </c>
      <c r="X65" t="inlineStr">
        <is>
          <t>High</t>
        </is>
      </c>
      <c r="Y65" t="inlineStr">
        <is>
          <t>None</t>
        </is>
      </c>
      <c r="Z65" t="inlineStr">
        <is>
          <t>Valid</t>
        </is>
      </c>
      <c r="AA65" t="n">
        <v>2040</v>
      </c>
      <c r="AB65" t="inlineStr">
        <is>
          <t>Supplier Target Pathway</t>
        </is>
      </c>
      <c r="AC65" t="n">
        <v>1681.5914</v>
      </c>
      <c r="AD65" t="n">
        <v>694.1609</v>
      </c>
      <c r="AE65" t="n">
        <v>694.1609</v>
      </c>
      <c r="AF65" t="n">
        <v>694.1609</v>
      </c>
      <c r="AG65" t="n">
        <v>987.4305000000001</v>
      </c>
      <c r="AH65" t="n">
        <v>0.0002305</v>
      </c>
      <c r="AI65" t="n">
        <v>0.5872000000000001</v>
      </c>
      <c r="AJ65" t="n">
        <v>0</v>
      </c>
      <c r="AK65" t="n">
        <v>49.3715</v>
      </c>
      <c r="AL65" t="n">
        <v>-5924.5833</v>
      </c>
      <c r="AM65" t="n">
        <v>17031.1577</v>
      </c>
      <c r="AN65" t="n">
        <v>0.99</v>
      </c>
      <c r="AO65" t="inlineStr">
        <is>
          <t>Low</t>
        </is>
      </c>
      <c r="AP65" t="inlineStr">
        <is>
          <t>On Track</t>
        </is>
      </c>
    </row>
    <row r="66">
      <c r="A66" t="inlineStr">
        <is>
          <t>SUP-0005</t>
        </is>
      </c>
      <c r="B66" t="inlineStr">
        <is>
          <t>Professional Supplier 005</t>
        </is>
      </c>
      <c r="C66" t="inlineStr">
        <is>
          <t>Professional Services</t>
        </is>
      </c>
      <c r="D66" t="n">
        <v>2024</v>
      </c>
      <c r="E66" t="n">
        <v>2015</v>
      </c>
      <c r="F66" t="n">
        <v>2040</v>
      </c>
      <c r="G66" t="n">
        <v>2514.5094</v>
      </c>
      <c r="H66" t="n">
        <v>358.4463</v>
      </c>
      <c r="I66" t="n">
        <v>434.7338</v>
      </c>
      <c r="J66" t="n">
        <v>1680.3886</v>
      </c>
      <c r="K66" t="n">
        <v>13924074.52</v>
      </c>
      <c r="L66" t="n">
        <v>42364209.75</v>
      </c>
      <c r="M66" t="n">
        <v>2514.5094</v>
      </c>
      <c r="N66" t="inlineStr">
        <is>
          <t>Provided Total Emissions</t>
        </is>
      </c>
      <c r="O66" t="b">
        <v>1</v>
      </c>
      <c r="P66" t="n">
        <v>0.085907</v>
      </c>
      <c r="Q66" t="n">
        <v>0.059181</v>
      </c>
      <c r="R66" t="n">
        <v>1797.0411</v>
      </c>
      <c r="S66" t="n">
        <v>8327.956399999999</v>
      </c>
      <c r="T66" t="n">
        <v>-717.4683</v>
      </c>
      <c r="U66" t="n">
        <v>5813.447</v>
      </c>
      <c r="V66" t="n">
        <v>-0.285331</v>
      </c>
      <c r="W66" t="n">
        <v>2.311961</v>
      </c>
      <c r="X66" t="inlineStr">
        <is>
          <t>High</t>
        </is>
      </c>
      <c r="Y66" t="inlineStr">
        <is>
          <t>None</t>
        </is>
      </c>
      <c r="Z66" t="inlineStr">
        <is>
          <t>Valid</t>
        </is>
      </c>
      <c r="AA66" t="n">
        <v>2025</v>
      </c>
      <c r="AB66" t="inlineStr">
        <is>
          <t>Historical Trend Pathway</t>
        </is>
      </c>
      <c r="AC66" t="n">
        <v>1197.6171</v>
      </c>
      <c r="AD66" t="n">
        <v>1137.7362</v>
      </c>
      <c r="AE66" t="n">
        <v>2707.0024</v>
      </c>
      <c r="AF66" t="n">
        <v>1173.6648</v>
      </c>
      <c r="AG66" t="n">
        <v>-1509.3853</v>
      </c>
      <c r="AH66" t="n">
        <v>0.00019441</v>
      </c>
      <c r="AI66" t="n">
        <v>-1.260324</v>
      </c>
      <c r="AJ66" t="n">
        <v>1569.2661</v>
      </c>
      <c r="AK66" t="n">
        <v>2.3952</v>
      </c>
      <c r="AL66" t="n">
        <v>15496.7768</v>
      </c>
      <c r="AM66" t="n">
        <v>2707.0024</v>
      </c>
      <c r="AN66" t="n">
        <v>0.88</v>
      </c>
      <c r="AO66" t="inlineStr">
        <is>
          <t>Critical</t>
        </is>
      </c>
      <c r="AP66" t="inlineStr">
        <is>
          <t>Off Track</t>
        </is>
      </c>
    </row>
    <row r="67">
      <c r="A67" t="inlineStr">
        <is>
          <t>SUP-0005</t>
        </is>
      </c>
      <c r="B67" t="inlineStr">
        <is>
          <t>Professional Supplier 005</t>
        </is>
      </c>
      <c r="C67" t="inlineStr">
        <is>
          <t>Professional Services</t>
        </is>
      </c>
      <c r="D67" t="n">
        <v>2024</v>
      </c>
      <c r="E67" t="n">
        <v>2015</v>
      </c>
      <c r="F67" t="n">
        <v>2040</v>
      </c>
      <c r="G67" t="n">
        <v>2514.5094</v>
      </c>
      <c r="H67" t="n">
        <v>358.4463</v>
      </c>
      <c r="I67" t="n">
        <v>434.7338</v>
      </c>
      <c r="J67" t="n">
        <v>1680.3886</v>
      </c>
      <c r="K67" t="n">
        <v>13924074.52</v>
      </c>
      <c r="L67" t="n">
        <v>42364209.75</v>
      </c>
      <c r="M67" t="n">
        <v>2514.5094</v>
      </c>
      <c r="N67" t="inlineStr">
        <is>
          <t>Provided Total Emissions</t>
        </is>
      </c>
      <c r="O67" t="b">
        <v>1</v>
      </c>
      <c r="P67" t="n">
        <v>0.085907</v>
      </c>
      <c r="Q67" t="n">
        <v>0.059181</v>
      </c>
      <c r="R67" t="n">
        <v>1797.0411</v>
      </c>
      <c r="S67" t="n">
        <v>8327.956399999999</v>
      </c>
      <c r="T67" t="n">
        <v>-717.4683</v>
      </c>
      <c r="U67" t="n">
        <v>5813.447</v>
      </c>
      <c r="V67" t="n">
        <v>-0.285331</v>
      </c>
      <c r="W67" t="n">
        <v>2.311961</v>
      </c>
      <c r="X67" t="inlineStr">
        <is>
          <t>High</t>
        </is>
      </c>
      <c r="Y67" t="inlineStr">
        <is>
          <t>None</t>
        </is>
      </c>
      <c r="Z67" t="inlineStr">
        <is>
          <t>Valid</t>
        </is>
      </c>
      <c r="AA67" t="n">
        <v>2026</v>
      </c>
      <c r="AB67" t="inlineStr">
        <is>
          <t>Historical Trend Pathway</t>
        </is>
      </c>
      <c r="AC67" t="n">
        <v>1197.6171</v>
      </c>
      <c r="AD67" t="n">
        <v>1137.7362</v>
      </c>
      <c r="AE67" t="n">
        <v>2914.2313</v>
      </c>
      <c r="AF67" t="n">
        <v>1171.2695</v>
      </c>
      <c r="AG67" t="n">
        <v>-1716.6142</v>
      </c>
      <c r="AH67" t="n">
        <v>0.00020929</v>
      </c>
      <c r="AI67" t="n">
        <v>-1.433358</v>
      </c>
      <c r="AJ67" t="n">
        <v>1776.495</v>
      </c>
      <c r="AK67" t="n">
        <v>2.3952</v>
      </c>
      <c r="AL67" t="n">
        <v>12582.5455</v>
      </c>
      <c r="AM67" t="n">
        <v>5621.2337</v>
      </c>
      <c r="AN67" t="n">
        <v>0.88</v>
      </c>
      <c r="AO67" t="inlineStr">
        <is>
          <t>Critical</t>
        </is>
      </c>
      <c r="AP67" t="inlineStr">
        <is>
          <t>Off Track</t>
        </is>
      </c>
    </row>
    <row r="68">
      <c r="A68" t="inlineStr">
        <is>
          <t>SUP-0005</t>
        </is>
      </c>
      <c r="B68" t="inlineStr">
        <is>
          <t>Professional Supplier 005</t>
        </is>
      </c>
      <c r="C68" t="inlineStr">
        <is>
          <t>Professional Services</t>
        </is>
      </c>
      <c r="D68" t="n">
        <v>2024</v>
      </c>
      <c r="E68" t="n">
        <v>2015</v>
      </c>
      <c r="F68" t="n">
        <v>2040</v>
      </c>
      <c r="G68" t="n">
        <v>2514.5094</v>
      </c>
      <c r="H68" t="n">
        <v>358.4463</v>
      </c>
      <c r="I68" t="n">
        <v>434.7338</v>
      </c>
      <c r="J68" t="n">
        <v>1680.3886</v>
      </c>
      <c r="K68" t="n">
        <v>13924074.52</v>
      </c>
      <c r="L68" t="n">
        <v>42364209.75</v>
      </c>
      <c r="M68" t="n">
        <v>2514.5094</v>
      </c>
      <c r="N68" t="inlineStr">
        <is>
          <t>Provided Total Emissions</t>
        </is>
      </c>
      <c r="O68" t="b">
        <v>1</v>
      </c>
      <c r="P68" t="n">
        <v>0.085907</v>
      </c>
      <c r="Q68" t="n">
        <v>0.059181</v>
      </c>
      <c r="R68" t="n">
        <v>1797.0411</v>
      </c>
      <c r="S68" t="n">
        <v>8327.956399999999</v>
      </c>
      <c r="T68" t="n">
        <v>-717.4683</v>
      </c>
      <c r="U68" t="n">
        <v>5813.447</v>
      </c>
      <c r="V68" t="n">
        <v>-0.285331</v>
      </c>
      <c r="W68" t="n">
        <v>2.311961</v>
      </c>
      <c r="X68" t="inlineStr">
        <is>
          <t>High</t>
        </is>
      </c>
      <c r="Y68" t="inlineStr">
        <is>
          <t>None</t>
        </is>
      </c>
      <c r="Z68" t="inlineStr">
        <is>
          <t>Valid</t>
        </is>
      </c>
      <c r="AA68" t="n">
        <v>2027</v>
      </c>
      <c r="AB68" t="inlineStr">
        <is>
          <t>Historical Trend Pathway</t>
        </is>
      </c>
      <c r="AC68" t="n">
        <v>1197.6171</v>
      </c>
      <c r="AD68" t="n">
        <v>1137.7362</v>
      </c>
      <c r="AE68" t="n">
        <v>3137.3241</v>
      </c>
      <c r="AF68" t="n">
        <v>1168.8743</v>
      </c>
      <c r="AG68" t="n">
        <v>-1939.707</v>
      </c>
      <c r="AH68" t="n">
        <v>0.00022532</v>
      </c>
      <c r="AI68" t="n">
        <v>-1.619639</v>
      </c>
      <c r="AJ68" t="n">
        <v>1999.5879</v>
      </c>
      <c r="AK68" t="n">
        <v>2.3952</v>
      </c>
      <c r="AL68" t="n">
        <v>9445.2214</v>
      </c>
      <c r="AM68" t="n">
        <v>8758.5578</v>
      </c>
      <c r="AN68" t="n">
        <v>0.88</v>
      </c>
      <c r="AO68" t="inlineStr">
        <is>
          <t>Critical</t>
        </is>
      </c>
      <c r="AP68" t="inlineStr">
        <is>
          <t>Off Track</t>
        </is>
      </c>
    </row>
    <row r="69">
      <c r="A69" t="inlineStr">
        <is>
          <t>SUP-0005</t>
        </is>
      </c>
      <c r="B69" t="inlineStr">
        <is>
          <t>Professional Supplier 005</t>
        </is>
      </c>
      <c r="C69" t="inlineStr">
        <is>
          <t>Professional Services</t>
        </is>
      </c>
      <c r="D69" t="n">
        <v>2024</v>
      </c>
      <c r="E69" t="n">
        <v>2015</v>
      </c>
      <c r="F69" t="n">
        <v>2040</v>
      </c>
      <c r="G69" t="n">
        <v>2514.5094</v>
      </c>
      <c r="H69" t="n">
        <v>358.4463</v>
      </c>
      <c r="I69" t="n">
        <v>434.7338</v>
      </c>
      <c r="J69" t="n">
        <v>1680.3886</v>
      </c>
      <c r="K69" t="n">
        <v>13924074.52</v>
      </c>
      <c r="L69" t="n">
        <v>42364209.75</v>
      </c>
      <c r="M69" t="n">
        <v>2514.5094</v>
      </c>
      <c r="N69" t="inlineStr">
        <is>
          <t>Provided Total Emissions</t>
        </is>
      </c>
      <c r="O69" t="b">
        <v>1</v>
      </c>
      <c r="P69" t="n">
        <v>0.085907</v>
      </c>
      <c r="Q69" t="n">
        <v>0.059181</v>
      </c>
      <c r="R69" t="n">
        <v>1797.0411</v>
      </c>
      <c r="S69" t="n">
        <v>8327.956399999999</v>
      </c>
      <c r="T69" t="n">
        <v>-717.4683</v>
      </c>
      <c r="U69" t="n">
        <v>5813.447</v>
      </c>
      <c r="V69" t="n">
        <v>-0.285331</v>
      </c>
      <c r="W69" t="n">
        <v>2.311961</v>
      </c>
      <c r="X69" t="inlineStr">
        <is>
          <t>High</t>
        </is>
      </c>
      <c r="Y69" t="inlineStr">
        <is>
          <t>None</t>
        </is>
      </c>
      <c r="Z69" t="inlineStr">
        <is>
          <t>Valid</t>
        </is>
      </c>
      <c r="AA69" t="n">
        <v>2028</v>
      </c>
      <c r="AB69" t="inlineStr">
        <is>
          <t>Historical Trend Pathway</t>
        </is>
      </c>
      <c r="AC69" t="n">
        <v>1197.6171</v>
      </c>
      <c r="AD69" t="n">
        <v>1137.7362</v>
      </c>
      <c r="AE69" t="n">
        <v>3377.4954</v>
      </c>
      <c r="AF69" t="n">
        <v>1166.4791</v>
      </c>
      <c r="AG69" t="n">
        <v>-2179.8783</v>
      </c>
      <c r="AH69" t="n">
        <v>0.00024257</v>
      </c>
      <c r="AI69" t="n">
        <v>-1.82018</v>
      </c>
      <c r="AJ69" t="n">
        <v>2239.7591</v>
      </c>
      <c r="AK69" t="n">
        <v>2.3952</v>
      </c>
      <c r="AL69" t="n">
        <v>6067.726</v>
      </c>
      <c r="AM69" t="n">
        <v>12136.0532</v>
      </c>
      <c r="AN69" t="n">
        <v>0.88</v>
      </c>
      <c r="AO69" t="inlineStr">
        <is>
          <t>Critical</t>
        </is>
      </c>
      <c r="AP69" t="inlineStr">
        <is>
          <t>Off Track</t>
        </is>
      </c>
    </row>
    <row r="70">
      <c r="A70" t="inlineStr">
        <is>
          <t>SUP-0005</t>
        </is>
      </c>
      <c r="B70" t="inlineStr">
        <is>
          <t>Professional Supplier 005</t>
        </is>
      </c>
      <c r="C70" t="inlineStr">
        <is>
          <t>Professional Services</t>
        </is>
      </c>
      <c r="D70" t="n">
        <v>2024</v>
      </c>
      <c r="E70" t="n">
        <v>2015</v>
      </c>
      <c r="F70" t="n">
        <v>2040</v>
      </c>
      <c r="G70" t="n">
        <v>2514.5094</v>
      </c>
      <c r="H70" t="n">
        <v>358.4463</v>
      </c>
      <c r="I70" t="n">
        <v>434.7338</v>
      </c>
      <c r="J70" t="n">
        <v>1680.3886</v>
      </c>
      <c r="K70" t="n">
        <v>13924074.52</v>
      </c>
      <c r="L70" t="n">
        <v>42364209.75</v>
      </c>
      <c r="M70" t="n">
        <v>2514.5094</v>
      </c>
      <c r="N70" t="inlineStr">
        <is>
          <t>Provided Total Emissions</t>
        </is>
      </c>
      <c r="O70" t="b">
        <v>1</v>
      </c>
      <c r="P70" t="n">
        <v>0.085907</v>
      </c>
      <c r="Q70" t="n">
        <v>0.059181</v>
      </c>
      <c r="R70" t="n">
        <v>1797.0411</v>
      </c>
      <c r="S70" t="n">
        <v>8327.956399999999</v>
      </c>
      <c r="T70" t="n">
        <v>-717.4683</v>
      </c>
      <c r="U70" t="n">
        <v>5813.447</v>
      </c>
      <c r="V70" t="n">
        <v>-0.285331</v>
      </c>
      <c r="W70" t="n">
        <v>2.311961</v>
      </c>
      <c r="X70" t="inlineStr">
        <is>
          <t>High</t>
        </is>
      </c>
      <c r="Y70" t="inlineStr">
        <is>
          <t>None</t>
        </is>
      </c>
      <c r="Z70" t="inlineStr">
        <is>
          <t>Valid</t>
        </is>
      </c>
      <c r="AA70" t="n">
        <v>2029</v>
      </c>
      <c r="AB70" t="inlineStr">
        <is>
          <t>Historical Trend Pathway</t>
        </is>
      </c>
      <c r="AC70" t="n">
        <v>1197.6171</v>
      </c>
      <c r="AD70" t="n">
        <v>1137.7362</v>
      </c>
      <c r="AE70" t="n">
        <v>3636.0525</v>
      </c>
      <c r="AF70" t="n">
        <v>1164.0838</v>
      </c>
      <c r="AG70" t="n">
        <v>-2438.4354</v>
      </c>
      <c r="AH70" t="n">
        <v>0.00026113</v>
      </c>
      <c r="AI70" t="n">
        <v>-2.036073</v>
      </c>
      <c r="AJ70" t="n">
        <v>2498.3162</v>
      </c>
      <c r="AK70" t="n">
        <v>2.3952</v>
      </c>
      <c r="AL70" t="n">
        <v>2431.6735</v>
      </c>
      <c r="AM70" t="n">
        <v>15772.1057</v>
      </c>
      <c r="AN70" t="n">
        <v>0.88</v>
      </c>
      <c r="AO70" t="inlineStr">
        <is>
          <t>Critical</t>
        </is>
      </c>
      <c r="AP70" t="inlineStr">
        <is>
          <t>Off Track</t>
        </is>
      </c>
    </row>
    <row r="71">
      <c r="A71" t="inlineStr">
        <is>
          <t>SUP-0005</t>
        </is>
      </c>
      <c r="B71" t="inlineStr">
        <is>
          <t>Professional Supplier 005</t>
        </is>
      </c>
      <c r="C71" t="inlineStr">
        <is>
          <t>Professional Services</t>
        </is>
      </c>
      <c r="D71" t="n">
        <v>2024</v>
      </c>
      <c r="E71" t="n">
        <v>2015</v>
      </c>
      <c r="F71" t="n">
        <v>2040</v>
      </c>
      <c r="G71" t="n">
        <v>2514.5094</v>
      </c>
      <c r="H71" t="n">
        <v>358.4463</v>
      </c>
      <c r="I71" t="n">
        <v>434.7338</v>
      </c>
      <c r="J71" t="n">
        <v>1680.3886</v>
      </c>
      <c r="K71" t="n">
        <v>13924074.52</v>
      </c>
      <c r="L71" t="n">
        <v>42364209.75</v>
      </c>
      <c r="M71" t="n">
        <v>2514.5094</v>
      </c>
      <c r="N71" t="inlineStr">
        <is>
          <t>Provided Total Emissions</t>
        </is>
      </c>
      <c r="O71" t="b">
        <v>1</v>
      </c>
      <c r="P71" t="n">
        <v>0.085907</v>
      </c>
      <c r="Q71" t="n">
        <v>0.059181</v>
      </c>
      <c r="R71" t="n">
        <v>1797.0411</v>
      </c>
      <c r="S71" t="n">
        <v>8327.956399999999</v>
      </c>
      <c r="T71" t="n">
        <v>-717.4683</v>
      </c>
      <c r="U71" t="n">
        <v>5813.447</v>
      </c>
      <c r="V71" t="n">
        <v>-0.285331</v>
      </c>
      <c r="W71" t="n">
        <v>2.311961</v>
      </c>
      <c r="X71" t="inlineStr">
        <is>
          <t>High</t>
        </is>
      </c>
      <c r="Y71" t="inlineStr">
        <is>
          <t>None</t>
        </is>
      </c>
      <c r="Z71" t="inlineStr">
        <is>
          <t>Valid</t>
        </is>
      </c>
      <c r="AA71" t="n">
        <v>2030</v>
      </c>
      <c r="AB71" t="inlineStr">
        <is>
          <t>Historical Trend Pathway</t>
        </is>
      </c>
      <c r="AC71" t="n">
        <v>1197.6171</v>
      </c>
      <c r="AD71" t="n">
        <v>1137.7362</v>
      </c>
      <c r="AE71" t="n">
        <v>3914.4028</v>
      </c>
      <c r="AF71" t="n">
        <v>1161.6886</v>
      </c>
      <c r="AG71" t="n">
        <v>-2716.7857</v>
      </c>
      <c r="AH71" t="n">
        <v>0.00028112</v>
      </c>
      <c r="AI71" t="n">
        <v>-2.268493</v>
      </c>
      <c r="AJ71" t="n">
        <v>2776.6666</v>
      </c>
      <c r="AK71" t="n">
        <v>2.3952</v>
      </c>
      <c r="AL71" t="n">
        <v>-1482.7293</v>
      </c>
      <c r="AM71" t="n">
        <v>19686.5085</v>
      </c>
      <c r="AN71" t="n">
        <v>0.88</v>
      </c>
      <c r="AO71" t="inlineStr">
        <is>
          <t>Critical</t>
        </is>
      </c>
      <c r="AP71" t="inlineStr">
        <is>
          <t>Off Track</t>
        </is>
      </c>
    </row>
    <row r="72">
      <c r="A72" t="inlineStr">
        <is>
          <t>SUP-0005</t>
        </is>
      </c>
      <c r="B72" t="inlineStr">
        <is>
          <t>Professional Supplier 005</t>
        </is>
      </c>
      <c r="C72" t="inlineStr">
        <is>
          <t>Professional Services</t>
        </is>
      </c>
      <c r="D72" t="n">
        <v>2024</v>
      </c>
      <c r="E72" t="n">
        <v>2015</v>
      </c>
      <c r="F72" t="n">
        <v>2040</v>
      </c>
      <c r="G72" t="n">
        <v>2514.5094</v>
      </c>
      <c r="H72" t="n">
        <v>358.4463</v>
      </c>
      <c r="I72" t="n">
        <v>434.7338</v>
      </c>
      <c r="J72" t="n">
        <v>1680.3886</v>
      </c>
      <c r="K72" t="n">
        <v>13924074.52</v>
      </c>
      <c r="L72" t="n">
        <v>42364209.75</v>
      </c>
      <c r="M72" t="n">
        <v>2514.5094</v>
      </c>
      <c r="N72" t="inlineStr">
        <is>
          <t>Provided Total Emissions</t>
        </is>
      </c>
      <c r="O72" t="b">
        <v>1</v>
      </c>
      <c r="P72" t="n">
        <v>0.085907</v>
      </c>
      <c r="Q72" t="n">
        <v>0.059181</v>
      </c>
      <c r="R72" t="n">
        <v>1797.0411</v>
      </c>
      <c r="S72" t="n">
        <v>8327.956399999999</v>
      </c>
      <c r="T72" t="n">
        <v>-717.4683</v>
      </c>
      <c r="U72" t="n">
        <v>5813.447</v>
      </c>
      <c r="V72" t="n">
        <v>-0.285331</v>
      </c>
      <c r="W72" t="n">
        <v>2.311961</v>
      </c>
      <c r="X72" t="inlineStr">
        <is>
          <t>High</t>
        </is>
      </c>
      <c r="Y72" t="inlineStr">
        <is>
          <t>None</t>
        </is>
      </c>
      <c r="Z72" t="inlineStr">
        <is>
          <t>Valid</t>
        </is>
      </c>
      <c r="AA72" t="n">
        <v>2031</v>
      </c>
      <c r="AB72" t="inlineStr">
        <is>
          <t>Historical Trend Pathway</t>
        </is>
      </c>
      <c r="AC72" t="n">
        <v>1197.6171</v>
      </c>
      <c r="AD72" t="n">
        <v>1137.7362</v>
      </c>
      <c r="AE72" t="n">
        <v>4214.0617</v>
      </c>
      <c r="AF72" t="n">
        <v>1159.2934</v>
      </c>
      <c r="AG72" t="n">
        <v>-3016.4446</v>
      </c>
      <c r="AH72" t="n">
        <v>0.00030265</v>
      </c>
      <c r="AI72" t="n">
        <v>-2.518705</v>
      </c>
      <c r="AJ72" t="n">
        <v>3076.3255</v>
      </c>
      <c r="AK72" t="n">
        <v>2.3952</v>
      </c>
      <c r="AL72" t="n">
        <v>-5696.791</v>
      </c>
      <c r="AM72" t="n">
        <v>23900.5702</v>
      </c>
      <c r="AN72" t="n">
        <v>0.88</v>
      </c>
      <c r="AO72" t="inlineStr">
        <is>
          <t>Critical</t>
        </is>
      </c>
      <c r="AP72" t="inlineStr">
        <is>
          <t>Off Track</t>
        </is>
      </c>
    </row>
    <row r="73">
      <c r="A73" t="inlineStr">
        <is>
          <t>SUP-0005</t>
        </is>
      </c>
      <c r="B73" t="inlineStr">
        <is>
          <t>Professional Supplier 005</t>
        </is>
      </c>
      <c r="C73" t="inlineStr">
        <is>
          <t>Professional Services</t>
        </is>
      </c>
      <c r="D73" t="n">
        <v>2024</v>
      </c>
      <c r="E73" t="n">
        <v>2015</v>
      </c>
      <c r="F73" t="n">
        <v>2040</v>
      </c>
      <c r="G73" t="n">
        <v>2514.5094</v>
      </c>
      <c r="H73" t="n">
        <v>358.4463</v>
      </c>
      <c r="I73" t="n">
        <v>434.7338</v>
      </c>
      <c r="J73" t="n">
        <v>1680.3886</v>
      </c>
      <c r="K73" t="n">
        <v>13924074.52</v>
      </c>
      <c r="L73" t="n">
        <v>42364209.75</v>
      </c>
      <c r="M73" t="n">
        <v>2514.5094</v>
      </c>
      <c r="N73" t="inlineStr">
        <is>
          <t>Provided Total Emissions</t>
        </is>
      </c>
      <c r="O73" t="b">
        <v>1</v>
      </c>
      <c r="P73" t="n">
        <v>0.085907</v>
      </c>
      <c r="Q73" t="n">
        <v>0.059181</v>
      </c>
      <c r="R73" t="n">
        <v>1797.0411</v>
      </c>
      <c r="S73" t="n">
        <v>8327.956399999999</v>
      </c>
      <c r="T73" t="n">
        <v>-717.4683</v>
      </c>
      <c r="U73" t="n">
        <v>5813.447</v>
      </c>
      <c r="V73" t="n">
        <v>-0.285331</v>
      </c>
      <c r="W73" t="n">
        <v>2.311961</v>
      </c>
      <c r="X73" t="inlineStr">
        <is>
          <t>High</t>
        </is>
      </c>
      <c r="Y73" t="inlineStr">
        <is>
          <t>None</t>
        </is>
      </c>
      <c r="Z73" t="inlineStr">
        <is>
          <t>Valid</t>
        </is>
      </c>
      <c r="AA73" t="n">
        <v>2032</v>
      </c>
      <c r="AB73" t="inlineStr">
        <is>
          <t>Historical Trend Pathway</t>
        </is>
      </c>
      <c r="AC73" t="n">
        <v>1197.6171</v>
      </c>
      <c r="AD73" t="n">
        <v>1137.7362</v>
      </c>
      <c r="AE73" t="n">
        <v>4536.6603</v>
      </c>
      <c r="AF73" t="n">
        <v>1156.8981</v>
      </c>
      <c r="AG73" t="n">
        <v>-3339.0432</v>
      </c>
      <c r="AH73" t="n">
        <v>0.00032581</v>
      </c>
      <c r="AI73" t="n">
        <v>-2.788072</v>
      </c>
      <c r="AJ73" t="n">
        <v>3398.9241</v>
      </c>
      <c r="AK73" t="n">
        <v>2.3952</v>
      </c>
      <c r="AL73" t="n">
        <v>-10233.4513</v>
      </c>
      <c r="AM73" t="n">
        <v>28437.2305</v>
      </c>
      <c r="AN73" t="n">
        <v>0.88</v>
      </c>
      <c r="AO73" t="inlineStr">
        <is>
          <t>Critical</t>
        </is>
      </c>
      <c r="AP73" t="inlineStr">
        <is>
          <t>Off Track</t>
        </is>
      </c>
    </row>
    <row r="74">
      <c r="A74" t="inlineStr">
        <is>
          <t>SUP-0005</t>
        </is>
      </c>
      <c r="B74" t="inlineStr">
        <is>
          <t>Professional Supplier 005</t>
        </is>
      </c>
      <c r="C74" t="inlineStr">
        <is>
          <t>Professional Services</t>
        </is>
      </c>
      <c r="D74" t="n">
        <v>2024</v>
      </c>
      <c r="E74" t="n">
        <v>2015</v>
      </c>
      <c r="F74" t="n">
        <v>2040</v>
      </c>
      <c r="G74" t="n">
        <v>2514.5094</v>
      </c>
      <c r="H74" t="n">
        <v>358.4463</v>
      </c>
      <c r="I74" t="n">
        <v>434.7338</v>
      </c>
      <c r="J74" t="n">
        <v>1680.3886</v>
      </c>
      <c r="K74" t="n">
        <v>13924074.52</v>
      </c>
      <c r="L74" t="n">
        <v>42364209.75</v>
      </c>
      <c r="M74" t="n">
        <v>2514.5094</v>
      </c>
      <c r="N74" t="inlineStr">
        <is>
          <t>Provided Total Emissions</t>
        </is>
      </c>
      <c r="O74" t="b">
        <v>1</v>
      </c>
      <c r="P74" t="n">
        <v>0.085907</v>
      </c>
      <c r="Q74" t="n">
        <v>0.059181</v>
      </c>
      <c r="R74" t="n">
        <v>1797.0411</v>
      </c>
      <c r="S74" t="n">
        <v>8327.956399999999</v>
      </c>
      <c r="T74" t="n">
        <v>-717.4683</v>
      </c>
      <c r="U74" t="n">
        <v>5813.447</v>
      </c>
      <c r="V74" t="n">
        <v>-0.285331</v>
      </c>
      <c r="W74" t="n">
        <v>2.311961</v>
      </c>
      <c r="X74" t="inlineStr">
        <is>
          <t>High</t>
        </is>
      </c>
      <c r="Y74" t="inlineStr">
        <is>
          <t>None</t>
        </is>
      </c>
      <c r="Z74" t="inlineStr">
        <is>
          <t>Valid</t>
        </is>
      </c>
      <c r="AA74" t="n">
        <v>2033</v>
      </c>
      <c r="AB74" t="inlineStr">
        <is>
          <t>Historical Trend Pathway</t>
        </is>
      </c>
      <c r="AC74" t="n">
        <v>1197.6171</v>
      </c>
      <c r="AD74" t="n">
        <v>1137.7362</v>
      </c>
      <c r="AE74" t="n">
        <v>4883.9548</v>
      </c>
      <c r="AF74" t="n">
        <v>1154.5029</v>
      </c>
      <c r="AG74" t="n">
        <v>-3686.3377</v>
      </c>
      <c r="AH74" t="n">
        <v>0.00035076</v>
      </c>
      <c r="AI74" t="n">
        <v>-3.07806</v>
      </c>
      <c r="AJ74" t="n">
        <v>3746.2186</v>
      </c>
      <c r="AK74" t="n">
        <v>2.3952</v>
      </c>
      <c r="AL74" t="n">
        <v>-15117.4061</v>
      </c>
      <c r="AM74" t="n">
        <v>33321.1853</v>
      </c>
      <c r="AN74" t="n">
        <v>0.88</v>
      </c>
      <c r="AO74" t="inlineStr">
        <is>
          <t>Critical</t>
        </is>
      </c>
      <c r="AP74" t="inlineStr">
        <is>
          <t>Off Track</t>
        </is>
      </c>
    </row>
    <row r="75">
      <c r="A75" t="inlineStr">
        <is>
          <t>SUP-0005</t>
        </is>
      </c>
      <c r="B75" t="inlineStr">
        <is>
          <t>Professional Supplier 005</t>
        </is>
      </c>
      <c r="C75" t="inlineStr">
        <is>
          <t>Professional Services</t>
        </is>
      </c>
      <c r="D75" t="n">
        <v>2024</v>
      </c>
      <c r="E75" t="n">
        <v>2015</v>
      </c>
      <c r="F75" t="n">
        <v>2040</v>
      </c>
      <c r="G75" t="n">
        <v>2514.5094</v>
      </c>
      <c r="H75" t="n">
        <v>358.4463</v>
      </c>
      <c r="I75" t="n">
        <v>434.7338</v>
      </c>
      <c r="J75" t="n">
        <v>1680.3886</v>
      </c>
      <c r="K75" t="n">
        <v>13924074.52</v>
      </c>
      <c r="L75" t="n">
        <v>42364209.75</v>
      </c>
      <c r="M75" t="n">
        <v>2514.5094</v>
      </c>
      <c r="N75" t="inlineStr">
        <is>
          <t>Provided Total Emissions</t>
        </is>
      </c>
      <c r="O75" t="b">
        <v>1</v>
      </c>
      <c r="P75" t="n">
        <v>0.085907</v>
      </c>
      <c r="Q75" t="n">
        <v>0.059181</v>
      </c>
      <c r="R75" t="n">
        <v>1797.0411</v>
      </c>
      <c r="S75" t="n">
        <v>8327.956399999999</v>
      </c>
      <c r="T75" t="n">
        <v>-717.4683</v>
      </c>
      <c r="U75" t="n">
        <v>5813.447</v>
      </c>
      <c r="V75" t="n">
        <v>-0.285331</v>
      </c>
      <c r="W75" t="n">
        <v>2.311961</v>
      </c>
      <c r="X75" t="inlineStr">
        <is>
          <t>High</t>
        </is>
      </c>
      <c r="Y75" t="inlineStr">
        <is>
          <t>None</t>
        </is>
      </c>
      <c r="Z75" t="inlineStr">
        <is>
          <t>Valid</t>
        </is>
      </c>
      <c r="AA75" t="n">
        <v>2034</v>
      </c>
      <c r="AB75" t="inlineStr">
        <is>
          <t>Historical Trend Pathway</t>
        </is>
      </c>
      <c r="AC75" t="n">
        <v>1197.6171</v>
      </c>
      <c r="AD75" t="n">
        <v>1137.7362</v>
      </c>
      <c r="AE75" t="n">
        <v>5257.8358</v>
      </c>
      <c r="AF75" t="n">
        <v>1152.1077</v>
      </c>
      <c r="AG75" t="n">
        <v>-4060.2187</v>
      </c>
      <c r="AH75" t="n">
        <v>0.00037761</v>
      </c>
      <c r="AI75" t="n">
        <v>-3.390248</v>
      </c>
      <c r="AJ75" t="n">
        <v>4120.0995</v>
      </c>
      <c r="AK75" t="n">
        <v>2.3952</v>
      </c>
      <c r="AL75" t="n">
        <v>-20375.2419</v>
      </c>
      <c r="AM75" t="n">
        <v>38579.0211</v>
      </c>
      <c r="AN75" t="n">
        <v>0.88</v>
      </c>
      <c r="AO75" t="inlineStr">
        <is>
          <t>Critical</t>
        </is>
      </c>
      <c r="AP75" t="inlineStr">
        <is>
          <t>Off Track</t>
        </is>
      </c>
    </row>
    <row r="76">
      <c r="A76" t="inlineStr">
        <is>
          <t>SUP-0005</t>
        </is>
      </c>
      <c r="B76" t="inlineStr">
        <is>
          <t>Professional Supplier 005</t>
        </is>
      </c>
      <c r="C76" t="inlineStr">
        <is>
          <t>Professional Services</t>
        </is>
      </c>
      <c r="D76" t="n">
        <v>2024</v>
      </c>
      <c r="E76" t="n">
        <v>2015</v>
      </c>
      <c r="F76" t="n">
        <v>2040</v>
      </c>
      <c r="G76" t="n">
        <v>2514.5094</v>
      </c>
      <c r="H76" t="n">
        <v>358.4463</v>
      </c>
      <c r="I76" t="n">
        <v>434.7338</v>
      </c>
      <c r="J76" t="n">
        <v>1680.3886</v>
      </c>
      <c r="K76" t="n">
        <v>13924074.52</v>
      </c>
      <c r="L76" t="n">
        <v>42364209.75</v>
      </c>
      <c r="M76" t="n">
        <v>2514.5094</v>
      </c>
      <c r="N76" t="inlineStr">
        <is>
          <t>Provided Total Emissions</t>
        </is>
      </c>
      <c r="O76" t="b">
        <v>1</v>
      </c>
      <c r="P76" t="n">
        <v>0.085907</v>
      </c>
      <c r="Q76" t="n">
        <v>0.059181</v>
      </c>
      <c r="R76" t="n">
        <v>1797.0411</v>
      </c>
      <c r="S76" t="n">
        <v>8327.956399999999</v>
      </c>
      <c r="T76" t="n">
        <v>-717.4683</v>
      </c>
      <c r="U76" t="n">
        <v>5813.447</v>
      </c>
      <c r="V76" t="n">
        <v>-0.285331</v>
      </c>
      <c r="W76" t="n">
        <v>2.311961</v>
      </c>
      <c r="X76" t="inlineStr">
        <is>
          <t>High</t>
        </is>
      </c>
      <c r="Y76" t="inlineStr">
        <is>
          <t>None</t>
        </is>
      </c>
      <c r="Z76" t="inlineStr">
        <is>
          <t>Valid</t>
        </is>
      </c>
      <c r="AA76" t="n">
        <v>2035</v>
      </c>
      <c r="AB76" t="inlineStr">
        <is>
          <t>Historical Trend Pathway</t>
        </is>
      </c>
      <c r="AC76" t="n">
        <v>1197.6171</v>
      </c>
      <c r="AD76" t="n">
        <v>1137.7362</v>
      </c>
      <c r="AE76" t="n">
        <v>5660.3383</v>
      </c>
      <c r="AF76" t="n">
        <v>1149.7124</v>
      </c>
      <c r="AG76" t="n">
        <v>-4462.7212</v>
      </c>
      <c r="AH76" t="n">
        <v>0.00040651</v>
      </c>
      <c r="AI76" t="n">
        <v>-3.726334</v>
      </c>
      <c r="AJ76" t="n">
        <v>4522.6021</v>
      </c>
      <c r="AK76" t="n">
        <v>2.3952</v>
      </c>
      <c r="AL76" t="n">
        <v>-26035.5802</v>
      </c>
      <c r="AM76" t="n">
        <v>44239.3594</v>
      </c>
      <c r="AN76" t="n">
        <v>0.88</v>
      </c>
      <c r="AO76" t="inlineStr">
        <is>
          <t>Critical</t>
        </is>
      </c>
      <c r="AP76" t="inlineStr">
        <is>
          <t>Off Track</t>
        </is>
      </c>
    </row>
    <row r="77">
      <c r="A77" t="inlineStr">
        <is>
          <t>SUP-0005</t>
        </is>
      </c>
      <c r="B77" t="inlineStr">
        <is>
          <t>Professional Supplier 005</t>
        </is>
      </c>
      <c r="C77" t="inlineStr">
        <is>
          <t>Professional Services</t>
        </is>
      </c>
      <c r="D77" t="n">
        <v>2024</v>
      </c>
      <c r="E77" t="n">
        <v>2015</v>
      </c>
      <c r="F77" t="n">
        <v>2040</v>
      </c>
      <c r="G77" t="n">
        <v>2514.5094</v>
      </c>
      <c r="H77" t="n">
        <v>358.4463</v>
      </c>
      <c r="I77" t="n">
        <v>434.7338</v>
      </c>
      <c r="J77" t="n">
        <v>1680.3886</v>
      </c>
      <c r="K77" t="n">
        <v>13924074.52</v>
      </c>
      <c r="L77" t="n">
        <v>42364209.75</v>
      </c>
      <c r="M77" t="n">
        <v>2514.5094</v>
      </c>
      <c r="N77" t="inlineStr">
        <is>
          <t>Provided Total Emissions</t>
        </is>
      </c>
      <c r="O77" t="b">
        <v>1</v>
      </c>
      <c r="P77" t="n">
        <v>0.085907</v>
      </c>
      <c r="Q77" t="n">
        <v>0.059181</v>
      </c>
      <c r="R77" t="n">
        <v>1797.0411</v>
      </c>
      <c r="S77" t="n">
        <v>8327.956399999999</v>
      </c>
      <c r="T77" t="n">
        <v>-717.4683</v>
      </c>
      <c r="U77" t="n">
        <v>5813.447</v>
      </c>
      <c r="V77" t="n">
        <v>-0.285331</v>
      </c>
      <c r="W77" t="n">
        <v>2.311961</v>
      </c>
      <c r="X77" t="inlineStr">
        <is>
          <t>High</t>
        </is>
      </c>
      <c r="Y77" t="inlineStr">
        <is>
          <t>None</t>
        </is>
      </c>
      <c r="Z77" t="inlineStr">
        <is>
          <t>Valid</t>
        </is>
      </c>
      <c r="AA77" t="n">
        <v>2036</v>
      </c>
      <c r="AB77" t="inlineStr">
        <is>
          <t>Historical Trend Pathway</t>
        </is>
      </c>
      <c r="AC77" t="n">
        <v>1197.6171</v>
      </c>
      <c r="AD77" t="n">
        <v>1137.7362</v>
      </c>
      <c r="AE77" t="n">
        <v>6093.6536</v>
      </c>
      <c r="AF77" t="n">
        <v>1147.3172</v>
      </c>
      <c r="AG77" t="n">
        <v>-4896.0365</v>
      </c>
      <c r="AH77" t="n">
        <v>0.00043763</v>
      </c>
      <c r="AI77" t="n">
        <v>-4.088148</v>
      </c>
      <c r="AJ77" t="n">
        <v>4955.9174</v>
      </c>
      <c r="AK77" t="n">
        <v>2.3952</v>
      </c>
      <c r="AL77" t="n">
        <v>-32129.2338</v>
      </c>
      <c r="AM77" t="n">
        <v>50333.013</v>
      </c>
      <c r="AN77" t="n">
        <v>0.88</v>
      </c>
      <c r="AO77" t="inlineStr">
        <is>
          <t>Critical</t>
        </is>
      </c>
      <c r="AP77" t="inlineStr">
        <is>
          <t>Off Track</t>
        </is>
      </c>
    </row>
    <row r="78">
      <c r="A78" t="inlineStr">
        <is>
          <t>SUP-0005</t>
        </is>
      </c>
      <c r="B78" t="inlineStr">
        <is>
          <t>Professional Supplier 005</t>
        </is>
      </c>
      <c r="C78" t="inlineStr">
        <is>
          <t>Professional Services</t>
        </is>
      </c>
      <c r="D78" t="n">
        <v>2024</v>
      </c>
      <c r="E78" t="n">
        <v>2015</v>
      </c>
      <c r="F78" t="n">
        <v>2040</v>
      </c>
      <c r="G78" t="n">
        <v>2514.5094</v>
      </c>
      <c r="H78" t="n">
        <v>358.4463</v>
      </c>
      <c r="I78" t="n">
        <v>434.7338</v>
      </c>
      <c r="J78" t="n">
        <v>1680.3886</v>
      </c>
      <c r="K78" t="n">
        <v>13924074.52</v>
      </c>
      <c r="L78" t="n">
        <v>42364209.75</v>
      </c>
      <c r="M78" t="n">
        <v>2514.5094</v>
      </c>
      <c r="N78" t="inlineStr">
        <is>
          <t>Provided Total Emissions</t>
        </is>
      </c>
      <c r="O78" t="b">
        <v>1</v>
      </c>
      <c r="P78" t="n">
        <v>0.085907</v>
      </c>
      <c r="Q78" t="n">
        <v>0.059181</v>
      </c>
      <c r="R78" t="n">
        <v>1797.0411</v>
      </c>
      <c r="S78" t="n">
        <v>8327.956399999999</v>
      </c>
      <c r="T78" t="n">
        <v>-717.4683</v>
      </c>
      <c r="U78" t="n">
        <v>5813.447</v>
      </c>
      <c r="V78" t="n">
        <v>-0.285331</v>
      </c>
      <c r="W78" t="n">
        <v>2.311961</v>
      </c>
      <c r="X78" t="inlineStr">
        <is>
          <t>High</t>
        </is>
      </c>
      <c r="Y78" t="inlineStr">
        <is>
          <t>None</t>
        </is>
      </c>
      <c r="Z78" t="inlineStr">
        <is>
          <t>Valid</t>
        </is>
      </c>
      <c r="AA78" t="n">
        <v>2037</v>
      </c>
      <c r="AB78" t="inlineStr">
        <is>
          <t>Historical Trend Pathway</t>
        </is>
      </c>
      <c r="AC78" t="n">
        <v>1197.6171</v>
      </c>
      <c r="AD78" t="n">
        <v>1137.7362</v>
      </c>
      <c r="AE78" t="n">
        <v>6560.1405</v>
      </c>
      <c r="AF78" t="n">
        <v>1144.9219</v>
      </c>
      <c r="AG78" t="n">
        <v>-5362.5234</v>
      </c>
      <c r="AH78" t="n">
        <v>0.00047114</v>
      </c>
      <c r="AI78" t="n">
        <v>-4.477661</v>
      </c>
      <c r="AJ78" t="n">
        <v>5422.4043</v>
      </c>
      <c r="AK78" t="n">
        <v>2.3952</v>
      </c>
      <c r="AL78" t="n">
        <v>-38689.3743</v>
      </c>
      <c r="AM78" t="n">
        <v>56893.1535</v>
      </c>
      <c r="AN78" t="n">
        <v>0.88</v>
      </c>
      <c r="AO78" t="inlineStr">
        <is>
          <t>Critical</t>
        </is>
      </c>
      <c r="AP78" t="inlineStr">
        <is>
          <t>Off Track</t>
        </is>
      </c>
    </row>
    <row r="79">
      <c r="A79" t="inlineStr">
        <is>
          <t>SUP-0005</t>
        </is>
      </c>
      <c r="B79" t="inlineStr">
        <is>
          <t>Professional Supplier 005</t>
        </is>
      </c>
      <c r="C79" t="inlineStr">
        <is>
          <t>Professional Services</t>
        </is>
      </c>
      <c r="D79" t="n">
        <v>2024</v>
      </c>
      <c r="E79" t="n">
        <v>2015</v>
      </c>
      <c r="F79" t="n">
        <v>2040</v>
      </c>
      <c r="G79" t="n">
        <v>2514.5094</v>
      </c>
      <c r="H79" t="n">
        <v>358.4463</v>
      </c>
      <c r="I79" t="n">
        <v>434.7338</v>
      </c>
      <c r="J79" t="n">
        <v>1680.3886</v>
      </c>
      <c r="K79" t="n">
        <v>13924074.52</v>
      </c>
      <c r="L79" t="n">
        <v>42364209.75</v>
      </c>
      <c r="M79" t="n">
        <v>2514.5094</v>
      </c>
      <c r="N79" t="inlineStr">
        <is>
          <t>Provided Total Emissions</t>
        </is>
      </c>
      <c r="O79" t="b">
        <v>1</v>
      </c>
      <c r="P79" t="n">
        <v>0.085907</v>
      </c>
      <c r="Q79" t="n">
        <v>0.059181</v>
      </c>
      <c r="R79" t="n">
        <v>1797.0411</v>
      </c>
      <c r="S79" t="n">
        <v>8327.956399999999</v>
      </c>
      <c r="T79" t="n">
        <v>-717.4683</v>
      </c>
      <c r="U79" t="n">
        <v>5813.447</v>
      </c>
      <c r="V79" t="n">
        <v>-0.285331</v>
      </c>
      <c r="W79" t="n">
        <v>2.311961</v>
      </c>
      <c r="X79" t="inlineStr">
        <is>
          <t>High</t>
        </is>
      </c>
      <c r="Y79" t="inlineStr">
        <is>
          <t>None</t>
        </is>
      </c>
      <c r="Z79" t="inlineStr">
        <is>
          <t>Valid</t>
        </is>
      </c>
      <c r="AA79" t="n">
        <v>2038</v>
      </c>
      <c r="AB79" t="inlineStr">
        <is>
          <t>Historical Trend Pathway</t>
        </is>
      </c>
      <c r="AC79" t="n">
        <v>1197.6171</v>
      </c>
      <c r="AD79" t="n">
        <v>1137.7362</v>
      </c>
      <c r="AE79" t="n">
        <v>7062.3383</v>
      </c>
      <c r="AF79" t="n">
        <v>1142.5267</v>
      </c>
      <c r="AG79" t="n">
        <v>-5864.7212</v>
      </c>
      <c r="AH79" t="n">
        <v>0.0005072</v>
      </c>
      <c r="AI79" t="n">
        <v>-4.896992</v>
      </c>
      <c r="AJ79" t="n">
        <v>5924.602</v>
      </c>
      <c r="AK79" t="n">
        <v>2.3952</v>
      </c>
      <c r="AL79" t="n">
        <v>-45751.7126</v>
      </c>
      <c r="AM79" t="n">
        <v>63955.4918</v>
      </c>
      <c r="AN79" t="n">
        <v>0.88</v>
      </c>
      <c r="AO79" t="inlineStr">
        <is>
          <t>Critical</t>
        </is>
      </c>
      <c r="AP79" t="inlineStr">
        <is>
          <t>Off Track</t>
        </is>
      </c>
    </row>
    <row r="80">
      <c r="A80" t="inlineStr">
        <is>
          <t>SUP-0005</t>
        </is>
      </c>
      <c r="B80" t="inlineStr">
        <is>
          <t>Professional Supplier 005</t>
        </is>
      </c>
      <c r="C80" t="inlineStr">
        <is>
          <t>Professional Services</t>
        </is>
      </c>
      <c r="D80" t="n">
        <v>2024</v>
      </c>
      <c r="E80" t="n">
        <v>2015</v>
      </c>
      <c r="F80" t="n">
        <v>2040</v>
      </c>
      <c r="G80" t="n">
        <v>2514.5094</v>
      </c>
      <c r="H80" t="n">
        <v>358.4463</v>
      </c>
      <c r="I80" t="n">
        <v>434.7338</v>
      </c>
      <c r="J80" t="n">
        <v>1680.3886</v>
      </c>
      <c r="K80" t="n">
        <v>13924074.52</v>
      </c>
      <c r="L80" t="n">
        <v>42364209.75</v>
      </c>
      <c r="M80" t="n">
        <v>2514.5094</v>
      </c>
      <c r="N80" t="inlineStr">
        <is>
          <t>Provided Total Emissions</t>
        </is>
      </c>
      <c r="O80" t="b">
        <v>1</v>
      </c>
      <c r="P80" t="n">
        <v>0.085907</v>
      </c>
      <c r="Q80" t="n">
        <v>0.059181</v>
      </c>
      <c r="R80" t="n">
        <v>1797.0411</v>
      </c>
      <c r="S80" t="n">
        <v>8327.956399999999</v>
      </c>
      <c r="T80" t="n">
        <v>-717.4683</v>
      </c>
      <c r="U80" t="n">
        <v>5813.447</v>
      </c>
      <c r="V80" t="n">
        <v>-0.285331</v>
      </c>
      <c r="W80" t="n">
        <v>2.311961</v>
      </c>
      <c r="X80" t="inlineStr">
        <is>
          <t>High</t>
        </is>
      </c>
      <c r="Y80" t="inlineStr">
        <is>
          <t>None</t>
        </is>
      </c>
      <c r="Z80" t="inlineStr">
        <is>
          <t>Valid</t>
        </is>
      </c>
      <c r="AA80" t="n">
        <v>2039</v>
      </c>
      <c r="AB80" t="inlineStr">
        <is>
          <t>Historical Trend Pathway</t>
        </is>
      </c>
      <c r="AC80" t="n">
        <v>1197.6171</v>
      </c>
      <c r="AD80" t="n">
        <v>1137.7362</v>
      </c>
      <c r="AE80" t="n">
        <v>7602.9808</v>
      </c>
      <c r="AF80" t="n">
        <v>1140.1315</v>
      </c>
      <c r="AG80" t="n">
        <v>-6405.3637</v>
      </c>
      <c r="AH80" t="n">
        <v>0.00054603</v>
      </c>
      <c r="AI80" t="n">
        <v>-5.348424</v>
      </c>
      <c r="AJ80" t="n">
        <v>6465.2445</v>
      </c>
      <c r="AK80" t="n">
        <v>2.3952</v>
      </c>
      <c r="AL80" t="n">
        <v>-53354.6934</v>
      </c>
      <c r="AM80" t="n">
        <v>71558.47259999999</v>
      </c>
      <c r="AN80" t="n">
        <v>0.88</v>
      </c>
      <c r="AO80" t="inlineStr">
        <is>
          <t>Critical</t>
        </is>
      </c>
      <c r="AP80" t="inlineStr">
        <is>
          <t>Off Track</t>
        </is>
      </c>
    </row>
    <row r="81">
      <c r="A81" t="inlineStr">
        <is>
          <t>SUP-0005</t>
        </is>
      </c>
      <c r="B81" t="inlineStr">
        <is>
          <t>Professional Supplier 005</t>
        </is>
      </c>
      <c r="C81" t="inlineStr">
        <is>
          <t>Professional Services</t>
        </is>
      </c>
      <c r="D81" t="n">
        <v>2024</v>
      </c>
      <c r="E81" t="n">
        <v>2015</v>
      </c>
      <c r="F81" t="n">
        <v>2040</v>
      </c>
      <c r="G81" t="n">
        <v>2514.5094</v>
      </c>
      <c r="H81" t="n">
        <v>358.4463</v>
      </c>
      <c r="I81" t="n">
        <v>434.7338</v>
      </c>
      <c r="J81" t="n">
        <v>1680.3886</v>
      </c>
      <c r="K81" t="n">
        <v>13924074.52</v>
      </c>
      <c r="L81" t="n">
        <v>42364209.75</v>
      </c>
      <c r="M81" t="n">
        <v>2514.5094</v>
      </c>
      <c r="N81" t="inlineStr">
        <is>
          <t>Provided Total Emissions</t>
        </is>
      </c>
      <c r="O81" t="b">
        <v>1</v>
      </c>
      <c r="P81" t="n">
        <v>0.085907</v>
      </c>
      <c r="Q81" t="n">
        <v>0.059181</v>
      </c>
      <c r="R81" t="n">
        <v>1797.0411</v>
      </c>
      <c r="S81" t="n">
        <v>8327.956399999999</v>
      </c>
      <c r="T81" t="n">
        <v>-717.4683</v>
      </c>
      <c r="U81" t="n">
        <v>5813.447</v>
      </c>
      <c r="V81" t="n">
        <v>-0.285331</v>
      </c>
      <c r="W81" t="n">
        <v>2.311961</v>
      </c>
      <c r="X81" t="inlineStr">
        <is>
          <t>High</t>
        </is>
      </c>
      <c r="Y81" t="inlineStr">
        <is>
          <t>None</t>
        </is>
      </c>
      <c r="Z81" t="inlineStr">
        <is>
          <t>Valid</t>
        </is>
      </c>
      <c r="AA81" t="n">
        <v>2040</v>
      </c>
      <c r="AB81" t="inlineStr">
        <is>
          <t>Historical Trend Pathway</t>
        </is>
      </c>
      <c r="AC81" t="n">
        <v>1197.6171</v>
      </c>
      <c r="AD81" t="n">
        <v>1137.7362</v>
      </c>
      <c r="AE81" t="n">
        <v>8185.011</v>
      </c>
      <c r="AF81" t="n">
        <v>1137.7362</v>
      </c>
      <c r="AG81" t="n">
        <v>-6987.3939</v>
      </c>
      <c r="AH81" t="n">
        <v>0.00058783</v>
      </c>
      <c r="AI81" t="n">
        <v>-5.834414</v>
      </c>
      <c r="AJ81" t="n">
        <v>7047.2747</v>
      </c>
      <c r="AK81" t="n">
        <v>2.3952</v>
      </c>
      <c r="AL81" t="n">
        <v>-61539.7044</v>
      </c>
      <c r="AM81" t="n">
        <v>79743.48360000001</v>
      </c>
      <c r="AN81" t="n">
        <v>0.88</v>
      </c>
      <c r="AO81" t="inlineStr">
        <is>
          <t>Critical</t>
        </is>
      </c>
      <c r="AP81" t="inlineStr">
        <is>
          <t>Off Track</t>
        </is>
      </c>
    </row>
    <row r="82">
      <c r="A82" t="inlineStr">
        <is>
          <t>SUP-0006</t>
        </is>
      </c>
      <c r="B82" t="inlineStr">
        <is>
          <t>Agriculture Supplier 006</t>
        </is>
      </c>
      <c r="C82" t="inlineStr">
        <is>
          <t>Agriculture</t>
        </is>
      </c>
      <c r="D82" t="n">
        <v>2024</v>
      </c>
      <c r="E82" t="n">
        <v>2015</v>
      </c>
      <c r="F82" t="n">
        <v>2040</v>
      </c>
      <c r="G82" t="n">
        <v>20436.7272</v>
      </c>
      <c r="H82" t="n">
        <v>1834.7707</v>
      </c>
      <c r="I82" t="n">
        <v>1396.9006</v>
      </c>
      <c r="J82" t="n">
        <v>15397.2718</v>
      </c>
      <c r="K82" t="n">
        <v>28569472.27</v>
      </c>
      <c r="L82" t="n">
        <v>64789530</v>
      </c>
      <c r="M82" t="n">
        <v>20436.7272</v>
      </c>
      <c r="N82" t="inlineStr">
        <is>
          <t>Provided Total Emissions</t>
        </is>
      </c>
      <c r="O82" t="b">
        <v>1</v>
      </c>
      <c r="P82" t="n">
        <v>0.044298</v>
      </c>
      <c r="Q82" t="n">
        <v>0.029457</v>
      </c>
      <c r="R82" t="n">
        <v>26116.2117</v>
      </c>
      <c r="S82" t="n">
        <v>62789.4772</v>
      </c>
      <c r="T82" t="n">
        <v>5679.4845</v>
      </c>
      <c r="U82" t="n">
        <v>42352.75</v>
      </c>
      <c r="V82" t="n">
        <v>0.277906</v>
      </c>
      <c r="W82" t="n">
        <v>2.072384</v>
      </c>
      <c r="X82" t="inlineStr">
        <is>
          <t>High</t>
        </is>
      </c>
      <c r="Y82" t="inlineStr">
        <is>
          <t>None</t>
        </is>
      </c>
      <c r="Z82" t="inlineStr">
        <is>
          <t>Valid</t>
        </is>
      </c>
      <c r="AA82" t="n">
        <v>2025</v>
      </c>
      <c r="AB82" t="inlineStr">
        <is>
          <t>Historical Trend Pathway</t>
        </is>
      </c>
      <c r="AC82" t="n">
        <v>13835.4074</v>
      </c>
      <c r="AD82" t="n">
        <v>13143.637</v>
      </c>
      <c r="AE82" t="n">
        <v>21235.8778</v>
      </c>
      <c r="AF82" t="n">
        <v>13558.6993</v>
      </c>
      <c r="AG82" t="n">
        <v>-7400.4704</v>
      </c>
      <c r="AH82" t="n">
        <v>0.00074331</v>
      </c>
      <c r="AI82" t="n">
        <v>-0.534894</v>
      </c>
      <c r="AJ82" t="n">
        <v>8092.2408</v>
      </c>
      <c r="AK82" t="n">
        <v>27.6708</v>
      </c>
      <c r="AL82" t="n">
        <v>189062.3142</v>
      </c>
      <c r="AM82" t="n">
        <v>21235.8778</v>
      </c>
      <c r="AN82" t="n">
        <v>0.88</v>
      </c>
      <c r="AO82" t="inlineStr">
        <is>
          <t>Critical</t>
        </is>
      </c>
      <c r="AP82" t="inlineStr">
        <is>
          <t>Off Track</t>
        </is>
      </c>
    </row>
    <row r="83">
      <c r="A83" t="inlineStr">
        <is>
          <t>SUP-0006</t>
        </is>
      </c>
      <c r="B83" t="inlineStr">
        <is>
          <t>Agriculture Supplier 006</t>
        </is>
      </c>
      <c r="C83" t="inlineStr">
        <is>
          <t>Agriculture</t>
        </is>
      </c>
      <c r="D83" t="n">
        <v>2024</v>
      </c>
      <c r="E83" t="n">
        <v>2015</v>
      </c>
      <c r="F83" t="n">
        <v>2040</v>
      </c>
      <c r="G83" t="n">
        <v>20436.7272</v>
      </c>
      <c r="H83" t="n">
        <v>1834.7707</v>
      </c>
      <c r="I83" t="n">
        <v>1396.9006</v>
      </c>
      <c r="J83" t="n">
        <v>15397.2718</v>
      </c>
      <c r="K83" t="n">
        <v>28569472.27</v>
      </c>
      <c r="L83" t="n">
        <v>64789530</v>
      </c>
      <c r="M83" t="n">
        <v>20436.7272</v>
      </c>
      <c r="N83" t="inlineStr">
        <is>
          <t>Provided Total Emissions</t>
        </is>
      </c>
      <c r="O83" t="b">
        <v>1</v>
      </c>
      <c r="P83" t="n">
        <v>0.044298</v>
      </c>
      <c r="Q83" t="n">
        <v>0.029457</v>
      </c>
      <c r="R83" t="n">
        <v>26116.2117</v>
      </c>
      <c r="S83" t="n">
        <v>62789.4772</v>
      </c>
      <c r="T83" t="n">
        <v>5679.4845</v>
      </c>
      <c r="U83" t="n">
        <v>42352.75</v>
      </c>
      <c r="V83" t="n">
        <v>0.277906</v>
      </c>
      <c r="W83" t="n">
        <v>2.072384</v>
      </c>
      <c r="X83" t="inlineStr">
        <is>
          <t>High</t>
        </is>
      </c>
      <c r="Y83" t="inlineStr">
        <is>
          <t>None</t>
        </is>
      </c>
      <c r="Z83" t="inlineStr">
        <is>
          <t>Valid</t>
        </is>
      </c>
      <c r="AA83" t="n">
        <v>2026</v>
      </c>
      <c r="AB83" t="inlineStr">
        <is>
          <t>Historical Trend Pathway</t>
        </is>
      </c>
      <c r="AC83" t="n">
        <v>13835.4074</v>
      </c>
      <c r="AD83" t="n">
        <v>13143.637</v>
      </c>
      <c r="AE83" t="n">
        <v>22066.2782</v>
      </c>
      <c r="AF83" t="n">
        <v>13531.0284</v>
      </c>
      <c r="AG83" t="n">
        <v>-8230.870800000001</v>
      </c>
      <c r="AH83" t="n">
        <v>0.00077237</v>
      </c>
      <c r="AI83" t="n">
        <v>-0.5949140000000001</v>
      </c>
      <c r="AJ83" t="n">
        <v>8922.641100000001</v>
      </c>
      <c r="AK83" t="n">
        <v>27.6708</v>
      </c>
      <c r="AL83" t="n">
        <v>166996.036</v>
      </c>
      <c r="AM83" t="n">
        <v>43302.156</v>
      </c>
      <c r="AN83" t="n">
        <v>0.88</v>
      </c>
      <c r="AO83" t="inlineStr">
        <is>
          <t>Critical</t>
        </is>
      </c>
      <c r="AP83" t="inlineStr">
        <is>
          <t>Off Track</t>
        </is>
      </c>
    </row>
    <row r="84">
      <c r="A84" t="inlineStr">
        <is>
          <t>SUP-0006</t>
        </is>
      </c>
      <c r="B84" t="inlineStr">
        <is>
          <t>Agriculture Supplier 006</t>
        </is>
      </c>
      <c r="C84" t="inlineStr">
        <is>
          <t>Agriculture</t>
        </is>
      </c>
      <c r="D84" t="n">
        <v>2024</v>
      </c>
      <c r="E84" t="n">
        <v>2015</v>
      </c>
      <c r="F84" t="n">
        <v>2040</v>
      </c>
      <c r="G84" t="n">
        <v>20436.7272</v>
      </c>
      <c r="H84" t="n">
        <v>1834.7707</v>
      </c>
      <c r="I84" t="n">
        <v>1396.9006</v>
      </c>
      <c r="J84" t="n">
        <v>15397.2718</v>
      </c>
      <c r="K84" t="n">
        <v>28569472.27</v>
      </c>
      <c r="L84" t="n">
        <v>64789530</v>
      </c>
      <c r="M84" t="n">
        <v>20436.7272</v>
      </c>
      <c r="N84" t="inlineStr">
        <is>
          <t>Provided Total Emissions</t>
        </is>
      </c>
      <c r="O84" t="b">
        <v>1</v>
      </c>
      <c r="P84" t="n">
        <v>0.044298</v>
      </c>
      <c r="Q84" t="n">
        <v>0.029457</v>
      </c>
      <c r="R84" t="n">
        <v>26116.2117</v>
      </c>
      <c r="S84" t="n">
        <v>62789.4772</v>
      </c>
      <c r="T84" t="n">
        <v>5679.4845</v>
      </c>
      <c r="U84" t="n">
        <v>42352.75</v>
      </c>
      <c r="V84" t="n">
        <v>0.277906</v>
      </c>
      <c r="W84" t="n">
        <v>2.072384</v>
      </c>
      <c r="X84" t="inlineStr">
        <is>
          <t>High</t>
        </is>
      </c>
      <c r="Y84" t="inlineStr">
        <is>
          <t>None</t>
        </is>
      </c>
      <c r="Z84" t="inlineStr">
        <is>
          <t>Valid</t>
        </is>
      </c>
      <c r="AA84" t="n">
        <v>2027</v>
      </c>
      <c r="AB84" t="inlineStr">
        <is>
          <t>Historical Trend Pathway</t>
        </is>
      </c>
      <c r="AC84" t="n">
        <v>13835.4074</v>
      </c>
      <c r="AD84" t="n">
        <v>13143.637</v>
      </c>
      <c r="AE84" t="n">
        <v>22929.1502</v>
      </c>
      <c r="AF84" t="n">
        <v>13503.3576</v>
      </c>
      <c r="AG84" t="n">
        <v>-9093.7428</v>
      </c>
      <c r="AH84" t="n">
        <v>0.00080258</v>
      </c>
      <c r="AI84" t="n">
        <v>-0.65728</v>
      </c>
      <c r="AJ84" t="n">
        <v>9785.5131</v>
      </c>
      <c r="AK84" t="n">
        <v>27.6708</v>
      </c>
      <c r="AL84" t="n">
        <v>144066.8858</v>
      </c>
      <c r="AM84" t="n">
        <v>66231.30620000001</v>
      </c>
      <c r="AN84" t="n">
        <v>0.88</v>
      </c>
      <c r="AO84" t="inlineStr">
        <is>
          <t>Critical</t>
        </is>
      </c>
      <c r="AP84" t="inlineStr">
        <is>
          <t>Off Track</t>
        </is>
      </c>
    </row>
    <row r="85">
      <c r="A85" t="inlineStr">
        <is>
          <t>SUP-0006</t>
        </is>
      </c>
      <c r="B85" t="inlineStr">
        <is>
          <t>Agriculture Supplier 006</t>
        </is>
      </c>
      <c r="C85" t="inlineStr">
        <is>
          <t>Agriculture</t>
        </is>
      </c>
      <c r="D85" t="n">
        <v>2024</v>
      </c>
      <c r="E85" t="n">
        <v>2015</v>
      </c>
      <c r="F85" t="n">
        <v>2040</v>
      </c>
      <c r="G85" t="n">
        <v>20436.7272</v>
      </c>
      <c r="H85" t="n">
        <v>1834.7707</v>
      </c>
      <c r="I85" t="n">
        <v>1396.9006</v>
      </c>
      <c r="J85" t="n">
        <v>15397.2718</v>
      </c>
      <c r="K85" t="n">
        <v>28569472.27</v>
      </c>
      <c r="L85" t="n">
        <v>64789530</v>
      </c>
      <c r="M85" t="n">
        <v>20436.7272</v>
      </c>
      <c r="N85" t="inlineStr">
        <is>
          <t>Provided Total Emissions</t>
        </is>
      </c>
      <c r="O85" t="b">
        <v>1</v>
      </c>
      <c r="P85" t="n">
        <v>0.044298</v>
      </c>
      <c r="Q85" t="n">
        <v>0.029457</v>
      </c>
      <c r="R85" t="n">
        <v>26116.2117</v>
      </c>
      <c r="S85" t="n">
        <v>62789.4772</v>
      </c>
      <c r="T85" t="n">
        <v>5679.4845</v>
      </c>
      <c r="U85" t="n">
        <v>42352.75</v>
      </c>
      <c r="V85" t="n">
        <v>0.277906</v>
      </c>
      <c r="W85" t="n">
        <v>2.072384</v>
      </c>
      <c r="X85" t="inlineStr">
        <is>
          <t>High</t>
        </is>
      </c>
      <c r="Y85" t="inlineStr">
        <is>
          <t>None</t>
        </is>
      </c>
      <c r="Z85" t="inlineStr">
        <is>
          <t>Valid</t>
        </is>
      </c>
      <c r="AA85" t="n">
        <v>2028</v>
      </c>
      <c r="AB85" t="inlineStr">
        <is>
          <t>Historical Trend Pathway</t>
        </is>
      </c>
      <c r="AC85" t="n">
        <v>13835.4074</v>
      </c>
      <c r="AD85" t="n">
        <v>13143.637</v>
      </c>
      <c r="AE85" t="n">
        <v>23825.7636</v>
      </c>
      <c r="AF85" t="n">
        <v>13475.6868</v>
      </c>
      <c r="AG85" t="n">
        <v>-9990.3562</v>
      </c>
      <c r="AH85" t="n">
        <v>0.00083396</v>
      </c>
      <c r="AI85" t="n">
        <v>-0.722086</v>
      </c>
      <c r="AJ85" t="n">
        <v>10682.1266</v>
      </c>
      <c r="AK85" t="n">
        <v>27.6708</v>
      </c>
      <c r="AL85" t="n">
        <v>120241.1222</v>
      </c>
      <c r="AM85" t="n">
        <v>90057.0698</v>
      </c>
      <c r="AN85" t="n">
        <v>0.88</v>
      </c>
      <c r="AO85" t="inlineStr">
        <is>
          <t>Critical</t>
        </is>
      </c>
      <c r="AP85" t="inlineStr">
        <is>
          <t>Off Track</t>
        </is>
      </c>
    </row>
    <row r="86">
      <c r="A86" t="inlineStr">
        <is>
          <t>SUP-0006</t>
        </is>
      </c>
      <c r="B86" t="inlineStr">
        <is>
          <t>Agriculture Supplier 006</t>
        </is>
      </c>
      <c r="C86" t="inlineStr">
        <is>
          <t>Agriculture</t>
        </is>
      </c>
      <c r="D86" t="n">
        <v>2024</v>
      </c>
      <c r="E86" t="n">
        <v>2015</v>
      </c>
      <c r="F86" t="n">
        <v>2040</v>
      </c>
      <c r="G86" t="n">
        <v>20436.7272</v>
      </c>
      <c r="H86" t="n">
        <v>1834.7707</v>
      </c>
      <c r="I86" t="n">
        <v>1396.9006</v>
      </c>
      <c r="J86" t="n">
        <v>15397.2718</v>
      </c>
      <c r="K86" t="n">
        <v>28569472.27</v>
      </c>
      <c r="L86" t="n">
        <v>64789530</v>
      </c>
      <c r="M86" t="n">
        <v>20436.7272</v>
      </c>
      <c r="N86" t="inlineStr">
        <is>
          <t>Provided Total Emissions</t>
        </is>
      </c>
      <c r="O86" t="b">
        <v>1</v>
      </c>
      <c r="P86" t="n">
        <v>0.044298</v>
      </c>
      <c r="Q86" t="n">
        <v>0.029457</v>
      </c>
      <c r="R86" t="n">
        <v>26116.2117</v>
      </c>
      <c r="S86" t="n">
        <v>62789.4772</v>
      </c>
      <c r="T86" t="n">
        <v>5679.4845</v>
      </c>
      <c r="U86" t="n">
        <v>42352.75</v>
      </c>
      <c r="V86" t="n">
        <v>0.277906</v>
      </c>
      <c r="W86" t="n">
        <v>2.072384</v>
      </c>
      <c r="X86" t="inlineStr">
        <is>
          <t>High</t>
        </is>
      </c>
      <c r="Y86" t="inlineStr">
        <is>
          <t>None</t>
        </is>
      </c>
      <c r="Z86" t="inlineStr">
        <is>
          <t>Valid</t>
        </is>
      </c>
      <c r="AA86" t="n">
        <v>2029</v>
      </c>
      <c r="AB86" t="inlineStr">
        <is>
          <t>Historical Trend Pathway</t>
        </is>
      </c>
      <c r="AC86" t="n">
        <v>13835.4074</v>
      </c>
      <c r="AD86" t="n">
        <v>13143.637</v>
      </c>
      <c r="AE86" t="n">
        <v>24757.438</v>
      </c>
      <c r="AF86" t="n">
        <v>13448.016</v>
      </c>
      <c r="AG86" t="n">
        <v>-10922.0306</v>
      </c>
      <c r="AH86" t="n">
        <v>0.00086657</v>
      </c>
      <c r="AI86" t="n">
        <v>-0.789426</v>
      </c>
      <c r="AJ86" t="n">
        <v>11613.8009</v>
      </c>
      <c r="AK86" t="n">
        <v>27.6708</v>
      </c>
      <c r="AL86" t="n">
        <v>95483.6842</v>
      </c>
      <c r="AM86" t="n">
        <v>114814.5078</v>
      </c>
      <c r="AN86" t="n">
        <v>0.88</v>
      </c>
      <c r="AO86" t="inlineStr">
        <is>
          <t>Critical</t>
        </is>
      </c>
      <c r="AP86" t="inlineStr">
        <is>
          <t>Off Track</t>
        </is>
      </c>
    </row>
    <row r="87">
      <c r="A87" t="inlineStr">
        <is>
          <t>SUP-0006</t>
        </is>
      </c>
      <c r="B87" t="inlineStr">
        <is>
          <t>Agriculture Supplier 006</t>
        </is>
      </c>
      <c r="C87" t="inlineStr">
        <is>
          <t>Agriculture</t>
        </is>
      </c>
      <c r="D87" t="n">
        <v>2024</v>
      </c>
      <c r="E87" t="n">
        <v>2015</v>
      </c>
      <c r="F87" t="n">
        <v>2040</v>
      </c>
      <c r="G87" t="n">
        <v>20436.7272</v>
      </c>
      <c r="H87" t="n">
        <v>1834.7707</v>
      </c>
      <c r="I87" t="n">
        <v>1396.9006</v>
      </c>
      <c r="J87" t="n">
        <v>15397.2718</v>
      </c>
      <c r="K87" t="n">
        <v>28569472.27</v>
      </c>
      <c r="L87" t="n">
        <v>64789530</v>
      </c>
      <c r="M87" t="n">
        <v>20436.7272</v>
      </c>
      <c r="N87" t="inlineStr">
        <is>
          <t>Provided Total Emissions</t>
        </is>
      </c>
      <c r="O87" t="b">
        <v>1</v>
      </c>
      <c r="P87" t="n">
        <v>0.044298</v>
      </c>
      <c r="Q87" t="n">
        <v>0.029457</v>
      </c>
      <c r="R87" t="n">
        <v>26116.2117</v>
      </c>
      <c r="S87" t="n">
        <v>62789.4772</v>
      </c>
      <c r="T87" t="n">
        <v>5679.4845</v>
      </c>
      <c r="U87" t="n">
        <v>42352.75</v>
      </c>
      <c r="V87" t="n">
        <v>0.277906</v>
      </c>
      <c r="W87" t="n">
        <v>2.072384</v>
      </c>
      <c r="X87" t="inlineStr">
        <is>
          <t>High</t>
        </is>
      </c>
      <c r="Y87" t="inlineStr">
        <is>
          <t>None</t>
        </is>
      </c>
      <c r="Z87" t="inlineStr">
        <is>
          <t>Valid</t>
        </is>
      </c>
      <c r="AA87" t="n">
        <v>2030</v>
      </c>
      <c r="AB87" t="inlineStr">
        <is>
          <t>Historical Trend Pathway</t>
        </is>
      </c>
      <c r="AC87" t="n">
        <v>13835.4074</v>
      </c>
      <c r="AD87" t="n">
        <v>13143.637</v>
      </c>
      <c r="AE87" t="n">
        <v>25725.5442</v>
      </c>
      <c r="AF87" t="n">
        <v>13420.3452</v>
      </c>
      <c r="AG87" t="n">
        <v>-11890.1368</v>
      </c>
      <c r="AH87" t="n">
        <v>0.00090046</v>
      </c>
      <c r="AI87" t="n">
        <v>-0.859399</v>
      </c>
      <c r="AJ87" t="n">
        <v>12581.9071</v>
      </c>
      <c r="AK87" t="n">
        <v>27.6708</v>
      </c>
      <c r="AL87" t="n">
        <v>69758.14</v>
      </c>
      <c r="AM87" t="n">
        <v>140540.052</v>
      </c>
      <c r="AN87" t="n">
        <v>0.88</v>
      </c>
      <c r="AO87" t="inlineStr">
        <is>
          <t>Critical</t>
        </is>
      </c>
      <c r="AP87" t="inlineStr">
        <is>
          <t>Off Track</t>
        </is>
      </c>
    </row>
    <row r="88">
      <c r="A88" t="inlineStr">
        <is>
          <t>SUP-0006</t>
        </is>
      </c>
      <c r="B88" t="inlineStr">
        <is>
          <t>Agriculture Supplier 006</t>
        </is>
      </c>
      <c r="C88" t="inlineStr">
        <is>
          <t>Agriculture</t>
        </is>
      </c>
      <c r="D88" t="n">
        <v>2024</v>
      </c>
      <c r="E88" t="n">
        <v>2015</v>
      </c>
      <c r="F88" t="n">
        <v>2040</v>
      </c>
      <c r="G88" t="n">
        <v>20436.7272</v>
      </c>
      <c r="H88" t="n">
        <v>1834.7707</v>
      </c>
      <c r="I88" t="n">
        <v>1396.9006</v>
      </c>
      <c r="J88" t="n">
        <v>15397.2718</v>
      </c>
      <c r="K88" t="n">
        <v>28569472.27</v>
      </c>
      <c r="L88" t="n">
        <v>64789530</v>
      </c>
      <c r="M88" t="n">
        <v>20436.7272</v>
      </c>
      <c r="N88" t="inlineStr">
        <is>
          <t>Provided Total Emissions</t>
        </is>
      </c>
      <c r="O88" t="b">
        <v>1</v>
      </c>
      <c r="P88" t="n">
        <v>0.044298</v>
      </c>
      <c r="Q88" t="n">
        <v>0.029457</v>
      </c>
      <c r="R88" t="n">
        <v>26116.2117</v>
      </c>
      <c r="S88" t="n">
        <v>62789.4772</v>
      </c>
      <c r="T88" t="n">
        <v>5679.4845</v>
      </c>
      <c r="U88" t="n">
        <v>42352.75</v>
      </c>
      <c r="V88" t="n">
        <v>0.277906</v>
      </c>
      <c r="W88" t="n">
        <v>2.072384</v>
      </c>
      <c r="X88" t="inlineStr">
        <is>
          <t>High</t>
        </is>
      </c>
      <c r="Y88" t="inlineStr">
        <is>
          <t>None</t>
        </is>
      </c>
      <c r="Z88" t="inlineStr">
        <is>
          <t>Valid</t>
        </is>
      </c>
      <c r="AA88" t="n">
        <v>2031</v>
      </c>
      <c r="AB88" t="inlineStr">
        <is>
          <t>Historical Trend Pathway</t>
        </is>
      </c>
      <c r="AC88" t="n">
        <v>13835.4074</v>
      </c>
      <c r="AD88" t="n">
        <v>13143.637</v>
      </c>
      <c r="AE88" t="n">
        <v>26731.5068</v>
      </c>
      <c r="AF88" t="n">
        <v>13392.6744</v>
      </c>
      <c r="AG88" t="n">
        <v>-12896.0994</v>
      </c>
      <c r="AH88" t="n">
        <v>0.00093567</v>
      </c>
      <c r="AI88" t="n">
        <v>-0.932108</v>
      </c>
      <c r="AJ88" t="n">
        <v>13587.8698</v>
      </c>
      <c r="AK88" t="n">
        <v>27.6708</v>
      </c>
      <c r="AL88" t="n">
        <v>43026.6332</v>
      </c>
      <c r="AM88" t="n">
        <v>167271.5588</v>
      </c>
      <c r="AN88" t="n">
        <v>0.88</v>
      </c>
      <c r="AO88" t="inlineStr">
        <is>
          <t>Critical</t>
        </is>
      </c>
      <c r="AP88" t="inlineStr">
        <is>
          <t>Off Track</t>
        </is>
      </c>
    </row>
    <row r="89">
      <c r="A89" t="inlineStr">
        <is>
          <t>SUP-0006</t>
        </is>
      </c>
      <c r="B89" t="inlineStr">
        <is>
          <t>Agriculture Supplier 006</t>
        </is>
      </c>
      <c r="C89" t="inlineStr">
        <is>
          <t>Agriculture</t>
        </is>
      </c>
      <c r="D89" t="n">
        <v>2024</v>
      </c>
      <c r="E89" t="n">
        <v>2015</v>
      </c>
      <c r="F89" t="n">
        <v>2040</v>
      </c>
      <c r="G89" t="n">
        <v>20436.7272</v>
      </c>
      <c r="H89" t="n">
        <v>1834.7707</v>
      </c>
      <c r="I89" t="n">
        <v>1396.9006</v>
      </c>
      <c r="J89" t="n">
        <v>15397.2718</v>
      </c>
      <c r="K89" t="n">
        <v>28569472.27</v>
      </c>
      <c r="L89" t="n">
        <v>64789530</v>
      </c>
      <c r="M89" t="n">
        <v>20436.7272</v>
      </c>
      <c r="N89" t="inlineStr">
        <is>
          <t>Provided Total Emissions</t>
        </is>
      </c>
      <c r="O89" t="b">
        <v>1</v>
      </c>
      <c r="P89" t="n">
        <v>0.044298</v>
      </c>
      <c r="Q89" t="n">
        <v>0.029457</v>
      </c>
      <c r="R89" t="n">
        <v>26116.2117</v>
      </c>
      <c r="S89" t="n">
        <v>62789.4772</v>
      </c>
      <c r="T89" t="n">
        <v>5679.4845</v>
      </c>
      <c r="U89" t="n">
        <v>42352.75</v>
      </c>
      <c r="V89" t="n">
        <v>0.277906</v>
      </c>
      <c r="W89" t="n">
        <v>2.072384</v>
      </c>
      <c r="X89" t="inlineStr">
        <is>
          <t>High</t>
        </is>
      </c>
      <c r="Y89" t="inlineStr">
        <is>
          <t>None</t>
        </is>
      </c>
      <c r="Z89" t="inlineStr">
        <is>
          <t>Valid</t>
        </is>
      </c>
      <c r="AA89" t="n">
        <v>2032</v>
      </c>
      <c r="AB89" t="inlineStr">
        <is>
          <t>Historical Trend Pathway</t>
        </is>
      </c>
      <c r="AC89" t="n">
        <v>13835.4074</v>
      </c>
      <c r="AD89" t="n">
        <v>13143.637</v>
      </c>
      <c r="AE89" t="n">
        <v>27776.8063</v>
      </c>
      <c r="AF89" t="n">
        <v>13365.0035</v>
      </c>
      <c r="AG89" t="n">
        <v>-13941.3989</v>
      </c>
      <c r="AH89" t="n">
        <v>0.00097225</v>
      </c>
      <c r="AI89" t="n">
        <v>-1.007661</v>
      </c>
      <c r="AJ89" t="n">
        <v>14633.1693</v>
      </c>
      <c r="AK89" t="n">
        <v>27.6708</v>
      </c>
      <c r="AL89" t="n">
        <v>15249.8269</v>
      </c>
      <c r="AM89" t="n">
        <v>195048.3651</v>
      </c>
      <c r="AN89" t="n">
        <v>0.88</v>
      </c>
      <c r="AO89" t="inlineStr">
        <is>
          <t>Critical</t>
        </is>
      </c>
      <c r="AP89" t="inlineStr">
        <is>
          <t>Off Track</t>
        </is>
      </c>
    </row>
    <row r="90">
      <c r="A90" t="inlineStr">
        <is>
          <t>SUP-0006</t>
        </is>
      </c>
      <c r="B90" t="inlineStr">
        <is>
          <t>Agriculture Supplier 006</t>
        </is>
      </c>
      <c r="C90" t="inlineStr">
        <is>
          <t>Agriculture</t>
        </is>
      </c>
      <c r="D90" t="n">
        <v>2024</v>
      </c>
      <c r="E90" t="n">
        <v>2015</v>
      </c>
      <c r="F90" t="n">
        <v>2040</v>
      </c>
      <c r="G90" t="n">
        <v>20436.7272</v>
      </c>
      <c r="H90" t="n">
        <v>1834.7707</v>
      </c>
      <c r="I90" t="n">
        <v>1396.9006</v>
      </c>
      <c r="J90" t="n">
        <v>15397.2718</v>
      </c>
      <c r="K90" t="n">
        <v>28569472.27</v>
      </c>
      <c r="L90" t="n">
        <v>64789530</v>
      </c>
      <c r="M90" t="n">
        <v>20436.7272</v>
      </c>
      <c r="N90" t="inlineStr">
        <is>
          <t>Provided Total Emissions</t>
        </is>
      </c>
      <c r="O90" t="b">
        <v>1</v>
      </c>
      <c r="P90" t="n">
        <v>0.044298</v>
      </c>
      <c r="Q90" t="n">
        <v>0.029457</v>
      </c>
      <c r="R90" t="n">
        <v>26116.2117</v>
      </c>
      <c r="S90" t="n">
        <v>62789.4772</v>
      </c>
      <c r="T90" t="n">
        <v>5679.4845</v>
      </c>
      <c r="U90" t="n">
        <v>42352.75</v>
      </c>
      <c r="V90" t="n">
        <v>0.277906</v>
      </c>
      <c r="W90" t="n">
        <v>2.072384</v>
      </c>
      <c r="X90" t="inlineStr">
        <is>
          <t>High</t>
        </is>
      </c>
      <c r="Y90" t="inlineStr">
        <is>
          <t>None</t>
        </is>
      </c>
      <c r="Z90" t="inlineStr">
        <is>
          <t>Valid</t>
        </is>
      </c>
      <c r="AA90" t="n">
        <v>2033</v>
      </c>
      <c r="AB90" t="inlineStr">
        <is>
          <t>Historical Trend Pathway</t>
        </is>
      </c>
      <c r="AC90" t="n">
        <v>13835.4074</v>
      </c>
      <c r="AD90" t="n">
        <v>13143.637</v>
      </c>
      <c r="AE90" t="n">
        <v>28862.9808</v>
      </c>
      <c r="AF90" t="n">
        <v>13337.3327</v>
      </c>
      <c r="AG90" t="n">
        <v>-15027.5734</v>
      </c>
      <c r="AH90" t="n">
        <v>0.00101027</v>
      </c>
      <c r="AI90" t="n">
        <v>-1.086168</v>
      </c>
      <c r="AJ90" t="n">
        <v>15719.3438</v>
      </c>
      <c r="AK90" t="n">
        <v>27.6708</v>
      </c>
      <c r="AL90" t="n">
        <v>-13613.1539</v>
      </c>
      <c r="AM90" t="n">
        <v>223911.3459</v>
      </c>
      <c r="AN90" t="n">
        <v>0.88</v>
      </c>
      <c r="AO90" t="inlineStr">
        <is>
          <t>Critical</t>
        </is>
      </c>
      <c r="AP90" t="inlineStr">
        <is>
          <t>Off Track</t>
        </is>
      </c>
    </row>
    <row r="91">
      <c r="A91" t="inlineStr">
        <is>
          <t>SUP-0006</t>
        </is>
      </c>
      <c r="B91" t="inlineStr">
        <is>
          <t>Agriculture Supplier 006</t>
        </is>
      </c>
      <c r="C91" t="inlineStr">
        <is>
          <t>Agriculture</t>
        </is>
      </c>
      <c r="D91" t="n">
        <v>2024</v>
      </c>
      <c r="E91" t="n">
        <v>2015</v>
      </c>
      <c r="F91" t="n">
        <v>2040</v>
      </c>
      <c r="G91" t="n">
        <v>20436.7272</v>
      </c>
      <c r="H91" t="n">
        <v>1834.7707</v>
      </c>
      <c r="I91" t="n">
        <v>1396.9006</v>
      </c>
      <c r="J91" t="n">
        <v>15397.2718</v>
      </c>
      <c r="K91" t="n">
        <v>28569472.27</v>
      </c>
      <c r="L91" t="n">
        <v>64789530</v>
      </c>
      <c r="M91" t="n">
        <v>20436.7272</v>
      </c>
      <c r="N91" t="inlineStr">
        <is>
          <t>Provided Total Emissions</t>
        </is>
      </c>
      <c r="O91" t="b">
        <v>1</v>
      </c>
      <c r="P91" t="n">
        <v>0.044298</v>
      </c>
      <c r="Q91" t="n">
        <v>0.029457</v>
      </c>
      <c r="R91" t="n">
        <v>26116.2117</v>
      </c>
      <c r="S91" t="n">
        <v>62789.4772</v>
      </c>
      <c r="T91" t="n">
        <v>5679.4845</v>
      </c>
      <c r="U91" t="n">
        <v>42352.75</v>
      </c>
      <c r="V91" t="n">
        <v>0.277906</v>
      </c>
      <c r="W91" t="n">
        <v>2.072384</v>
      </c>
      <c r="X91" t="inlineStr">
        <is>
          <t>High</t>
        </is>
      </c>
      <c r="Y91" t="inlineStr">
        <is>
          <t>None</t>
        </is>
      </c>
      <c r="Z91" t="inlineStr">
        <is>
          <t>Valid</t>
        </is>
      </c>
      <c r="AA91" t="n">
        <v>2034</v>
      </c>
      <c r="AB91" t="inlineStr">
        <is>
          <t>Historical Trend Pathway</t>
        </is>
      </c>
      <c r="AC91" t="n">
        <v>13835.4074</v>
      </c>
      <c r="AD91" t="n">
        <v>13143.637</v>
      </c>
      <c r="AE91" t="n">
        <v>29991.6287</v>
      </c>
      <c r="AF91" t="n">
        <v>13309.6619</v>
      </c>
      <c r="AG91" t="n">
        <v>-16156.2213</v>
      </c>
      <c r="AH91" t="n">
        <v>0.00104978</v>
      </c>
      <c r="AI91" t="n">
        <v>-1.167745</v>
      </c>
      <c r="AJ91" t="n">
        <v>16847.9917</v>
      </c>
      <c r="AK91" t="n">
        <v>27.6708</v>
      </c>
      <c r="AL91" t="n">
        <v>-43604.7826</v>
      </c>
      <c r="AM91" t="n">
        <v>253902.9746</v>
      </c>
      <c r="AN91" t="n">
        <v>0.88</v>
      </c>
      <c r="AO91" t="inlineStr">
        <is>
          <t>Critical</t>
        </is>
      </c>
      <c r="AP91" t="inlineStr">
        <is>
          <t>Off Track</t>
        </is>
      </c>
    </row>
    <row r="92">
      <c r="A92" t="inlineStr">
        <is>
          <t>SUP-0006</t>
        </is>
      </c>
      <c r="B92" t="inlineStr">
        <is>
          <t>Agriculture Supplier 006</t>
        </is>
      </c>
      <c r="C92" t="inlineStr">
        <is>
          <t>Agriculture</t>
        </is>
      </c>
      <c r="D92" t="n">
        <v>2024</v>
      </c>
      <c r="E92" t="n">
        <v>2015</v>
      </c>
      <c r="F92" t="n">
        <v>2040</v>
      </c>
      <c r="G92" t="n">
        <v>20436.7272</v>
      </c>
      <c r="H92" t="n">
        <v>1834.7707</v>
      </c>
      <c r="I92" t="n">
        <v>1396.9006</v>
      </c>
      <c r="J92" t="n">
        <v>15397.2718</v>
      </c>
      <c r="K92" t="n">
        <v>28569472.27</v>
      </c>
      <c r="L92" t="n">
        <v>64789530</v>
      </c>
      <c r="M92" t="n">
        <v>20436.7272</v>
      </c>
      <c r="N92" t="inlineStr">
        <is>
          <t>Provided Total Emissions</t>
        </is>
      </c>
      <c r="O92" t="b">
        <v>1</v>
      </c>
      <c r="P92" t="n">
        <v>0.044298</v>
      </c>
      <c r="Q92" t="n">
        <v>0.029457</v>
      </c>
      <c r="R92" t="n">
        <v>26116.2117</v>
      </c>
      <c r="S92" t="n">
        <v>62789.4772</v>
      </c>
      <c r="T92" t="n">
        <v>5679.4845</v>
      </c>
      <c r="U92" t="n">
        <v>42352.75</v>
      </c>
      <c r="V92" t="n">
        <v>0.277906</v>
      </c>
      <c r="W92" t="n">
        <v>2.072384</v>
      </c>
      <c r="X92" t="inlineStr">
        <is>
          <t>High</t>
        </is>
      </c>
      <c r="Y92" t="inlineStr">
        <is>
          <t>None</t>
        </is>
      </c>
      <c r="Z92" t="inlineStr">
        <is>
          <t>Valid</t>
        </is>
      </c>
      <c r="AA92" t="n">
        <v>2035</v>
      </c>
      <c r="AB92" t="inlineStr">
        <is>
          <t>Historical Trend Pathway</t>
        </is>
      </c>
      <c r="AC92" t="n">
        <v>13835.4074</v>
      </c>
      <c r="AD92" t="n">
        <v>13143.637</v>
      </c>
      <c r="AE92" t="n">
        <v>31164.4109</v>
      </c>
      <c r="AF92" t="n">
        <v>13281.9911</v>
      </c>
      <c r="AG92" t="n">
        <v>-17329.0035</v>
      </c>
      <c r="AH92" t="n">
        <v>0.00109083</v>
      </c>
      <c r="AI92" t="n">
        <v>-1.252511</v>
      </c>
      <c r="AJ92" t="n">
        <v>18020.7739</v>
      </c>
      <c r="AK92" t="n">
        <v>27.6708</v>
      </c>
      <c r="AL92" t="n">
        <v>-74769.19349999999</v>
      </c>
      <c r="AM92" t="n">
        <v>285067.3855</v>
      </c>
      <c r="AN92" t="n">
        <v>0.88</v>
      </c>
      <c r="AO92" t="inlineStr">
        <is>
          <t>Critical</t>
        </is>
      </c>
      <c r="AP92" t="inlineStr">
        <is>
          <t>Off Track</t>
        </is>
      </c>
    </row>
    <row r="93">
      <c r="A93" t="inlineStr">
        <is>
          <t>SUP-0006</t>
        </is>
      </c>
      <c r="B93" t="inlineStr">
        <is>
          <t>Agriculture Supplier 006</t>
        </is>
      </c>
      <c r="C93" t="inlineStr">
        <is>
          <t>Agriculture</t>
        </is>
      </c>
      <c r="D93" t="n">
        <v>2024</v>
      </c>
      <c r="E93" t="n">
        <v>2015</v>
      </c>
      <c r="F93" t="n">
        <v>2040</v>
      </c>
      <c r="G93" t="n">
        <v>20436.7272</v>
      </c>
      <c r="H93" t="n">
        <v>1834.7707</v>
      </c>
      <c r="I93" t="n">
        <v>1396.9006</v>
      </c>
      <c r="J93" t="n">
        <v>15397.2718</v>
      </c>
      <c r="K93" t="n">
        <v>28569472.27</v>
      </c>
      <c r="L93" t="n">
        <v>64789530</v>
      </c>
      <c r="M93" t="n">
        <v>20436.7272</v>
      </c>
      <c r="N93" t="inlineStr">
        <is>
          <t>Provided Total Emissions</t>
        </is>
      </c>
      <c r="O93" t="b">
        <v>1</v>
      </c>
      <c r="P93" t="n">
        <v>0.044298</v>
      </c>
      <c r="Q93" t="n">
        <v>0.029457</v>
      </c>
      <c r="R93" t="n">
        <v>26116.2117</v>
      </c>
      <c r="S93" t="n">
        <v>62789.4772</v>
      </c>
      <c r="T93" t="n">
        <v>5679.4845</v>
      </c>
      <c r="U93" t="n">
        <v>42352.75</v>
      </c>
      <c r="V93" t="n">
        <v>0.277906</v>
      </c>
      <c r="W93" t="n">
        <v>2.072384</v>
      </c>
      <c r="X93" t="inlineStr">
        <is>
          <t>High</t>
        </is>
      </c>
      <c r="Y93" t="inlineStr">
        <is>
          <t>None</t>
        </is>
      </c>
      <c r="Z93" t="inlineStr">
        <is>
          <t>Valid</t>
        </is>
      </c>
      <c r="AA93" t="n">
        <v>2036</v>
      </c>
      <c r="AB93" t="inlineStr">
        <is>
          <t>Historical Trend Pathway</t>
        </is>
      </c>
      <c r="AC93" t="n">
        <v>13835.4074</v>
      </c>
      <c r="AD93" t="n">
        <v>13143.637</v>
      </c>
      <c r="AE93" t="n">
        <v>32383.0531</v>
      </c>
      <c r="AF93" t="n">
        <v>13254.3203</v>
      </c>
      <c r="AG93" t="n">
        <v>-18547.6457</v>
      </c>
      <c r="AH93" t="n">
        <v>0.00113348</v>
      </c>
      <c r="AI93" t="n">
        <v>-1.340593</v>
      </c>
      <c r="AJ93" t="n">
        <v>19239.4161</v>
      </c>
      <c r="AK93" t="n">
        <v>27.6708</v>
      </c>
      <c r="AL93" t="n">
        <v>-107152.2466</v>
      </c>
      <c r="AM93" t="n">
        <v>317450.4386</v>
      </c>
      <c r="AN93" t="n">
        <v>0.88</v>
      </c>
      <c r="AO93" t="inlineStr">
        <is>
          <t>Critical</t>
        </is>
      </c>
      <c r="AP93" t="inlineStr">
        <is>
          <t>Off Track</t>
        </is>
      </c>
    </row>
    <row r="94">
      <c r="A94" t="inlineStr">
        <is>
          <t>SUP-0006</t>
        </is>
      </c>
      <c r="B94" t="inlineStr">
        <is>
          <t>Agriculture Supplier 006</t>
        </is>
      </c>
      <c r="C94" t="inlineStr">
        <is>
          <t>Agriculture</t>
        </is>
      </c>
      <c r="D94" t="n">
        <v>2024</v>
      </c>
      <c r="E94" t="n">
        <v>2015</v>
      </c>
      <c r="F94" t="n">
        <v>2040</v>
      </c>
      <c r="G94" t="n">
        <v>20436.7272</v>
      </c>
      <c r="H94" t="n">
        <v>1834.7707</v>
      </c>
      <c r="I94" t="n">
        <v>1396.9006</v>
      </c>
      <c r="J94" t="n">
        <v>15397.2718</v>
      </c>
      <c r="K94" t="n">
        <v>28569472.27</v>
      </c>
      <c r="L94" t="n">
        <v>64789530</v>
      </c>
      <c r="M94" t="n">
        <v>20436.7272</v>
      </c>
      <c r="N94" t="inlineStr">
        <is>
          <t>Provided Total Emissions</t>
        </is>
      </c>
      <c r="O94" t="b">
        <v>1</v>
      </c>
      <c r="P94" t="n">
        <v>0.044298</v>
      </c>
      <c r="Q94" t="n">
        <v>0.029457</v>
      </c>
      <c r="R94" t="n">
        <v>26116.2117</v>
      </c>
      <c r="S94" t="n">
        <v>62789.4772</v>
      </c>
      <c r="T94" t="n">
        <v>5679.4845</v>
      </c>
      <c r="U94" t="n">
        <v>42352.75</v>
      </c>
      <c r="V94" t="n">
        <v>0.277906</v>
      </c>
      <c r="W94" t="n">
        <v>2.072384</v>
      </c>
      <c r="X94" t="inlineStr">
        <is>
          <t>High</t>
        </is>
      </c>
      <c r="Y94" t="inlineStr">
        <is>
          <t>None</t>
        </is>
      </c>
      <c r="Z94" t="inlineStr">
        <is>
          <t>Valid</t>
        </is>
      </c>
      <c r="AA94" t="n">
        <v>2037</v>
      </c>
      <c r="AB94" t="inlineStr">
        <is>
          <t>Historical Trend Pathway</t>
        </is>
      </c>
      <c r="AC94" t="n">
        <v>13835.4074</v>
      </c>
      <c r="AD94" t="n">
        <v>13143.637</v>
      </c>
      <c r="AE94" t="n">
        <v>33649.3487</v>
      </c>
      <c r="AF94" t="n">
        <v>13226.6495</v>
      </c>
      <c r="AG94" t="n">
        <v>-19813.9413</v>
      </c>
      <c r="AH94" t="n">
        <v>0.00117781</v>
      </c>
      <c r="AI94" t="n">
        <v>-1.432118</v>
      </c>
      <c r="AJ94" t="n">
        <v>20505.7116</v>
      </c>
      <c r="AK94" t="n">
        <v>27.6708</v>
      </c>
      <c r="AL94" t="n">
        <v>-140801.5953</v>
      </c>
      <c r="AM94" t="n">
        <v>351099.7873</v>
      </c>
      <c r="AN94" t="n">
        <v>0.88</v>
      </c>
      <c r="AO94" t="inlineStr">
        <is>
          <t>Critical</t>
        </is>
      </c>
      <c r="AP94" t="inlineStr">
        <is>
          <t>Off Track</t>
        </is>
      </c>
    </row>
    <row r="95">
      <c r="A95" t="inlineStr">
        <is>
          <t>SUP-0006</t>
        </is>
      </c>
      <c r="B95" t="inlineStr">
        <is>
          <t>Agriculture Supplier 006</t>
        </is>
      </c>
      <c r="C95" t="inlineStr">
        <is>
          <t>Agriculture</t>
        </is>
      </c>
      <c r="D95" t="n">
        <v>2024</v>
      </c>
      <c r="E95" t="n">
        <v>2015</v>
      </c>
      <c r="F95" t="n">
        <v>2040</v>
      </c>
      <c r="G95" t="n">
        <v>20436.7272</v>
      </c>
      <c r="H95" t="n">
        <v>1834.7707</v>
      </c>
      <c r="I95" t="n">
        <v>1396.9006</v>
      </c>
      <c r="J95" t="n">
        <v>15397.2718</v>
      </c>
      <c r="K95" t="n">
        <v>28569472.27</v>
      </c>
      <c r="L95" t="n">
        <v>64789530</v>
      </c>
      <c r="M95" t="n">
        <v>20436.7272</v>
      </c>
      <c r="N95" t="inlineStr">
        <is>
          <t>Provided Total Emissions</t>
        </is>
      </c>
      <c r="O95" t="b">
        <v>1</v>
      </c>
      <c r="P95" t="n">
        <v>0.044298</v>
      </c>
      <c r="Q95" t="n">
        <v>0.029457</v>
      </c>
      <c r="R95" t="n">
        <v>26116.2117</v>
      </c>
      <c r="S95" t="n">
        <v>62789.4772</v>
      </c>
      <c r="T95" t="n">
        <v>5679.4845</v>
      </c>
      <c r="U95" t="n">
        <v>42352.75</v>
      </c>
      <c r="V95" t="n">
        <v>0.277906</v>
      </c>
      <c r="W95" t="n">
        <v>2.072384</v>
      </c>
      <c r="X95" t="inlineStr">
        <is>
          <t>High</t>
        </is>
      </c>
      <c r="Y95" t="inlineStr">
        <is>
          <t>None</t>
        </is>
      </c>
      <c r="Z95" t="inlineStr">
        <is>
          <t>Valid</t>
        </is>
      </c>
      <c r="AA95" t="n">
        <v>2038</v>
      </c>
      <c r="AB95" t="inlineStr">
        <is>
          <t>Historical Trend Pathway</t>
        </is>
      </c>
      <c r="AC95" t="n">
        <v>13835.4074</v>
      </c>
      <c r="AD95" t="n">
        <v>13143.637</v>
      </c>
      <c r="AE95" t="n">
        <v>34965.161</v>
      </c>
      <c r="AF95" t="n">
        <v>13198.9787</v>
      </c>
      <c r="AG95" t="n">
        <v>-21129.7536</v>
      </c>
      <c r="AH95" t="n">
        <v>0.00122386</v>
      </c>
      <c r="AI95" t="n">
        <v>-1.527223</v>
      </c>
      <c r="AJ95" t="n">
        <v>21821.524</v>
      </c>
      <c r="AK95" t="n">
        <v>27.6708</v>
      </c>
      <c r="AL95" t="n">
        <v>-175766.7563</v>
      </c>
      <c r="AM95" t="n">
        <v>386064.9483</v>
      </c>
      <c r="AN95" t="n">
        <v>0.88</v>
      </c>
      <c r="AO95" t="inlineStr">
        <is>
          <t>Critical</t>
        </is>
      </c>
      <c r="AP95" t="inlineStr">
        <is>
          <t>Off Track</t>
        </is>
      </c>
    </row>
    <row r="96">
      <c r="A96" t="inlineStr">
        <is>
          <t>SUP-0006</t>
        </is>
      </c>
      <c r="B96" t="inlineStr">
        <is>
          <t>Agriculture Supplier 006</t>
        </is>
      </c>
      <c r="C96" t="inlineStr">
        <is>
          <t>Agriculture</t>
        </is>
      </c>
      <c r="D96" t="n">
        <v>2024</v>
      </c>
      <c r="E96" t="n">
        <v>2015</v>
      </c>
      <c r="F96" t="n">
        <v>2040</v>
      </c>
      <c r="G96" t="n">
        <v>20436.7272</v>
      </c>
      <c r="H96" t="n">
        <v>1834.7707</v>
      </c>
      <c r="I96" t="n">
        <v>1396.9006</v>
      </c>
      <c r="J96" t="n">
        <v>15397.2718</v>
      </c>
      <c r="K96" t="n">
        <v>28569472.27</v>
      </c>
      <c r="L96" t="n">
        <v>64789530</v>
      </c>
      <c r="M96" t="n">
        <v>20436.7272</v>
      </c>
      <c r="N96" t="inlineStr">
        <is>
          <t>Provided Total Emissions</t>
        </is>
      </c>
      <c r="O96" t="b">
        <v>1</v>
      </c>
      <c r="P96" t="n">
        <v>0.044298</v>
      </c>
      <c r="Q96" t="n">
        <v>0.029457</v>
      </c>
      <c r="R96" t="n">
        <v>26116.2117</v>
      </c>
      <c r="S96" t="n">
        <v>62789.4772</v>
      </c>
      <c r="T96" t="n">
        <v>5679.4845</v>
      </c>
      <c r="U96" t="n">
        <v>42352.75</v>
      </c>
      <c r="V96" t="n">
        <v>0.277906</v>
      </c>
      <c r="W96" t="n">
        <v>2.072384</v>
      </c>
      <c r="X96" t="inlineStr">
        <is>
          <t>High</t>
        </is>
      </c>
      <c r="Y96" t="inlineStr">
        <is>
          <t>None</t>
        </is>
      </c>
      <c r="Z96" t="inlineStr">
        <is>
          <t>Valid</t>
        </is>
      </c>
      <c r="AA96" t="n">
        <v>2039</v>
      </c>
      <c r="AB96" t="inlineStr">
        <is>
          <t>Historical Trend Pathway</t>
        </is>
      </c>
      <c r="AC96" t="n">
        <v>13835.4074</v>
      </c>
      <c r="AD96" t="n">
        <v>13143.637</v>
      </c>
      <c r="AE96" t="n">
        <v>36332.4264</v>
      </c>
      <c r="AF96" t="n">
        <v>13171.3078</v>
      </c>
      <c r="AG96" t="n">
        <v>-22497.019</v>
      </c>
      <c r="AH96" t="n">
        <v>0.00127172</v>
      </c>
      <c r="AI96" t="n">
        <v>-1.626047</v>
      </c>
      <c r="AJ96" t="n">
        <v>23188.7894</v>
      </c>
      <c r="AK96" t="n">
        <v>27.6708</v>
      </c>
      <c r="AL96" t="n">
        <v>-212099.1827</v>
      </c>
      <c r="AM96" t="n">
        <v>422397.3747</v>
      </c>
      <c r="AN96" t="n">
        <v>0.88</v>
      </c>
      <c r="AO96" t="inlineStr">
        <is>
          <t>Critical</t>
        </is>
      </c>
      <c r="AP96" t="inlineStr">
        <is>
          <t>Off Track</t>
        </is>
      </c>
    </row>
    <row r="97">
      <c r="A97" t="inlineStr">
        <is>
          <t>SUP-0006</t>
        </is>
      </c>
      <c r="B97" t="inlineStr">
        <is>
          <t>Agriculture Supplier 006</t>
        </is>
      </c>
      <c r="C97" t="inlineStr">
        <is>
          <t>Agriculture</t>
        </is>
      </c>
      <c r="D97" t="n">
        <v>2024</v>
      </c>
      <c r="E97" t="n">
        <v>2015</v>
      </c>
      <c r="F97" t="n">
        <v>2040</v>
      </c>
      <c r="G97" t="n">
        <v>20436.7272</v>
      </c>
      <c r="H97" t="n">
        <v>1834.7707</v>
      </c>
      <c r="I97" t="n">
        <v>1396.9006</v>
      </c>
      <c r="J97" t="n">
        <v>15397.2718</v>
      </c>
      <c r="K97" t="n">
        <v>28569472.27</v>
      </c>
      <c r="L97" t="n">
        <v>64789530</v>
      </c>
      <c r="M97" t="n">
        <v>20436.7272</v>
      </c>
      <c r="N97" t="inlineStr">
        <is>
          <t>Provided Total Emissions</t>
        </is>
      </c>
      <c r="O97" t="b">
        <v>1</v>
      </c>
      <c r="P97" t="n">
        <v>0.044298</v>
      </c>
      <c r="Q97" t="n">
        <v>0.029457</v>
      </c>
      <c r="R97" t="n">
        <v>26116.2117</v>
      </c>
      <c r="S97" t="n">
        <v>62789.4772</v>
      </c>
      <c r="T97" t="n">
        <v>5679.4845</v>
      </c>
      <c r="U97" t="n">
        <v>42352.75</v>
      </c>
      <c r="V97" t="n">
        <v>0.277906</v>
      </c>
      <c r="W97" t="n">
        <v>2.072384</v>
      </c>
      <c r="X97" t="inlineStr">
        <is>
          <t>High</t>
        </is>
      </c>
      <c r="Y97" t="inlineStr">
        <is>
          <t>None</t>
        </is>
      </c>
      <c r="Z97" t="inlineStr">
        <is>
          <t>Valid</t>
        </is>
      </c>
      <c r="AA97" t="n">
        <v>2040</v>
      </c>
      <c r="AB97" t="inlineStr">
        <is>
          <t>Historical Trend Pathway</t>
        </is>
      </c>
      <c r="AC97" t="n">
        <v>13835.4074</v>
      </c>
      <c r="AD97" t="n">
        <v>13143.637</v>
      </c>
      <c r="AE97" t="n">
        <v>37753.1569</v>
      </c>
      <c r="AF97" t="n">
        <v>13143.637</v>
      </c>
      <c r="AG97" t="n">
        <v>-23917.7495</v>
      </c>
      <c r="AH97" t="n">
        <v>0.00132145</v>
      </c>
      <c r="AI97" t="n">
        <v>-1.728735</v>
      </c>
      <c r="AJ97" t="n">
        <v>24609.5199</v>
      </c>
      <c r="AK97" t="n">
        <v>27.6708</v>
      </c>
      <c r="AL97" t="n">
        <v>-249852.3396</v>
      </c>
      <c r="AM97" t="n">
        <v>460150.5316</v>
      </c>
      <c r="AN97" t="n">
        <v>0.88</v>
      </c>
      <c r="AO97" t="inlineStr">
        <is>
          <t>Critical</t>
        </is>
      </c>
      <c r="AP97" t="inlineStr">
        <is>
          <t>Off Track</t>
        </is>
      </c>
    </row>
    <row r="98">
      <c r="A98" t="inlineStr">
        <is>
          <t>SUP-0007</t>
        </is>
      </c>
      <c r="B98" t="inlineStr">
        <is>
          <t>Chemicals Supplier 007</t>
        </is>
      </c>
      <c r="C98" t="inlineStr">
        <is>
          <t>Chemicals</t>
        </is>
      </c>
      <c r="D98" t="n">
        <v>2024</v>
      </c>
      <c r="E98" t="n">
        <v>2019</v>
      </c>
      <c r="F98" t="n">
        <v>2030</v>
      </c>
      <c r="G98" t="n">
        <v>38148.1199</v>
      </c>
      <c r="H98" t="n">
        <v>8103.1886</v>
      </c>
      <c r="I98" t="n">
        <v>3254.2091</v>
      </c>
      <c r="J98" t="n">
        <v>25070.6768</v>
      </c>
      <c r="K98" t="n">
        <v>40236055.73</v>
      </c>
      <c r="L98" t="n">
        <v>391577893.99</v>
      </c>
      <c r="M98" t="n">
        <v>38148.1199</v>
      </c>
      <c r="N98" t="inlineStr">
        <is>
          <t>Provided Total Emissions</t>
        </is>
      </c>
      <c r="O98" t="b">
        <v>1</v>
      </c>
      <c r="P98" t="n">
        <v>0.056901</v>
      </c>
      <c r="Q98" t="n">
        <v>0.08079600000000001</v>
      </c>
      <c r="R98" t="n">
        <v>40296.0075</v>
      </c>
      <c r="S98" t="n">
        <v>184527.1668</v>
      </c>
      <c r="T98" t="n">
        <v>2147.8876</v>
      </c>
      <c r="U98" t="n">
        <v>146379.0469</v>
      </c>
      <c r="V98" t="n">
        <v>0.056304</v>
      </c>
      <c r="W98" t="n">
        <v>3.837123</v>
      </c>
      <c r="X98" t="inlineStr">
        <is>
          <t>High</t>
        </is>
      </c>
      <c r="Y98" t="inlineStr">
        <is>
          <t>None</t>
        </is>
      </c>
      <c r="Z98" t="inlineStr">
        <is>
          <t>Valid</t>
        </is>
      </c>
      <c r="AA98" t="n">
        <v>2025</v>
      </c>
      <c r="AB98" t="inlineStr">
        <is>
          <t>Supplier Target Pathway</t>
        </is>
      </c>
      <c r="AC98" t="n">
        <v>28820.1528</v>
      </c>
      <c r="AD98" t="n">
        <v>12470.4801</v>
      </c>
      <c r="AE98" t="n">
        <v>19902.1495</v>
      </c>
      <c r="AF98" t="n">
        <v>19902.1495</v>
      </c>
      <c r="AG98" t="n">
        <v>8918.0033</v>
      </c>
      <c r="AH98" t="n">
        <v>0.00049463</v>
      </c>
      <c r="AI98" t="n">
        <v>0.309436</v>
      </c>
      <c r="AJ98" t="n">
        <v>7431.6694</v>
      </c>
      <c r="AK98" t="n">
        <v>1486.3339</v>
      </c>
      <c r="AL98" t="n">
        <v>54920.7311</v>
      </c>
      <c r="AM98" t="n">
        <v>19902.1495</v>
      </c>
      <c r="AN98" t="n">
        <v>0.99</v>
      </c>
      <c r="AO98" t="inlineStr">
        <is>
          <t>Critical</t>
        </is>
      </c>
      <c r="AP98" t="inlineStr">
        <is>
          <t>On Track to Glide Path</t>
        </is>
      </c>
    </row>
    <row r="99">
      <c r="A99" t="inlineStr">
        <is>
          <t>SUP-0007</t>
        </is>
      </c>
      <c r="B99" t="inlineStr">
        <is>
          <t>Chemicals Supplier 007</t>
        </is>
      </c>
      <c r="C99" t="inlineStr">
        <is>
          <t>Chemicals</t>
        </is>
      </c>
      <c r="D99" t="n">
        <v>2024</v>
      </c>
      <c r="E99" t="n">
        <v>2019</v>
      </c>
      <c r="F99" t="n">
        <v>2030</v>
      </c>
      <c r="G99" t="n">
        <v>38148.1199</v>
      </c>
      <c r="H99" t="n">
        <v>8103.1886</v>
      </c>
      <c r="I99" t="n">
        <v>3254.2091</v>
      </c>
      <c r="J99" t="n">
        <v>25070.6768</v>
      </c>
      <c r="K99" t="n">
        <v>40236055.73</v>
      </c>
      <c r="L99" t="n">
        <v>391577893.99</v>
      </c>
      <c r="M99" t="n">
        <v>38148.1199</v>
      </c>
      <c r="N99" t="inlineStr">
        <is>
          <t>Provided Total Emissions</t>
        </is>
      </c>
      <c r="O99" t="b">
        <v>1</v>
      </c>
      <c r="P99" t="n">
        <v>0.056901</v>
      </c>
      <c r="Q99" t="n">
        <v>0.08079600000000001</v>
      </c>
      <c r="R99" t="n">
        <v>40296.0075</v>
      </c>
      <c r="S99" t="n">
        <v>184527.1668</v>
      </c>
      <c r="T99" t="n">
        <v>2147.8876</v>
      </c>
      <c r="U99" t="n">
        <v>146379.0469</v>
      </c>
      <c r="V99" t="n">
        <v>0.056304</v>
      </c>
      <c r="W99" t="n">
        <v>3.837123</v>
      </c>
      <c r="X99" t="inlineStr">
        <is>
          <t>High</t>
        </is>
      </c>
      <c r="Y99" t="inlineStr">
        <is>
          <t>None</t>
        </is>
      </c>
      <c r="Z99" t="inlineStr">
        <is>
          <t>Valid</t>
        </is>
      </c>
      <c r="AA99" t="n">
        <v>2026</v>
      </c>
      <c r="AB99" t="inlineStr">
        <is>
          <t>Supplier Target Pathway</t>
        </is>
      </c>
      <c r="AC99" t="n">
        <v>28820.1528</v>
      </c>
      <c r="AD99" t="n">
        <v>12470.4801</v>
      </c>
      <c r="AE99" t="n">
        <v>18415.8156</v>
      </c>
      <c r="AF99" t="n">
        <v>18415.8156</v>
      </c>
      <c r="AG99" t="n">
        <v>10404.3372</v>
      </c>
      <c r="AH99" t="n">
        <v>0.00045769</v>
      </c>
      <c r="AI99" t="n">
        <v>0.361009</v>
      </c>
      <c r="AJ99" t="n">
        <v>5945.3355</v>
      </c>
      <c r="AK99" t="n">
        <v>1486.3339</v>
      </c>
      <c r="AL99" t="n">
        <v>36504.9155</v>
      </c>
      <c r="AM99" t="n">
        <v>38317.9651</v>
      </c>
      <c r="AN99" t="n">
        <v>0.99</v>
      </c>
      <c r="AO99" t="inlineStr">
        <is>
          <t>Critical</t>
        </is>
      </c>
      <c r="AP99" t="inlineStr">
        <is>
          <t>On Track to Glide Path</t>
        </is>
      </c>
    </row>
    <row r="100">
      <c r="A100" t="inlineStr">
        <is>
          <t>SUP-0007</t>
        </is>
      </c>
      <c r="B100" t="inlineStr">
        <is>
          <t>Chemicals Supplier 007</t>
        </is>
      </c>
      <c r="C100" t="inlineStr">
        <is>
          <t>Chemicals</t>
        </is>
      </c>
      <c r="D100" t="n">
        <v>2024</v>
      </c>
      <c r="E100" t="n">
        <v>2019</v>
      </c>
      <c r="F100" t="n">
        <v>2030</v>
      </c>
      <c r="G100" t="n">
        <v>38148.1199</v>
      </c>
      <c r="H100" t="n">
        <v>8103.1886</v>
      </c>
      <c r="I100" t="n">
        <v>3254.2091</v>
      </c>
      <c r="J100" t="n">
        <v>25070.6768</v>
      </c>
      <c r="K100" t="n">
        <v>40236055.73</v>
      </c>
      <c r="L100" t="n">
        <v>391577893.99</v>
      </c>
      <c r="M100" t="n">
        <v>38148.1199</v>
      </c>
      <c r="N100" t="inlineStr">
        <is>
          <t>Provided Total Emissions</t>
        </is>
      </c>
      <c r="O100" t="b">
        <v>1</v>
      </c>
      <c r="P100" t="n">
        <v>0.056901</v>
      </c>
      <c r="Q100" t="n">
        <v>0.08079600000000001</v>
      </c>
      <c r="R100" t="n">
        <v>40296.0075</v>
      </c>
      <c r="S100" t="n">
        <v>184527.1668</v>
      </c>
      <c r="T100" t="n">
        <v>2147.8876</v>
      </c>
      <c r="U100" t="n">
        <v>146379.0469</v>
      </c>
      <c r="V100" t="n">
        <v>0.056304</v>
      </c>
      <c r="W100" t="n">
        <v>3.837123</v>
      </c>
      <c r="X100" t="inlineStr">
        <is>
          <t>High</t>
        </is>
      </c>
      <c r="Y100" t="inlineStr">
        <is>
          <t>None</t>
        </is>
      </c>
      <c r="Z100" t="inlineStr">
        <is>
          <t>Valid</t>
        </is>
      </c>
      <c r="AA100" t="n">
        <v>2027</v>
      </c>
      <c r="AB100" t="inlineStr">
        <is>
          <t>Supplier Target Pathway</t>
        </is>
      </c>
      <c r="AC100" t="n">
        <v>28820.1528</v>
      </c>
      <c r="AD100" t="n">
        <v>12470.4801</v>
      </c>
      <c r="AE100" t="n">
        <v>16929.4818</v>
      </c>
      <c r="AF100" t="n">
        <v>16929.4818</v>
      </c>
      <c r="AG100" t="n">
        <v>11890.671</v>
      </c>
      <c r="AH100" t="n">
        <v>0.00042075</v>
      </c>
      <c r="AI100" t="n">
        <v>0.412582</v>
      </c>
      <c r="AJ100" t="n">
        <v>4459.0016</v>
      </c>
      <c r="AK100" t="n">
        <v>1486.3339</v>
      </c>
      <c r="AL100" t="n">
        <v>19575.4337</v>
      </c>
      <c r="AM100" t="n">
        <v>55247.4469</v>
      </c>
      <c r="AN100" t="n">
        <v>0.99</v>
      </c>
      <c r="AO100" t="inlineStr">
        <is>
          <t>Critical</t>
        </is>
      </c>
      <c r="AP100" t="inlineStr">
        <is>
          <t>On Track to Glide Path</t>
        </is>
      </c>
    </row>
    <row r="101">
      <c r="A101" t="inlineStr">
        <is>
          <t>SUP-0007</t>
        </is>
      </c>
      <c r="B101" t="inlineStr">
        <is>
          <t>Chemicals Supplier 007</t>
        </is>
      </c>
      <c r="C101" t="inlineStr">
        <is>
          <t>Chemicals</t>
        </is>
      </c>
      <c r="D101" t="n">
        <v>2024</v>
      </c>
      <c r="E101" t="n">
        <v>2019</v>
      </c>
      <c r="F101" t="n">
        <v>2030</v>
      </c>
      <c r="G101" t="n">
        <v>38148.1199</v>
      </c>
      <c r="H101" t="n">
        <v>8103.1886</v>
      </c>
      <c r="I101" t="n">
        <v>3254.2091</v>
      </c>
      <c r="J101" t="n">
        <v>25070.6768</v>
      </c>
      <c r="K101" t="n">
        <v>40236055.73</v>
      </c>
      <c r="L101" t="n">
        <v>391577893.99</v>
      </c>
      <c r="M101" t="n">
        <v>38148.1199</v>
      </c>
      <c r="N101" t="inlineStr">
        <is>
          <t>Provided Total Emissions</t>
        </is>
      </c>
      <c r="O101" t="b">
        <v>1</v>
      </c>
      <c r="P101" t="n">
        <v>0.056901</v>
      </c>
      <c r="Q101" t="n">
        <v>0.08079600000000001</v>
      </c>
      <c r="R101" t="n">
        <v>40296.0075</v>
      </c>
      <c r="S101" t="n">
        <v>184527.1668</v>
      </c>
      <c r="T101" t="n">
        <v>2147.8876</v>
      </c>
      <c r="U101" t="n">
        <v>146379.0469</v>
      </c>
      <c r="V101" t="n">
        <v>0.056304</v>
      </c>
      <c r="W101" t="n">
        <v>3.837123</v>
      </c>
      <c r="X101" t="inlineStr">
        <is>
          <t>High</t>
        </is>
      </c>
      <c r="Y101" t="inlineStr">
        <is>
          <t>None</t>
        </is>
      </c>
      <c r="Z101" t="inlineStr">
        <is>
          <t>Valid</t>
        </is>
      </c>
      <c r="AA101" t="n">
        <v>2028</v>
      </c>
      <c r="AB101" t="inlineStr">
        <is>
          <t>Supplier Target Pathway</t>
        </is>
      </c>
      <c r="AC101" t="n">
        <v>28820.1528</v>
      </c>
      <c r="AD101" t="n">
        <v>12470.4801</v>
      </c>
      <c r="AE101" t="n">
        <v>15443.1479</v>
      </c>
      <c r="AF101" t="n">
        <v>15443.1479</v>
      </c>
      <c r="AG101" t="n">
        <v>13377.0049</v>
      </c>
      <c r="AH101" t="n">
        <v>0.00038381</v>
      </c>
      <c r="AI101" t="n">
        <v>0.464155</v>
      </c>
      <c r="AJ101" t="n">
        <v>2972.6678</v>
      </c>
      <c r="AK101" t="n">
        <v>1486.3339</v>
      </c>
      <c r="AL101" t="n">
        <v>4132.2858</v>
      </c>
      <c r="AM101" t="n">
        <v>70690.59480000001</v>
      </c>
      <c r="AN101" t="n">
        <v>0.99</v>
      </c>
      <c r="AO101" t="inlineStr">
        <is>
          <t>High</t>
        </is>
      </c>
      <c r="AP101" t="inlineStr">
        <is>
          <t>On Track to Glide Path</t>
        </is>
      </c>
    </row>
    <row r="102">
      <c r="A102" t="inlineStr">
        <is>
          <t>SUP-0007</t>
        </is>
      </c>
      <c r="B102" t="inlineStr">
        <is>
          <t>Chemicals Supplier 007</t>
        </is>
      </c>
      <c r="C102" t="inlineStr">
        <is>
          <t>Chemicals</t>
        </is>
      </c>
      <c r="D102" t="n">
        <v>2024</v>
      </c>
      <c r="E102" t="n">
        <v>2019</v>
      </c>
      <c r="F102" t="n">
        <v>2030</v>
      </c>
      <c r="G102" t="n">
        <v>38148.1199</v>
      </c>
      <c r="H102" t="n">
        <v>8103.1886</v>
      </c>
      <c r="I102" t="n">
        <v>3254.2091</v>
      </c>
      <c r="J102" t="n">
        <v>25070.6768</v>
      </c>
      <c r="K102" t="n">
        <v>40236055.73</v>
      </c>
      <c r="L102" t="n">
        <v>391577893.99</v>
      </c>
      <c r="M102" t="n">
        <v>38148.1199</v>
      </c>
      <c r="N102" t="inlineStr">
        <is>
          <t>Provided Total Emissions</t>
        </is>
      </c>
      <c r="O102" t="b">
        <v>1</v>
      </c>
      <c r="P102" t="n">
        <v>0.056901</v>
      </c>
      <c r="Q102" t="n">
        <v>0.08079600000000001</v>
      </c>
      <c r="R102" t="n">
        <v>40296.0075</v>
      </c>
      <c r="S102" t="n">
        <v>184527.1668</v>
      </c>
      <c r="T102" t="n">
        <v>2147.8876</v>
      </c>
      <c r="U102" t="n">
        <v>146379.0469</v>
      </c>
      <c r="V102" t="n">
        <v>0.056304</v>
      </c>
      <c r="W102" t="n">
        <v>3.837123</v>
      </c>
      <c r="X102" t="inlineStr">
        <is>
          <t>High</t>
        </is>
      </c>
      <c r="Y102" t="inlineStr">
        <is>
          <t>None</t>
        </is>
      </c>
      <c r="Z102" t="inlineStr">
        <is>
          <t>Valid</t>
        </is>
      </c>
      <c r="AA102" t="n">
        <v>2029</v>
      </c>
      <c r="AB102" t="inlineStr">
        <is>
          <t>Supplier Target Pathway</t>
        </is>
      </c>
      <c r="AC102" t="n">
        <v>28820.1528</v>
      </c>
      <c r="AD102" t="n">
        <v>12470.4801</v>
      </c>
      <c r="AE102" t="n">
        <v>13956.814</v>
      </c>
      <c r="AF102" t="n">
        <v>13956.814</v>
      </c>
      <c r="AG102" t="n">
        <v>14863.3388</v>
      </c>
      <c r="AH102" t="n">
        <v>0.00034687</v>
      </c>
      <c r="AI102" t="n">
        <v>0.515727</v>
      </c>
      <c r="AJ102" t="n">
        <v>1486.3339</v>
      </c>
      <c r="AK102" t="n">
        <v>1486.3339</v>
      </c>
      <c r="AL102" t="n">
        <v>-9824.528200000001</v>
      </c>
      <c r="AM102" t="n">
        <v>84647.4088</v>
      </c>
      <c r="AN102" t="n">
        <v>0.99</v>
      </c>
      <c r="AO102" t="inlineStr">
        <is>
          <t>Medium</t>
        </is>
      </c>
      <c r="AP102" t="inlineStr">
        <is>
          <t>On Track to Glide Path</t>
        </is>
      </c>
    </row>
    <row r="103">
      <c r="A103" t="inlineStr">
        <is>
          <t>SUP-0007</t>
        </is>
      </c>
      <c r="B103" t="inlineStr">
        <is>
          <t>Chemicals Supplier 007</t>
        </is>
      </c>
      <c r="C103" t="inlineStr">
        <is>
          <t>Chemicals</t>
        </is>
      </c>
      <c r="D103" t="n">
        <v>2024</v>
      </c>
      <c r="E103" t="n">
        <v>2019</v>
      </c>
      <c r="F103" t="n">
        <v>2030</v>
      </c>
      <c r="G103" t="n">
        <v>38148.1199</v>
      </c>
      <c r="H103" t="n">
        <v>8103.1886</v>
      </c>
      <c r="I103" t="n">
        <v>3254.2091</v>
      </c>
      <c r="J103" t="n">
        <v>25070.6768</v>
      </c>
      <c r="K103" t="n">
        <v>40236055.73</v>
      </c>
      <c r="L103" t="n">
        <v>391577893.99</v>
      </c>
      <c r="M103" t="n">
        <v>38148.1199</v>
      </c>
      <c r="N103" t="inlineStr">
        <is>
          <t>Provided Total Emissions</t>
        </is>
      </c>
      <c r="O103" t="b">
        <v>1</v>
      </c>
      <c r="P103" t="n">
        <v>0.056901</v>
      </c>
      <c r="Q103" t="n">
        <v>0.08079600000000001</v>
      </c>
      <c r="R103" t="n">
        <v>40296.0075</v>
      </c>
      <c r="S103" t="n">
        <v>184527.1668</v>
      </c>
      <c r="T103" t="n">
        <v>2147.8876</v>
      </c>
      <c r="U103" t="n">
        <v>146379.0469</v>
      </c>
      <c r="V103" t="n">
        <v>0.056304</v>
      </c>
      <c r="W103" t="n">
        <v>3.837123</v>
      </c>
      <c r="X103" t="inlineStr">
        <is>
          <t>High</t>
        </is>
      </c>
      <c r="Y103" t="inlineStr">
        <is>
          <t>None</t>
        </is>
      </c>
      <c r="Z103" t="inlineStr">
        <is>
          <t>Valid</t>
        </is>
      </c>
      <c r="AA103" t="n">
        <v>2030</v>
      </c>
      <c r="AB103" t="inlineStr">
        <is>
          <t>Supplier Target Pathway</t>
        </is>
      </c>
      <c r="AC103" t="n">
        <v>28820.1528</v>
      </c>
      <c r="AD103" t="n">
        <v>12470.4801</v>
      </c>
      <c r="AE103" t="n">
        <v>12470.4801</v>
      </c>
      <c r="AF103" t="n">
        <v>12470.4801</v>
      </c>
      <c r="AG103" t="n">
        <v>16349.6727</v>
      </c>
      <c r="AH103" t="n">
        <v>0.00030993</v>
      </c>
      <c r="AI103" t="n">
        <v>0.5673</v>
      </c>
      <c r="AJ103" t="n">
        <v>0</v>
      </c>
      <c r="AK103" t="n">
        <v>1486.3339</v>
      </c>
      <c r="AL103" t="n">
        <v>-22295.0083</v>
      </c>
      <c r="AM103" t="n">
        <v>97117.88890000001</v>
      </c>
      <c r="AN103" t="n">
        <v>0.99</v>
      </c>
      <c r="AO103" t="inlineStr">
        <is>
          <t>Low</t>
        </is>
      </c>
      <c r="AP103" t="inlineStr">
        <is>
          <t>On Track</t>
        </is>
      </c>
    </row>
    <row r="104">
      <c r="A104" t="inlineStr">
        <is>
          <t>SUP-0007</t>
        </is>
      </c>
      <c r="B104" t="inlineStr">
        <is>
          <t>Chemicals Supplier 007</t>
        </is>
      </c>
      <c r="C104" t="inlineStr">
        <is>
          <t>Chemicals</t>
        </is>
      </c>
      <c r="D104" t="n">
        <v>2024</v>
      </c>
      <c r="E104" t="n">
        <v>2019</v>
      </c>
      <c r="F104" t="n">
        <v>2030</v>
      </c>
      <c r="G104" t="n">
        <v>38148.1199</v>
      </c>
      <c r="H104" t="n">
        <v>8103.1886</v>
      </c>
      <c r="I104" t="n">
        <v>3254.2091</v>
      </c>
      <c r="J104" t="n">
        <v>25070.6768</v>
      </c>
      <c r="K104" t="n">
        <v>40236055.73</v>
      </c>
      <c r="L104" t="n">
        <v>391577893.99</v>
      </c>
      <c r="M104" t="n">
        <v>38148.1199</v>
      </c>
      <c r="N104" t="inlineStr">
        <is>
          <t>Provided Total Emissions</t>
        </is>
      </c>
      <c r="O104" t="b">
        <v>1</v>
      </c>
      <c r="P104" t="n">
        <v>0.056901</v>
      </c>
      <c r="Q104" t="n">
        <v>0.08079600000000001</v>
      </c>
      <c r="R104" t="n">
        <v>40296.0075</v>
      </c>
      <c r="S104" t="n">
        <v>184527.1668</v>
      </c>
      <c r="T104" t="n">
        <v>2147.8876</v>
      </c>
      <c r="U104" t="n">
        <v>146379.0469</v>
      </c>
      <c r="V104" t="n">
        <v>0.056304</v>
      </c>
      <c r="W104" t="n">
        <v>3.837123</v>
      </c>
      <c r="X104" t="inlineStr">
        <is>
          <t>High</t>
        </is>
      </c>
      <c r="Y104" t="inlineStr">
        <is>
          <t>None</t>
        </is>
      </c>
      <c r="Z104" t="inlineStr">
        <is>
          <t>Valid</t>
        </is>
      </c>
      <c r="AA104" t="n">
        <v>2031</v>
      </c>
      <c r="AB104" t="inlineStr">
        <is>
          <t>Supplier Target Pathway</t>
        </is>
      </c>
      <c r="AC104" t="n">
        <v>28820.1528</v>
      </c>
      <c r="AD104" t="n">
        <v>12470.4801</v>
      </c>
      <c r="AE104" t="n">
        <v>12470.4801</v>
      </c>
      <c r="AF104" t="n">
        <v>12470.4801</v>
      </c>
      <c r="AG104" t="n">
        <v>16349.6727</v>
      </c>
      <c r="AH104" t="n">
        <v>0.00030993</v>
      </c>
      <c r="AI104" t="n">
        <v>0.5673</v>
      </c>
      <c r="AJ104" t="n">
        <v>0</v>
      </c>
      <c r="AK104" t="n">
        <v>1486.3339</v>
      </c>
      <c r="AL104" t="n">
        <v>-34765.4884</v>
      </c>
      <c r="AM104" t="n">
        <v>109588.369</v>
      </c>
      <c r="AN104" t="n">
        <v>0.99</v>
      </c>
      <c r="AO104" t="inlineStr">
        <is>
          <t>Low</t>
        </is>
      </c>
      <c r="AP104" t="inlineStr">
        <is>
          <t>On Track</t>
        </is>
      </c>
    </row>
    <row r="105">
      <c r="A105" t="inlineStr">
        <is>
          <t>SUP-0007</t>
        </is>
      </c>
      <c r="B105" t="inlineStr">
        <is>
          <t>Chemicals Supplier 007</t>
        </is>
      </c>
      <c r="C105" t="inlineStr">
        <is>
          <t>Chemicals</t>
        </is>
      </c>
      <c r="D105" t="n">
        <v>2024</v>
      </c>
      <c r="E105" t="n">
        <v>2019</v>
      </c>
      <c r="F105" t="n">
        <v>2030</v>
      </c>
      <c r="G105" t="n">
        <v>38148.1199</v>
      </c>
      <c r="H105" t="n">
        <v>8103.1886</v>
      </c>
      <c r="I105" t="n">
        <v>3254.2091</v>
      </c>
      <c r="J105" t="n">
        <v>25070.6768</v>
      </c>
      <c r="K105" t="n">
        <v>40236055.73</v>
      </c>
      <c r="L105" t="n">
        <v>391577893.99</v>
      </c>
      <c r="M105" t="n">
        <v>38148.1199</v>
      </c>
      <c r="N105" t="inlineStr">
        <is>
          <t>Provided Total Emissions</t>
        </is>
      </c>
      <c r="O105" t="b">
        <v>1</v>
      </c>
      <c r="P105" t="n">
        <v>0.056901</v>
      </c>
      <c r="Q105" t="n">
        <v>0.08079600000000001</v>
      </c>
      <c r="R105" t="n">
        <v>40296.0075</v>
      </c>
      <c r="S105" t="n">
        <v>184527.1668</v>
      </c>
      <c r="T105" t="n">
        <v>2147.8876</v>
      </c>
      <c r="U105" t="n">
        <v>146379.0469</v>
      </c>
      <c r="V105" t="n">
        <v>0.056304</v>
      </c>
      <c r="W105" t="n">
        <v>3.837123</v>
      </c>
      <c r="X105" t="inlineStr">
        <is>
          <t>High</t>
        </is>
      </c>
      <c r="Y105" t="inlineStr">
        <is>
          <t>None</t>
        </is>
      </c>
      <c r="Z105" t="inlineStr">
        <is>
          <t>Valid</t>
        </is>
      </c>
      <c r="AA105" t="n">
        <v>2032</v>
      </c>
      <c r="AB105" t="inlineStr">
        <is>
          <t>Supplier Target Pathway</t>
        </is>
      </c>
      <c r="AC105" t="n">
        <v>28820.1528</v>
      </c>
      <c r="AD105" t="n">
        <v>12470.4801</v>
      </c>
      <c r="AE105" t="n">
        <v>12470.4801</v>
      </c>
      <c r="AF105" t="n">
        <v>12470.4801</v>
      </c>
      <c r="AG105" t="n">
        <v>16349.6727</v>
      </c>
      <c r="AH105" t="n">
        <v>0.00030993</v>
      </c>
      <c r="AI105" t="n">
        <v>0.5673</v>
      </c>
      <c r="AJ105" t="n">
        <v>0</v>
      </c>
      <c r="AK105" t="n">
        <v>1486.3339</v>
      </c>
      <c r="AL105" t="n">
        <v>-47235.9685</v>
      </c>
      <c r="AM105" t="n">
        <v>122058.8491</v>
      </c>
      <c r="AN105" t="n">
        <v>0.99</v>
      </c>
      <c r="AO105" t="inlineStr">
        <is>
          <t>Low</t>
        </is>
      </c>
      <c r="AP105" t="inlineStr">
        <is>
          <t>On Track</t>
        </is>
      </c>
    </row>
    <row r="106">
      <c r="A106" t="inlineStr">
        <is>
          <t>SUP-0007</t>
        </is>
      </c>
      <c r="B106" t="inlineStr">
        <is>
          <t>Chemicals Supplier 007</t>
        </is>
      </c>
      <c r="C106" t="inlineStr">
        <is>
          <t>Chemicals</t>
        </is>
      </c>
      <c r="D106" t="n">
        <v>2024</v>
      </c>
      <c r="E106" t="n">
        <v>2019</v>
      </c>
      <c r="F106" t="n">
        <v>2030</v>
      </c>
      <c r="G106" t="n">
        <v>38148.1199</v>
      </c>
      <c r="H106" t="n">
        <v>8103.1886</v>
      </c>
      <c r="I106" t="n">
        <v>3254.2091</v>
      </c>
      <c r="J106" t="n">
        <v>25070.6768</v>
      </c>
      <c r="K106" t="n">
        <v>40236055.73</v>
      </c>
      <c r="L106" t="n">
        <v>391577893.99</v>
      </c>
      <c r="M106" t="n">
        <v>38148.1199</v>
      </c>
      <c r="N106" t="inlineStr">
        <is>
          <t>Provided Total Emissions</t>
        </is>
      </c>
      <c r="O106" t="b">
        <v>1</v>
      </c>
      <c r="P106" t="n">
        <v>0.056901</v>
      </c>
      <c r="Q106" t="n">
        <v>0.08079600000000001</v>
      </c>
      <c r="R106" t="n">
        <v>40296.0075</v>
      </c>
      <c r="S106" t="n">
        <v>184527.1668</v>
      </c>
      <c r="T106" t="n">
        <v>2147.8876</v>
      </c>
      <c r="U106" t="n">
        <v>146379.0469</v>
      </c>
      <c r="V106" t="n">
        <v>0.056304</v>
      </c>
      <c r="W106" t="n">
        <v>3.837123</v>
      </c>
      <c r="X106" t="inlineStr">
        <is>
          <t>High</t>
        </is>
      </c>
      <c r="Y106" t="inlineStr">
        <is>
          <t>None</t>
        </is>
      </c>
      <c r="Z106" t="inlineStr">
        <is>
          <t>Valid</t>
        </is>
      </c>
      <c r="AA106" t="n">
        <v>2033</v>
      </c>
      <c r="AB106" t="inlineStr">
        <is>
          <t>Supplier Target Pathway</t>
        </is>
      </c>
      <c r="AC106" t="n">
        <v>28820.1528</v>
      </c>
      <c r="AD106" t="n">
        <v>12470.4801</v>
      </c>
      <c r="AE106" t="n">
        <v>12470.4801</v>
      </c>
      <c r="AF106" t="n">
        <v>12470.4801</v>
      </c>
      <c r="AG106" t="n">
        <v>16349.6727</v>
      </c>
      <c r="AH106" t="n">
        <v>0.00030993</v>
      </c>
      <c r="AI106" t="n">
        <v>0.5673</v>
      </c>
      <c r="AJ106" t="n">
        <v>0</v>
      </c>
      <c r="AK106" t="n">
        <v>1486.3339</v>
      </c>
      <c r="AL106" t="n">
        <v>-59706.4486</v>
      </c>
      <c r="AM106" t="n">
        <v>134529.3292</v>
      </c>
      <c r="AN106" t="n">
        <v>0.99</v>
      </c>
      <c r="AO106" t="inlineStr">
        <is>
          <t>Low</t>
        </is>
      </c>
      <c r="AP106" t="inlineStr">
        <is>
          <t>On Track</t>
        </is>
      </c>
    </row>
    <row r="107">
      <c r="A107" t="inlineStr">
        <is>
          <t>SUP-0007</t>
        </is>
      </c>
      <c r="B107" t="inlineStr">
        <is>
          <t>Chemicals Supplier 007</t>
        </is>
      </c>
      <c r="C107" t="inlineStr">
        <is>
          <t>Chemicals</t>
        </is>
      </c>
      <c r="D107" t="n">
        <v>2024</v>
      </c>
      <c r="E107" t="n">
        <v>2019</v>
      </c>
      <c r="F107" t="n">
        <v>2030</v>
      </c>
      <c r="G107" t="n">
        <v>38148.1199</v>
      </c>
      <c r="H107" t="n">
        <v>8103.1886</v>
      </c>
      <c r="I107" t="n">
        <v>3254.2091</v>
      </c>
      <c r="J107" t="n">
        <v>25070.6768</v>
      </c>
      <c r="K107" t="n">
        <v>40236055.73</v>
      </c>
      <c r="L107" t="n">
        <v>391577893.99</v>
      </c>
      <c r="M107" t="n">
        <v>38148.1199</v>
      </c>
      <c r="N107" t="inlineStr">
        <is>
          <t>Provided Total Emissions</t>
        </is>
      </c>
      <c r="O107" t="b">
        <v>1</v>
      </c>
      <c r="P107" t="n">
        <v>0.056901</v>
      </c>
      <c r="Q107" t="n">
        <v>0.08079600000000001</v>
      </c>
      <c r="R107" t="n">
        <v>40296.0075</v>
      </c>
      <c r="S107" t="n">
        <v>184527.1668</v>
      </c>
      <c r="T107" t="n">
        <v>2147.8876</v>
      </c>
      <c r="U107" t="n">
        <v>146379.0469</v>
      </c>
      <c r="V107" t="n">
        <v>0.056304</v>
      </c>
      <c r="W107" t="n">
        <v>3.837123</v>
      </c>
      <c r="X107" t="inlineStr">
        <is>
          <t>High</t>
        </is>
      </c>
      <c r="Y107" t="inlineStr">
        <is>
          <t>None</t>
        </is>
      </c>
      <c r="Z107" t="inlineStr">
        <is>
          <t>Valid</t>
        </is>
      </c>
      <c r="AA107" t="n">
        <v>2034</v>
      </c>
      <c r="AB107" t="inlineStr">
        <is>
          <t>Supplier Target Pathway</t>
        </is>
      </c>
      <c r="AC107" t="n">
        <v>28820.1528</v>
      </c>
      <c r="AD107" t="n">
        <v>12470.4801</v>
      </c>
      <c r="AE107" t="n">
        <v>12470.4801</v>
      </c>
      <c r="AF107" t="n">
        <v>12470.4801</v>
      </c>
      <c r="AG107" t="n">
        <v>16349.6727</v>
      </c>
      <c r="AH107" t="n">
        <v>0.00030993</v>
      </c>
      <c r="AI107" t="n">
        <v>0.5673</v>
      </c>
      <c r="AJ107" t="n">
        <v>0</v>
      </c>
      <c r="AK107" t="n">
        <v>1486.3339</v>
      </c>
      <c r="AL107" t="n">
        <v>-72176.9287</v>
      </c>
      <c r="AM107" t="n">
        <v>146999.8093</v>
      </c>
      <c r="AN107" t="n">
        <v>0.99</v>
      </c>
      <c r="AO107" t="inlineStr">
        <is>
          <t>Low</t>
        </is>
      </c>
      <c r="AP107" t="inlineStr">
        <is>
          <t>On Track</t>
        </is>
      </c>
    </row>
    <row r="108">
      <c r="A108" t="inlineStr">
        <is>
          <t>SUP-0007</t>
        </is>
      </c>
      <c r="B108" t="inlineStr">
        <is>
          <t>Chemicals Supplier 007</t>
        </is>
      </c>
      <c r="C108" t="inlineStr">
        <is>
          <t>Chemicals</t>
        </is>
      </c>
      <c r="D108" t="n">
        <v>2024</v>
      </c>
      <c r="E108" t="n">
        <v>2019</v>
      </c>
      <c r="F108" t="n">
        <v>2030</v>
      </c>
      <c r="G108" t="n">
        <v>38148.1199</v>
      </c>
      <c r="H108" t="n">
        <v>8103.1886</v>
      </c>
      <c r="I108" t="n">
        <v>3254.2091</v>
      </c>
      <c r="J108" t="n">
        <v>25070.6768</v>
      </c>
      <c r="K108" t="n">
        <v>40236055.73</v>
      </c>
      <c r="L108" t="n">
        <v>391577893.99</v>
      </c>
      <c r="M108" t="n">
        <v>38148.1199</v>
      </c>
      <c r="N108" t="inlineStr">
        <is>
          <t>Provided Total Emissions</t>
        </is>
      </c>
      <c r="O108" t="b">
        <v>1</v>
      </c>
      <c r="P108" t="n">
        <v>0.056901</v>
      </c>
      <c r="Q108" t="n">
        <v>0.08079600000000001</v>
      </c>
      <c r="R108" t="n">
        <v>40296.0075</v>
      </c>
      <c r="S108" t="n">
        <v>184527.1668</v>
      </c>
      <c r="T108" t="n">
        <v>2147.8876</v>
      </c>
      <c r="U108" t="n">
        <v>146379.0469</v>
      </c>
      <c r="V108" t="n">
        <v>0.056304</v>
      </c>
      <c r="W108" t="n">
        <v>3.837123</v>
      </c>
      <c r="X108" t="inlineStr">
        <is>
          <t>High</t>
        </is>
      </c>
      <c r="Y108" t="inlineStr">
        <is>
          <t>None</t>
        </is>
      </c>
      <c r="Z108" t="inlineStr">
        <is>
          <t>Valid</t>
        </is>
      </c>
      <c r="AA108" t="n">
        <v>2035</v>
      </c>
      <c r="AB108" t="inlineStr">
        <is>
          <t>Supplier Target Pathway</t>
        </is>
      </c>
      <c r="AC108" t="n">
        <v>28820.1528</v>
      </c>
      <c r="AD108" t="n">
        <v>12470.4801</v>
      </c>
      <c r="AE108" t="n">
        <v>12470.4801</v>
      </c>
      <c r="AF108" t="n">
        <v>12470.4801</v>
      </c>
      <c r="AG108" t="n">
        <v>16349.6727</v>
      </c>
      <c r="AH108" t="n">
        <v>0.00030993</v>
      </c>
      <c r="AI108" t="n">
        <v>0.5673</v>
      </c>
      <c r="AJ108" t="n">
        <v>0</v>
      </c>
      <c r="AK108" t="n">
        <v>1486.3339</v>
      </c>
      <c r="AL108" t="n">
        <v>-84647.4088</v>
      </c>
      <c r="AM108" t="n">
        <v>159470.2894</v>
      </c>
      <c r="AN108" t="n">
        <v>0.99</v>
      </c>
      <c r="AO108" t="inlineStr">
        <is>
          <t>Low</t>
        </is>
      </c>
      <c r="AP108" t="inlineStr">
        <is>
          <t>On Track</t>
        </is>
      </c>
    </row>
    <row r="109">
      <c r="A109" t="inlineStr">
        <is>
          <t>SUP-0007</t>
        </is>
      </c>
      <c r="B109" t="inlineStr">
        <is>
          <t>Chemicals Supplier 007</t>
        </is>
      </c>
      <c r="C109" t="inlineStr">
        <is>
          <t>Chemicals</t>
        </is>
      </c>
      <c r="D109" t="n">
        <v>2024</v>
      </c>
      <c r="E109" t="n">
        <v>2019</v>
      </c>
      <c r="F109" t="n">
        <v>2030</v>
      </c>
      <c r="G109" t="n">
        <v>38148.1199</v>
      </c>
      <c r="H109" t="n">
        <v>8103.1886</v>
      </c>
      <c r="I109" t="n">
        <v>3254.2091</v>
      </c>
      <c r="J109" t="n">
        <v>25070.6768</v>
      </c>
      <c r="K109" t="n">
        <v>40236055.73</v>
      </c>
      <c r="L109" t="n">
        <v>391577893.99</v>
      </c>
      <c r="M109" t="n">
        <v>38148.1199</v>
      </c>
      <c r="N109" t="inlineStr">
        <is>
          <t>Provided Total Emissions</t>
        </is>
      </c>
      <c r="O109" t="b">
        <v>1</v>
      </c>
      <c r="P109" t="n">
        <v>0.056901</v>
      </c>
      <c r="Q109" t="n">
        <v>0.08079600000000001</v>
      </c>
      <c r="R109" t="n">
        <v>40296.0075</v>
      </c>
      <c r="S109" t="n">
        <v>184527.1668</v>
      </c>
      <c r="T109" t="n">
        <v>2147.8876</v>
      </c>
      <c r="U109" t="n">
        <v>146379.0469</v>
      </c>
      <c r="V109" t="n">
        <v>0.056304</v>
      </c>
      <c r="W109" t="n">
        <v>3.837123</v>
      </c>
      <c r="X109" t="inlineStr">
        <is>
          <t>High</t>
        </is>
      </c>
      <c r="Y109" t="inlineStr">
        <is>
          <t>None</t>
        </is>
      </c>
      <c r="Z109" t="inlineStr">
        <is>
          <t>Valid</t>
        </is>
      </c>
      <c r="AA109" t="n">
        <v>2036</v>
      </c>
      <c r="AB109" t="inlineStr">
        <is>
          <t>Supplier Target Pathway</t>
        </is>
      </c>
      <c r="AC109" t="n">
        <v>28820.1528</v>
      </c>
      <c r="AD109" t="n">
        <v>12470.4801</v>
      </c>
      <c r="AE109" t="n">
        <v>12470.4801</v>
      </c>
      <c r="AF109" t="n">
        <v>12470.4801</v>
      </c>
      <c r="AG109" t="n">
        <v>16349.6727</v>
      </c>
      <c r="AH109" t="n">
        <v>0.00030993</v>
      </c>
      <c r="AI109" t="n">
        <v>0.5673</v>
      </c>
      <c r="AJ109" t="n">
        <v>0</v>
      </c>
      <c r="AK109" t="n">
        <v>1486.3339</v>
      </c>
      <c r="AL109" t="n">
        <v>-97117.88890000001</v>
      </c>
      <c r="AM109" t="n">
        <v>171940.7695</v>
      </c>
      <c r="AN109" t="n">
        <v>0.99</v>
      </c>
      <c r="AO109" t="inlineStr">
        <is>
          <t>Low</t>
        </is>
      </c>
      <c r="AP109" t="inlineStr">
        <is>
          <t>On Track</t>
        </is>
      </c>
    </row>
    <row r="110">
      <c r="A110" t="inlineStr">
        <is>
          <t>SUP-0007</t>
        </is>
      </c>
      <c r="B110" t="inlineStr">
        <is>
          <t>Chemicals Supplier 007</t>
        </is>
      </c>
      <c r="C110" t="inlineStr">
        <is>
          <t>Chemicals</t>
        </is>
      </c>
      <c r="D110" t="n">
        <v>2024</v>
      </c>
      <c r="E110" t="n">
        <v>2019</v>
      </c>
      <c r="F110" t="n">
        <v>2030</v>
      </c>
      <c r="G110" t="n">
        <v>38148.1199</v>
      </c>
      <c r="H110" t="n">
        <v>8103.1886</v>
      </c>
      <c r="I110" t="n">
        <v>3254.2091</v>
      </c>
      <c r="J110" t="n">
        <v>25070.6768</v>
      </c>
      <c r="K110" t="n">
        <v>40236055.73</v>
      </c>
      <c r="L110" t="n">
        <v>391577893.99</v>
      </c>
      <c r="M110" t="n">
        <v>38148.1199</v>
      </c>
      <c r="N110" t="inlineStr">
        <is>
          <t>Provided Total Emissions</t>
        </is>
      </c>
      <c r="O110" t="b">
        <v>1</v>
      </c>
      <c r="P110" t="n">
        <v>0.056901</v>
      </c>
      <c r="Q110" t="n">
        <v>0.08079600000000001</v>
      </c>
      <c r="R110" t="n">
        <v>40296.0075</v>
      </c>
      <c r="S110" t="n">
        <v>184527.1668</v>
      </c>
      <c r="T110" t="n">
        <v>2147.8876</v>
      </c>
      <c r="U110" t="n">
        <v>146379.0469</v>
      </c>
      <c r="V110" t="n">
        <v>0.056304</v>
      </c>
      <c r="W110" t="n">
        <v>3.837123</v>
      </c>
      <c r="X110" t="inlineStr">
        <is>
          <t>High</t>
        </is>
      </c>
      <c r="Y110" t="inlineStr">
        <is>
          <t>None</t>
        </is>
      </c>
      <c r="Z110" t="inlineStr">
        <is>
          <t>Valid</t>
        </is>
      </c>
      <c r="AA110" t="n">
        <v>2037</v>
      </c>
      <c r="AB110" t="inlineStr">
        <is>
          <t>Supplier Target Pathway</t>
        </is>
      </c>
      <c r="AC110" t="n">
        <v>28820.1528</v>
      </c>
      <c r="AD110" t="n">
        <v>12470.4801</v>
      </c>
      <c r="AE110" t="n">
        <v>12470.4801</v>
      </c>
      <c r="AF110" t="n">
        <v>12470.4801</v>
      </c>
      <c r="AG110" t="n">
        <v>16349.6727</v>
      </c>
      <c r="AH110" t="n">
        <v>0.00030993</v>
      </c>
      <c r="AI110" t="n">
        <v>0.5673</v>
      </c>
      <c r="AJ110" t="n">
        <v>0</v>
      </c>
      <c r="AK110" t="n">
        <v>1486.3339</v>
      </c>
      <c r="AL110" t="n">
        <v>-109588.369</v>
      </c>
      <c r="AM110" t="n">
        <v>184411.2496</v>
      </c>
      <c r="AN110" t="n">
        <v>0.99</v>
      </c>
      <c r="AO110" t="inlineStr">
        <is>
          <t>Low</t>
        </is>
      </c>
      <c r="AP110" t="inlineStr">
        <is>
          <t>On Track</t>
        </is>
      </c>
    </row>
    <row r="111">
      <c r="A111" t="inlineStr">
        <is>
          <t>SUP-0007</t>
        </is>
      </c>
      <c r="B111" t="inlineStr">
        <is>
          <t>Chemicals Supplier 007</t>
        </is>
      </c>
      <c r="C111" t="inlineStr">
        <is>
          <t>Chemicals</t>
        </is>
      </c>
      <c r="D111" t="n">
        <v>2024</v>
      </c>
      <c r="E111" t="n">
        <v>2019</v>
      </c>
      <c r="F111" t="n">
        <v>2030</v>
      </c>
      <c r="G111" t="n">
        <v>38148.1199</v>
      </c>
      <c r="H111" t="n">
        <v>8103.1886</v>
      </c>
      <c r="I111" t="n">
        <v>3254.2091</v>
      </c>
      <c r="J111" t="n">
        <v>25070.6768</v>
      </c>
      <c r="K111" t="n">
        <v>40236055.73</v>
      </c>
      <c r="L111" t="n">
        <v>391577893.99</v>
      </c>
      <c r="M111" t="n">
        <v>38148.1199</v>
      </c>
      <c r="N111" t="inlineStr">
        <is>
          <t>Provided Total Emissions</t>
        </is>
      </c>
      <c r="O111" t="b">
        <v>1</v>
      </c>
      <c r="P111" t="n">
        <v>0.056901</v>
      </c>
      <c r="Q111" t="n">
        <v>0.08079600000000001</v>
      </c>
      <c r="R111" t="n">
        <v>40296.0075</v>
      </c>
      <c r="S111" t="n">
        <v>184527.1668</v>
      </c>
      <c r="T111" t="n">
        <v>2147.8876</v>
      </c>
      <c r="U111" t="n">
        <v>146379.0469</v>
      </c>
      <c r="V111" t="n">
        <v>0.056304</v>
      </c>
      <c r="W111" t="n">
        <v>3.837123</v>
      </c>
      <c r="X111" t="inlineStr">
        <is>
          <t>High</t>
        </is>
      </c>
      <c r="Y111" t="inlineStr">
        <is>
          <t>None</t>
        </is>
      </c>
      <c r="Z111" t="inlineStr">
        <is>
          <t>Valid</t>
        </is>
      </c>
      <c r="AA111" t="n">
        <v>2038</v>
      </c>
      <c r="AB111" t="inlineStr">
        <is>
          <t>Supplier Target Pathway</t>
        </is>
      </c>
      <c r="AC111" t="n">
        <v>28820.1528</v>
      </c>
      <c r="AD111" t="n">
        <v>12470.4801</v>
      </c>
      <c r="AE111" t="n">
        <v>12470.4801</v>
      </c>
      <c r="AF111" t="n">
        <v>12470.4801</v>
      </c>
      <c r="AG111" t="n">
        <v>16349.6727</v>
      </c>
      <c r="AH111" t="n">
        <v>0.00030993</v>
      </c>
      <c r="AI111" t="n">
        <v>0.5673</v>
      </c>
      <c r="AJ111" t="n">
        <v>0</v>
      </c>
      <c r="AK111" t="n">
        <v>1486.3339</v>
      </c>
      <c r="AL111" t="n">
        <v>-122058.8491</v>
      </c>
      <c r="AM111" t="n">
        <v>196881.7297</v>
      </c>
      <c r="AN111" t="n">
        <v>0.99</v>
      </c>
      <c r="AO111" t="inlineStr">
        <is>
          <t>Low</t>
        </is>
      </c>
      <c r="AP111" t="inlineStr">
        <is>
          <t>On Track</t>
        </is>
      </c>
    </row>
    <row r="112">
      <c r="A112" t="inlineStr">
        <is>
          <t>SUP-0007</t>
        </is>
      </c>
      <c r="B112" t="inlineStr">
        <is>
          <t>Chemicals Supplier 007</t>
        </is>
      </c>
      <c r="C112" t="inlineStr">
        <is>
          <t>Chemicals</t>
        </is>
      </c>
      <c r="D112" t="n">
        <v>2024</v>
      </c>
      <c r="E112" t="n">
        <v>2019</v>
      </c>
      <c r="F112" t="n">
        <v>2030</v>
      </c>
      <c r="G112" t="n">
        <v>38148.1199</v>
      </c>
      <c r="H112" t="n">
        <v>8103.1886</v>
      </c>
      <c r="I112" t="n">
        <v>3254.2091</v>
      </c>
      <c r="J112" t="n">
        <v>25070.6768</v>
      </c>
      <c r="K112" t="n">
        <v>40236055.73</v>
      </c>
      <c r="L112" t="n">
        <v>391577893.99</v>
      </c>
      <c r="M112" t="n">
        <v>38148.1199</v>
      </c>
      <c r="N112" t="inlineStr">
        <is>
          <t>Provided Total Emissions</t>
        </is>
      </c>
      <c r="O112" t="b">
        <v>1</v>
      </c>
      <c r="P112" t="n">
        <v>0.056901</v>
      </c>
      <c r="Q112" t="n">
        <v>0.08079600000000001</v>
      </c>
      <c r="R112" t="n">
        <v>40296.0075</v>
      </c>
      <c r="S112" t="n">
        <v>184527.1668</v>
      </c>
      <c r="T112" t="n">
        <v>2147.8876</v>
      </c>
      <c r="U112" t="n">
        <v>146379.0469</v>
      </c>
      <c r="V112" t="n">
        <v>0.056304</v>
      </c>
      <c r="W112" t="n">
        <v>3.837123</v>
      </c>
      <c r="X112" t="inlineStr">
        <is>
          <t>High</t>
        </is>
      </c>
      <c r="Y112" t="inlineStr">
        <is>
          <t>None</t>
        </is>
      </c>
      <c r="Z112" t="inlineStr">
        <is>
          <t>Valid</t>
        </is>
      </c>
      <c r="AA112" t="n">
        <v>2039</v>
      </c>
      <c r="AB112" t="inlineStr">
        <is>
          <t>Supplier Target Pathway</t>
        </is>
      </c>
      <c r="AC112" t="n">
        <v>28820.1528</v>
      </c>
      <c r="AD112" t="n">
        <v>12470.4801</v>
      </c>
      <c r="AE112" t="n">
        <v>12470.4801</v>
      </c>
      <c r="AF112" t="n">
        <v>12470.4801</v>
      </c>
      <c r="AG112" t="n">
        <v>16349.6727</v>
      </c>
      <c r="AH112" t="n">
        <v>0.00030993</v>
      </c>
      <c r="AI112" t="n">
        <v>0.5673</v>
      </c>
      <c r="AJ112" t="n">
        <v>0</v>
      </c>
      <c r="AK112" t="n">
        <v>1486.3339</v>
      </c>
      <c r="AL112" t="n">
        <v>-134529.3292</v>
      </c>
      <c r="AM112" t="n">
        <v>209352.2098</v>
      </c>
      <c r="AN112" t="n">
        <v>0.99</v>
      </c>
      <c r="AO112" t="inlineStr">
        <is>
          <t>Low</t>
        </is>
      </c>
      <c r="AP112" t="inlineStr">
        <is>
          <t>On Track</t>
        </is>
      </c>
    </row>
    <row r="113">
      <c r="A113" t="inlineStr">
        <is>
          <t>SUP-0007</t>
        </is>
      </c>
      <c r="B113" t="inlineStr">
        <is>
          <t>Chemicals Supplier 007</t>
        </is>
      </c>
      <c r="C113" t="inlineStr">
        <is>
          <t>Chemicals</t>
        </is>
      </c>
      <c r="D113" t="n">
        <v>2024</v>
      </c>
      <c r="E113" t="n">
        <v>2019</v>
      </c>
      <c r="F113" t="n">
        <v>2030</v>
      </c>
      <c r="G113" t="n">
        <v>38148.1199</v>
      </c>
      <c r="H113" t="n">
        <v>8103.1886</v>
      </c>
      <c r="I113" t="n">
        <v>3254.2091</v>
      </c>
      <c r="J113" t="n">
        <v>25070.6768</v>
      </c>
      <c r="K113" t="n">
        <v>40236055.73</v>
      </c>
      <c r="L113" t="n">
        <v>391577893.99</v>
      </c>
      <c r="M113" t="n">
        <v>38148.1199</v>
      </c>
      <c r="N113" t="inlineStr">
        <is>
          <t>Provided Total Emissions</t>
        </is>
      </c>
      <c r="O113" t="b">
        <v>1</v>
      </c>
      <c r="P113" t="n">
        <v>0.056901</v>
      </c>
      <c r="Q113" t="n">
        <v>0.08079600000000001</v>
      </c>
      <c r="R113" t="n">
        <v>40296.0075</v>
      </c>
      <c r="S113" t="n">
        <v>184527.1668</v>
      </c>
      <c r="T113" t="n">
        <v>2147.8876</v>
      </c>
      <c r="U113" t="n">
        <v>146379.0469</v>
      </c>
      <c r="V113" t="n">
        <v>0.056304</v>
      </c>
      <c r="W113" t="n">
        <v>3.837123</v>
      </c>
      <c r="X113" t="inlineStr">
        <is>
          <t>High</t>
        </is>
      </c>
      <c r="Y113" t="inlineStr">
        <is>
          <t>None</t>
        </is>
      </c>
      <c r="Z113" t="inlineStr">
        <is>
          <t>Valid</t>
        </is>
      </c>
      <c r="AA113" t="n">
        <v>2040</v>
      </c>
      <c r="AB113" t="inlineStr">
        <is>
          <t>Supplier Target Pathway</t>
        </is>
      </c>
      <c r="AC113" t="n">
        <v>28820.1528</v>
      </c>
      <c r="AD113" t="n">
        <v>12470.4801</v>
      </c>
      <c r="AE113" t="n">
        <v>12470.4801</v>
      </c>
      <c r="AF113" t="n">
        <v>12470.4801</v>
      </c>
      <c r="AG113" t="n">
        <v>16349.6727</v>
      </c>
      <c r="AH113" t="n">
        <v>0.00030993</v>
      </c>
      <c r="AI113" t="n">
        <v>0.5673</v>
      </c>
      <c r="AJ113" t="n">
        <v>0</v>
      </c>
      <c r="AK113" t="n">
        <v>1486.3339</v>
      </c>
      <c r="AL113" t="n">
        <v>-146999.8093</v>
      </c>
      <c r="AM113" t="n">
        <v>221822.6899</v>
      </c>
      <c r="AN113" t="n">
        <v>0.99</v>
      </c>
      <c r="AO113" t="inlineStr">
        <is>
          <t>Low</t>
        </is>
      </c>
      <c r="AP113" t="inlineStr">
        <is>
          <t>On Track</t>
        </is>
      </c>
    </row>
    <row r="114">
      <c r="A114" t="inlineStr">
        <is>
          <t>SUP-0008</t>
        </is>
      </c>
      <c r="B114" t="inlineStr">
        <is>
          <t>Electronics Supplier 008</t>
        </is>
      </c>
      <c r="C114" t="inlineStr">
        <is>
          <t>Electronics</t>
        </is>
      </c>
      <c r="D114" t="n">
        <v>2024</v>
      </c>
      <c r="E114" t="n">
        <v>2015</v>
      </c>
      <c r="F114" t="n">
        <v>2040</v>
      </c>
      <c r="G114" t="n">
        <v>8452.0805</v>
      </c>
      <c r="H114" t="n">
        <v>1771.538</v>
      </c>
      <c r="I114" t="n">
        <v>1414.0394</v>
      </c>
      <c r="J114" t="n">
        <v>5202.7566</v>
      </c>
      <c r="K114" t="n">
        <v>10136751.16</v>
      </c>
      <c r="L114" t="n">
        <v>51404567.9</v>
      </c>
      <c r="M114" t="n">
        <v>8452.0805</v>
      </c>
      <c r="N114" t="inlineStr">
        <is>
          <t>Provided Total Emissions</t>
        </is>
      </c>
      <c r="O114" t="b">
        <v>1</v>
      </c>
      <c r="P114" t="n">
        <v>0.010524</v>
      </c>
      <c r="Q114" t="n">
        <v>-0.005208</v>
      </c>
      <c r="R114" t="n">
        <v>8728.249599999999</v>
      </c>
      <c r="S114" t="n">
        <v>7169.3951</v>
      </c>
      <c r="T114" t="n">
        <v>276.1691</v>
      </c>
      <c r="U114" t="n">
        <v>-1282.6854</v>
      </c>
      <c r="V114" t="n">
        <v>0.032675</v>
      </c>
      <c r="W114" t="n">
        <v>-0.15176</v>
      </c>
      <c r="X114" t="inlineStr">
        <is>
          <t>High</t>
        </is>
      </c>
      <c r="Y114" t="inlineStr">
        <is>
          <t>None</t>
        </is>
      </c>
      <c r="Z114" t="inlineStr">
        <is>
          <t>Valid</t>
        </is>
      </c>
      <c r="AA114" t="n">
        <v>2025</v>
      </c>
      <c r="AB114" t="inlineStr">
        <is>
          <t>Industry Haircut Pathway</t>
        </is>
      </c>
      <c r="AC114" t="n">
        <v>7692.1155</v>
      </c>
      <c r="AD114" t="n">
        <v>5058.3352</v>
      </c>
      <c r="AE114" t="n">
        <v>6638.6034</v>
      </c>
      <c r="AF114" t="n">
        <v>6638.6034</v>
      </c>
      <c r="AG114" t="n">
        <v>1053.5121</v>
      </c>
      <c r="AH114" t="n">
        <v>0.0006549</v>
      </c>
      <c r="AI114" t="n">
        <v>0.13696</v>
      </c>
      <c r="AJ114" t="n">
        <v>1580.2682</v>
      </c>
      <c r="AK114" t="n">
        <v>105.3512</v>
      </c>
      <c r="AL114" t="n">
        <v>74294.7598</v>
      </c>
      <c r="AM114" t="n">
        <v>6638.6034</v>
      </c>
      <c r="AN114" t="n">
        <v>0.95</v>
      </c>
      <c r="AO114" t="inlineStr">
        <is>
          <t>High</t>
        </is>
      </c>
      <c r="AP114" t="inlineStr">
        <is>
          <t>On Track to Glide Path</t>
        </is>
      </c>
    </row>
    <row r="115">
      <c r="A115" t="inlineStr">
        <is>
          <t>SUP-0008</t>
        </is>
      </c>
      <c r="B115" t="inlineStr">
        <is>
          <t>Electronics Supplier 008</t>
        </is>
      </c>
      <c r="C115" t="inlineStr">
        <is>
          <t>Electronics</t>
        </is>
      </c>
      <c r="D115" t="n">
        <v>2024</v>
      </c>
      <c r="E115" t="n">
        <v>2015</v>
      </c>
      <c r="F115" t="n">
        <v>2040</v>
      </c>
      <c r="G115" t="n">
        <v>8452.0805</v>
      </c>
      <c r="H115" t="n">
        <v>1771.538</v>
      </c>
      <c r="I115" t="n">
        <v>1414.0394</v>
      </c>
      <c r="J115" t="n">
        <v>5202.7566</v>
      </c>
      <c r="K115" t="n">
        <v>10136751.16</v>
      </c>
      <c r="L115" t="n">
        <v>51404567.9</v>
      </c>
      <c r="M115" t="n">
        <v>8452.0805</v>
      </c>
      <c r="N115" t="inlineStr">
        <is>
          <t>Provided Total Emissions</t>
        </is>
      </c>
      <c r="O115" t="b">
        <v>1</v>
      </c>
      <c r="P115" t="n">
        <v>0.010524</v>
      </c>
      <c r="Q115" t="n">
        <v>-0.005208</v>
      </c>
      <c r="R115" t="n">
        <v>8728.249599999999</v>
      </c>
      <c r="S115" t="n">
        <v>7169.3951</v>
      </c>
      <c r="T115" t="n">
        <v>276.1691</v>
      </c>
      <c r="U115" t="n">
        <v>-1282.6854</v>
      </c>
      <c r="V115" t="n">
        <v>0.032675</v>
      </c>
      <c r="W115" t="n">
        <v>-0.15176</v>
      </c>
      <c r="X115" t="inlineStr">
        <is>
          <t>High</t>
        </is>
      </c>
      <c r="Y115" t="inlineStr">
        <is>
          <t>None</t>
        </is>
      </c>
      <c r="Z115" t="inlineStr">
        <is>
          <t>Valid</t>
        </is>
      </c>
      <c r="AA115" t="n">
        <v>2026</v>
      </c>
      <c r="AB115" t="inlineStr">
        <is>
          <t>Industry Haircut Pathway</t>
        </is>
      </c>
      <c r="AC115" t="n">
        <v>7692.1155</v>
      </c>
      <c r="AD115" t="n">
        <v>5058.3352</v>
      </c>
      <c r="AE115" t="n">
        <v>6533.2521</v>
      </c>
      <c r="AF115" t="n">
        <v>6533.2521</v>
      </c>
      <c r="AG115" t="n">
        <v>1158.8634</v>
      </c>
      <c r="AH115" t="n">
        <v>0.00064451</v>
      </c>
      <c r="AI115" t="n">
        <v>0.150656</v>
      </c>
      <c r="AJ115" t="n">
        <v>1474.917</v>
      </c>
      <c r="AK115" t="n">
        <v>105.3512</v>
      </c>
      <c r="AL115" t="n">
        <v>67761.5077</v>
      </c>
      <c r="AM115" t="n">
        <v>13171.8555</v>
      </c>
      <c r="AN115" t="n">
        <v>0.95</v>
      </c>
      <c r="AO115" t="inlineStr">
        <is>
          <t>High</t>
        </is>
      </c>
      <c r="AP115" t="inlineStr">
        <is>
          <t>On Track to Glide Path</t>
        </is>
      </c>
    </row>
    <row r="116">
      <c r="A116" t="inlineStr">
        <is>
          <t>SUP-0008</t>
        </is>
      </c>
      <c r="B116" t="inlineStr">
        <is>
          <t>Electronics Supplier 008</t>
        </is>
      </c>
      <c r="C116" t="inlineStr">
        <is>
          <t>Electronics</t>
        </is>
      </c>
      <c r="D116" t="n">
        <v>2024</v>
      </c>
      <c r="E116" t="n">
        <v>2015</v>
      </c>
      <c r="F116" t="n">
        <v>2040</v>
      </c>
      <c r="G116" t="n">
        <v>8452.0805</v>
      </c>
      <c r="H116" t="n">
        <v>1771.538</v>
      </c>
      <c r="I116" t="n">
        <v>1414.0394</v>
      </c>
      <c r="J116" t="n">
        <v>5202.7566</v>
      </c>
      <c r="K116" t="n">
        <v>10136751.16</v>
      </c>
      <c r="L116" t="n">
        <v>51404567.9</v>
      </c>
      <c r="M116" t="n">
        <v>8452.0805</v>
      </c>
      <c r="N116" t="inlineStr">
        <is>
          <t>Provided Total Emissions</t>
        </is>
      </c>
      <c r="O116" t="b">
        <v>1</v>
      </c>
      <c r="P116" t="n">
        <v>0.010524</v>
      </c>
      <c r="Q116" t="n">
        <v>-0.005208</v>
      </c>
      <c r="R116" t="n">
        <v>8728.249599999999</v>
      </c>
      <c r="S116" t="n">
        <v>7169.3951</v>
      </c>
      <c r="T116" t="n">
        <v>276.1691</v>
      </c>
      <c r="U116" t="n">
        <v>-1282.6854</v>
      </c>
      <c r="V116" t="n">
        <v>0.032675</v>
      </c>
      <c r="W116" t="n">
        <v>-0.15176</v>
      </c>
      <c r="X116" t="inlineStr">
        <is>
          <t>High</t>
        </is>
      </c>
      <c r="Y116" t="inlineStr">
        <is>
          <t>None</t>
        </is>
      </c>
      <c r="Z116" t="inlineStr">
        <is>
          <t>Valid</t>
        </is>
      </c>
      <c r="AA116" t="n">
        <v>2027</v>
      </c>
      <c r="AB116" t="inlineStr">
        <is>
          <t>Industry Haircut Pathway</t>
        </is>
      </c>
      <c r="AC116" t="n">
        <v>7692.1155</v>
      </c>
      <c r="AD116" t="n">
        <v>5058.3352</v>
      </c>
      <c r="AE116" t="n">
        <v>6427.9009</v>
      </c>
      <c r="AF116" t="n">
        <v>6427.9009</v>
      </c>
      <c r="AG116" t="n">
        <v>1264.2146</v>
      </c>
      <c r="AH116" t="n">
        <v>0.00063412</v>
      </c>
      <c r="AI116" t="n">
        <v>0.164352</v>
      </c>
      <c r="AJ116" t="n">
        <v>1369.5658</v>
      </c>
      <c r="AK116" t="n">
        <v>105.3512</v>
      </c>
      <c r="AL116" t="n">
        <v>61333.6068</v>
      </c>
      <c r="AM116" t="n">
        <v>19599.7564</v>
      </c>
      <c r="AN116" t="n">
        <v>0.95</v>
      </c>
      <c r="AO116" t="inlineStr">
        <is>
          <t>High</t>
        </is>
      </c>
      <c r="AP116" t="inlineStr">
        <is>
          <t>On Track to Glide Path</t>
        </is>
      </c>
    </row>
    <row r="117">
      <c r="A117" t="inlineStr">
        <is>
          <t>SUP-0008</t>
        </is>
      </c>
      <c r="B117" t="inlineStr">
        <is>
          <t>Electronics Supplier 008</t>
        </is>
      </c>
      <c r="C117" t="inlineStr">
        <is>
          <t>Electronics</t>
        </is>
      </c>
      <c r="D117" t="n">
        <v>2024</v>
      </c>
      <c r="E117" t="n">
        <v>2015</v>
      </c>
      <c r="F117" t="n">
        <v>2040</v>
      </c>
      <c r="G117" t="n">
        <v>8452.0805</v>
      </c>
      <c r="H117" t="n">
        <v>1771.538</v>
      </c>
      <c r="I117" t="n">
        <v>1414.0394</v>
      </c>
      <c r="J117" t="n">
        <v>5202.7566</v>
      </c>
      <c r="K117" t="n">
        <v>10136751.16</v>
      </c>
      <c r="L117" t="n">
        <v>51404567.9</v>
      </c>
      <c r="M117" t="n">
        <v>8452.0805</v>
      </c>
      <c r="N117" t="inlineStr">
        <is>
          <t>Provided Total Emissions</t>
        </is>
      </c>
      <c r="O117" t="b">
        <v>1</v>
      </c>
      <c r="P117" t="n">
        <v>0.010524</v>
      </c>
      <c r="Q117" t="n">
        <v>-0.005208</v>
      </c>
      <c r="R117" t="n">
        <v>8728.249599999999</v>
      </c>
      <c r="S117" t="n">
        <v>7169.3951</v>
      </c>
      <c r="T117" t="n">
        <v>276.1691</v>
      </c>
      <c r="U117" t="n">
        <v>-1282.6854</v>
      </c>
      <c r="V117" t="n">
        <v>0.032675</v>
      </c>
      <c r="W117" t="n">
        <v>-0.15176</v>
      </c>
      <c r="X117" t="inlineStr">
        <is>
          <t>High</t>
        </is>
      </c>
      <c r="Y117" t="inlineStr">
        <is>
          <t>None</t>
        </is>
      </c>
      <c r="Z117" t="inlineStr">
        <is>
          <t>Valid</t>
        </is>
      </c>
      <c r="AA117" t="n">
        <v>2028</v>
      </c>
      <c r="AB117" t="inlineStr">
        <is>
          <t>Industry Haircut Pathway</t>
        </is>
      </c>
      <c r="AC117" t="n">
        <v>7692.1155</v>
      </c>
      <c r="AD117" t="n">
        <v>5058.3352</v>
      </c>
      <c r="AE117" t="n">
        <v>6322.5497</v>
      </c>
      <c r="AF117" t="n">
        <v>6322.5497</v>
      </c>
      <c r="AG117" t="n">
        <v>1369.5658</v>
      </c>
      <c r="AH117" t="n">
        <v>0.00062373</v>
      </c>
      <c r="AI117" t="n">
        <v>0.178048</v>
      </c>
      <c r="AJ117" t="n">
        <v>1264.2146</v>
      </c>
      <c r="AK117" t="n">
        <v>105.3512</v>
      </c>
      <c r="AL117" t="n">
        <v>55011.0571</v>
      </c>
      <c r="AM117" t="n">
        <v>25922.3061</v>
      </c>
      <c r="AN117" t="n">
        <v>0.95</v>
      </c>
      <c r="AO117" t="inlineStr">
        <is>
          <t>High</t>
        </is>
      </c>
      <c r="AP117" t="inlineStr">
        <is>
          <t>On Track to Glide Path</t>
        </is>
      </c>
    </row>
    <row r="118">
      <c r="A118" t="inlineStr">
        <is>
          <t>SUP-0008</t>
        </is>
      </c>
      <c r="B118" t="inlineStr">
        <is>
          <t>Electronics Supplier 008</t>
        </is>
      </c>
      <c r="C118" t="inlineStr">
        <is>
          <t>Electronics</t>
        </is>
      </c>
      <c r="D118" t="n">
        <v>2024</v>
      </c>
      <c r="E118" t="n">
        <v>2015</v>
      </c>
      <c r="F118" t="n">
        <v>2040</v>
      </c>
      <c r="G118" t="n">
        <v>8452.0805</v>
      </c>
      <c r="H118" t="n">
        <v>1771.538</v>
      </c>
      <c r="I118" t="n">
        <v>1414.0394</v>
      </c>
      <c r="J118" t="n">
        <v>5202.7566</v>
      </c>
      <c r="K118" t="n">
        <v>10136751.16</v>
      </c>
      <c r="L118" t="n">
        <v>51404567.9</v>
      </c>
      <c r="M118" t="n">
        <v>8452.0805</v>
      </c>
      <c r="N118" t="inlineStr">
        <is>
          <t>Provided Total Emissions</t>
        </is>
      </c>
      <c r="O118" t="b">
        <v>1</v>
      </c>
      <c r="P118" t="n">
        <v>0.010524</v>
      </c>
      <c r="Q118" t="n">
        <v>-0.005208</v>
      </c>
      <c r="R118" t="n">
        <v>8728.249599999999</v>
      </c>
      <c r="S118" t="n">
        <v>7169.3951</v>
      </c>
      <c r="T118" t="n">
        <v>276.1691</v>
      </c>
      <c r="U118" t="n">
        <v>-1282.6854</v>
      </c>
      <c r="V118" t="n">
        <v>0.032675</v>
      </c>
      <c r="W118" t="n">
        <v>-0.15176</v>
      </c>
      <c r="X118" t="inlineStr">
        <is>
          <t>High</t>
        </is>
      </c>
      <c r="Y118" t="inlineStr">
        <is>
          <t>None</t>
        </is>
      </c>
      <c r="Z118" t="inlineStr">
        <is>
          <t>Valid</t>
        </is>
      </c>
      <c r="AA118" t="n">
        <v>2029</v>
      </c>
      <c r="AB118" t="inlineStr">
        <is>
          <t>Industry Haircut Pathway</t>
        </is>
      </c>
      <c r="AC118" t="n">
        <v>7692.1155</v>
      </c>
      <c r="AD118" t="n">
        <v>5058.3352</v>
      </c>
      <c r="AE118" t="n">
        <v>6217.1985</v>
      </c>
      <c r="AF118" t="n">
        <v>6217.1985</v>
      </c>
      <c r="AG118" t="n">
        <v>1474.917</v>
      </c>
      <c r="AH118" t="n">
        <v>0.00061333</v>
      </c>
      <c r="AI118" t="n">
        <v>0.191744</v>
      </c>
      <c r="AJ118" t="n">
        <v>1158.8634</v>
      </c>
      <c r="AK118" t="n">
        <v>105.3512</v>
      </c>
      <c r="AL118" t="n">
        <v>48793.8586</v>
      </c>
      <c r="AM118" t="n">
        <v>32139.5046</v>
      </c>
      <c r="AN118" t="n">
        <v>0.95</v>
      </c>
      <c r="AO118" t="inlineStr">
        <is>
          <t>High</t>
        </is>
      </c>
      <c r="AP118" t="inlineStr">
        <is>
          <t>On Track to Glide Path</t>
        </is>
      </c>
    </row>
    <row r="119">
      <c r="A119" t="inlineStr">
        <is>
          <t>SUP-0008</t>
        </is>
      </c>
      <c r="B119" t="inlineStr">
        <is>
          <t>Electronics Supplier 008</t>
        </is>
      </c>
      <c r="C119" t="inlineStr">
        <is>
          <t>Electronics</t>
        </is>
      </c>
      <c r="D119" t="n">
        <v>2024</v>
      </c>
      <c r="E119" t="n">
        <v>2015</v>
      </c>
      <c r="F119" t="n">
        <v>2040</v>
      </c>
      <c r="G119" t="n">
        <v>8452.0805</v>
      </c>
      <c r="H119" t="n">
        <v>1771.538</v>
      </c>
      <c r="I119" t="n">
        <v>1414.0394</v>
      </c>
      <c r="J119" t="n">
        <v>5202.7566</v>
      </c>
      <c r="K119" t="n">
        <v>10136751.16</v>
      </c>
      <c r="L119" t="n">
        <v>51404567.9</v>
      </c>
      <c r="M119" t="n">
        <v>8452.0805</v>
      </c>
      <c r="N119" t="inlineStr">
        <is>
          <t>Provided Total Emissions</t>
        </is>
      </c>
      <c r="O119" t="b">
        <v>1</v>
      </c>
      <c r="P119" t="n">
        <v>0.010524</v>
      </c>
      <c r="Q119" t="n">
        <v>-0.005208</v>
      </c>
      <c r="R119" t="n">
        <v>8728.249599999999</v>
      </c>
      <c r="S119" t="n">
        <v>7169.3951</v>
      </c>
      <c r="T119" t="n">
        <v>276.1691</v>
      </c>
      <c r="U119" t="n">
        <v>-1282.6854</v>
      </c>
      <c r="V119" t="n">
        <v>0.032675</v>
      </c>
      <c r="W119" t="n">
        <v>-0.15176</v>
      </c>
      <c r="X119" t="inlineStr">
        <is>
          <t>High</t>
        </is>
      </c>
      <c r="Y119" t="inlineStr">
        <is>
          <t>None</t>
        </is>
      </c>
      <c r="Z119" t="inlineStr">
        <is>
          <t>Valid</t>
        </is>
      </c>
      <c r="AA119" t="n">
        <v>2030</v>
      </c>
      <c r="AB119" t="inlineStr">
        <is>
          <t>Industry Haircut Pathway</t>
        </is>
      </c>
      <c r="AC119" t="n">
        <v>7692.1155</v>
      </c>
      <c r="AD119" t="n">
        <v>5058.3352</v>
      </c>
      <c r="AE119" t="n">
        <v>6111.8473</v>
      </c>
      <c r="AF119" t="n">
        <v>6111.8473</v>
      </c>
      <c r="AG119" t="n">
        <v>1580.2682</v>
      </c>
      <c r="AH119" t="n">
        <v>0.0006029400000000001</v>
      </c>
      <c r="AI119" t="n">
        <v>0.20544</v>
      </c>
      <c r="AJ119" t="n">
        <v>1053.5121</v>
      </c>
      <c r="AK119" t="n">
        <v>105.3512</v>
      </c>
      <c r="AL119" t="n">
        <v>42682.0113</v>
      </c>
      <c r="AM119" t="n">
        <v>38251.3519</v>
      </c>
      <c r="AN119" t="n">
        <v>0.95</v>
      </c>
      <c r="AO119" t="inlineStr">
        <is>
          <t>High</t>
        </is>
      </c>
      <c r="AP119" t="inlineStr">
        <is>
          <t>On Track to Glide Path</t>
        </is>
      </c>
    </row>
    <row r="120">
      <c r="A120" t="inlineStr">
        <is>
          <t>SUP-0008</t>
        </is>
      </c>
      <c r="B120" t="inlineStr">
        <is>
          <t>Electronics Supplier 008</t>
        </is>
      </c>
      <c r="C120" t="inlineStr">
        <is>
          <t>Electronics</t>
        </is>
      </c>
      <c r="D120" t="n">
        <v>2024</v>
      </c>
      <c r="E120" t="n">
        <v>2015</v>
      </c>
      <c r="F120" t="n">
        <v>2040</v>
      </c>
      <c r="G120" t="n">
        <v>8452.0805</v>
      </c>
      <c r="H120" t="n">
        <v>1771.538</v>
      </c>
      <c r="I120" t="n">
        <v>1414.0394</v>
      </c>
      <c r="J120" t="n">
        <v>5202.7566</v>
      </c>
      <c r="K120" t="n">
        <v>10136751.16</v>
      </c>
      <c r="L120" t="n">
        <v>51404567.9</v>
      </c>
      <c r="M120" t="n">
        <v>8452.0805</v>
      </c>
      <c r="N120" t="inlineStr">
        <is>
          <t>Provided Total Emissions</t>
        </is>
      </c>
      <c r="O120" t="b">
        <v>1</v>
      </c>
      <c r="P120" t="n">
        <v>0.010524</v>
      </c>
      <c r="Q120" t="n">
        <v>-0.005208</v>
      </c>
      <c r="R120" t="n">
        <v>8728.249599999999</v>
      </c>
      <c r="S120" t="n">
        <v>7169.3951</v>
      </c>
      <c r="T120" t="n">
        <v>276.1691</v>
      </c>
      <c r="U120" t="n">
        <v>-1282.6854</v>
      </c>
      <c r="V120" t="n">
        <v>0.032675</v>
      </c>
      <c r="W120" t="n">
        <v>-0.15176</v>
      </c>
      <c r="X120" t="inlineStr">
        <is>
          <t>High</t>
        </is>
      </c>
      <c r="Y120" t="inlineStr">
        <is>
          <t>None</t>
        </is>
      </c>
      <c r="Z120" t="inlineStr">
        <is>
          <t>Valid</t>
        </is>
      </c>
      <c r="AA120" t="n">
        <v>2031</v>
      </c>
      <c r="AB120" t="inlineStr">
        <is>
          <t>Industry Haircut Pathway</t>
        </is>
      </c>
      <c r="AC120" t="n">
        <v>7692.1155</v>
      </c>
      <c r="AD120" t="n">
        <v>5058.3352</v>
      </c>
      <c r="AE120" t="n">
        <v>6006.4961</v>
      </c>
      <c r="AF120" t="n">
        <v>6006.4961</v>
      </c>
      <c r="AG120" t="n">
        <v>1685.6194</v>
      </c>
      <c r="AH120" t="n">
        <v>0.00059255</v>
      </c>
      <c r="AI120" t="n">
        <v>0.219136</v>
      </c>
      <c r="AJ120" t="n">
        <v>948.1609</v>
      </c>
      <c r="AK120" t="n">
        <v>105.3512</v>
      </c>
      <c r="AL120" t="n">
        <v>36675.5152</v>
      </c>
      <c r="AM120" t="n">
        <v>44257.848</v>
      </c>
      <c r="AN120" t="n">
        <v>0.95</v>
      </c>
      <c r="AO120" t="inlineStr">
        <is>
          <t>High</t>
        </is>
      </c>
      <c r="AP120" t="inlineStr">
        <is>
          <t>On Track to Glide Path</t>
        </is>
      </c>
    </row>
    <row r="121">
      <c r="A121" t="inlineStr">
        <is>
          <t>SUP-0008</t>
        </is>
      </c>
      <c r="B121" t="inlineStr">
        <is>
          <t>Electronics Supplier 008</t>
        </is>
      </c>
      <c r="C121" t="inlineStr">
        <is>
          <t>Electronics</t>
        </is>
      </c>
      <c r="D121" t="n">
        <v>2024</v>
      </c>
      <c r="E121" t="n">
        <v>2015</v>
      </c>
      <c r="F121" t="n">
        <v>2040</v>
      </c>
      <c r="G121" t="n">
        <v>8452.0805</v>
      </c>
      <c r="H121" t="n">
        <v>1771.538</v>
      </c>
      <c r="I121" t="n">
        <v>1414.0394</v>
      </c>
      <c r="J121" t="n">
        <v>5202.7566</v>
      </c>
      <c r="K121" t="n">
        <v>10136751.16</v>
      </c>
      <c r="L121" t="n">
        <v>51404567.9</v>
      </c>
      <c r="M121" t="n">
        <v>8452.0805</v>
      </c>
      <c r="N121" t="inlineStr">
        <is>
          <t>Provided Total Emissions</t>
        </is>
      </c>
      <c r="O121" t="b">
        <v>1</v>
      </c>
      <c r="P121" t="n">
        <v>0.010524</v>
      </c>
      <c r="Q121" t="n">
        <v>-0.005208</v>
      </c>
      <c r="R121" t="n">
        <v>8728.249599999999</v>
      </c>
      <c r="S121" t="n">
        <v>7169.3951</v>
      </c>
      <c r="T121" t="n">
        <v>276.1691</v>
      </c>
      <c r="U121" t="n">
        <v>-1282.6854</v>
      </c>
      <c r="V121" t="n">
        <v>0.032675</v>
      </c>
      <c r="W121" t="n">
        <v>-0.15176</v>
      </c>
      <c r="X121" t="inlineStr">
        <is>
          <t>High</t>
        </is>
      </c>
      <c r="Y121" t="inlineStr">
        <is>
          <t>None</t>
        </is>
      </c>
      <c r="Z121" t="inlineStr">
        <is>
          <t>Valid</t>
        </is>
      </c>
      <c r="AA121" t="n">
        <v>2032</v>
      </c>
      <c r="AB121" t="inlineStr">
        <is>
          <t>Industry Haircut Pathway</t>
        </is>
      </c>
      <c r="AC121" t="n">
        <v>7692.1155</v>
      </c>
      <c r="AD121" t="n">
        <v>5058.3352</v>
      </c>
      <c r="AE121" t="n">
        <v>5901.1449</v>
      </c>
      <c r="AF121" t="n">
        <v>5901.1449</v>
      </c>
      <c r="AG121" t="n">
        <v>1790.9706</v>
      </c>
      <c r="AH121" t="n">
        <v>0.00058215</v>
      </c>
      <c r="AI121" t="n">
        <v>0.232832</v>
      </c>
      <c r="AJ121" t="n">
        <v>842.8097</v>
      </c>
      <c r="AK121" t="n">
        <v>105.3512</v>
      </c>
      <c r="AL121" t="n">
        <v>30774.3703</v>
      </c>
      <c r="AM121" t="n">
        <v>50158.9929</v>
      </c>
      <c r="AN121" t="n">
        <v>0.95</v>
      </c>
      <c r="AO121" t="inlineStr">
        <is>
          <t>High</t>
        </is>
      </c>
      <c r="AP121" t="inlineStr">
        <is>
          <t>On Track to Glide Path</t>
        </is>
      </c>
    </row>
    <row r="122">
      <c r="A122" t="inlineStr">
        <is>
          <t>SUP-0008</t>
        </is>
      </c>
      <c r="B122" t="inlineStr">
        <is>
          <t>Electronics Supplier 008</t>
        </is>
      </c>
      <c r="C122" t="inlineStr">
        <is>
          <t>Electronics</t>
        </is>
      </c>
      <c r="D122" t="n">
        <v>2024</v>
      </c>
      <c r="E122" t="n">
        <v>2015</v>
      </c>
      <c r="F122" t="n">
        <v>2040</v>
      </c>
      <c r="G122" t="n">
        <v>8452.0805</v>
      </c>
      <c r="H122" t="n">
        <v>1771.538</v>
      </c>
      <c r="I122" t="n">
        <v>1414.0394</v>
      </c>
      <c r="J122" t="n">
        <v>5202.7566</v>
      </c>
      <c r="K122" t="n">
        <v>10136751.16</v>
      </c>
      <c r="L122" t="n">
        <v>51404567.9</v>
      </c>
      <c r="M122" t="n">
        <v>8452.0805</v>
      </c>
      <c r="N122" t="inlineStr">
        <is>
          <t>Provided Total Emissions</t>
        </is>
      </c>
      <c r="O122" t="b">
        <v>1</v>
      </c>
      <c r="P122" t="n">
        <v>0.010524</v>
      </c>
      <c r="Q122" t="n">
        <v>-0.005208</v>
      </c>
      <c r="R122" t="n">
        <v>8728.249599999999</v>
      </c>
      <c r="S122" t="n">
        <v>7169.3951</v>
      </c>
      <c r="T122" t="n">
        <v>276.1691</v>
      </c>
      <c r="U122" t="n">
        <v>-1282.6854</v>
      </c>
      <c r="V122" t="n">
        <v>0.032675</v>
      </c>
      <c r="W122" t="n">
        <v>-0.15176</v>
      </c>
      <c r="X122" t="inlineStr">
        <is>
          <t>High</t>
        </is>
      </c>
      <c r="Y122" t="inlineStr">
        <is>
          <t>None</t>
        </is>
      </c>
      <c r="Z122" t="inlineStr">
        <is>
          <t>Valid</t>
        </is>
      </c>
      <c r="AA122" t="n">
        <v>2033</v>
      </c>
      <c r="AB122" t="inlineStr">
        <is>
          <t>Industry Haircut Pathway</t>
        </is>
      </c>
      <c r="AC122" t="n">
        <v>7692.1155</v>
      </c>
      <c r="AD122" t="n">
        <v>5058.3352</v>
      </c>
      <c r="AE122" t="n">
        <v>5795.7937</v>
      </c>
      <c r="AF122" t="n">
        <v>5795.7937</v>
      </c>
      <c r="AG122" t="n">
        <v>1896.3218</v>
      </c>
      <c r="AH122" t="n">
        <v>0.00057176</v>
      </c>
      <c r="AI122" t="n">
        <v>0.246528</v>
      </c>
      <c r="AJ122" t="n">
        <v>737.4585</v>
      </c>
      <c r="AK122" t="n">
        <v>105.3512</v>
      </c>
      <c r="AL122" t="n">
        <v>24978.5766</v>
      </c>
      <c r="AM122" t="n">
        <v>55954.7866</v>
      </c>
      <c r="AN122" t="n">
        <v>0.95</v>
      </c>
      <c r="AO122" t="inlineStr">
        <is>
          <t>Medium</t>
        </is>
      </c>
      <c r="AP122" t="inlineStr">
        <is>
          <t>On Track to Glide Path</t>
        </is>
      </c>
    </row>
    <row r="123">
      <c r="A123" t="inlineStr">
        <is>
          <t>SUP-0008</t>
        </is>
      </c>
      <c r="B123" t="inlineStr">
        <is>
          <t>Electronics Supplier 008</t>
        </is>
      </c>
      <c r="C123" t="inlineStr">
        <is>
          <t>Electronics</t>
        </is>
      </c>
      <c r="D123" t="n">
        <v>2024</v>
      </c>
      <c r="E123" t="n">
        <v>2015</v>
      </c>
      <c r="F123" t="n">
        <v>2040</v>
      </c>
      <c r="G123" t="n">
        <v>8452.0805</v>
      </c>
      <c r="H123" t="n">
        <v>1771.538</v>
      </c>
      <c r="I123" t="n">
        <v>1414.0394</v>
      </c>
      <c r="J123" t="n">
        <v>5202.7566</v>
      </c>
      <c r="K123" t="n">
        <v>10136751.16</v>
      </c>
      <c r="L123" t="n">
        <v>51404567.9</v>
      </c>
      <c r="M123" t="n">
        <v>8452.0805</v>
      </c>
      <c r="N123" t="inlineStr">
        <is>
          <t>Provided Total Emissions</t>
        </is>
      </c>
      <c r="O123" t="b">
        <v>1</v>
      </c>
      <c r="P123" t="n">
        <v>0.010524</v>
      </c>
      <c r="Q123" t="n">
        <v>-0.005208</v>
      </c>
      <c r="R123" t="n">
        <v>8728.249599999999</v>
      </c>
      <c r="S123" t="n">
        <v>7169.3951</v>
      </c>
      <c r="T123" t="n">
        <v>276.1691</v>
      </c>
      <c r="U123" t="n">
        <v>-1282.6854</v>
      </c>
      <c r="V123" t="n">
        <v>0.032675</v>
      </c>
      <c r="W123" t="n">
        <v>-0.15176</v>
      </c>
      <c r="X123" t="inlineStr">
        <is>
          <t>High</t>
        </is>
      </c>
      <c r="Y123" t="inlineStr">
        <is>
          <t>None</t>
        </is>
      </c>
      <c r="Z123" t="inlineStr">
        <is>
          <t>Valid</t>
        </is>
      </c>
      <c r="AA123" t="n">
        <v>2034</v>
      </c>
      <c r="AB123" t="inlineStr">
        <is>
          <t>Industry Haircut Pathway</t>
        </is>
      </c>
      <c r="AC123" t="n">
        <v>7692.1155</v>
      </c>
      <c r="AD123" t="n">
        <v>5058.3352</v>
      </c>
      <c r="AE123" t="n">
        <v>5690.4424</v>
      </c>
      <c r="AF123" t="n">
        <v>5690.4424</v>
      </c>
      <c r="AG123" t="n">
        <v>2001.6731</v>
      </c>
      <c r="AH123" t="n">
        <v>0.0005613699999999999</v>
      </c>
      <c r="AI123" t="n">
        <v>0.260224</v>
      </c>
      <c r="AJ123" t="n">
        <v>632.1073</v>
      </c>
      <c r="AK123" t="n">
        <v>105.3512</v>
      </c>
      <c r="AL123" t="n">
        <v>19288.1342</v>
      </c>
      <c r="AM123" t="n">
        <v>61645.229</v>
      </c>
      <c r="AN123" t="n">
        <v>0.95</v>
      </c>
      <c r="AO123" t="inlineStr">
        <is>
          <t>Medium</t>
        </is>
      </c>
      <c r="AP123" t="inlineStr">
        <is>
          <t>On Track to Glide Path</t>
        </is>
      </c>
    </row>
    <row r="124">
      <c r="A124" t="inlineStr">
        <is>
          <t>SUP-0008</t>
        </is>
      </c>
      <c r="B124" t="inlineStr">
        <is>
          <t>Electronics Supplier 008</t>
        </is>
      </c>
      <c r="C124" t="inlineStr">
        <is>
          <t>Electronics</t>
        </is>
      </c>
      <c r="D124" t="n">
        <v>2024</v>
      </c>
      <c r="E124" t="n">
        <v>2015</v>
      </c>
      <c r="F124" t="n">
        <v>2040</v>
      </c>
      <c r="G124" t="n">
        <v>8452.0805</v>
      </c>
      <c r="H124" t="n">
        <v>1771.538</v>
      </c>
      <c r="I124" t="n">
        <v>1414.0394</v>
      </c>
      <c r="J124" t="n">
        <v>5202.7566</v>
      </c>
      <c r="K124" t="n">
        <v>10136751.16</v>
      </c>
      <c r="L124" t="n">
        <v>51404567.9</v>
      </c>
      <c r="M124" t="n">
        <v>8452.0805</v>
      </c>
      <c r="N124" t="inlineStr">
        <is>
          <t>Provided Total Emissions</t>
        </is>
      </c>
      <c r="O124" t="b">
        <v>1</v>
      </c>
      <c r="P124" t="n">
        <v>0.010524</v>
      </c>
      <c r="Q124" t="n">
        <v>-0.005208</v>
      </c>
      <c r="R124" t="n">
        <v>8728.249599999999</v>
      </c>
      <c r="S124" t="n">
        <v>7169.3951</v>
      </c>
      <c r="T124" t="n">
        <v>276.1691</v>
      </c>
      <c r="U124" t="n">
        <v>-1282.6854</v>
      </c>
      <c r="V124" t="n">
        <v>0.032675</v>
      </c>
      <c r="W124" t="n">
        <v>-0.15176</v>
      </c>
      <c r="X124" t="inlineStr">
        <is>
          <t>High</t>
        </is>
      </c>
      <c r="Y124" t="inlineStr">
        <is>
          <t>None</t>
        </is>
      </c>
      <c r="Z124" t="inlineStr">
        <is>
          <t>Valid</t>
        </is>
      </c>
      <c r="AA124" t="n">
        <v>2035</v>
      </c>
      <c r="AB124" t="inlineStr">
        <is>
          <t>Industry Haircut Pathway</t>
        </is>
      </c>
      <c r="AC124" t="n">
        <v>7692.1155</v>
      </c>
      <c r="AD124" t="n">
        <v>5058.3352</v>
      </c>
      <c r="AE124" t="n">
        <v>5585.0912</v>
      </c>
      <c r="AF124" t="n">
        <v>5585.0912</v>
      </c>
      <c r="AG124" t="n">
        <v>2107.0243</v>
      </c>
      <c r="AH124" t="n">
        <v>0.00055097</v>
      </c>
      <c r="AI124" t="n">
        <v>0.27392</v>
      </c>
      <c r="AJ124" t="n">
        <v>526.7560999999999</v>
      </c>
      <c r="AK124" t="n">
        <v>105.3512</v>
      </c>
      <c r="AL124" t="n">
        <v>13703.043</v>
      </c>
      <c r="AM124" t="n">
        <v>67230.3202</v>
      </c>
      <c r="AN124" t="n">
        <v>0.95</v>
      </c>
      <c r="AO124" t="inlineStr">
        <is>
          <t>Medium</t>
        </is>
      </c>
      <c r="AP124" t="inlineStr">
        <is>
          <t>On Track to Glide Path</t>
        </is>
      </c>
    </row>
    <row r="125">
      <c r="A125" t="inlineStr">
        <is>
          <t>SUP-0008</t>
        </is>
      </c>
      <c r="B125" t="inlineStr">
        <is>
          <t>Electronics Supplier 008</t>
        </is>
      </c>
      <c r="C125" t="inlineStr">
        <is>
          <t>Electronics</t>
        </is>
      </c>
      <c r="D125" t="n">
        <v>2024</v>
      </c>
      <c r="E125" t="n">
        <v>2015</v>
      </c>
      <c r="F125" t="n">
        <v>2040</v>
      </c>
      <c r="G125" t="n">
        <v>8452.0805</v>
      </c>
      <c r="H125" t="n">
        <v>1771.538</v>
      </c>
      <c r="I125" t="n">
        <v>1414.0394</v>
      </c>
      <c r="J125" t="n">
        <v>5202.7566</v>
      </c>
      <c r="K125" t="n">
        <v>10136751.16</v>
      </c>
      <c r="L125" t="n">
        <v>51404567.9</v>
      </c>
      <c r="M125" t="n">
        <v>8452.0805</v>
      </c>
      <c r="N125" t="inlineStr">
        <is>
          <t>Provided Total Emissions</t>
        </is>
      </c>
      <c r="O125" t="b">
        <v>1</v>
      </c>
      <c r="P125" t="n">
        <v>0.010524</v>
      </c>
      <c r="Q125" t="n">
        <v>-0.005208</v>
      </c>
      <c r="R125" t="n">
        <v>8728.249599999999</v>
      </c>
      <c r="S125" t="n">
        <v>7169.3951</v>
      </c>
      <c r="T125" t="n">
        <v>276.1691</v>
      </c>
      <c r="U125" t="n">
        <v>-1282.6854</v>
      </c>
      <c r="V125" t="n">
        <v>0.032675</v>
      </c>
      <c r="W125" t="n">
        <v>-0.15176</v>
      </c>
      <c r="X125" t="inlineStr">
        <is>
          <t>High</t>
        </is>
      </c>
      <c r="Y125" t="inlineStr">
        <is>
          <t>None</t>
        </is>
      </c>
      <c r="Z125" t="inlineStr">
        <is>
          <t>Valid</t>
        </is>
      </c>
      <c r="AA125" t="n">
        <v>2036</v>
      </c>
      <c r="AB125" t="inlineStr">
        <is>
          <t>Industry Haircut Pathway</t>
        </is>
      </c>
      <c r="AC125" t="n">
        <v>7692.1155</v>
      </c>
      <c r="AD125" t="n">
        <v>5058.3352</v>
      </c>
      <c r="AE125" t="n">
        <v>5479.74</v>
      </c>
      <c r="AF125" t="n">
        <v>5479.74</v>
      </c>
      <c r="AG125" t="n">
        <v>2212.3755</v>
      </c>
      <c r="AH125" t="n">
        <v>0.00054058</v>
      </c>
      <c r="AI125" t="n">
        <v>0.287616</v>
      </c>
      <c r="AJ125" t="n">
        <v>421.4049</v>
      </c>
      <c r="AK125" t="n">
        <v>105.3512</v>
      </c>
      <c r="AL125" t="n">
        <v>8223.303</v>
      </c>
      <c r="AM125" t="n">
        <v>72710.06020000001</v>
      </c>
      <c r="AN125" t="n">
        <v>0.95</v>
      </c>
      <c r="AO125" t="inlineStr">
        <is>
          <t>Medium</t>
        </is>
      </c>
      <c r="AP125" t="inlineStr">
        <is>
          <t>On Track to Glide Path</t>
        </is>
      </c>
    </row>
    <row r="126">
      <c r="A126" t="inlineStr">
        <is>
          <t>SUP-0008</t>
        </is>
      </c>
      <c r="B126" t="inlineStr">
        <is>
          <t>Electronics Supplier 008</t>
        </is>
      </c>
      <c r="C126" t="inlineStr">
        <is>
          <t>Electronics</t>
        </is>
      </c>
      <c r="D126" t="n">
        <v>2024</v>
      </c>
      <c r="E126" t="n">
        <v>2015</v>
      </c>
      <c r="F126" t="n">
        <v>2040</v>
      </c>
      <c r="G126" t="n">
        <v>8452.0805</v>
      </c>
      <c r="H126" t="n">
        <v>1771.538</v>
      </c>
      <c r="I126" t="n">
        <v>1414.0394</v>
      </c>
      <c r="J126" t="n">
        <v>5202.7566</v>
      </c>
      <c r="K126" t="n">
        <v>10136751.16</v>
      </c>
      <c r="L126" t="n">
        <v>51404567.9</v>
      </c>
      <c r="M126" t="n">
        <v>8452.0805</v>
      </c>
      <c r="N126" t="inlineStr">
        <is>
          <t>Provided Total Emissions</t>
        </is>
      </c>
      <c r="O126" t="b">
        <v>1</v>
      </c>
      <c r="P126" t="n">
        <v>0.010524</v>
      </c>
      <c r="Q126" t="n">
        <v>-0.005208</v>
      </c>
      <c r="R126" t="n">
        <v>8728.249599999999</v>
      </c>
      <c r="S126" t="n">
        <v>7169.3951</v>
      </c>
      <c r="T126" t="n">
        <v>276.1691</v>
      </c>
      <c r="U126" t="n">
        <v>-1282.6854</v>
      </c>
      <c r="V126" t="n">
        <v>0.032675</v>
      </c>
      <c r="W126" t="n">
        <v>-0.15176</v>
      </c>
      <c r="X126" t="inlineStr">
        <is>
          <t>High</t>
        </is>
      </c>
      <c r="Y126" t="inlineStr">
        <is>
          <t>None</t>
        </is>
      </c>
      <c r="Z126" t="inlineStr">
        <is>
          <t>Valid</t>
        </is>
      </c>
      <c r="AA126" t="n">
        <v>2037</v>
      </c>
      <c r="AB126" t="inlineStr">
        <is>
          <t>Industry Haircut Pathway</t>
        </is>
      </c>
      <c r="AC126" t="n">
        <v>7692.1155</v>
      </c>
      <c r="AD126" t="n">
        <v>5058.3352</v>
      </c>
      <c r="AE126" t="n">
        <v>5374.3888</v>
      </c>
      <c r="AF126" t="n">
        <v>5374.3888</v>
      </c>
      <c r="AG126" t="n">
        <v>2317.7267</v>
      </c>
      <c r="AH126" t="n">
        <v>0.00053019</v>
      </c>
      <c r="AI126" t="n">
        <v>0.301312</v>
      </c>
      <c r="AJ126" t="n">
        <v>316.0536</v>
      </c>
      <c r="AK126" t="n">
        <v>105.3512</v>
      </c>
      <c r="AL126" t="n">
        <v>2848.9142</v>
      </c>
      <c r="AM126" t="n">
        <v>78084.44899999999</v>
      </c>
      <c r="AN126" t="n">
        <v>0.95</v>
      </c>
      <c r="AO126" t="inlineStr">
        <is>
          <t>Medium</t>
        </is>
      </c>
      <c r="AP126" t="inlineStr">
        <is>
          <t>On Track to Glide Path</t>
        </is>
      </c>
    </row>
    <row r="127">
      <c r="A127" t="inlineStr">
        <is>
          <t>SUP-0008</t>
        </is>
      </c>
      <c r="B127" t="inlineStr">
        <is>
          <t>Electronics Supplier 008</t>
        </is>
      </c>
      <c r="C127" t="inlineStr">
        <is>
          <t>Electronics</t>
        </is>
      </c>
      <c r="D127" t="n">
        <v>2024</v>
      </c>
      <c r="E127" t="n">
        <v>2015</v>
      </c>
      <c r="F127" t="n">
        <v>2040</v>
      </c>
      <c r="G127" t="n">
        <v>8452.0805</v>
      </c>
      <c r="H127" t="n">
        <v>1771.538</v>
      </c>
      <c r="I127" t="n">
        <v>1414.0394</v>
      </c>
      <c r="J127" t="n">
        <v>5202.7566</v>
      </c>
      <c r="K127" t="n">
        <v>10136751.16</v>
      </c>
      <c r="L127" t="n">
        <v>51404567.9</v>
      </c>
      <c r="M127" t="n">
        <v>8452.0805</v>
      </c>
      <c r="N127" t="inlineStr">
        <is>
          <t>Provided Total Emissions</t>
        </is>
      </c>
      <c r="O127" t="b">
        <v>1</v>
      </c>
      <c r="P127" t="n">
        <v>0.010524</v>
      </c>
      <c r="Q127" t="n">
        <v>-0.005208</v>
      </c>
      <c r="R127" t="n">
        <v>8728.249599999999</v>
      </c>
      <c r="S127" t="n">
        <v>7169.3951</v>
      </c>
      <c r="T127" t="n">
        <v>276.1691</v>
      </c>
      <c r="U127" t="n">
        <v>-1282.6854</v>
      </c>
      <c r="V127" t="n">
        <v>0.032675</v>
      </c>
      <c r="W127" t="n">
        <v>-0.15176</v>
      </c>
      <c r="X127" t="inlineStr">
        <is>
          <t>High</t>
        </is>
      </c>
      <c r="Y127" t="inlineStr">
        <is>
          <t>None</t>
        </is>
      </c>
      <c r="Z127" t="inlineStr">
        <is>
          <t>Valid</t>
        </is>
      </c>
      <c r="AA127" t="n">
        <v>2038</v>
      </c>
      <c r="AB127" t="inlineStr">
        <is>
          <t>Industry Haircut Pathway</t>
        </is>
      </c>
      <c r="AC127" t="n">
        <v>7692.1155</v>
      </c>
      <c r="AD127" t="n">
        <v>5058.3352</v>
      </c>
      <c r="AE127" t="n">
        <v>5269.0376</v>
      </c>
      <c r="AF127" t="n">
        <v>5269.0376</v>
      </c>
      <c r="AG127" t="n">
        <v>2423.0779</v>
      </c>
      <c r="AH127" t="n">
        <v>0.0005197999999999999</v>
      </c>
      <c r="AI127" t="n">
        <v>0.315008</v>
      </c>
      <c r="AJ127" t="n">
        <v>210.7024</v>
      </c>
      <c r="AK127" t="n">
        <v>105.3512</v>
      </c>
      <c r="AL127" t="n">
        <v>-2420.1234</v>
      </c>
      <c r="AM127" t="n">
        <v>83353.4866</v>
      </c>
      <c r="AN127" t="n">
        <v>0.95</v>
      </c>
      <c r="AO127" t="inlineStr">
        <is>
          <t>Medium</t>
        </is>
      </c>
      <c r="AP127" t="inlineStr">
        <is>
          <t>On Track to Glide Path</t>
        </is>
      </c>
    </row>
    <row r="128">
      <c r="A128" t="inlineStr">
        <is>
          <t>SUP-0008</t>
        </is>
      </c>
      <c r="B128" t="inlineStr">
        <is>
          <t>Electronics Supplier 008</t>
        </is>
      </c>
      <c r="C128" t="inlineStr">
        <is>
          <t>Electronics</t>
        </is>
      </c>
      <c r="D128" t="n">
        <v>2024</v>
      </c>
      <c r="E128" t="n">
        <v>2015</v>
      </c>
      <c r="F128" t="n">
        <v>2040</v>
      </c>
      <c r="G128" t="n">
        <v>8452.0805</v>
      </c>
      <c r="H128" t="n">
        <v>1771.538</v>
      </c>
      <c r="I128" t="n">
        <v>1414.0394</v>
      </c>
      <c r="J128" t="n">
        <v>5202.7566</v>
      </c>
      <c r="K128" t="n">
        <v>10136751.16</v>
      </c>
      <c r="L128" t="n">
        <v>51404567.9</v>
      </c>
      <c r="M128" t="n">
        <v>8452.0805</v>
      </c>
      <c r="N128" t="inlineStr">
        <is>
          <t>Provided Total Emissions</t>
        </is>
      </c>
      <c r="O128" t="b">
        <v>1</v>
      </c>
      <c r="P128" t="n">
        <v>0.010524</v>
      </c>
      <c r="Q128" t="n">
        <v>-0.005208</v>
      </c>
      <c r="R128" t="n">
        <v>8728.249599999999</v>
      </c>
      <c r="S128" t="n">
        <v>7169.3951</v>
      </c>
      <c r="T128" t="n">
        <v>276.1691</v>
      </c>
      <c r="U128" t="n">
        <v>-1282.6854</v>
      </c>
      <c r="V128" t="n">
        <v>0.032675</v>
      </c>
      <c r="W128" t="n">
        <v>-0.15176</v>
      </c>
      <c r="X128" t="inlineStr">
        <is>
          <t>High</t>
        </is>
      </c>
      <c r="Y128" t="inlineStr">
        <is>
          <t>None</t>
        </is>
      </c>
      <c r="Z128" t="inlineStr">
        <is>
          <t>Valid</t>
        </is>
      </c>
      <c r="AA128" t="n">
        <v>2039</v>
      </c>
      <c r="AB128" t="inlineStr">
        <is>
          <t>Industry Haircut Pathway</t>
        </is>
      </c>
      <c r="AC128" t="n">
        <v>7692.1155</v>
      </c>
      <c r="AD128" t="n">
        <v>5058.3352</v>
      </c>
      <c r="AE128" t="n">
        <v>5163.6864</v>
      </c>
      <c r="AF128" t="n">
        <v>5163.6864</v>
      </c>
      <c r="AG128" t="n">
        <v>2528.4291</v>
      </c>
      <c r="AH128" t="n">
        <v>0.0005094</v>
      </c>
      <c r="AI128" t="n">
        <v>0.328704</v>
      </c>
      <c r="AJ128" t="n">
        <v>105.3512</v>
      </c>
      <c r="AK128" t="n">
        <v>105.3512</v>
      </c>
      <c r="AL128" t="n">
        <v>-7583.8098</v>
      </c>
      <c r="AM128" t="n">
        <v>88517.173</v>
      </c>
      <c r="AN128" t="n">
        <v>0.95</v>
      </c>
      <c r="AO128" t="inlineStr">
        <is>
          <t>Medium</t>
        </is>
      </c>
      <c r="AP128" t="inlineStr">
        <is>
          <t>On Track to Glide Path</t>
        </is>
      </c>
    </row>
    <row r="129">
      <c r="A129" t="inlineStr">
        <is>
          <t>SUP-0008</t>
        </is>
      </c>
      <c r="B129" t="inlineStr">
        <is>
          <t>Electronics Supplier 008</t>
        </is>
      </c>
      <c r="C129" t="inlineStr">
        <is>
          <t>Electronics</t>
        </is>
      </c>
      <c r="D129" t="n">
        <v>2024</v>
      </c>
      <c r="E129" t="n">
        <v>2015</v>
      </c>
      <c r="F129" t="n">
        <v>2040</v>
      </c>
      <c r="G129" t="n">
        <v>8452.0805</v>
      </c>
      <c r="H129" t="n">
        <v>1771.538</v>
      </c>
      <c r="I129" t="n">
        <v>1414.0394</v>
      </c>
      <c r="J129" t="n">
        <v>5202.7566</v>
      </c>
      <c r="K129" t="n">
        <v>10136751.16</v>
      </c>
      <c r="L129" t="n">
        <v>51404567.9</v>
      </c>
      <c r="M129" t="n">
        <v>8452.0805</v>
      </c>
      <c r="N129" t="inlineStr">
        <is>
          <t>Provided Total Emissions</t>
        </is>
      </c>
      <c r="O129" t="b">
        <v>1</v>
      </c>
      <c r="P129" t="n">
        <v>0.010524</v>
      </c>
      <c r="Q129" t="n">
        <v>-0.005208</v>
      </c>
      <c r="R129" t="n">
        <v>8728.249599999999</v>
      </c>
      <c r="S129" t="n">
        <v>7169.3951</v>
      </c>
      <c r="T129" t="n">
        <v>276.1691</v>
      </c>
      <c r="U129" t="n">
        <v>-1282.6854</v>
      </c>
      <c r="V129" t="n">
        <v>0.032675</v>
      </c>
      <c r="W129" t="n">
        <v>-0.15176</v>
      </c>
      <c r="X129" t="inlineStr">
        <is>
          <t>High</t>
        </is>
      </c>
      <c r="Y129" t="inlineStr">
        <is>
          <t>None</t>
        </is>
      </c>
      <c r="Z129" t="inlineStr">
        <is>
          <t>Valid</t>
        </is>
      </c>
      <c r="AA129" t="n">
        <v>2040</v>
      </c>
      <c r="AB129" t="inlineStr">
        <is>
          <t>Industry Haircut Pathway</t>
        </is>
      </c>
      <c r="AC129" t="n">
        <v>7692.1155</v>
      </c>
      <c r="AD129" t="n">
        <v>5058.3352</v>
      </c>
      <c r="AE129" t="n">
        <v>5058.3352</v>
      </c>
      <c r="AF129" t="n">
        <v>5058.3352</v>
      </c>
      <c r="AG129" t="n">
        <v>2633.7803</v>
      </c>
      <c r="AH129" t="n">
        <v>0.00049901</v>
      </c>
      <c r="AI129" t="n">
        <v>0.3424</v>
      </c>
      <c r="AJ129" t="n">
        <v>0</v>
      </c>
      <c r="AK129" t="n">
        <v>105.3512</v>
      </c>
      <c r="AL129" t="n">
        <v>-12642.145</v>
      </c>
      <c r="AM129" t="n">
        <v>93575.5082</v>
      </c>
      <c r="AN129" t="n">
        <v>0.95</v>
      </c>
      <c r="AO129" t="inlineStr">
        <is>
          <t>Low</t>
        </is>
      </c>
      <c r="AP129" t="inlineStr">
        <is>
          <t>On Track</t>
        </is>
      </c>
    </row>
    <row r="130">
      <c r="A130" t="inlineStr">
        <is>
          <t>SUP-0009</t>
        </is>
      </c>
      <c r="B130" t="inlineStr">
        <is>
          <t>Professional Supplier 009</t>
        </is>
      </c>
      <c r="C130" t="inlineStr">
        <is>
          <t>Professional Services</t>
        </is>
      </c>
      <c r="D130" t="n">
        <v>2024</v>
      </c>
      <c r="E130" t="n">
        <v>2015</v>
      </c>
      <c r="F130" t="n">
        <v>2040</v>
      </c>
      <c r="G130" t="n">
        <v>2053.6172</v>
      </c>
      <c r="H130" t="n">
        <v>343.1529</v>
      </c>
      <c r="I130" t="n">
        <v>244.9547</v>
      </c>
      <c r="J130" t="n">
        <v>1276.7057</v>
      </c>
      <c r="K130" t="n">
        <v>33414113.72</v>
      </c>
      <c r="L130" t="n">
        <v>91700354.56999999</v>
      </c>
      <c r="M130" t="n">
        <v>2053.6172</v>
      </c>
      <c r="N130" t="inlineStr">
        <is>
          <t>Provided Total Emissions</t>
        </is>
      </c>
      <c r="O130" t="b">
        <v>1</v>
      </c>
      <c r="P130" t="n">
        <v>0.01384</v>
      </c>
      <c r="Q130" t="n">
        <v>0.044397</v>
      </c>
      <c r="R130" t="n">
        <v>4312.4255</v>
      </c>
      <c r="S130" t="n">
        <v>18026.4557</v>
      </c>
      <c r="T130" t="n">
        <v>2258.8083</v>
      </c>
      <c r="U130" t="n">
        <v>15972.8385</v>
      </c>
      <c r="V130" t="n">
        <v>1.099917</v>
      </c>
      <c r="W130" t="n">
        <v>7.777905</v>
      </c>
      <c r="X130" t="inlineStr">
        <is>
          <t>High</t>
        </is>
      </c>
      <c r="Y130" t="inlineStr">
        <is>
          <t>None</t>
        </is>
      </c>
      <c r="Z130" t="inlineStr">
        <is>
          <t>Valid</t>
        </is>
      </c>
      <c r="AA130" t="n">
        <v>2025</v>
      </c>
      <c r="AB130" t="inlineStr">
        <is>
          <t>Historical Trend Pathway</t>
        </is>
      </c>
      <c r="AC130" t="n">
        <v>1814.6604</v>
      </c>
      <c r="AD130" t="n">
        <v>1723.9274</v>
      </c>
      <c r="AE130" t="n">
        <v>2104.0026</v>
      </c>
      <c r="AF130" t="n">
        <v>1778.3672</v>
      </c>
      <c r="AG130" t="n">
        <v>-289.3422</v>
      </c>
      <c r="AH130" t="n">
        <v>6.297e-05</v>
      </c>
      <c r="AI130" t="n">
        <v>-0.159447</v>
      </c>
      <c r="AJ130" t="n">
        <v>380.0752</v>
      </c>
      <c r="AK130" t="n">
        <v>3.6293</v>
      </c>
      <c r="AL130" t="n">
        <v>25478.8358</v>
      </c>
      <c r="AM130" t="n">
        <v>2104.0026</v>
      </c>
      <c r="AN130" t="n">
        <v>0.88</v>
      </c>
      <c r="AO130" t="inlineStr">
        <is>
          <t>High</t>
        </is>
      </c>
      <c r="AP130" t="inlineStr">
        <is>
          <t>Off Track</t>
        </is>
      </c>
    </row>
    <row r="131">
      <c r="A131" t="inlineStr">
        <is>
          <t>SUP-0009</t>
        </is>
      </c>
      <c r="B131" t="inlineStr">
        <is>
          <t>Professional Supplier 009</t>
        </is>
      </c>
      <c r="C131" t="inlineStr">
        <is>
          <t>Professional Services</t>
        </is>
      </c>
      <c r="D131" t="n">
        <v>2024</v>
      </c>
      <c r="E131" t="n">
        <v>2015</v>
      </c>
      <c r="F131" t="n">
        <v>2040</v>
      </c>
      <c r="G131" t="n">
        <v>2053.6172</v>
      </c>
      <c r="H131" t="n">
        <v>343.1529</v>
      </c>
      <c r="I131" t="n">
        <v>244.9547</v>
      </c>
      <c r="J131" t="n">
        <v>1276.7057</v>
      </c>
      <c r="K131" t="n">
        <v>33414113.72</v>
      </c>
      <c r="L131" t="n">
        <v>91700354.56999999</v>
      </c>
      <c r="M131" t="n">
        <v>2053.6172</v>
      </c>
      <c r="N131" t="inlineStr">
        <is>
          <t>Provided Total Emissions</t>
        </is>
      </c>
      <c r="O131" t="b">
        <v>1</v>
      </c>
      <c r="P131" t="n">
        <v>0.01384</v>
      </c>
      <c r="Q131" t="n">
        <v>0.044397</v>
      </c>
      <c r="R131" t="n">
        <v>4312.4255</v>
      </c>
      <c r="S131" t="n">
        <v>18026.4557</v>
      </c>
      <c r="T131" t="n">
        <v>2258.8083</v>
      </c>
      <c r="U131" t="n">
        <v>15972.8385</v>
      </c>
      <c r="V131" t="n">
        <v>1.099917</v>
      </c>
      <c r="W131" t="n">
        <v>7.777905</v>
      </c>
      <c r="X131" t="inlineStr">
        <is>
          <t>High</t>
        </is>
      </c>
      <c r="Y131" t="inlineStr">
        <is>
          <t>None</t>
        </is>
      </c>
      <c r="Z131" t="inlineStr">
        <is>
          <t>Valid</t>
        </is>
      </c>
      <c r="AA131" t="n">
        <v>2026</v>
      </c>
      <c r="AB131" t="inlineStr">
        <is>
          <t>Historical Trend Pathway</t>
        </is>
      </c>
      <c r="AC131" t="n">
        <v>1814.6604</v>
      </c>
      <c r="AD131" t="n">
        <v>1723.9274</v>
      </c>
      <c r="AE131" t="n">
        <v>2155.6242</v>
      </c>
      <c r="AF131" t="n">
        <v>1774.7379</v>
      </c>
      <c r="AG131" t="n">
        <v>-340.9638</v>
      </c>
      <c r="AH131" t="n">
        <v>6.451e-05</v>
      </c>
      <c r="AI131" t="n">
        <v>-0.187894</v>
      </c>
      <c r="AJ131" t="n">
        <v>431.6968</v>
      </c>
      <c r="AK131" t="n">
        <v>3.6293</v>
      </c>
      <c r="AL131" t="n">
        <v>23323.2116</v>
      </c>
      <c r="AM131" t="n">
        <v>4259.6268</v>
      </c>
      <c r="AN131" t="n">
        <v>0.88</v>
      </c>
      <c r="AO131" t="inlineStr">
        <is>
          <t>High</t>
        </is>
      </c>
      <c r="AP131" t="inlineStr">
        <is>
          <t>Off Track</t>
        </is>
      </c>
    </row>
    <row r="132">
      <c r="A132" t="inlineStr">
        <is>
          <t>SUP-0009</t>
        </is>
      </c>
      <c r="B132" t="inlineStr">
        <is>
          <t>Professional Supplier 009</t>
        </is>
      </c>
      <c r="C132" t="inlineStr">
        <is>
          <t>Professional Services</t>
        </is>
      </c>
      <c r="D132" t="n">
        <v>2024</v>
      </c>
      <c r="E132" t="n">
        <v>2015</v>
      </c>
      <c r="F132" t="n">
        <v>2040</v>
      </c>
      <c r="G132" t="n">
        <v>2053.6172</v>
      </c>
      <c r="H132" t="n">
        <v>343.1529</v>
      </c>
      <c r="I132" t="n">
        <v>244.9547</v>
      </c>
      <c r="J132" t="n">
        <v>1276.7057</v>
      </c>
      <c r="K132" t="n">
        <v>33414113.72</v>
      </c>
      <c r="L132" t="n">
        <v>91700354.56999999</v>
      </c>
      <c r="M132" t="n">
        <v>2053.6172</v>
      </c>
      <c r="N132" t="inlineStr">
        <is>
          <t>Provided Total Emissions</t>
        </is>
      </c>
      <c r="O132" t="b">
        <v>1</v>
      </c>
      <c r="P132" t="n">
        <v>0.01384</v>
      </c>
      <c r="Q132" t="n">
        <v>0.044397</v>
      </c>
      <c r="R132" t="n">
        <v>4312.4255</v>
      </c>
      <c r="S132" t="n">
        <v>18026.4557</v>
      </c>
      <c r="T132" t="n">
        <v>2258.8083</v>
      </c>
      <c r="U132" t="n">
        <v>15972.8385</v>
      </c>
      <c r="V132" t="n">
        <v>1.099917</v>
      </c>
      <c r="W132" t="n">
        <v>7.777905</v>
      </c>
      <c r="X132" t="inlineStr">
        <is>
          <t>High</t>
        </is>
      </c>
      <c r="Y132" t="inlineStr">
        <is>
          <t>None</t>
        </is>
      </c>
      <c r="Z132" t="inlineStr">
        <is>
          <t>Valid</t>
        </is>
      </c>
      <c r="AA132" t="n">
        <v>2027</v>
      </c>
      <c r="AB132" t="inlineStr">
        <is>
          <t>Historical Trend Pathway</t>
        </is>
      </c>
      <c r="AC132" t="n">
        <v>1814.6604</v>
      </c>
      <c r="AD132" t="n">
        <v>1723.9274</v>
      </c>
      <c r="AE132" t="n">
        <v>2208.5123</v>
      </c>
      <c r="AF132" t="n">
        <v>1771.1086</v>
      </c>
      <c r="AG132" t="n">
        <v>-393.8519</v>
      </c>
      <c r="AH132" t="n">
        <v>6.609999999999999e-05</v>
      </c>
      <c r="AI132" t="n">
        <v>-0.217039</v>
      </c>
      <c r="AJ132" t="n">
        <v>484.5849</v>
      </c>
      <c r="AK132" t="n">
        <v>3.6293</v>
      </c>
      <c r="AL132" t="n">
        <v>21114.6993</v>
      </c>
      <c r="AM132" t="n">
        <v>6468.1391</v>
      </c>
      <c r="AN132" t="n">
        <v>0.88</v>
      </c>
      <c r="AO132" t="inlineStr">
        <is>
          <t>High</t>
        </is>
      </c>
      <c r="AP132" t="inlineStr">
        <is>
          <t>Off Track</t>
        </is>
      </c>
    </row>
    <row r="133">
      <c r="A133" t="inlineStr">
        <is>
          <t>SUP-0009</t>
        </is>
      </c>
      <c r="B133" t="inlineStr">
        <is>
          <t>Professional Supplier 009</t>
        </is>
      </c>
      <c r="C133" t="inlineStr">
        <is>
          <t>Professional Services</t>
        </is>
      </c>
      <c r="D133" t="n">
        <v>2024</v>
      </c>
      <c r="E133" t="n">
        <v>2015</v>
      </c>
      <c r="F133" t="n">
        <v>2040</v>
      </c>
      <c r="G133" t="n">
        <v>2053.6172</v>
      </c>
      <c r="H133" t="n">
        <v>343.1529</v>
      </c>
      <c r="I133" t="n">
        <v>244.9547</v>
      </c>
      <c r="J133" t="n">
        <v>1276.7057</v>
      </c>
      <c r="K133" t="n">
        <v>33414113.72</v>
      </c>
      <c r="L133" t="n">
        <v>91700354.56999999</v>
      </c>
      <c r="M133" t="n">
        <v>2053.6172</v>
      </c>
      <c r="N133" t="inlineStr">
        <is>
          <t>Provided Total Emissions</t>
        </is>
      </c>
      <c r="O133" t="b">
        <v>1</v>
      </c>
      <c r="P133" t="n">
        <v>0.01384</v>
      </c>
      <c r="Q133" t="n">
        <v>0.044397</v>
      </c>
      <c r="R133" t="n">
        <v>4312.4255</v>
      </c>
      <c r="S133" t="n">
        <v>18026.4557</v>
      </c>
      <c r="T133" t="n">
        <v>2258.8083</v>
      </c>
      <c r="U133" t="n">
        <v>15972.8385</v>
      </c>
      <c r="V133" t="n">
        <v>1.099917</v>
      </c>
      <c r="W133" t="n">
        <v>7.777905</v>
      </c>
      <c r="X133" t="inlineStr">
        <is>
          <t>High</t>
        </is>
      </c>
      <c r="Y133" t="inlineStr">
        <is>
          <t>None</t>
        </is>
      </c>
      <c r="Z133" t="inlineStr">
        <is>
          <t>Valid</t>
        </is>
      </c>
      <c r="AA133" t="n">
        <v>2028</v>
      </c>
      <c r="AB133" t="inlineStr">
        <is>
          <t>Historical Trend Pathway</t>
        </is>
      </c>
      <c r="AC133" t="n">
        <v>1814.6604</v>
      </c>
      <c r="AD133" t="n">
        <v>1723.9274</v>
      </c>
      <c r="AE133" t="n">
        <v>2262.6981</v>
      </c>
      <c r="AF133" t="n">
        <v>1767.4792</v>
      </c>
      <c r="AG133" t="n">
        <v>-448.0377</v>
      </c>
      <c r="AH133" t="n">
        <v>6.772e-05</v>
      </c>
      <c r="AI133" t="n">
        <v>-0.246899</v>
      </c>
      <c r="AJ133" t="n">
        <v>538.7707</v>
      </c>
      <c r="AK133" t="n">
        <v>3.6293</v>
      </c>
      <c r="AL133" t="n">
        <v>18852.0012</v>
      </c>
      <c r="AM133" t="n">
        <v>8730.8372</v>
      </c>
      <c r="AN133" t="n">
        <v>0.88</v>
      </c>
      <c r="AO133" t="inlineStr">
        <is>
          <t>High</t>
        </is>
      </c>
      <c r="AP133" t="inlineStr">
        <is>
          <t>Off Track</t>
        </is>
      </c>
    </row>
    <row r="134">
      <c r="A134" t="inlineStr">
        <is>
          <t>SUP-0009</t>
        </is>
      </c>
      <c r="B134" t="inlineStr">
        <is>
          <t>Professional Supplier 009</t>
        </is>
      </c>
      <c r="C134" t="inlineStr">
        <is>
          <t>Professional Services</t>
        </is>
      </c>
      <c r="D134" t="n">
        <v>2024</v>
      </c>
      <c r="E134" t="n">
        <v>2015</v>
      </c>
      <c r="F134" t="n">
        <v>2040</v>
      </c>
      <c r="G134" t="n">
        <v>2053.6172</v>
      </c>
      <c r="H134" t="n">
        <v>343.1529</v>
      </c>
      <c r="I134" t="n">
        <v>244.9547</v>
      </c>
      <c r="J134" t="n">
        <v>1276.7057</v>
      </c>
      <c r="K134" t="n">
        <v>33414113.72</v>
      </c>
      <c r="L134" t="n">
        <v>91700354.56999999</v>
      </c>
      <c r="M134" t="n">
        <v>2053.6172</v>
      </c>
      <c r="N134" t="inlineStr">
        <is>
          <t>Provided Total Emissions</t>
        </is>
      </c>
      <c r="O134" t="b">
        <v>1</v>
      </c>
      <c r="P134" t="n">
        <v>0.01384</v>
      </c>
      <c r="Q134" t="n">
        <v>0.044397</v>
      </c>
      <c r="R134" t="n">
        <v>4312.4255</v>
      </c>
      <c r="S134" t="n">
        <v>18026.4557</v>
      </c>
      <c r="T134" t="n">
        <v>2258.8083</v>
      </c>
      <c r="U134" t="n">
        <v>15972.8385</v>
      </c>
      <c r="V134" t="n">
        <v>1.099917</v>
      </c>
      <c r="W134" t="n">
        <v>7.777905</v>
      </c>
      <c r="X134" t="inlineStr">
        <is>
          <t>High</t>
        </is>
      </c>
      <c r="Y134" t="inlineStr">
        <is>
          <t>None</t>
        </is>
      </c>
      <c r="Z134" t="inlineStr">
        <is>
          <t>Valid</t>
        </is>
      </c>
      <c r="AA134" t="n">
        <v>2029</v>
      </c>
      <c r="AB134" t="inlineStr">
        <is>
          <t>Historical Trend Pathway</t>
        </is>
      </c>
      <c r="AC134" t="n">
        <v>1814.6604</v>
      </c>
      <c r="AD134" t="n">
        <v>1723.9274</v>
      </c>
      <c r="AE134" t="n">
        <v>2318.2132</v>
      </c>
      <c r="AF134" t="n">
        <v>1763.8499</v>
      </c>
      <c r="AG134" t="n">
        <v>-503.5528</v>
      </c>
      <c r="AH134" t="n">
        <v>6.938e-05</v>
      </c>
      <c r="AI134" t="n">
        <v>-0.277492</v>
      </c>
      <c r="AJ134" t="n">
        <v>594.2859</v>
      </c>
      <c r="AK134" t="n">
        <v>3.6293</v>
      </c>
      <c r="AL134" t="n">
        <v>16533.788</v>
      </c>
      <c r="AM134" t="n">
        <v>11049.0504</v>
      </c>
      <c r="AN134" t="n">
        <v>0.88</v>
      </c>
      <c r="AO134" t="inlineStr">
        <is>
          <t>High</t>
        </is>
      </c>
      <c r="AP134" t="inlineStr">
        <is>
          <t>Off Track</t>
        </is>
      </c>
    </row>
    <row r="135">
      <c r="A135" t="inlineStr">
        <is>
          <t>SUP-0009</t>
        </is>
      </c>
      <c r="B135" t="inlineStr">
        <is>
          <t>Professional Supplier 009</t>
        </is>
      </c>
      <c r="C135" t="inlineStr">
        <is>
          <t>Professional Services</t>
        </is>
      </c>
      <c r="D135" t="n">
        <v>2024</v>
      </c>
      <c r="E135" t="n">
        <v>2015</v>
      </c>
      <c r="F135" t="n">
        <v>2040</v>
      </c>
      <c r="G135" t="n">
        <v>2053.6172</v>
      </c>
      <c r="H135" t="n">
        <v>343.1529</v>
      </c>
      <c r="I135" t="n">
        <v>244.9547</v>
      </c>
      <c r="J135" t="n">
        <v>1276.7057</v>
      </c>
      <c r="K135" t="n">
        <v>33414113.72</v>
      </c>
      <c r="L135" t="n">
        <v>91700354.56999999</v>
      </c>
      <c r="M135" t="n">
        <v>2053.6172</v>
      </c>
      <c r="N135" t="inlineStr">
        <is>
          <t>Provided Total Emissions</t>
        </is>
      </c>
      <c r="O135" t="b">
        <v>1</v>
      </c>
      <c r="P135" t="n">
        <v>0.01384</v>
      </c>
      <c r="Q135" t="n">
        <v>0.044397</v>
      </c>
      <c r="R135" t="n">
        <v>4312.4255</v>
      </c>
      <c r="S135" t="n">
        <v>18026.4557</v>
      </c>
      <c r="T135" t="n">
        <v>2258.8083</v>
      </c>
      <c r="U135" t="n">
        <v>15972.8385</v>
      </c>
      <c r="V135" t="n">
        <v>1.099917</v>
      </c>
      <c r="W135" t="n">
        <v>7.777905</v>
      </c>
      <c r="X135" t="inlineStr">
        <is>
          <t>High</t>
        </is>
      </c>
      <c r="Y135" t="inlineStr">
        <is>
          <t>None</t>
        </is>
      </c>
      <c r="Z135" t="inlineStr">
        <is>
          <t>Valid</t>
        </is>
      </c>
      <c r="AA135" t="n">
        <v>2030</v>
      </c>
      <c r="AB135" t="inlineStr">
        <is>
          <t>Historical Trend Pathway</t>
        </is>
      </c>
      <c r="AC135" t="n">
        <v>1814.6604</v>
      </c>
      <c r="AD135" t="n">
        <v>1723.9274</v>
      </c>
      <c r="AE135" t="n">
        <v>2375.0905</v>
      </c>
      <c r="AF135" t="n">
        <v>1760.2206</v>
      </c>
      <c r="AG135" t="n">
        <v>-560.4301</v>
      </c>
      <c r="AH135" t="n">
        <v>7.108e-05</v>
      </c>
      <c r="AI135" t="n">
        <v>-0.308835</v>
      </c>
      <c r="AJ135" t="n">
        <v>651.1631</v>
      </c>
      <c r="AK135" t="n">
        <v>3.6293</v>
      </c>
      <c r="AL135" t="n">
        <v>14158.6975</v>
      </c>
      <c r="AM135" t="n">
        <v>13424.1409</v>
      </c>
      <c r="AN135" t="n">
        <v>0.88</v>
      </c>
      <c r="AO135" t="inlineStr">
        <is>
          <t>Critical</t>
        </is>
      </c>
      <c r="AP135" t="inlineStr">
        <is>
          <t>Off Track</t>
        </is>
      </c>
    </row>
    <row r="136">
      <c r="A136" t="inlineStr">
        <is>
          <t>SUP-0009</t>
        </is>
      </c>
      <c r="B136" t="inlineStr">
        <is>
          <t>Professional Supplier 009</t>
        </is>
      </c>
      <c r="C136" t="inlineStr">
        <is>
          <t>Professional Services</t>
        </is>
      </c>
      <c r="D136" t="n">
        <v>2024</v>
      </c>
      <c r="E136" t="n">
        <v>2015</v>
      </c>
      <c r="F136" t="n">
        <v>2040</v>
      </c>
      <c r="G136" t="n">
        <v>2053.6172</v>
      </c>
      <c r="H136" t="n">
        <v>343.1529</v>
      </c>
      <c r="I136" t="n">
        <v>244.9547</v>
      </c>
      <c r="J136" t="n">
        <v>1276.7057</v>
      </c>
      <c r="K136" t="n">
        <v>33414113.72</v>
      </c>
      <c r="L136" t="n">
        <v>91700354.56999999</v>
      </c>
      <c r="M136" t="n">
        <v>2053.6172</v>
      </c>
      <c r="N136" t="inlineStr">
        <is>
          <t>Provided Total Emissions</t>
        </is>
      </c>
      <c r="O136" t="b">
        <v>1</v>
      </c>
      <c r="P136" t="n">
        <v>0.01384</v>
      </c>
      <c r="Q136" t="n">
        <v>0.044397</v>
      </c>
      <c r="R136" t="n">
        <v>4312.4255</v>
      </c>
      <c r="S136" t="n">
        <v>18026.4557</v>
      </c>
      <c r="T136" t="n">
        <v>2258.8083</v>
      </c>
      <c r="U136" t="n">
        <v>15972.8385</v>
      </c>
      <c r="V136" t="n">
        <v>1.099917</v>
      </c>
      <c r="W136" t="n">
        <v>7.777905</v>
      </c>
      <c r="X136" t="inlineStr">
        <is>
          <t>High</t>
        </is>
      </c>
      <c r="Y136" t="inlineStr">
        <is>
          <t>None</t>
        </is>
      </c>
      <c r="Z136" t="inlineStr">
        <is>
          <t>Valid</t>
        </is>
      </c>
      <c r="AA136" t="n">
        <v>2031</v>
      </c>
      <c r="AB136" t="inlineStr">
        <is>
          <t>Historical Trend Pathway</t>
        </is>
      </c>
      <c r="AC136" t="n">
        <v>1814.6604</v>
      </c>
      <c r="AD136" t="n">
        <v>1723.9274</v>
      </c>
      <c r="AE136" t="n">
        <v>2433.3632</v>
      </c>
      <c r="AF136" t="n">
        <v>1756.5913</v>
      </c>
      <c r="AG136" t="n">
        <v>-618.7028</v>
      </c>
      <c r="AH136" t="n">
        <v>7.282e-05</v>
      </c>
      <c r="AI136" t="n">
        <v>-0.340947</v>
      </c>
      <c r="AJ136" t="n">
        <v>709.4358</v>
      </c>
      <c r="AK136" t="n">
        <v>3.6293</v>
      </c>
      <c r="AL136" t="n">
        <v>11725.3343</v>
      </c>
      <c r="AM136" t="n">
        <v>15857.5041</v>
      </c>
      <c r="AN136" t="n">
        <v>0.88</v>
      </c>
      <c r="AO136" t="inlineStr">
        <is>
          <t>Critical</t>
        </is>
      </c>
      <c r="AP136" t="inlineStr">
        <is>
          <t>Off Track</t>
        </is>
      </c>
    </row>
    <row r="137">
      <c r="A137" t="inlineStr">
        <is>
          <t>SUP-0009</t>
        </is>
      </c>
      <c r="B137" t="inlineStr">
        <is>
          <t>Professional Supplier 009</t>
        </is>
      </c>
      <c r="C137" t="inlineStr">
        <is>
          <t>Professional Services</t>
        </is>
      </c>
      <c r="D137" t="n">
        <v>2024</v>
      </c>
      <c r="E137" t="n">
        <v>2015</v>
      </c>
      <c r="F137" t="n">
        <v>2040</v>
      </c>
      <c r="G137" t="n">
        <v>2053.6172</v>
      </c>
      <c r="H137" t="n">
        <v>343.1529</v>
      </c>
      <c r="I137" t="n">
        <v>244.9547</v>
      </c>
      <c r="J137" t="n">
        <v>1276.7057</v>
      </c>
      <c r="K137" t="n">
        <v>33414113.72</v>
      </c>
      <c r="L137" t="n">
        <v>91700354.56999999</v>
      </c>
      <c r="M137" t="n">
        <v>2053.6172</v>
      </c>
      <c r="N137" t="inlineStr">
        <is>
          <t>Provided Total Emissions</t>
        </is>
      </c>
      <c r="O137" t="b">
        <v>1</v>
      </c>
      <c r="P137" t="n">
        <v>0.01384</v>
      </c>
      <c r="Q137" t="n">
        <v>0.044397</v>
      </c>
      <c r="R137" t="n">
        <v>4312.4255</v>
      </c>
      <c r="S137" t="n">
        <v>18026.4557</v>
      </c>
      <c r="T137" t="n">
        <v>2258.8083</v>
      </c>
      <c r="U137" t="n">
        <v>15972.8385</v>
      </c>
      <c r="V137" t="n">
        <v>1.099917</v>
      </c>
      <c r="W137" t="n">
        <v>7.777905</v>
      </c>
      <c r="X137" t="inlineStr">
        <is>
          <t>High</t>
        </is>
      </c>
      <c r="Y137" t="inlineStr">
        <is>
          <t>None</t>
        </is>
      </c>
      <c r="Z137" t="inlineStr">
        <is>
          <t>Valid</t>
        </is>
      </c>
      <c r="AA137" t="n">
        <v>2032</v>
      </c>
      <c r="AB137" t="inlineStr">
        <is>
          <t>Historical Trend Pathway</t>
        </is>
      </c>
      <c r="AC137" t="n">
        <v>1814.6604</v>
      </c>
      <c r="AD137" t="n">
        <v>1723.9274</v>
      </c>
      <c r="AE137" t="n">
        <v>2493.0657</v>
      </c>
      <c r="AF137" t="n">
        <v>1752.9619</v>
      </c>
      <c r="AG137" t="n">
        <v>-678.4053</v>
      </c>
      <c r="AH137" t="n">
        <v>7.461000000000001e-05</v>
      </c>
      <c r="AI137" t="n">
        <v>-0.373847</v>
      </c>
      <c r="AJ137" t="n">
        <v>769.1383</v>
      </c>
      <c r="AK137" t="n">
        <v>3.6293</v>
      </c>
      <c r="AL137" t="n">
        <v>9232.268599999999</v>
      </c>
      <c r="AM137" t="n">
        <v>18350.5698</v>
      </c>
      <c r="AN137" t="n">
        <v>0.88</v>
      </c>
      <c r="AO137" t="inlineStr">
        <is>
          <t>Critical</t>
        </is>
      </c>
      <c r="AP137" t="inlineStr">
        <is>
          <t>Off Track</t>
        </is>
      </c>
    </row>
    <row r="138">
      <c r="A138" t="inlineStr">
        <is>
          <t>SUP-0009</t>
        </is>
      </c>
      <c r="B138" t="inlineStr">
        <is>
          <t>Professional Supplier 009</t>
        </is>
      </c>
      <c r="C138" t="inlineStr">
        <is>
          <t>Professional Services</t>
        </is>
      </c>
      <c r="D138" t="n">
        <v>2024</v>
      </c>
      <c r="E138" t="n">
        <v>2015</v>
      </c>
      <c r="F138" t="n">
        <v>2040</v>
      </c>
      <c r="G138" t="n">
        <v>2053.6172</v>
      </c>
      <c r="H138" t="n">
        <v>343.1529</v>
      </c>
      <c r="I138" t="n">
        <v>244.9547</v>
      </c>
      <c r="J138" t="n">
        <v>1276.7057</v>
      </c>
      <c r="K138" t="n">
        <v>33414113.72</v>
      </c>
      <c r="L138" t="n">
        <v>91700354.56999999</v>
      </c>
      <c r="M138" t="n">
        <v>2053.6172</v>
      </c>
      <c r="N138" t="inlineStr">
        <is>
          <t>Provided Total Emissions</t>
        </is>
      </c>
      <c r="O138" t="b">
        <v>1</v>
      </c>
      <c r="P138" t="n">
        <v>0.01384</v>
      </c>
      <c r="Q138" t="n">
        <v>0.044397</v>
      </c>
      <c r="R138" t="n">
        <v>4312.4255</v>
      </c>
      <c r="S138" t="n">
        <v>18026.4557</v>
      </c>
      <c r="T138" t="n">
        <v>2258.8083</v>
      </c>
      <c r="U138" t="n">
        <v>15972.8385</v>
      </c>
      <c r="V138" t="n">
        <v>1.099917</v>
      </c>
      <c r="W138" t="n">
        <v>7.777905</v>
      </c>
      <c r="X138" t="inlineStr">
        <is>
          <t>High</t>
        </is>
      </c>
      <c r="Y138" t="inlineStr">
        <is>
          <t>None</t>
        </is>
      </c>
      <c r="Z138" t="inlineStr">
        <is>
          <t>Valid</t>
        </is>
      </c>
      <c r="AA138" t="n">
        <v>2033</v>
      </c>
      <c r="AB138" t="inlineStr">
        <is>
          <t>Historical Trend Pathway</t>
        </is>
      </c>
      <c r="AC138" t="n">
        <v>1814.6604</v>
      </c>
      <c r="AD138" t="n">
        <v>1723.9274</v>
      </c>
      <c r="AE138" t="n">
        <v>2554.2329</v>
      </c>
      <c r="AF138" t="n">
        <v>1749.3326</v>
      </c>
      <c r="AG138" t="n">
        <v>-739.5725</v>
      </c>
      <c r="AH138" t="n">
        <v>7.644000000000001e-05</v>
      </c>
      <c r="AI138" t="n">
        <v>-0.407554</v>
      </c>
      <c r="AJ138" t="n">
        <v>830.3055000000001</v>
      </c>
      <c r="AK138" t="n">
        <v>3.6293</v>
      </c>
      <c r="AL138" t="n">
        <v>6678.0357</v>
      </c>
      <c r="AM138" t="n">
        <v>20904.8027</v>
      </c>
      <c r="AN138" t="n">
        <v>0.88</v>
      </c>
      <c r="AO138" t="inlineStr">
        <is>
          <t>Critical</t>
        </is>
      </c>
      <c r="AP138" t="inlineStr">
        <is>
          <t>Off Track</t>
        </is>
      </c>
    </row>
    <row r="139">
      <c r="A139" t="inlineStr">
        <is>
          <t>SUP-0009</t>
        </is>
      </c>
      <c r="B139" t="inlineStr">
        <is>
          <t>Professional Supplier 009</t>
        </is>
      </c>
      <c r="C139" t="inlineStr">
        <is>
          <t>Professional Services</t>
        </is>
      </c>
      <c r="D139" t="n">
        <v>2024</v>
      </c>
      <c r="E139" t="n">
        <v>2015</v>
      </c>
      <c r="F139" t="n">
        <v>2040</v>
      </c>
      <c r="G139" t="n">
        <v>2053.6172</v>
      </c>
      <c r="H139" t="n">
        <v>343.1529</v>
      </c>
      <c r="I139" t="n">
        <v>244.9547</v>
      </c>
      <c r="J139" t="n">
        <v>1276.7057</v>
      </c>
      <c r="K139" t="n">
        <v>33414113.72</v>
      </c>
      <c r="L139" t="n">
        <v>91700354.56999999</v>
      </c>
      <c r="M139" t="n">
        <v>2053.6172</v>
      </c>
      <c r="N139" t="inlineStr">
        <is>
          <t>Provided Total Emissions</t>
        </is>
      </c>
      <c r="O139" t="b">
        <v>1</v>
      </c>
      <c r="P139" t="n">
        <v>0.01384</v>
      </c>
      <c r="Q139" t="n">
        <v>0.044397</v>
      </c>
      <c r="R139" t="n">
        <v>4312.4255</v>
      </c>
      <c r="S139" t="n">
        <v>18026.4557</v>
      </c>
      <c r="T139" t="n">
        <v>2258.8083</v>
      </c>
      <c r="U139" t="n">
        <v>15972.8385</v>
      </c>
      <c r="V139" t="n">
        <v>1.099917</v>
      </c>
      <c r="W139" t="n">
        <v>7.777905</v>
      </c>
      <c r="X139" t="inlineStr">
        <is>
          <t>High</t>
        </is>
      </c>
      <c r="Y139" t="inlineStr">
        <is>
          <t>None</t>
        </is>
      </c>
      <c r="Z139" t="inlineStr">
        <is>
          <t>Valid</t>
        </is>
      </c>
      <c r="AA139" t="n">
        <v>2034</v>
      </c>
      <c r="AB139" t="inlineStr">
        <is>
          <t>Historical Trend Pathway</t>
        </is>
      </c>
      <c r="AC139" t="n">
        <v>1814.6604</v>
      </c>
      <c r="AD139" t="n">
        <v>1723.9274</v>
      </c>
      <c r="AE139" t="n">
        <v>2616.9009</v>
      </c>
      <c r="AF139" t="n">
        <v>1745.7033</v>
      </c>
      <c r="AG139" t="n">
        <v>-802.2405</v>
      </c>
      <c r="AH139" t="n">
        <v>7.832e-05</v>
      </c>
      <c r="AI139" t="n">
        <v>-0.442088</v>
      </c>
      <c r="AJ139" t="n">
        <v>892.9734999999999</v>
      </c>
      <c r="AK139" t="n">
        <v>3.6293</v>
      </c>
      <c r="AL139" t="n">
        <v>4061.1348</v>
      </c>
      <c r="AM139" t="n">
        <v>23521.7036</v>
      </c>
      <c r="AN139" t="n">
        <v>0.88</v>
      </c>
      <c r="AO139" t="inlineStr">
        <is>
          <t>Critical</t>
        </is>
      </c>
      <c r="AP139" t="inlineStr">
        <is>
          <t>Off Track</t>
        </is>
      </c>
    </row>
    <row r="140">
      <c r="A140" t="inlineStr">
        <is>
          <t>SUP-0009</t>
        </is>
      </c>
      <c r="B140" t="inlineStr">
        <is>
          <t>Professional Supplier 009</t>
        </is>
      </c>
      <c r="C140" t="inlineStr">
        <is>
          <t>Professional Services</t>
        </is>
      </c>
      <c r="D140" t="n">
        <v>2024</v>
      </c>
      <c r="E140" t="n">
        <v>2015</v>
      </c>
      <c r="F140" t="n">
        <v>2040</v>
      </c>
      <c r="G140" t="n">
        <v>2053.6172</v>
      </c>
      <c r="H140" t="n">
        <v>343.1529</v>
      </c>
      <c r="I140" t="n">
        <v>244.9547</v>
      </c>
      <c r="J140" t="n">
        <v>1276.7057</v>
      </c>
      <c r="K140" t="n">
        <v>33414113.72</v>
      </c>
      <c r="L140" t="n">
        <v>91700354.56999999</v>
      </c>
      <c r="M140" t="n">
        <v>2053.6172</v>
      </c>
      <c r="N140" t="inlineStr">
        <is>
          <t>Provided Total Emissions</t>
        </is>
      </c>
      <c r="O140" t="b">
        <v>1</v>
      </c>
      <c r="P140" t="n">
        <v>0.01384</v>
      </c>
      <c r="Q140" t="n">
        <v>0.044397</v>
      </c>
      <c r="R140" t="n">
        <v>4312.4255</v>
      </c>
      <c r="S140" t="n">
        <v>18026.4557</v>
      </c>
      <c r="T140" t="n">
        <v>2258.8083</v>
      </c>
      <c r="U140" t="n">
        <v>15972.8385</v>
      </c>
      <c r="V140" t="n">
        <v>1.099917</v>
      </c>
      <c r="W140" t="n">
        <v>7.777905</v>
      </c>
      <c r="X140" t="inlineStr">
        <is>
          <t>High</t>
        </is>
      </c>
      <c r="Y140" t="inlineStr">
        <is>
          <t>None</t>
        </is>
      </c>
      <c r="Z140" t="inlineStr">
        <is>
          <t>Valid</t>
        </is>
      </c>
      <c r="AA140" t="n">
        <v>2035</v>
      </c>
      <c r="AB140" t="inlineStr">
        <is>
          <t>Historical Trend Pathway</t>
        </is>
      </c>
      <c r="AC140" t="n">
        <v>1814.6604</v>
      </c>
      <c r="AD140" t="n">
        <v>1723.9274</v>
      </c>
      <c r="AE140" t="n">
        <v>2681.1064</v>
      </c>
      <c r="AF140" t="n">
        <v>1742.074</v>
      </c>
      <c r="AG140" t="n">
        <v>-866.446</v>
      </c>
      <c r="AH140" t="n">
        <v>8.024e-05</v>
      </c>
      <c r="AI140" t="n">
        <v>-0.47747</v>
      </c>
      <c r="AJ140" t="n">
        <v>957.179</v>
      </c>
      <c r="AK140" t="n">
        <v>3.6293</v>
      </c>
      <c r="AL140" t="n">
        <v>1380.0284</v>
      </c>
      <c r="AM140" t="n">
        <v>26202.81</v>
      </c>
      <c r="AN140" t="n">
        <v>0.88</v>
      </c>
      <c r="AO140" t="inlineStr">
        <is>
          <t>Critical</t>
        </is>
      </c>
      <c r="AP140" t="inlineStr">
        <is>
          <t>Off Track</t>
        </is>
      </c>
    </row>
    <row r="141">
      <c r="A141" t="inlineStr">
        <is>
          <t>SUP-0009</t>
        </is>
      </c>
      <c r="B141" t="inlineStr">
        <is>
          <t>Professional Supplier 009</t>
        </is>
      </c>
      <c r="C141" t="inlineStr">
        <is>
          <t>Professional Services</t>
        </is>
      </c>
      <c r="D141" t="n">
        <v>2024</v>
      </c>
      <c r="E141" t="n">
        <v>2015</v>
      </c>
      <c r="F141" t="n">
        <v>2040</v>
      </c>
      <c r="G141" t="n">
        <v>2053.6172</v>
      </c>
      <c r="H141" t="n">
        <v>343.1529</v>
      </c>
      <c r="I141" t="n">
        <v>244.9547</v>
      </c>
      <c r="J141" t="n">
        <v>1276.7057</v>
      </c>
      <c r="K141" t="n">
        <v>33414113.72</v>
      </c>
      <c r="L141" t="n">
        <v>91700354.56999999</v>
      </c>
      <c r="M141" t="n">
        <v>2053.6172</v>
      </c>
      <c r="N141" t="inlineStr">
        <is>
          <t>Provided Total Emissions</t>
        </is>
      </c>
      <c r="O141" t="b">
        <v>1</v>
      </c>
      <c r="P141" t="n">
        <v>0.01384</v>
      </c>
      <c r="Q141" t="n">
        <v>0.044397</v>
      </c>
      <c r="R141" t="n">
        <v>4312.4255</v>
      </c>
      <c r="S141" t="n">
        <v>18026.4557</v>
      </c>
      <c r="T141" t="n">
        <v>2258.8083</v>
      </c>
      <c r="U141" t="n">
        <v>15972.8385</v>
      </c>
      <c r="V141" t="n">
        <v>1.099917</v>
      </c>
      <c r="W141" t="n">
        <v>7.777905</v>
      </c>
      <c r="X141" t="inlineStr">
        <is>
          <t>High</t>
        </is>
      </c>
      <c r="Y141" t="inlineStr">
        <is>
          <t>None</t>
        </is>
      </c>
      <c r="Z141" t="inlineStr">
        <is>
          <t>Valid</t>
        </is>
      </c>
      <c r="AA141" t="n">
        <v>2036</v>
      </c>
      <c r="AB141" t="inlineStr">
        <is>
          <t>Historical Trend Pathway</t>
        </is>
      </c>
      <c r="AC141" t="n">
        <v>1814.6604</v>
      </c>
      <c r="AD141" t="n">
        <v>1723.9274</v>
      </c>
      <c r="AE141" t="n">
        <v>2746.8872</v>
      </c>
      <c r="AF141" t="n">
        <v>1738.4447</v>
      </c>
      <c r="AG141" t="n">
        <v>-932.2268</v>
      </c>
      <c r="AH141" t="n">
        <v>8.221e-05</v>
      </c>
      <c r="AI141" t="n">
        <v>-0.51372</v>
      </c>
      <c r="AJ141" t="n">
        <v>1022.9598</v>
      </c>
      <c r="AK141" t="n">
        <v>3.6293</v>
      </c>
      <c r="AL141" t="n">
        <v>-1366.8588</v>
      </c>
      <c r="AM141" t="n">
        <v>28949.6972</v>
      </c>
      <c r="AN141" t="n">
        <v>0.88</v>
      </c>
      <c r="AO141" t="inlineStr">
        <is>
          <t>Critical</t>
        </is>
      </c>
      <c r="AP141" t="inlineStr">
        <is>
          <t>Off Track</t>
        </is>
      </c>
    </row>
    <row r="142">
      <c r="A142" t="inlineStr">
        <is>
          <t>SUP-0009</t>
        </is>
      </c>
      <c r="B142" t="inlineStr">
        <is>
          <t>Professional Supplier 009</t>
        </is>
      </c>
      <c r="C142" t="inlineStr">
        <is>
          <t>Professional Services</t>
        </is>
      </c>
      <c r="D142" t="n">
        <v>2024</v>
      </c>
      <c r="E142" t="n">
        <v>2015</v>
      </c>
      <c r="F142" t="n">
        <v>2040</v>
      </c>
      <c r="G142" t="n">
        <v>2053.6172</v>
      </c>
      <c r="H142" t="n">
        <v>343.1529</v>
      </c>
      <c r="I142" t="n">
        <v>244.9547</v>
      </c>
      <c r="J142" t="n">
        <v>1276.7057</v>
      </c>
      <c r="K142" t="n">
        <v>33414113.72</v>
      </c>
      <c r="L142" t="n">
        <v>91700354.56999999</v>
      </c>
      <c r="M142" t="n">
        <v>2053.6172</v>
      </c>
      <c r="N142" t="inlineStr">
        <is>
          <t>Provided Total Emissions</t>
        </is>
      </c>
      <c r="O142" t="b">
        <v>1</v>
      </c>
      <c r="P142" t="n">
        <v>0.01384</v>
      </c>
      <c r="Q142" t="n">
        <v>0.044397</v>
      </c>
      <c r="R142" t="n">
        <v>4312.4255</v>
      </c>
      <c r="S142" t="n">
        <v>18026.4557</v>
      </c>
      <c r="T142" t="n">
        <v>2258.8083</v>
      </c>
      <c r="U142" t="n">
        <v>15972.8385</v>
      </c>
      <c r="V142" t="n">
        <v>1.099917</v>
      </c>
      <c r="W142" t="n">
        <v>7.777905</v>
      </c>
      <c r="X142" t="inlineStr">
        <is>
          <t>High</t>
        </is>
      </c>
      <c r="Y142" t="inlineStr">
        <is>
          <t>None</t>
        </is>
      </c>
      <c r="Z142" t="inlineStr">
        <is>
          <t>Valid</t>
        </is>
      </c>
      <c r="AA142" t="n">
        <v>2037</v>
      </c>
      <c r="AB142" t="inlineStr">
        <is>
          <t>Historical Trend Pathway</t>
        </is>
      </c>
      <c r="AC142" t="n">
        <v>1814.6604</v>
      </c>
      <c r="AD142" t="n">
        <v>1723.9274</v>
      </c>
      <c r="AE142" t="n">
        <v>2814.282</v>
      </c>
      <c r="AF142" t="n">
        <v>1734.8153</v>
      </c>
      <c r="AG142" t="n">
        <v>-999.6215999999999</v>
      </c>
      <c r="AH142" t="n">
        <v>8.422e-05</v>
      </c>
      <c r="AI142" t="n">
        <v>-0.550859</v>
      </c>
      <c r="AJ142" t="n">
        <v>1090.3546</v>
      </c>
      <c r="AK142" t="n">
        <v>3.6293</v>
      </c>
      <c r="AL142" t="n">
        <v>-4181.1408</v>
      </c>
      <c r="AM142" t="n">
        <v>31763.9792</v>
      </c>
      <c r="AN142" t="n">
        <v>0.88</v>
      </c>
      <c r="AO142" t="inlineStr">
        <is>
          <t>Critical</t>
        </is>
      </c>
      <c r="AP142" t="inlineStr">
        <is>
          <t>Off Track</t>
        </is>
      </c>
    </row>
    <row r="143">
      <c r="A143" t="inlineStr">
        <is>
          <t>SUP-0009</t>
        </is>
      </c>
      <c r="B143" t="inlineStr">
        <is>
          <t>Professional Supplier 009</t>
        </is>
      </c>
      <c r="C143" t="inlineStr">
        <is>
          <t>Professional Services</t>
        </is>
      </c>
      <c r="D143" t="n">
        <v>2024</v>
      </c>
      <c r="E143" t="n">
        <v>2015</v>
      </c>
      <c r="F143" t="n">
        <v>2040</v>
      </c>
      <c r="G143" t="n">
        <v>2053.6172</v>
      </c>
      <c r="H143" t="n">
        <v>343.1529</v>
      </c>
      <c r="I143" t="n">
        <v>244.9547</v>
      </c>
      <c r="J143" t="n">
        <v>1276.7057</v>
      </c>
      <c r="K143" t="n">
        <v>33414113.72</v>
      </c>
      <c r="L143" t="n">
        <v>91700354.56999999</v>
      </c>
      <c r="M143" t="n">
        <v>2053.6172</v>
      </c>
      <c r="N143" t="inlineStr">
        <is>
          <t>Provided Total Emissions</t>
        </is>
      </c>
      <c r="O143" t="b">
        <v>1</v>
      </c>
      <c r="P143" t="n">
        <v>0.01384</v>
      </c>
      <c r="Q143" t="n">
        <v>0.044397</v>
      </c>
      <c r="R143" t="n">
        <v>4312.4255</v>
      </c>
      <c r="S143" t="n">
        <v>18026.4557</v>
      </c>
      <c r="T143" t="n">
        <v>2258.8083</v>
      </c>
      <c r="U143" t="n">
        <v>15972.8385</v>
      </c>
      <c r="V143" t="n">
        <v>1.099917</v>
      </c>
      <c r="W143" t="n">
        <v>7.777905</v>
      </c>
      <c r="X143" t="inlineStr">
        <is>
          <t>High</t>
        </is>
      </c>
      <c r="Y143" t="inlineStr">
        <is>
          <t>None</t>
        </is>
      </c>
      <c r="Z143" t="inlineStr">
        <is>
          <t>Valid</t>
        </is>
      </c>
      <c r="AA143" t="n">
        <v>2038</v>
      </c>
      <c r="AB143" t="inlineStr">
        <is>
          <t>Historical Trend Pathway</t>
        </is>
      </c>
      <c r="AC143" t="n">
        <v>1814.6604</v>
      </c>
      <c r="AD143" t="n">
        <v>1723.9274</v>
      </c>
      <c r="AE143" t="n">
        <v>2883.3302</v>
      </c>
      <c r="AF143" t="n">
        <v>1731.186</v>
      </c>
      <c r="AG143" t="n">
        <v>-1068.6698</v>
      </c>
      <c r="AH143" t="n">
        <v>8.629e-05</v>
      </c>
      <c r="AI143" t="n">
        <v>-0.588909</v>
      </c>
      <c r="AJ143" t="n">
        <v>1159.4029</v>
      </c>
      <c r="AK143" t="n">
        <v>3.6293</v>
      </c>
      <c r="AL143" t="n">
        <v>-7064.471</v>
      </c>
      <c r="AM143" t="n">
        <v>34647.3094</v>
      </c>
      <c r="AN143" t="n">
        <v>0.88</v>
      </c>
      <c r="AO143" t="inlineStr">
        <is>
          <t>Critical</t>
        </is>
      </c>
      <c r="AP143" t="inlineStr">
        <is>
          <t>Off Track</t>
        </is>
      </c>
    </row>
    <row r="144">
      <c r="A144" t="inlineStr">
        <is>
          <t>SUP-0009</t>
        </is>
      </c>
      <c r="B144" t="inlineStr">
        <is>
          <t>Professional Supplier 009</t>
        </is>
      </c>
      <c r="C144" t="inlineStr">
        <is>
          <t>Professional Services</t>
        </is>
      </c>
      <c r="D144" t="n">
        <v>2024</v>
      </c>
      <c r="E144" t="n">
        <v>2015</v>
      </c>
      <c r="F144" t="n">
        <v>2040</v>
      </c>
      <c r="G144" t="n">
        <v>2053.6172</v>
      </c>
      <c r="H144" t="n">
        <v>343.1529</v>
      </c>
      <c r="I144" t="n">
        <v>244.9547</v>
      </c>
      <c r="J144" t="n">
        <v>1276.7057</v>
      </c>
      <c r="K144" t="n">
        <v>33414113.72</v>
      </c>
      <c r="L144" t="n">
        <v>91700354.56999999</v>
      </c>
      <c r="M144" t="n">
        <v>2053.6172</v>
      </c>
      <c r="N144" t="inlineStr">
        <is>
          <t>Provided Total Emissions</t>
        </is>
      </c>
      <c r="O144" t="b">
        <v>1</v>
      </c>
      <c r="P144" t="n">
        <v>0.01384</v>
      </c>
      <c r="Q144" t="n">
        <v>0.044397</v>
      </c>
      <c r="R144" t="n">
        <v>4312.4255</v>
      </c>
      <c r="S144" t="n">
        <v>18026.4557</v>
      </c>
      <c r="T144" t="n">
        <v>2258.8083</v>
      </c>
      <c r="U144" t="n">
        <v>15972.8385</v>
      </c>
      <c r="V144" t="n">
        <v>1.099917</v>
      </c>
      <c r="W144" t="n">
        <v>7.777905</v>
      </c>
      <c r="X144" t="inlineStr">
        <is>
          <t>High</t>
        </is>
      </c>
      <c r="Y144" t="inlineStr">
        <is>
          <t>None</t>
        </is>
      </c>
      <c r="Z144" t="inlineStr">
        <is>
          <t>Valid</t>
        </is>
      </c>
      <c r="AA144" t="n">
        <v>2039</v>
      </c>
      <c r="AB144" t="inlineStr">
        <is>
          <t>Historical Trend Pathway</t>
        </is>
      </c>
      <c r="AC144" t="n">
        <v>1814.6604</v>
      </c>
      <c r="AD144" t="n">
        <v>1723.9274</v>
      </c>
      <c r="AE144" t="n">
        <v>2954.0726</v>
      </c>
      <c r="AF144" t="n">
        <v>1727.5567</v>
      </c>
      <c r="AG144" t="n">
        <v>-1139.4122</v>
      </c>
      <c r="AH144" t="n">
        <v>8.841e-05</v>
      </c>
      <c r="AI144" t="n">
        <v>-0.627893</v>
      </c>
      <c r="AJ144" t="n">
        <v>1230.1452</v>
      </c>
      <c r="AK144" t="n">
        <v>3.6293</v>
      </c>
      <c r="AL144" t="n">
        <v>-10018.5436</v>
      </c>
      <c r="AM144" t="n">
        <v>37601.382</v>
      </c>
      <c r="AN144" t="n">
        <v>0.88</v>
      </c>
      <c r="AO144" t="inlineStr">
        <is>
          <t>Critical</t>
        </is>
      </c>
      <c r="AP144" t="inlineStr">
        <is>
          <t>Off Track</t>
        </is>
      </c>
    </row>
    <row r="145">
      <c r="A145" t="inlineStr">
        <is>
          <t>SUP-0009</t>
        </is>
      </c>
      <c r="B145" t="inlineStr">
        <is>
          <t>Professional Supplier 009</t>
        </is>
      </c>
      <c r="C145" t="inlineStr">
        <is>
          <t>Professional Services</t>
        </is>
      </c>
      <c r="D145" t="n">
        <v>2024</v>
      </c>
      <c r="E145" t="n">
        <v>2015</v>
      </c>
      <c r="F145" t="n">
        <v>2040</v>
      </c>
      <c r="G145" t="n">
        <v>2053.6172</v>
      </c>
      <c r="H145" t="n">
        <v>343.1529</v>
      </c>
      <c r="I145" t="n">
        <v>244.9547</v>
      </c>
      <c r="J145" t="n">
        <v>1276.7057</v>
      </c>
      <c r="K145" t="n">
        <v>33414113.72</v>
      </c>
      <c r="L145" t="n">
        <v>91700354.56999999</v>
      </c>
      <c r="M145" t="n">
        <v>2053.6172</v>
      </c>
      <c r="N145" t="inlineStr">
        <is>
          <t>Provided Total Emissions</t>
        </is>
      </c>
      <c r="O145" t="b">
        <v>1</v>
      </c>
      <c r="P145" t="n">
        <v>0.01384</v>
      </c>
      <c r="Q145" t="n">
        <v>0.044397</v>
      </c>
      <c r="R145" t="n">
        <v>4312.4255</v>
      </c>
      <c r="S145" t="n">
        <v>18026.4557</v>
      </c>
      <c r="T145" t="n">
        <v>2258.8083</v>
      </c>
      <c r="U145" t="n">
        <v>15972.8385</v>
      </c>
      <c r="V145" t="n">
        <v>1.099917</v>
      </c>
      <c r="W145" t="n">
        <v>7.777905</v>
      </c>
      <c r="X145" t="inlineStr">
        <is>
          <t>High</t>
        </is>
      </c>
      <c r="Y145" t="inlineStr">
        <is>
          <t>None</t>
        </is>
      </c>
      <c r="Z145" t="inlineStr">
        <is>
          <t>Valid</t>
        </is>
      </c>
      <c r="AA145" t="n">
        <v>2040</v>
      </c>
      <c r="AB145" t="inlineStr">
        <is>
          <t>Historical Trend Pathway</t>
        </is>
      </c>
      <c r="AC145" t="n">
        <v>1814.6604</v>
      </c>
      <c r="AD145" t="n">
        <v>1723.9274</v>
      </c>
      <c r="AE145" t="n">
        <v>3026.5506</v>
      </c>
      <c r="AF145" t="n">
        <v>1723.9274</v>
      </c>
      <c r="AG145" t="n">
        <v>-1211.8902</v>
      </c>
      <c r="AH145" t="n">
        <v>9.058e-05</v>
      </c>
      <c r="AI145" t="n">
        <v>-0.667833</v>
      </c>
      <c r="AJ145" t="n">
        <v>1302.6232</v>
      </c>
      <c r="AK145" t="n">
        <v>3.6293</v>
      </c>
      <c r="AL145" t="n">
        <v>-13045.0942</v>
      </c>
      <c r="AM145" t="n">
        <v>40627.9326</v>
      </c>
      <c r="AN145" t="n">
        <v>0.88</v>
      </c>
      <c r="AO145" t="inlineStr">
        <is>
          <t>Critical</t>
        </is>
      </c>
      <c r="AP145" t="inlineStr">
        <is>
          <t>Off Track</t>
        </is>
      </c>
    </row>
    <row r="146">
      <c r="A146" t="inlineStr">
        <is>
          <t>SUP-0010</t>
        </is>
      </c>
      <c r="B146" t="inlineStr">
        <is>
          <t>Packaging Supplier 010</t>
        </is>
      </c>
      <c r="C146" t="inlineStr">
        <is>
          <t>Packaging</t>
        </is>
      </c>
      <c r="D146" t="n">
        <v>2024</v>
      </c>
      <c r="E146" t="n">
        <v>2018</v>
      </c>
      <c r="F146" t="n">
        <v>2035</v>
      </c>
      <c r="G146" t="n">
        <v>10699.7983</v>
      </c>
      <c r="H146" t="n">
        <v>2412.7953</v>
      </c>
      <c r="I146" t="n">
        <v>2333.4039</v>
      </c>
      <c r="J146" t="n">
        <v>5974.333</v>
      </c>
      <c r="K146" t="n">
        <v>11589992.26</v>
      </c>
      <c r="L146" t="n">
        <v>72105203.11</v>
      </c>
      <c r="M146" t="n">
        <v>10699.7983</v>
      </c>
      <c r="N146" t="inlineStr">
        <is>
          <t>Provided Total Emissions</t>
        </is>
      </c>
      <c r="O146" t="b">
        <v>1</v>
      </c>
      <c r="P146" t="n">
        <v>0.021632</v>
      </c>
      <c r="Q146" t="n">
        <v>0.07330299999999999</v>
      </c>
      <c r="R146" t="n">
        <v>12520.6686</v>
      </c>
      <c r="S146" t="n">
        <v>56924.1736</v>
      </c>
      <c r="T146" t="n">
        <v>1820.8703</v>
      </c>
      <c r="U146" t="n">
        <v>46224.3753</v>
      </c>
      <c r="V146" t="n">
        <v>0.170178</v>
      </c>
      <c r="W146" t="n">
        <v>4.320117</v>
      </c>
      <c r="X146" t="inlineStr">
        <is>
          <t>High</t>
        </is>
      </c>
      <c r="Y146" t="inlineStr">
        <is>
          <t>None</t>
        </is>
      </c>
      <c r="Z146" t="inlineStr">
        <is>
          <t>Valid</t>
        </is>
      </c>
      <c r="AA146" t="n">
        <v>2025</v>
      </c>
      <c r="AB146" t="inlineStr">
        <is>
          <t>Supplier Target Pathway</t>
        </is>
      </c>
      <c r="AC146" t="n">
        <v>9181.706</v>
      </c>
      <c r="AD146" t="n">
        <v>5542.9959</v>
      </c>
      <c r="AE146" t="n">
        <v>7683.4136</v>
      </c>
      <c r="AF146" t="n">
        <v>7683.4136</v>
      </c>
      <c r="AG146" t="n">
        <v>1498.2924</v>
      </c>
      <c r="AH146" t="n">
        <v>0.00066294</v>
      </c>
      <c r="AI146" t="n">
        <v>0.163182</v>
      </c>
      <c r="AJ146" t="n">
        <v>2140.4177</v>
      </c>
      <c r="AK146" t="n">
        <v>214.0418</v>
      </c>
      <c r="AL146" t="n">
        <v>53289.5413</v>
      </c>
      <c r="AM146" t="n">
        <v>7683.4136</v>
      </c>
      <c r="AN146" t="n">
        <v>0.99</v>
      </c>
      <c r="AO146" t="inlineStr">
        <is>
          <t>Critical</t>
        </is>
      </c>
      <c r="AP146" t="inlineStr">
        <is>
          <t>On Track to Glide Path</t>
        </is>
      </c>
    </row>
    <row r="147">
      <c r="A147" t="inlineStr">
        <is>
          <t>SUP-0010</t>
        </is>
      </c>
      <c r="B147" t="inlineStr">
        <is>
          <t>Packaging Supplier 010</t>
        </is>
      </c>
      <c r="C147" t="inlineStr">
        <is>
          <t>Packaging</t>
        </is>
      </c>
      <c r="D147" t="n">
        <v>2024</v>
      </c>
      <c r="E147" t="n">
        <v>2018</v>
      </c>
      <c r="F147" t="n">
        <v>2035</v>
      </c>
      <c r="G147" t="n">
        <v>10699.7983</v>
      </c>
      <c r="H147" t="n">
        <v>2412.7953</v>
      </c>
      <c r="I147" t="n">
        <v>2333.4039</v>
      </c>
      <c r="J147" t="n">
        <v>5974.333</v>
      </c>
      <c r="K147" t="n">
        <v>11589992.26</v>
      </c>
      <c r="L147" t="n">
        <v>72105203.11</v>
      </c>
      <c r="M147" t="n">
        <v>10699.7983</v>
      </c>
      <c r="N147" t="inlineStr">
        <is>
          <t>Provided Total Emissions</t>
        </is>
      </c>
      <c r="O147" t="b">
        <v>1</v>
      </c>
      <c r="P147" t="n">
        <v>0.021632</v>
      </c>
      <c r="Q147" t="n">
        <v>0.07330299999999999</v>
      </c>
      <c r="R147" t="n">
        <v>12520.6686</v>
      </c>
      <c r="S147" t="n">
        <v>56924.1736</v>
      </c>
      <c r="T147" t="n">
        <v>1820.8703</v>
      </c>
      <c r="U147" t="n">
        <v>46224.3753</v>
      </c>
      <c r="V147" t="n">
        <v>0.170178</v>
      </c>
      <c r="W147" t="n">
        <v>4.320117</v>
      </c>
      <c r="X147" t="inlineStr">
        <is>
          <t>High</t>
        </is>
      </c>
      <c r="Y147" t="inlineStr">
        <is>
          <t>None</t>
        </is>
      </c>
      <c r="Z147" t="inlineStr">
        <is>
          <t>Valid</t>
        </is>
      </c>
      <c r="AA147" t="n">
        <v>2026</v>
      </c>
      <c r="AB147" t="inlineStr">
        <is>
          <t>Supplier Target Pathway</t>
        </is>
      </c>
      <c r="AC147" t="n">
        <v>9181.706</v>
      </c>
      <c r="AD147" t="n">
        <v>5542.9959</v>
      </c>
      <c r="AE147" t="n">
        <v>7469.3718</v>
      </c>
      <c r="AF147" t="n">
        <v>7469.3718</v>
      </c>
      <c r="AG147" t="n">
        <v>1712.3342</v>
      </c>
      <c r="AH147" t="n">
        <v>0.00064447</v>
      </c>
      <c r="AI147" t="n">
        <v>0.186494</v>
      </c>
      <c r="AJ147" t="n">
        <v>1926.3759</v>
      </c>
      <c r="AK147" t="n">
        <v>214.0418</v>
      </c>
      <c r="AL147" t="n">
        <v>45820.1695</v>
      </c>
      <c r="AM147" t="n">
        <v>15152.7854</v>
      </c>
      <c r="AN147" t="n">
        <v>0.99</v>
      </c>
      <c r="AO147" t="inlineStr">
        <is>
          <t>High</t>
        </is>
      </c>
      <c r="AP147" t="inlineStr">
        <is>
          <t>On Track to Glide Path</t>
        </is>
      </c>
    </row>
    <row r="148">
      <c r="A148" t="inlineStr">
        <is>
          <t>SUP-0010</t>
        </is>
      </c>
      <c r="B148" t="inlineStr">
        <is>
          <t>Packaging Supplier 010</t>
        </is>
      </c>
      <c r="C148" t="inlineStr">
        <is>
          <t>Packaging</t>
        </is>
      </c>
      <c r="D148" t="n">
        <v>2024</v>
      </c>
      <c r="E148" t="n">
        <v>2018</v>
      </c>
      <c r="F148" t="n">
        <v>2035</v>
      </c>
      <c r="G148" t="n">
        <v>10699.7983</v>
      </c>
      <c r="H148" t="n">
        <v>2412.7953</v>
      </c>
      <c r="I148" t="n">
        <v>2333.4039</v>
      </c>
      <c r="J148" t="n">
        <v>5974.333</v>
      </c>
      <c r="K148" t="n">
        <v>11589992.26</v>
      </c>
      <c r="L148" t="n">
        <v>72105203.11</v>
      </c>
      <c r="M148" t="n">
        <v>10699.7983</v>
      </c>
      <c r="N148" t="inlineStr">
        <is>
          <t>Provided Total Emissions</t>
        </is>
      </c>
      <c r="O148" t="b">
        <v>1</v>
      </c>
      <c r="P148" t="n">
        <v>0.021632</v>
      </c>
      <c r="Q148" t="n">
        <v>0.07330299999999999</v>
      </c>
      <c r="R148" t="n">
        <v>12520.6686</v>
      </c>
      <c r="S148" t="n">
        <v>56924.1736</v>
      </c>
      <c r="T148" t="n">
        <v>1820.8703</v>
      </c>
      <c r="U148" t="n">
        <v>46224.3753</v>
      </c>
      <c r="V148" t="n">
        <v>0.170178</v>
      </c>
      <c r="W148" t="n">
        <v>4.320117</v>
      </c>
      <c r="X148" t="inlineStr">
        <is>
          <t>High</t>
        </is>
      </c>
      <c r="Y148" t="inlineStr">
        <is>
          <t>None</t>
        </is>
      </c>
      <c r="Z148" t="inlineStr">
        <is>
          <t>Valid</t>
        </is>
      </c>
      <c r="AA148" t="n">
        <v>2027</v>
      </c>
      <c r="AB148" t="inlineStr">
        <is>
          <t>Supplier Target Pathway</t>
        </is>
      </c>
      <c r="AC148" t="n">
        <v>9181.706</v>
      </c>
      <c r="AD148" t="n">
        <v>5542.9959</v>
      </c>
      <c r="AE148" t="n">
        <v>7255.3301</v>
      </c>
      <c r="AF148" t="n">
        <v>7255.3301</v>
      </c>
      <c r="AG148" t="n">
        <v>1926.3759</v>
      </c>
      <c r="AH148" t="n">
        <v>0.000626</v>
      </c>
      <c r="AI148" t="n">
        <v>0.209806</v>
      </c>
      <c r="AJ148" t="n">
        <v>1712.3342</v>
      </c>
      <c r="AK148" t="n">
        <v>214.0418</v>
      </c>
      <c r="AL148" t="n">
        <v>38564.8394</v>
      </c>
      <c r="AM148" t="n">
        <v>22408.1155</v>
      </c>
      <c r="AN148" t="n">
        <v>0.99</v>
      </c>
      <c r="AO148" t="inlineStr">
        <is>
          <t>High</t>
        </is>
      </c>
      <c r="AP148" t="inlineStr">
        <is>
          <t>On Track to Glide Path</t>
        </is>
      </c>
    </row>
    <row r="149">
      <c r="A149" t="inlineStr">
        <is>
          <t>SUP-0010</t>
        </is>
      </c>
      <c r="B149" t="inlineStr">
        <is>
          <t>Packaging Supplier 010</t>
        </is>
      </c>
      <c r="C149" t="inlineStr">
        <is>
          <t>Packaging</t>
        </is>
      </c>
      <c r="D149" t="n">
        <v>2024</v>
      </c>
      <c r="E149" t="n">
        <v>2018</v>
      </c>
      <c r="F149" t="n">
        <v>2035</v>
      </c>
      <c r="G149" t="n">
        <v>10699.7983</v>
      </c>
      <c r="H149" t="n">
        <v>2412.7953</v>
      </c>
      <c r="I149" t="n">
        <v>2333.4039</v>
      </c>
      <c r="J149" t="n">
        <v>5974.333</v>
      </c>
      <c r="K149" t="n">
        <v>11589992.26</v>
      </c>
      <c r="L149" t="n">
        <v>72105203.11</v>
      </c>
      <c r="M149" t="n">
        <v>10699.7983</v>
      </c>
      <c r="N149" t="inlineStr">
        <is>
          <t>Provided Total Emissions</t>
        </is>
      </c>
      <c r="O149" t="b">
        <v>1</v>
      </c>
      <c r="P149" t="n">
        <v>0.021632</v>
      </c>
      <c r="Q149" t="n">
        <v>0.07330299999999999</v>
      </c>
      <c r="R149" t="n">
        <v>12520.6686</v>
      </c>
      <c r="S149" t="n">
        <v>56924.1736</v>
      </c>
      <c r="T149" t="n">
        <v>1820.8703</v>
      </c>
      <c r="U149" t="n">
        <v>46224.3753</v>
      </c>
      <c r="V149" t="n">
        <v>0.170178</v>
      </c>
      <c r="W149" t="n">
        <v>4.320117</v>
      </c>
      <c r="X149" t="inlineStr">
        <is>
          <t>High</t>
        </is>
      </c>
      <c r="Y149" t="inlineStr">
        <is>
          <t>None</t>
        </is>
      </c>
      <c r="Z149" t="inlineStr">
        <is>
          <t>Valid</t>
        </is>
      </c>
      <c r="AA149" t="n">
        <v>2028</v>
      </c>
      <c r="AB149" t="inlineStr">
        <is>
          <t>Supplier Target Pathway</t>
        </is>
      </c>
      <c r="AC149" t="n">
        <v>9181.706</v>
      </c>
      <c r="AD149" t="n">
        <v>5542.9959</v>
      </c>
      <c r="AE149" t="n">
        <v>7041.2883</v>
      </c>
      <c r="AF149" t="n">
        <v>7041.2883</v>
      </c>
      <c r="AG149" t="n">
        <v>2140.4177</v>
      </c>
      <c r="AH149" t="n">
        <v>0.00060753</v>
      </c>
      <c r="AI149" t="n">
        <v>0.233118</v>
      </c>
      <c r="AJ149" t="n">
        <v>1498.2924</v>
      </c>
      <c r="AK149" t="n">
        <v>214.0418</v>
      </c>
      <c r="AL149" t="n">
        <v>31523.5511</v>
      </c>
      <c r="AM149" t="n">
        <v>29449.4038</v>
      </c>
      <c r="AN149" t="n">
        <v>0.99</v>
      </c>
      <c r="AO149" t="inlineStr">
        <is>
          <t>High</t>
        </is>
      </c>
      <c r="AP149" t="inlineStr">
        <is>
          <t>On Track to Glide Path</t>
        </is>
      </c>
    </row>
    <row r="150">
      <c r="A150" t="inlineStr">
        <is>
          <t>SUP-0010</t>
        </is>
      </c>
      <c r="B150" t="inlineStr">
        <is>
          <t>Packaging Supplier 010</t>
        </is>
      </c>
      <c r="C150" t="inlineStr">
        <is>
          <t>Packaging</t>
        </is>
      </c>
      <c r="D150" t="n">
        <v>2024</v>
      </c>
      <c r="E150" t="n">
        <v>2018</v>
      </c>
      <c r="F150" t="n">
        <v>2035</v>
      </c>
      <c r="G150" t="n">
        <v>10699.7983</v>
      </c>
      <c r="H150" t="n">
        <v>2412.7953</v>
      </c>
      <c r="I150" t="n">
        <v>2333.4039</v>
      </c>
      <c r="J150" t="n">
        <v>5974.333</v>
      </c>
      <c r="K150" t="n">
        <v>11589992.26</v>
      </c>
      <c r="L150" t="n">
        <v>72105203.11</v>
      </c>
      <c r="M150" t="n">
        <v>10699.7983</v>
      </c>
      <c r="N150" t="inlineStr">
        <is>
          <t>Provided Total Emissions</t>
        </is>
      </c>
      <c r="O150" t="b">
        <v>1</v>
      </c>
      <c r="P150" t="n">
        <v>0.021632</v>
      </c>
      <c r="Q150" t="n">
        <v>0.07330299999999999</v>
      </c>
      <c r="R150" t="n">
        <v>12520.6686</v>
      </c>
      <c r="S150" t="n">
        <v>56924.1736</v>
      </c>
      <c r="T150" t="n">
        <v>1820.8703</v>
      </c>
      <c r="U150" t="n">
        <v>46224.3753</v>
      </c>
      <c r="V150" t="n">
        <v>0.170178</v>
      </c>
      <c r="W150" t="n">
        <v>4.320117</v>
      </c>
      <c r="X150" t="inlineStr">
        <is>
          <t>High</t>
        </is>
      </c>
      <c r="Y150" t="inlineStr">
        <is>
          <t>None</t>
        </is>
      </c>
      <c r="Z150" t="inlineStr">
        <is>
          <t>Valid</t>
        </is>
      </c>
      <c r="AA150" t="n">
        <v>2029</v>
      </c>
      <c r="AB150" t="inlineStr">
        <is>
          <t>Supplier Target Pathway</t>
        </is>
      </c>
      <c r="AC150" t="n">
        <v>9181.706</v>
      </c>
      <c r="AD150" t="n">
        <v>5542.9959</v>
      </c>
      <c r="AE150" t="n">
        <v>6827.2465</v>
      </c>
      <c r="AF150" t="n">
        <v>6827.2465</v>
      </c>
      <c r="AG150" t="n">
        <v>2354.4595</v>
      </c>
      <c r="AH150" t="n">
        <v>0.00058906</v>
      </c>
      <c r="AI150" t="n">
        <v>0.256429</v>
      </c>
      <c r="AJ150" t="n">
        <v>1284.2506</v>
      </c>
      <c r="AK150" t="n">
        <v>214.0418</v>
      </c>
      <c r="AL150" t="n">
        <v>24696.3046</v>
      </c>
      <c r="AM150" t="n">
        <v>36276.6503</v>
      </c>
      <c r="AN150" t="n">
        <v>0.99</v>
      </c>
      <c r="AO150" t="inlineStr">
        <is>
          <t>High</t>
        </is>
      </c>
      <c r="AP150" t="inlineStr">
        <is>
          <t>On Track to Glide Path</t>
        </is>
      </c>
    </row>
    <row r="151">
      <c r="A151" t="inlineStr">
        <is>
          <t>SUP-0010</t>
        </is>
      </c>
      <c r="B151" t="inlineStr">
        <is>
          <t>Packaging Supplier 010</t>
        </is>
      </c>
      <c r="C151" t="inlineStr">
        <is>
          <t>Packaging</t>
        </is>
      </c>
      <c r="D151" t="n">
        <v>2024</v>
      </c>
      <c r="E151" t="n">
        <v>2018</v>
      </c>
      <c r="F151" t="n">
        <v>2035</v>
      </c>
      <c r="G151" t="n">
        <v>10699.7983</v>
      </c>
      <c r="H151" t="n">
        <v>2412.7953</v>
      </c>
      <c r="I151" t="n">
        <v>2333.4039</v>
      </c>
      <c r="J151" t="n">
        <v>5974.333</v>
      </c>
      <c r="K151" t="n">
        <v>11589992.26</v>
      </c>
      <c r="L151" t="n">
        <v>72105203.11</v>
      </c>
      <c r="M151" t="n">
        <v>10699.7983</v>
      </c>
      <c r="N151" t="inlineStr">
        <is>
          <t>Provided Total Emissions</t>
        </is>
      </c>
      <c r="O151" t="b">
        <v>1</v>
      </c>
      <c r="P151" t="n">
        <v>0.021632</v>
      </c>
      <c r="Q151" t="n">
        <v>0.07330299999999999</v>
      </c>
      <c r="R151" t="n">
        <v>12520.6686</v>
      </c>
      <c r="S151" t="n">
        <v>56924.1736</v>
      </c>
      <c r="T151" t="n">
        <v>1820.8703</v>
      </c>
      <c r="U151" t="n">
        <v>46224.3753</v>
      </c>
      <c r="V151" t="n">
        <v>0.170178</v>
      </c>
      <c r="W151" t="n">
        <v>4.320117</v>
      </c>
      <c r="X151" t="inlineStr">
        <is>
          <t>High</t>
        </is>
      </c>
      <c r="Y151" t="inlineStr">
        <is>
          <t>None</t>
        </is>
      </c>
      <c r="Z151" t="inlineStr">
        <is>
          <t>Valid</t>
        </is>
      </c>
      <c r="AA151" t="n">
        <v>2030</v>
      </c>
      <c r="AB151" t="inlineStr">
        <is>
          <t>Supplier Target Pathway</t>
        </is>
      </c>
      <c r="AC151" t="n">
        <v>9181.706</v>
      </c>
      <c r="AD151" t="n">
        <v>5542.9959</v>
      </c>
      <c r="AE151" t="n">
        <v>6613.2048</v>
      </c>
      <c r="AF151" t="n">
        <v>6613.2048</v>
      </c>
      <c r="AG151" t="n">
        <v>2568.5012</v>
      </c>
      <c r="AH151" t="n">
        <v>0.0005706</v>
      </c>
      <c r="AI151" t="n">
        <v>0.279741</v>
      </c>
      <c r="AJ151" t="n">
        <v>1070.2088</v>
      </c>
      <c r="AK151" t="n">
        <v>214.0418</v>
      </c>
      <c r="AL151" t="n">
        <v>18083.0998</v>
      </c>
      <c r="AM151" t="n">
        <v>42889.8551</v>
      </c>
      <c r="AN151" t="n">
        <v>0.99</v>
      </c>
      <c r="AO151" t="inlineStr">
        <is>
          <t>High</t>
        </is>
      </c>
      <c r="AP151" t="inlineStr">
        <is>
          <t>On Track to Glide Path</t>
        </is>
      </c>
    </row>
    <row r="152">
      <c r="A152" t="inlineStr">
        <is>
          <t>SUP-0010</t>
        </is>
      </c>
      <c r="B152" t="inlineStr">
        <is>
          <t>Packaging Supplier 010</t>
        </is>
      </c>
      <c r="C152" t="inlineStr">
        <is>
          <t>Packaging</t>
        </is>
      </c>
      <c r="D152" t="n">
        <v>2024</v>
      </c>
      <c r="E152" t="n">
        <v>2018</v>
      </c>
      <c r="F152" t="n">
        <v>2035</v>
      </c>
      <c r="G152" t="n">
        <v>10699.7983</v>
      </c>
      <c r="H152" t="n">
        <v>2412.7953</v>
      </c>
      <c r="I152" t="n">
        <v>2333.4039</v>
      </c>
      <c r="J152" t="n">
        <v>5974.333</v>
      </c>
      <c r="K152" t="n">
        <v>11589992.26</v>
      </c>
      <c r="L152" t="n">
        <v>72105203.11</v>
      </c>
      <c r="M152" t="n">
        <v>10699.7983</v>
      </c>
      <c r="N152" t="inlineStr">
        <is>
          <t>Provided Total Emissions</t>
        </is>
      </c>
      <c r="O152" t="b">
        <v>1</v>
      </c>
      <c r="P152" t="n">
        <v>0.021632</v>
      </c>
      <c r="Q152" t="n">
        <v>0.07330299999999999</v>
      </c>
      <c r="R152" t="n">
        <v>12520.6686</v>
      </c>
      <c r="S152" t="n">
        <v>56924.1736</v>
      </c>
      <c r="T152" t="n">
        <v>1820.8703</v>
      </c>
      <c r="U152" t="n">
        <v>46224.3753</v>
      </c>
      <c r="V152" t="n">
        <v>0.170178</v>
      </c>
      <c r="W152" t="n">
        <v>4.320117</v>
      </c>
      <c r="X152" t="inlineStr">
        <is>
          <t>High</t>
        </is>
      </c>
      <c r="Y152" t="inlineStr">
        <is>
          <t>None</t>
        </is>
      </c>
      <c r="Z152" t="inlineStr">
        <is>
          <t>Valid</t>
        </is>
      </c>
      <c r="AA152" t="n">
        <v>2031</v>
      </c>
      <c r="AB152" t="inlineStr">
        <is>
          <t>Supplier Target Pathway</t>
        </is>
      </c>
      <c r="AC152" t="n">
        <v>9181.706</v>
      </c>
      <c r="AD152" t="n">
        <v>5542.9959</v>
      </c>
      <c r="AE152" t="n">
        <v>6399.163</v>
      </c>
      <c r="AF152" t="n">
        <v>6399.163</v>
      </c>
      <c r="AG152" t="n">
        <v>2782.543</v>
      </c>
      <c r="AH152" t="n">
        <v>0.00055213</v>
      </c>
      <c r="AI152" t="n">
        <v>0.303053</v>
      </c>
      <c r="AJ152" t="n">
        <v>856.1671</v>
      </c>
      <c r="AK152" t="n">
        <v>214.0418</v>
      </c>
      <c r="AL152" t="n">
        <v>11683.9368</v>
      </c>
      <c r="AM152" t="n">
        <v>49289.0181</v>
      </c>
      <c r="AN152" t="n">
        <v>0.99</v>
      </c>
      <c r="AO152" t="inlineStr">
        <is>
          <t>High</t>
        </is>
      </c>
      <c r="AP152" t="inlineStr">
        <is>
          <t>On Track to Glide Path</t>
        </is>
      </c>
    </row>
    <row r="153">
      <c r="A153" t="inlineStr">
        <is>
          <t>SUP-0010</t>
        </is>
      </c>
      <c r="B153" t="inlineStr">
        <is>
          <t>Packaging Supplier 010</t>
        </is>
      </c>
      <c r="C153" t="inlineStr">
        <is>
          <t>Packaging</t>
        </is>
      </c>
      <c r="D153" t="n">
        <v>2024</v>
      </c>
      <c r="E153" t="n">
        <v>2018</v>
      </c>
      <c r="F153" t="n">
        <v>2035</v>
      </c>
      <c r="G153" t="n">
        <v>10699.7983</v>
      </c>
      <c r="H153" t="n">
        <v>2412.7953</v>
      </c>
      <c r="I153" t="n">
        <v>2333.4039</v>
      </c>
      <c r="J153" t="n">
        <v>5974.333</v>
      </c>
      <c r="K153" t="n">
        <v>11589992.26</v>
      </c>
      <c r="L153" t="n">
        <v>72105203.11</v>
      </c>
      <c r="M153" t="n">
        <v>10699.7983</v>
      </c>
      <c r="N153" t="inlineStr">
        <is>
          <t>Provided Total Emissions</t>
        </is>
      </c>
      <c r="O153" t="b">
        <v>1</v>
      </c>
      <c r="P153" t="n">
        <v>0.021632</v>
      </c>
      <c r="Q153" t="n">
        <v>0.07330299999999999</v>
      </c>
      <c r="R153" t="n">
        <v>12520.6686</v>
      </c>
      <c r="S153" t="n">
        <v>56924.1736</v>
      </c>
      <c r="T153" t="n">
        <v>1820.8703</v>
      </c>
      <c r="U153" t="n">
        <v>46224.3753</v>
      </c>
      <c r="V153" t="n">
        <v>0.170178</v>
      </c>
      <c r="W153" t="n">
        <v>4.320117</v>
      </c>
      <c r="X153" t="inlineStr">
        <is>
          <t>High</t>
        </is>
      </c>
      <c r="Y153" t="inlineStr">
        <is>
          <t>None</t>
        </is>
      </c>
      <c r="Z153" t="inlineStr">
        <is>
          <t>Valid</t>
        </is>
      </c>
      <c r="AA153" t="n">
        <v>2032</v>
      </c>
      <c r="AB153" t="inlineStr">
        <is>
          <t>Supplier Target Pathway</t>
        </is>
      </c>
      <c r="AC153" t="n">
        <v>9181.706</v>
      </c>
      <c r="AD153" t="n">
        <v>5542.9959</v>
      </c>
      <c r="AE153" t="n">
        <v>6185.1212</v>
      </c>
      <c r="AF153" t="n">
        <v>6185.1212</v>
      </c>
      <c r="AG153" t="n">
        <v>2996.5848</v>
      </c>
      <c r="AH153" t="n">
        <v>0.00053366</v>
      </c>
      <c r="AI153" t="n">
        <v>0.326365</v>
      </c>
      <c r="AJ153" t="n">
        <v>642.1253</v>
      </c>
      <c r="AK153" t="n">
        <v>214.0418</v>
      </c>
      <c r="AL153" t="n">
        <v>5498.8156</v>
      </c>
      <c r="AM153" t="n">
        <v>55474.1393</v>
      </c>
      <c r="AN153" t="n">
        <v>0.99</v>
      </c>
      <c r="AO153" t="inlineStr">
        <is>
          <t>Medium</t>
        </is>
      </c>
      <c r="AP153" t="inlineStr">
        <is>
          <t>On Track to Glide Path</t>
        </is>
      </c>
    </row>
    <row r="154">
      <c r="A154" t="inlineStr">
        <is>
          <t>SUP-0010</t>
        </is>
      </c>
      <c r="B154" t="inlineStr">
        <is>
          <t>Packaging Supplier 010</t>
        </is>
      </c>
      <c r="C154" t="inlineStr">
        <is>
          <t>Packaging</t>
        </is>
      </c>
      <c r="D154" t="n">
        <v>2024</v>
      </c>
      <c r="E154" t="n">
        <v>2018</v>
      </c>
      <c r="F154" t="n">
        <v>2035</v>
      </c>
      <c r="G154" t="n">
        <v>10699.7983</v>
      </c>
      <c r="H154" t="n">
        <v>2412.7953</v>
      </c>
      <c r="I154" t="n">
        <v>2333.4039</v>
      </c>
      <c r="J154" t="n">
        <v>5974.333</v>
      </c>
      <c r="K154" t="n">
        <v>11589992.26</v>
      </c>
      <c r="L154" t="n">
        <v>72105203.11</v>
      </c>
      <c r="M154" t="n">
        <v>10699.7983</v>
      </c>
      <c r="N154" t="inlineStr">
        <is>
          <t>Provided Total Emissions</t>
        </is>
      </c>
      <c r="O154" t="b">
        <v>1</v>
      </c>
      <c r="P154" t="n">
        <v>0.021632</v>
      </c>
      <c r="Q154" t="n">
        <v>0.07330299999999999</v>
      </c>
      <c r="R154" t="n">
        <v>12520.6686</v>
      </c>
      <c r="S154" t="n">
        <v>56924.1736</v>
      </c>
      <c r="T154" t="n">
        <v>1820.8703</v>
      </c>
      <c r="U154" t="n">
        <v>46224.3753</v>
      </c>
      <c r="V154" t="n">
        <v>0.170178</v>
      </c>
      <c r="W154" t="n">
        <v>4.320117</v>
      </c>
      <c r="X154" t="inlineStr">
        <is>
          <t>High</t>
        </is>
      </c>
      <c r="Y154" t="inlineStr">
        <is>
          <t>None</t>
        </is>
      </c>
      <c r="Z154" t="inlineStr">
        <is>
          <t>Valid</t>
        </is>
      </c>
      <c r="AA154" t="n">
        <v>2033</v>
      </c>
      <c r="AB154" t="inlineStr">
        <is>
          <t>Supplier Target Pathway</t>
        </is>
      </c>
      <c r="AC154" t="n">
        <v>9181.706</v>
      </c>
      <c r="AD154" t="n">
        <v>5542.9959</v>
      </c>
      <c r="AE154" t="n">
        <v>5971.0795</v>
      </c>
      <c r="AF154" t="n">
        <v>5971.0795</v>
      </c>
      <c r="AG154" t="n">
        <v>3210.6265</v>
      </c>
      <c r="AH154" t="n">
        <v>0.00051519</v>
      </c>
      <c r="AI154" t="n">
        <v>0.349676</v>
      </c>
      <c r="AJ154" t="n">
        <v>428.0835</v>
      </c>
      <c r="AK154" t="n">
        <v>214.0418</v>
      </c>
      <c r="AL154" t="n">
        <v>-472.2639</v>
      </c>
      <c r="AM154" t="n">
        <v>61445.2188</v>
      </c>
      <c r="AN154" t="n">
        <v>0.99</v>
      </c>
      <c r="AO154" t="inlineStr">
        <is>
          <t>Medium</t>
        </is>
      </c>
      <c r="AP154" t="inlineStr">
        <is>
          <t>On Track to Glide Path</t>
        </is>
      </c>
    </row>
    <row r="155">
      <c r="A155" t="inlineStr">
        <is>
          <t>SUP-0010</t>
        </is>
      </c>
      <c r="B155" t="inlineStr">
        <is>
          <t>Packaging Supplier 010</t>
        </is>
      </c>
      <c r="C155" t="inlineStr">
        <is>
          <t>Packaging</t>
        </is>
      </c>
      <c r="D155" t="n">
        <v>2024</v>
      </c>
      <c r="E155" t="n">
        <v>2018</v>
      </c>
      <c r="F155" t="n">
        <v>2035</v>
      </c>
      <c r="G155" t="n">
        <v>10699.7983</v>
      </c>
      <c r="H155" t="n">
        <v>2412.7953</v>
      </c>
      <c r="I155" t="n">
        <v>2333.4039</v>
      </c>
      <c r="J155" t="n">
        <v>5974.333</v>
      </c>
      <c r="K155" t="n">
        <v>11589992.26</v>
      </c>
      <c r="L155" t="n">
        <v>72105203.11</v>
      </c>
      <c r="M155" t="n">
        <v>10699.7983</v>
      </c>
      <c r="N155" t="inlineStr">
        <is>
          <t>Provided Total Emissions</t>
        </is>
      </c>
      <c r="O155" t="b">
        <v>1</v>
      </c>
      <c r="P155" t="n">
        <v>0.021632</v>
      </c>
      <c r="Q155" t="n">
        <v>0.07330299999999999</v>
      </c>
      <c r="R155" t="n">
        <v>12520.6686</v>
      </c>
      <c r="S155" t="n">
        <v>56924.1736</v>
      </c>
      <c r="T155" t="n">
        <v>1820.8703</v>
      </c>
      <c r="U155" t="n">
        <v>46224.3753</v>
      </c>
      <c r="V155" t="n">
        <v>0.170178</v>
      </c>
      <c r="W155" t="n">
        <v>4.320117</v>
      </c>
      <c r="X155" t="inlineStr">
        <is>
          <t>High</t>
        </is>
      </c>
      <c r="Y155" t="inlineStr">
        <is>
          <t>None</t>
        </is>
      </c>
      <c r="Z155" t="inlineStr">
        <is>
          <t>Valid</t>
        </is>
      </c>
      <c r="AA155" t="n">
        <v>2034</v>
      </c>
      <c r="AB155" t="inlineStr">
        <is>
          <t>Supplier Target Pathway</t>
        </is>
      </c>
      <c r="AC155" t="n">
        <v>9181.706</v>
      </c>
      <c r="AD155" t="n">
        <v>5542.9959</v>
      </c>
      <c r="AE155" t="n">
        <v>5757.0377</v>
      </c>
      <c r="AF155" t="n">
        <v>5757.0377</v>
      </c>
      <c r="AG155" t="n">
        <v>3424.6683</v>
      </c>
      <c r="AH155" t="n">
        <v>0.00049672</v>
      </c>
      <c r="AI155" t="n">
        <v>0.372988</v>
      </c>
      <c r="AJ155" t="n">
        <v>214.0418</v>
      </c>
      <c r="AK155" t="n">
        <v>214.0418</v>
      </c>
      <c r="AL155" t="n">
        <v>-6229.3016</v>
      </c>
      <c r="AM155" t="n">
        <v>67202.2565</v>
      </c>
      <c r="AN155" t="n">
        <v>0.99</v>
      </c>
      <c r="AO155" t="inlineStr">
        <is>
          <t>Medium</t>
        </is>
      </c>
      <c r="AP155" t="inlineStr">
        <is>
          <t>On Track to Glide Path</t>
        </is>
      </c>
    </row>
    <row r="156">
      <c r="A156" t="inlineStr">
        <is>
          <t>SUP-0010</t>
        </is>
      </c>
      <c r="B156" t="inlineStr">
        <is>
          <t>Packaging Supplier 010</t>
        </is>
      </c>
      <c r="C156" t="inlineStr">
        <is>
          <t>Packaging</t>
        </is>
      </c>
      <c r="D156" t="n">
        <v>2024</v>
      </c>
      <c r="E156" t="n">
        <v>2018</v>
      </c>
      <c r="F156" t="n">
        <v>2035</v>
      </c>
      <c r="G156" t="n">
        <v>10699.7983</v>
      </c>
      <c r="H156" t="n">
        <v>2412.7953</v>
      </c>
      <c r="I156" t="n">
        <v>2333.4039</v>
      </c>
      <c r="J156" t="n">
        <v>5974.333</v>
      </c>
      <c r="K156" t="n">
        <v>11589992.26</v>
      </c>
      <c r="L156" t="n">
        <v>72105203.11</v>
      </c>
      <c r="M156" t="n">
        <v>10699.7983</v>
      </c>
      <c r="N156" t="inlineStr">
        <is>
          <t>Provided Total Emissions</t>
        </is>
      </c>
      <c r="O156" t="b">
        <v>1</v>
      </c>
      <c r="P156" t="n">
        <v>0.021632</v>
      </c>
      <c r="Q156" t="n">
        <v>0.07330299999999999</v>
      </c>
      <c r="R156" t="n">
        <v>12520.6686</v>
      </c>
      <c r="S156" t="n">
        <v>56924.1736</v>
      </c>
      <c r="T156" t="n">
        <v>1820.8703</v>
      </c>
      <c r="U156" t="n">
        <v>46224.3753</v>
      </c>
      <c r="V156" t="n">
        <v>0.170178</v>
      </c>
      <c r="W156" t="n">
        <v>4.320117</v>
      </c>
      <c r="X156" t="inlineStr">
        <is>
          <t>High</t>
        </is>
      </c>
      <c r="Y156" t="inlineStr">
        <is>
          <t>None</t>
        </is>
      </c>
      <c r="Z156" t="inlineStr">
        <is>
          <t>Valid</t>
        </is>
      </c>
      <c r="AA156" t="n">
        <v>2035</v>
      </c>
      <c r="AB156" t="inlineStr">
        <is>
          <t>Supplier Target Pathway</t>
        </is>
      </c>
      <c r="AC156" t="n">
        <v>9181.706</v>
      </c>
      <c r="AD156" t="n">
        <v>5542.9959</v>
      </c>
      <c r="AE156" t="n">
        <v>5542.9959</v>
      </c>
      <c r="AF156" t="n">
        <v>5542.9959</v>
      </c>
      <c r="AG156" t="n">
        <v>3638.7101</v>
      </c>
      <c r="AH156" t="n">
        <v>0.00047826</v>
      </c>
      <c r="AI156" t="n">
        <v>0.3963</v>
      </c>
      <c r="AJ156" t="n">
        <v>0</v>
      </c>
      <c r="AK156" t="n">
        <v>214.0418</v>
      </c>
      <c r="AL156" t="n">
        <v>-11772.2975</v>
      </c>
      <c r="AM156" t="n">
        <v>72745.2524</v>
      </c>
      <c r="AN156" t="n">
        <v>0.99</v>
      </c>
      <c r="AO156" t="inlineStr">
        <is>
          <t>Low</t>
        </is>
      </c>
      <c r="AP156" t="inlineStr">
        <is>
          <t>On Track</t>
        </is>
      </c>
    </row>
    <row r="157">
      <c r="A157" t="inlineStr">
        <is>
          <t>SUP-0010</t>
        </is>
      </c>
      <c r="B157" t="inlineStr">
        <is>
          <t>Packaging Supplier 010</t>
        </is>
      </c>
      <c r="C157" t="inlineStr">
        <is>
          <t>Packaging</t>
        </is>
      </c>
      <c r="D157" t="n">
        <v>2024</v>
      </c>
      <c r="E157" t="n">
        <v>2018</v>
      </c>
      <c r="F157" t="n">
        <v>2035</v>
      </c>
      <c r="G157" t="n">
        <v>10699.7983</v>
      </c>
      <c r="H157" t="n">
        <v>2412.7953</v>
      </c>
      <c r="I157" t="n">
        <v>2333.4039</v>
      </c>
      <c r="J157" t="n">
        <v>5974.333</v>
      </c>
      <c r="K157" t="n">
        <v>11589992.26</v>
      </c>
      <c r="L157" t="n">
        <v>72105203.11</v>
      </c>
      <c r="M157" t="n">
        <v>10699.7983</v>
      </c>
      <c r="N157" t="inlineStr">
        <is>
          <t>Provided Total Emissions</t>
        </is>
      </c>
      <c r="O157" t="b">
        <v>1</v>
      </c>
      <c r="P157" t="n">
        <v>0.021632</v>
      </c>
      <c r="Q157" t="n">
        <v>0.07330299999999999</v>
      </c>
      <c r="R157" t="n">
        <v>12520.6686</v>
      </c>
      <c r="S157" t="n">
        <v>56924.1736</v>
      </c>
      <c r="T157" t="n">
        <v>1820.8703</v>
      </c>
      <c r="U157" t="n">
        <v>46224.3753</v>
      </c>
      <c r="V157" t="n">
        <v>0.170178</v>
      </c>
      <c r="W157" t="n">
        <v>4.320117</v>
      </c>
      <c r="X157" t="inlineStr">
        <is>
          <t>High</t>
        </is>
      </c>
      <c r="Y157" t="inlineStr">
        <is>
          <t>None</t>
        </is>
      </c>
      <c r="Z157" t="inlineStr">
        <is>
          <t>Valid</t>
        </is>
      </c>
      <c r="AA157" t="n">
        <v>2036</v>
      </c>
      <c r="AB157" t="inlineStr">
        <is>
          <t>Supplier Target Pathway</t>
        </is>
      </c>
      <c r="AC157" t="n">
        <v>9181.706</v>
      </c>
      <c r="AD157" t="n">
        <v>5542.9959</v>
      </c>
      <c r="AE157" t="n">
        <v>5542.9959</v>
      </c>
      <c r="AF157" t="n">
        <v>5542.9959</v>
      </c>
      <c r="AG157" t="n">
        <v>3638.7101</v>
      </c>
      <c r="AH157" t="n">
        <v>0.00047826</v>
      </c>
      <c r="AI157" t="n">
        <v>0.3963</v>
      </c>
      <c r="AJ157" t="n">
        <v>0</v>
      </c>
      <c r="AK157" t="n">
        <v>214.0418</v>
      </c>
      <c r="AL157" t="n">
        <v>-17315.2934</v>
      </c>
      <c r="AM157" t="n">
        <v>78288.24830000001</v>
      </c>
      <c r="AN157" t="n">
        <v>0.99</v>
      </c>
      <c r="AO157" t="inlineStr">
        <is>
          <t>Low</t>
        </is>
      </c>
      <c r="AP157" t="inlineStr">
        <is>
          <t>On Track</t>
        </is>
      </c>
    </row>
    <row r="158">
      <c r="A158" t="inlineStr">
        <is>
          <t>SUP-0010</t>
        </is>
      </c>
      <c r="B158" t="inlineStr">
        <is>
          <t>Packaging Supplier 010</t>
        </is>
      </c>
      <c r="C158" t="inlineStr">
        <is>
          <t>Packaging</t>
        </is>
      </c>
      <c r="D158" t="n">
        <v>2024</v>
      </c>
      <c r="E158" t="n">
        <v>2018</v>
      </c>
      <c r="F158" t="n">
        <v>2035</v>
      </c>
      <c r="G158" t="n">
        <v>10699.7983</v>
      </c>
      <c r="H158" t="n">
        <v>2412.7953</v>
      </c>
      <c r="I158" t="n">
        <v>2333.4039</v>
      </c>
      <c r="J158" t="n">
        <v>5974.333</v>
      </c>
      <c r="K158" t="n">
        <v>11589992.26</v>
      </c>
      <c r="L158" t="n">
        <v>72105203.11</v>
      </c>
      <c r="M158" t="n">
        <v>10699.7983</v>
      </c>
      <c r="N158" t="inlineStr">
        <is>
          <t>Provided Total Emissions</t>
        </is>
      </c>
      <c r="O158" t="b">
        <v>1</v>
      </c>
      <c r="P158" t="n">
        <v>0.021632</v>
      </c>
      <c r="Q158" t="n">
        <v>0.07330299999999999</v>
      </c>
      <c r="R158" t="n">
        <v>12520.6686</v>
      </c>
      <c r="S158" t="n">
        <v>56924.1736</v>
      </c>
      <c r="T158" t="n">
        <v>1820.8703</v>
      </c>
      <c r="U158" t="n">
        <v>46224.3753</v>
      </c>
      <c r="V158" t="n">
        <v>0.170178</v>
      </c>
      <c r="W158" t="n">
        <v>4.320117</v>
      </c>
      <c r="X158" t="inlineStr">
        <is>
          <t>High</t>
        </is>
      </c>
      <c r="Y158" t="inlineStr">
        <is>
          <t>None</t>
        </is>
      </c>
      <c r="Z158" t="inlineStr">
        <is>
          <t>Valid</t>
        </is>
      </c>
      <c r="AA158" t="n">
        <v>2037</v>
      </c>
      <c r="AB158" t="inlineStr">
        <is>
          <t>Supplier Target Pathway</t>
        </is>
      </c>
      <c r="AC158" t="n">
        <v>9181.706</v>
      </c>
      <c r="AD158" t="n">
        <v>5542.9959</v>
      </c>
      <c r="AE158" t="n">
        <v>5542.9959</v>
      </c>
      <c r="AF158" t="n">
        <v>5542.9959</v>
      </c>
      <c r="AG158" t="n">
        <v>3638.7101</v>
      </c>
      <c r="AH158" t="n">
        <v>0.00047826</v>
      </c>
      <c r="AI158" t="n">
        <v>0.3963</v>
      </c>
      <c r="AJ158" t="n">
        <v>0</v>
      </c>
      <c r="AK158" t="n">
        <v>214.0418</v>
      </c>
      <c r="AL158" t="n">
        <v>-22858.2893</v>
      </c>
      <c r="AM158" t="n">
        <v>83831.2442</v>
      </c>
      <c r="AN158" t="n">
        <v>0.99</v>
      </c>
      <c r="AO158" t="inlineStr">
        <is>
          <t>Low</t>
        </is>
      </c>
      <c r="AP158" t="inlineStr">
        <is>
          <t>On Track</t>
        </is>
      </c>
    </row>
    <row r="159">
      <c r="A159" t="inlineStr">
        <is>
          <t>SUP-0010</t>
        </is>
      </c>
      <c r="B159" t="inlineStr">
        <is>
          <t>Packaging Supplier 010</t>
        </is>
      </c>
      <c r="C159" t="inlineStr">
        <is>
          <t>Packaging</t>
        </is>
      </c>
      <c r="D159" t="n">
        <v>2024</v>
      </c>
      <c r="E159" t="n">
        <v>2018</v>
      </c>
      <c r="F159" t="n">
        <v>2035</v>
      </c>
      <c r="G159" t="n">
        <v>10699.7983</v>
      </c>
      <c r="H159" t="n">
        <v>2412.7953</v>
      </c>
      <c r="I159" t="n">
        <v>2333.4039</v>
      </c>
      <c r="J159" t="n">
        <v>5974.333</v>
      </c>
      <c r="K159" t="n">
        <v>11589992.26</v>
      </c>
      <c r="L159" t="n">
        <v>72105203.11</v>
      </c>
      <c r="M159" t="n">
        <v>10699.7983</v>
      </c>
      <c r="N159" t="inlineStr">
        <is>
          <t>Provided Total Emissions</t>
        </is>
      </c>
      <c r="O159" t="b">
        <v>1</v>
      </c>
      <c r="P159" t="n">
        <v>0.021632</v>
      </c>
      <c r="Q159" t="n">
        <v>0.07330299999999999</v>
      </c>
      <c r="R159" t="n">
        <v>12520.6686</v>
      </c>
      <c r="S159" t="n">
        <v>56924.1736</v>
      </c>
      <c r="T159" t="n">
        <v>1820.8703</v>
      </c>
      <c r="U159" t="n">
        <v>46224.3753</v>
      </c>
      <c r="V159" t="n">
        <v>0.170178</v>
      </c>
      <c r="W159" t="n">
        <v>4.320117</v>
      </c>
      <c r="X159" t="inlineStr">
        <is>
          <t>High</t>
        </is>
      </c>
      <c r="Y159" t="inlineStr">
        <is>
          <t>None</t>
        </is>
      </c>
      <c r="Z159" t="inlineStr">
        <is>
          <t>Valid</t>
        </is>
      </c>
      <c r="AA159" t="n">
        <v>2038</v>
      </c>
      <c r="AB159" t="inlineStr">
        <is>
          <t>Supplier Target Pathway</t>
        </is>
      </c>
      <c r="AC159" t="n">
        <v>9181.706</v>
      </c>
      <c r="AD159" t="n">
        <v>5542.9959</v>
      </c>
      <c r="AE159" t="n">
        <v>5542.9959</v>
      </c>
      <c r="AF159" t="n">
        <v>5542.9959</v>
      </c>
      <c r="AG159" t="n">
        <v>3638.7101</v>
      </c>
      <c r="AH159" t="n">
        <v>0.00047826</v>
      </c>
      <c r="AI159" t="n">
        <v>0.3963</v>
      </c>
      <c r="AJ159" t="n">
        <v>0</v>
      </c>
      <c r="AK159" t="n">
        <v>214.0418</v>
      </c>
      <c r="AL159" t="n">
        <v>-28401.2852</v>
      </c>
      <c r="AM159" t="n">
        <v>89374.2401</v>
      </c>
      <c r="AN159" t="n">
        <v>0.99</v>
      </c>
      <c r="AO159" t="inlineStr">
        <is>
          <t>Low</t>
        </is>
      </c>
      <c r="AP159" t="inlineStr">
        <is>
          <t>On Track</t>
        </is>
      </c>
    </row>
    <row r="160">
      <c r="A160" t="inlineStr">
        <is>
          <t>SUP-0010</t>
        </is>
      </c>
      <c r="B160" t="inlineStr">
        <is>
          <t>Packaging Supplier 010</t>
        </is>
      </c>
      <c r="C160" t="inlineStr">
        <is>
          <t>Packaging</t>
        </is>
      </c>
      <c r="D160" t="n">
        <v>2024</v>
      </c>
      <c r="E160" t="n">
        <v>2018</v>
      </c>
      <c r="F160" t="n">
        <v>2035</v>
      </c>
      <c r="G160" t="n">
        <v>10699.7983</v>
      </c>
      <c r="H160" t="n">
        <v>2412.7953</v>
      </c>
      <c r="I160" t="n">
        <v>2333.4039</v>
      </c>
      <c r="J160" t="n">
        <v>5974.333</v>
      </c>
      <c r="K160" t="n">
        <v>11589992.26</v>
      </c>
      <c r="L160" t="n">
        <v>72105203.11</v>
      </c>
      <c r="M160" t="n">
        <v>10699.7983</v>
      </c>
      <c r="N160" t="inlineStr">
        <is>
          <t>Provided Total Emissions</t>
        </is>
      </c>
      <c r="O160" t="b">
        <v>1</v>
      </c>
      <c r="P160" t="n">
        <v>0.021632</v>
      </c>
      <c r="Q160" t="n">
        <v>0.07330299999999999</v>
      </c>
      <c r="R160" t="n">
        <v>12520.6686</v>
      </c>
      <c r="S160" t="n">
        <v>56924.1736</v>
      </c>
      <c r="T160" t="n">
        <v>1820.8703</v>
      </c>
      <c r="U160" t="n">
        <v>46224.3753</v>
      </c>
      <c r="V160" t="n">
        <v>0.170178</v>
      </c>
      <c r="W160" t="n">
        <v>4.320117</v>
      </c>
      <c r="X160" t="inlineStr">
        <is>
          <t>High</t>
        </is>
      </c>
      <c r="Y160" t="inlineStr">
        <is>
          <t>None</t>
        </is>
      </c>
      <c r="Z160" t="inlineStr">
        <is>
          <t>Valid</t>
        </is>
      </c>
      <c r="AA160" t="n">
        <v>2039</v>
      </c>
      <c r="AB160" t="inlineStr">
        <is>
          <t>Supplier Target Pathway</t>
        </is>
      </c>
      <c r="AC160" t="n">
        <v>9181.706</v>
      </c>
      <c r="AD160" t="n">
        <v>5542.9959</v>
      </c>
      <c r="AE160" t="n">
        <v>5542.9959</v>
      </c>
      <c r="AF160" t="n">
        <v>5542.9959</v>
      </c>
      <c r="AG160" t="n">
        <v>3638.7101</v>
      </c>
      <c r="AH160" t="n">
        <v>0.00047826</v>
      </c>
      <c r="AI160" t="n">
        <v>0.3963</v>
      </c>
      <c r="AJ160" t="n">
        <v>0</v>
      </c>
      <c r="AK160" t="n">
        <v>214.0418</v>
      </c>
      <c r="AL160" t="n">
        <v>-33944.2811</v>
      </c>
      <c r="AM160" t="n">
        <v>94917.236</v>
      </c>
      <c r="AN160" t="n">
        <v>0.99</v>
      </c>
      <c r="AO160" t="inlineStr">
        <is>
          <t>Low</t>
        </is>
      </c>
      <c r="AP160" t="inlineStr">
        <is>
          <t>On Track</t>
        </is>
      </c>
    </row>
    <row r="161">
      <c r="A161" t="inlineStr">
        <is>
          <t>SUP-0010</t>
        </is>
      </c>
      <c r="B161" t="inlineStr">
        <is>
          <t>Packaging Supplier 010</t>
        </is>
      </c>
      <c r="C161" t="inlineStr">
        <is>
          <t>Packaging</t>
        </is>
      </c>
      <c r="D161" t="n">
        <v>2024</v>
      </c>
      <c r="E161" t="n">
        <v>2018</v>
      </c>
      <c r="F161" t="n">
        <v>2035</v>
      </c>
      <c r="G161" t="n">
        <v>10699.7983</v>
      </c>
      <c r="H161" t="n">
        <v>2412.7953</v>
      </c>
      <c r="I161" t="n">
        <v>2333.4039</v>
      </c>
      <c r="J161" t="n">
        <v>5974.333</v>
      </c>
      <c r="K161" t="n">
        <v>11589992.26</v>
      </c>
      <c r="L161" t="n">
        <v>72105203.11</v>
      </c>
      <c r="M161" t="n">
        <v>10699.7983</v>
      </c>
      <c r="N161" t="inlineStr">
        <is>
          <t>Provided Total Emissions</t>
        </is>
      </c>
      <c r="O161" t="b">
        <v>1</v>
      </c>
      <c r="P161" t="n">
        <v>0.021632</v>
      </c>
      <c r="Q161" t="n">
        <v>0.07330299999999999</v>
      </c>
      <c r="R161" t="n">
        <v>12520.6686</v>
      </c>
      <c r="S161" t="n">
        <v>56924.1736</v>
      </c>
      <c r="T161" t="n">
        <v>1820.8703</v>
      </c>
      <c r="U161" t="n">
        <v>46224.3753</v>
      </c>
      <c r="V161" t="n">
        <v>0.170178</v>
      </c>
      <c r="W161" t="n">
        <v>4.320117</v>
      </c>
      <c r="X161" t="inlineStr">
        <is>
          <t>High</t>
        </is>
      </c>
      <c r="Y161" t="inlineStr">
        <is>
          <t>None</t>
        </is>
      </c>
      <c r="Z161" t="inlineStr">
        <is>
          <t>Valid</t>
        </is>
      </c>
      <c r="AA161" t="n">
        <v>2040</v>
      </c>
      <c r="AB161" t="inlineStr">
        <is>
          <t>Supplier Target Pathway</t>
        </is>
      </c>
      <c r="AC161" t="n">
        <v>9181.706</v>
      </c>
      <c r="AD161" t="n">
        <v>5542.9959</v>
      </c>
      <c r="AE161" t="n">
        <v>5542.9959</v>
      </c>
      <c r="AF161" t="n">
        <v>5542.9959</v>
      </c>
      <c r="AG161" t="n">
        <v>3638.7101</v>
      </c>
      <c r="AH161" t="n">
        <v>0.00047826</v>
      </c>
      <c r="AI161" t="n">
        <v>0.3963</v>
      </c>
      <c r="AJ161" t="n">
        <v>0</v>
      </c>
      <c r="AK161" t="n">
        <v>214.0418</v>
      </c>
      <c r="AL161" t="n">
        <v>-39487.277</v>
      </c>
      <c r="AM161" t="n">
        <v>100460.2319</v>
      </c>
      <c r="AN161" t="n">
        <v>0.99</v>
      </c>
      <c r="AO161" t="inlineStr">
        <is>
          <t>Low</t>
        </is>
      </c>
      <c r="AP161" t="inlineStr">
        <is>
          <t>On Track</t>
        </is>
      </c>
    </row>
    <row r="162">
      <c r="A162" t="inlineStr">
        <is>
          <t>SUP-0011</t>
        </is>
      </c>
      <c r="B162" t="inlineStr">
        <is>
          <t>Agriculture Supplier 011</t>
        </is>
      </c>
      <c r="C162" t="inlineStr">
        <is>
          <t>Agriculture</t>
        </is>
      </c>
      <c r="D162" t="n">
        <v>2024</v>
      </c>
      <c r="E162" t="n">
        <v>2020</v>
      </c>
      <c r="F162" t="n">
        <v>2040</v>
      </c>
      <c r="G162" t="n">
        <v>22527.4382</v>
      </c>
      <c r="H162" t="n">
        <v>5623.3532</v>
      </c>
      <c r="I162" t="n">
        <v>2525.3928</v>
      </c>
      <c r="J162" t="n">
        <v>15905.1585</v>
      </c>
      <c r="K162" t="n">
        <v>20856357.09</v>
      </c>
      <c r="L162" t="n">
        <v>109421404.1</v>
      </c>
      <c r="M162" t="n">
        <v>22527.4382</v>
      </c>
      <c r="N162" t="inlineStr">
        <is>
          <t>Provided Total Emissions</t>
        </is>
      </c>
      <c r="O162" t="b">
        <v>1</v>
      </c>
      <c r="P162" t="n">
        <v>-0.007143</v>
      </c>
      <c r="Q162" t="n">
        <v>0.011976</v>
      </c>
      <c r="R162" t="n">
        <v>19065.4217</v>
      </c>
      <c r="S162" t="n">
        <v>106043.5654</v>
      </c>
      <c r="T162" t="n">
        <v>-3462.0165</v>
      </c>
      <c r="U162" t="n">
        <v>83516.1272</v>
      </c>
      <c r="V162" t="n">
        <v>-0.15368</v>
      </c>
      <c r="W162" t="n">
        <v>3.707307</v>
      </c>
      <c r="X162" t="inlineStr">
        <is>
          <t>High</t>
        </is>
      </c>
      <c r="Y162" t="inlineStr">
        <is>
          <t>None</t>
        </is>
      </c>
      <c r="Z162" t="inlineStr">
        <is>
          <t>Valid</t>
        </is>
      </c>
      <c r="AA162" t="n">
        <v>2025</v>
      </c>
      <c r="AB162" t="inlineStr">
        <is>
          <t>Supplier Target Pathway</t>
        </is>
      </c>
      <c r="AC162" t="n">
        <v>26547.3363</v>
      </c>
      <c r="AD162" t="n">
        <v>17316.8275</v>
      </c>
      <c r="AE162" t="n">
        <v>24239.7091</v>
      </c>
      <c r="AF162" t="n">
        <v>24239.7091</v>
      </c>
      <c r="AG162" t="n">
        <v>2307.6272</v>
      </c>
      <c r="AH162" t="n">
        <v>0.00116222</v>
      </c>
      <c r="AI162" t="n">
        <v>0.086925</v>
      </c>
      <c r="AJ162" t="n">
        <v>6922.8816</v>
      </c>
      <c r="AK162" t="n">
        <v>461.5254</v>
      </c>
      <c r="AL162" t="n">
        <v>252829.5309</v>
      </c>
      <c r="AM162" t="n">
        <v>24239.7091</v>
      </c>
      <c r="AN162" t="n">
        <v>0.99</v>
      </c>
      <c r="AO162" t="inlineStr">
        <is>
          <t>Critical</t>
        </is>
      </c>
      <c r="AP162" t="inlineStr">
        <is>
          <t>On Track to Glide Path</t>
        </is>
      </c>
    </row>
    <row r="163">
      <c r="A163" t="inlineStr">
        <is>
          <t>SUP-0011</t>
        </is>
      </c>
      <c r="B163" t="inlineStr">
        <is>
          <t>Agriculture Supplier 011</t>
        </is>
      </c>
      <c r="C163" t="inlineStr">
        <is>
          <t>Agriculture</t>
        </is>
      </c>
      <c r="D163" t="n">
        <v>2024</v>
      </c>
      <c r="E163" t="n">
        <v>2020</v>
      </c>
      <c r="F163" t="n">
        <v>2040</v>
      </c>
      <c r="G163" t="n">
        <v>22527.4382</v>
      </c>
      <c r="H163" t="n">
        <v>5623.3532</v>
      </c>
      <c r="I163" t="n">
        <v>2525.3928</v>
      </c>
      <c r="J163" t="n">
        <v>15905.1585</v>
      </c>
      <c r="K163" t="n">
        <v>20856357.09</v>
      </c>
      <c r="L163" t="n">
        <v>109421404.1</v>
      </c>
      <c r="M163" t="n">
        <v>22527.4382</v>
      </c>
      <c r="N163" t="inlineStr">
        <is>
          <t>Provided Total Emissions</t>
        </is>
      </c>
      <c r="O163" t="b">
        <v>1</v>
      </c>
      <c r="P163" t="n">
        <v>-0.007143</v>
      </c>
      <c r="Q163" t="n">
        <v>0.011976</v>
      </c>
      <c r="R163" t="n">
        <v>19065.4217</v>
      </c>
      <c r="S163" t="n">
        <v>106043.5654</v>
      </c>
      <c r="T163" t="n">
        <v>-3462.0165</v>
      </c>
      <c r="U163" t="n">
        <v>83516.1272</v>
      </c>
      <c r="V163" t="n">
        <v>-0.15368</v>
      </c>
      <c r="W163" t="n">
        <v>3.707307</v>
      </c>
      <c r="X163" t="inlineStr">
        <is>
          <t>High</t>
        </is>
      </c>
      <c r="Y163" t="inlineStr">
        <is>
          <t>None</t>
        </is>
      </c>
      <c r="Z163" t="inlineStr">
        <is>
          <t>Valid</t>
        </is>
      </c>
      <c r="AA163" t="n">
        <v>2026</v>
      </c>
      <c r="AB163" t="inlineStr">
        <is>
          <t>Supplier Target Pathway</t>
        </is>
      </c>
      <c r="AC163" t="n">
        <v>26547.3363</v>
      </c>
      <c r="AD163" t="n">
        <v>17316.8275</v>
      </c>
      <c r="AE163" t="n">
        <v>23778.1837</v>
      </c>
      <c r="AF163" t="n">
        <v>23778.1837</v>
      </c>
      <c r="AG163" t="n">
        <v>2769.1526</v>
      </c>
      <c r="AH163" t="n">
        <v>0.00114009</v>
      </c>
      <c r="AI163" t="n">
        <v>0.10431</v>
      </c>
      <c r="AJ163" t="n">
        <v>6461.3562</v>
      </c>
      <c r="AK163" t="n">
        <v>461.5254</v>
      </c>
      <c r="AL163" t="n">
        <v>229051.3472</v>
      </c>
      <c r="AM163" t="n">
        <v>48017.8928</v>
      </c>
      <c r="AN163" t="n">
        <v>0.99</v>
      </c>
      <c r="AO163" t="inlineStr">
        <is>
          <t>Critical</t>
        </is>
      </c>
      <c r="AP163" t="inlineStr">
        <is>
          <t>On Track to Glide Path</t>
        </is>
      </c>
    </row>
    <row r="164">
      <c r="A164" t="inlineStr">
        <is>
          <t>SUP-0011</t>
        </is>
      </c>
      <c r="B164" t="inlineStr">
        <is>
          <t>Agriculture Supplier 011</t>
        </is>
      </c>
      <c r="C164" t="inlineStr">
        <is>
          <t>Agriculture</t>
        </is>
      </c>
      <c r="D164" t="n">
        <v>2024</v>
      </c>
      <c r="E164" t="n">
        <v>2020</v>
      </c>
      <c r="F164" t="n">
        <v>2040</v>
      </c>
      <c r="G164" t="n">
        <v>22527.4382</v>
      </c>
      <c r="H164" t="n">
        <v>5623.3532</v>
      </c>
      <c r="I164" t="n">
        <v>2525.3928</v>
      </c>
      <c r="J164" t="n">
        <v>15905.1585</v>
      </c>
      <c r="K164" t="n">
        <v>20856357.09</v>
      </c>
      <c r="L164" t="n">
        <v>109421404.1</v>
      </c>
      <c r="M164" t="n">
        <v>22527.4382</v>
      </c>
      <c r="N164" t="inlineStr">
        <is>
          <t>Provided Total Emissions</t>
        </is>
      </c>
      <c r="O164" t="b">
        <v>1</v>
      </c>
      <c r="P164" t="n">
        <v>-0.007143</v>
      </c>
      <c r="Q164" t="n">
        <v>0.011976</v>
      </c>
      <c r="R164" t="n">
        <v>19065.4217</v>
      </c>
      <c r="S164" t="n">
        <v>106043.5654</v>
      </c>
      <c r="T164" t="n">
        <v>-3462.0165</v>
      </c>
      <c r="U164" t="n">
        <v>83516.1272</v>
      </c>
      <c r="V164" t="n">
        <v>-0.15368</v>
      </c>
      <c r="W164" t="n">
        <v>3.707307</v>
      </c>
      <c r="X164" t="inlineStr">
        <is>
          <t>High</t>
        </is>
      </c>
      <c r="Y164" t="inlineStr">
        <is>
          <t>None</t>
        </is>
      </c>
      <c r="Z164" t="inlineStr">
        <is>
          <t>Valid</t>
        </is>
      </c>
      <c r="AA164" t="n">
        <v>2027</v>
      </c>
      <c r="AB164" t="inlineStr">
        <is>
          <t>Supplier Target Pathway</t>
        </is>
      </c>
      <c r="AC164" t="n">
        <v>26547.3363</v>
      </c>
      <c r="AD164" t="n">
        <v>17316.8275</v>
      </c>
      <c r="AE164" t="n">
        <v>23316.6582</v>
      </c>
      <c r="AF164" t="n">
        <v>23316.6582</v>
      </c>
      <c r="AG164" t="n">
        <v>3230.6781</v>
      </c>
      <c r="AH164" t="n">
        <v>0.00111796</v>
      </c>
      <c r="AI164" t="n">
        <v>0.121695</v>
      </c>
      <c r="AJ164" t="n">
        <v>5999.8307</v>
      </c>
      <c r="AK164" t="n">
        <v>461.5254</v>
      </c>
      <c r="AL164" t="n">
        <v>205734.689</v>
      </c>
      <c r="AM164" t="n">
        <v>71334.55100000001</v>
      </c>
      <c r="AN164" t="n">
        <v>0.99</v>
      </c>
      <c r="AO164" t="inlineStr">
        <is>
          <t>High</t>
        </is>
      </c>
      <c r="AP164" t="inlineStr">
        <is>
          <t>On Track to Glide Path</t>
        </is>
      </c>
    </row>
    <row r="165">
      <c r="A165" t="inlineStr">
        <is>
          <t>SUP-0011</t>
        </is>
      </c>
      <c r="B165" t="inlineStr">
        <is>
          <t>Agriculture Supplier 011</t>
        </is>
      </c>
      <c r="C165" t="inlineStr">
        <is>
          <t>Agriculture</t>
        </is>
      </c>
      <c r="D165" t="n">
        <v>2024</v>
      </c>
      <c r="E165" t="n">
        <v>2020</v>
      </c>
      <c r="F165" t="n">
        <v>2040</v>
      </c>
      <c r="G165" t="n">
        <v>22527.4382</v>
      </c>
      <c r="H165" t="n">
        <v>5623.3532</v>
      </c>
      <c r="I165" t="n">
        <v>2525.3928</v>
      </c>
      <c r="J165" t="n">
        <v>15905.1585</v>
      </c>
      <c r="K165" t="n">
        <v>20856357.09</v>
      </c>
      <c r="L165" t="n">
        <v>109421404.1</v>
      </c>
      <c r="M165" t="n">
        <v>22527.4382</v>
      </c>
      <c r="N165" t="inlineStr">
        <is>
          <t>Provided Total Emissions</t>
        </is>
      </c>
      <c r="O165" t="b">
        <v>1</v>
      </c>
      <c r="P165" t="n">
        <v>-0.007143</v>
      </c>
      <c r="Q165" t="n">
        <v>0.011976</v>
      </c>
      <c r="R165" t="n">
        <v>19065.4217</v>
      </c>
      <c r="S165" t="n">
        <v>106043.5654</v>
      </c>
      <c r="T165" t="n">
        <v>-3462.0165</v>
      </c>
      <c r="U165" t="n">
        <v>83516.1272</v>
      </c>
      <c r="V165" t="n">
        <v>-0.15368</v>
      </c>
      <c r="W165" t="n">
        <v>3.707307</v>
      </c>
      <c r="X165" t="inlineStr">
        <is>
          <t>High</t>
        </is>
      </c>
      <c r="Y165" t="inlineStr">
        <is>
          <t>None</t>
        </is>
      </c>
      <c r="Z165" t="inlineStr">
        <is>
          <t>Valid</t>
        </is>
      </c>
      <c r="AA165" t="n">
        <v>2028</v>
      </c>
      <c r="AB165" t="inlineStr">
        <is>
          <t>Supplier Target Pathway</t>
        </is>
      </c>
      <c r="AC165" t="n">
        <v>26547.3363</v>
      </c>
      <c r="AD165" t="n">
        <v>17316.8275</v>
      </c>
      <c r="AE165" t="n">
        <v>22855.1328</v>
      </c>
      <c r="AF165" t="n">
        <v>22855.1328</v>
      </c>
      <c r="AG165" t="n">
        <v>3692.2035</v>
      </c>
      <c r="AH165" t="n">
        <v>0.00109584</v>
      </c>
      <c r="AI165" t="n">
        <v>0.13908</v>
      </c>
      <c r="AJ165" t="n">
        <v>5538.3053</v>
      </c>
      <c r="AK165" t="n">
        <v>461.5254</v>
      </c>
      <c r="AL165" t="n">
        <v>182879.5562</v>
      </c>
      <c r="AM165" t="n">
        <v>94189.6838</v>
      </c>
      <c r="AN165" t="n">
        <v>0.99</v>
      </c>
      <c r="AO165" t="inlineStr">
        <is>
          <t>High</t>
        </is>
      </c>
      <c r="AP165" t="inlineStr">
        <is>
          <t>On Track to Glide Path</t>
        </is>
      </c>
    </row>
    <row r="166">
      <c r="A166" t="inlineStr">
        <is>
          <t>SUP-0011</t>
        </is>
      </c>
      <c r="B166" t="inlineStr">
        <is>
          <t>Agriculture Supplier 011</t>
        </is>
      </c>
      <c r="C166" t="inlineStr">
        <is>
          <t>Agriculture</t>
        </is>
      </c>
      <c r="D166" t="n">
        <v>2024</v>
      </c>
      <c r="E166" t="n">
        <v>2020</v>
      </c>
      <c r="F166" t="n">
        <v>2040</v>
      </c>
      <c r="G166" t="n">
        <v>22527.4382</v>
      </c>
      <c r="H166" t="n">
        <v>5623.3532</v>
      </c>
      <c r="I166" t="n">
        <v>2525.3928</v>
      </c>
      <c r="J166" t="n">
        <v>15905.1585</v>
      </c>
      <c r="K166" t="n">
        <v>20856357.09</v>
      </c>
      <c r="L166" t="n">
        <v>109421404.1</v>
      </c>
      <c r="M166" t="n">
        <v>22527.4382</v>
      </c>
      <c r="N166" t="inlineStr">
        <is>
          <t>Provided Total Emissions</t>
        </is>
      </c>
      <c r="O166" t="b">
        <v>1</v>
      </c>
      <c r="P166" t="n">
        <v>-0.007143</v>
      </c>
      <c r="Q166" t="n">
        <v>0.011976</v>
      </c>
      <c r="R166" t="n">
        <v>19065.4217</v>
      </c>
      <c r="S166" t="n">
        <v>106043.5654</v>
      </c>
      <c r="T166" t="n">
        <v>-3462.0165</v>
      </c>
      <c r="U166" t="n">
        <v>83516.1272</v>
      </c>
      <c r="V166" t="n">
        <v>-0.15368</v>
      </c>
      <c r="W166" t="n">
        <v>3.707307</v>
      </c>
      <c r="X166" t="inlineStr">
        <is>
          <t>High</t>
        </is>
      </c>
      <c r="Y166" t="inlineStr">
        <is>
          <t>None</t>
        </is>
      </c>
      <c r="Z166" t="inlineStr">
        <is>
          <t>Valid</t>
        </is>
      </c>
      <c r="AA166" t="n">
        <v>2029</v>
      </c>
      <c r="AB166" t="inlineStr">
        <is>
          <t>Supplier Target Pathway</t>
        </is>
      </c>
      <c r="AC166" t="n">
        <v>26547.3363</v>
      </c>
      <c r="AD166" t="n">
        <v>17316.8275</v>
      </c>
      <c r="AE166" t="n">
        <v>22393.6073</v>
      </c>
      <c r="AF166" t="n">
        <v>22393.6073</v>
      </c>
      <c r="AG166" t="n">
        <v>4153.729</v>
      </c>
      <c r="AH166" t="n">
        <v>0.00107371</v>
      </c>
      <c r="AI166" t="n">
        <v>0.156465</v>
      </c>
      <c r="AJ166" t="n">
        <v>5076.7799</v>
      </c>
      <c r="AK166" t="n">
        <v>461.5254</v>
      </c>
      <c r="AL166" t="n">
        <v>160485.9489</v>
      </c>
      <c r="AM166" t="n">
        <v>116583.2911</v>
      </c>
      <c r="AN166" t="n">
        <v>0.99</v>
      </c>
      <c r="AO166" t="inlineStr">
        <is>
          <t>High</t>
        </is>
      </c>
      <c r="AP166" t="inlineStr">
        <is>
          <t>On Track to Glide Path</t>
        </is>
      </c>
    </row>
    <row r="167">
      <c r="A167" t="inlineStr">
        <is>
          <t>SUP-0011</t>
        </is>
      </c>
      <c r="B167" t="inlineStr">
        <is>
          <t>Agriculture Supplier 011</t>
        </is>
      </c>
      <c r="C167" t="inlineStr">
        <is>
          <t>Agriculture</t>
        </is>
      </c>
      <c r="D167" t="n">
        <v>2024</v>
      </c>
      <c r="E167" t="n">
        <v>2020</v>
      </c>
      <c r="F167" t="n">
        <v>2040</v>
      </c>
      <c r="G167" t="n">
        <v>22527.4382</v>
      </c>
      <c r="H167" t="n">
        <v>5623.3532</v>
      </c>
      <c r="I167" t="n">
        <v>2525.3928</v>
      </c>
      <c r="J167" t="n">
        <v>15905.1585</v>
      </c>
      <c r="K167" t="n">
        <v>20856357.09</v>
      </c>
      <c r="L167" t="n">
        <v>109421404.1</v>
      </c>
      <c r="M167" t="n">
        <v>22527.4382</v>
      </c>
      <c r="N167" t="inlineStr">
        <is>
          <t>Provided Total Emissions</t>
        </is>
      </c>
      <c r="O167" t="b">
        <v>1</v>
      </c>
      <c r="P167" t="n">
        <v>-0.007143</v>
      </c>
      <c r="Q167" t="n">
        <v>0.011976</v>
      </c>
      <c r="R167" t="n">
        <v>19065.4217</v>
      </c>
      <c r="S167" t="n">
        <v>106043.5654</v>
      </c>
      <c r="T167" t="n">
        <v>-3462.0165</v>
      </c>
      <c r="U167" t="n">
        <v>83516.1272</v>
      </c>
      <c r="V167" t="n">
        <v>-0.15368</v>
      </c>
      <c r="W167" t="n">
        <v>3.707307</v>
      </c>
      <c r="X167" t="inlineStr">
        <is>
          <t>High</t>
        </is>
      </c>
      <c r="Y167" t="inlineStr">
        <is>
          <t>None</t>
        </is>
      </c>
      <c r="Z167" t="inlineStr">
        <is>
          <t>Valid</t>
        </is>
      </c>
      <c r="AA167" t="n">
        <v>2030</v>
      </c>
      <c r="AB167" t="inlineStr">
        <is>
          <t>Supplier Target Pathway</t>
        </is>
      </c>
      <c r="AC167" t="n">
        <v>26547.3363</v>
      </c>
      <c r="AD167" t="n">
        <v>17316.8275</v>
      </c>
      <c r="AE167" t="n">
        <v>21932.0819</v>
      </c>
      <c r="AF167" t="n">
        <v>21932.0819</v>
      </c>
      <c r="AG167" t="n">
        <v>4615.2544</v>
      </c>
      <c r="AH167" t="n">
        <v>0.00105158</v>
      </c>
      <c r="AI167" t="n">
        <v>0.17385</v>
      </c>
      <c r="AJ167" t="n">
        <v>4615.2544</v>
      </c>
      <c r="AK167" t="n">
        <v>461.5254</v>
      </c>
      <c r="AL167" t="n">
        <v>138553.867</v>
      </c>
      <c r="AM167" t="n">
        <v>138515.373</v>
      </c>
      <c r="AN167" t="n">
        <v>0.99</v>
      </c>
      <c r="AO167" t="inlineStr">
        <is>
          <t>High</t>
        </is>
      </c>
      <c r="AP167" t="inlineStr">
        <is>
          <t>On Track to Glide Path</t>
        </is>
      </c>
    </row>
    <row r="168">
      <c r="A168" t="inlineStr">
        <is>
          <t>SUP-0011</t>
        </is>
      </c>
      <c r="B168" t="inlineStr">
        <is>
          <t>Agriculture Supplier 011</t>
        </is>
      </c>
      <c r="C168" t="inlineStr">
        <is>
          <t>Agriculture</t>
        </is>
      </c>
      <c r="D168" t="n">
        <v>2024</v>
      </c>
      <c r="E168" t="n">
        <v>2020</v>
      </c>
      <c r="F168" t="n">
        <v>2040</v>
      </c>
      <c r="G168" t="n">
        <v>22527.4382</v>
      </c>
      <c r="H168" t="n">
        <v>5623.3532</v>
      </c>
      <c r="I168" t="n">
        <v>2525.3928</v>
      </c>
      <c r="J168" t="n">
        <v>15905.1585</v>
      </c>
      <c r="K168" t="n">
        <v>20856357.09</v>
      </c>
      <c r="L168" t="n">
        <v>109421404.1</v>
      </c>
      <c r="M168" t="n">
        <v>22527.4382</v>
      </c>
      <c r="N168" t="inlineStr">
        <is>
          <t>Provided Total Emissions</t>
        </is>
      </c>
      <c r="O168" t="b">
        <v>1</v>
      </c>
      <c r="P168" t="n">
        <v>-0.007143</v>
      </c>
      <c r="Q168" t="n">
        <v>0.011976</v>
      </c>
      <c r="R168" t="n">
        <v>19065.4217</v>
      </c>
      <c r="S168" t="n">
        <v>106043.5654</v>
      </c>
      <c r="T168" t="n">
        <v>-3462.0165</v>
      </c>
      <c r="U168" t="n">
        <v>83516.1272</v>
      </c>
      <c r="V168" t="n">
        <v>-0.15368</v>
      </c>
      <c r="W168" t="n">
        <v>3.707307</v>
      </c>
      <c r="X168" t="inlineStr">
        <is>
          <t>High</t>
        </is>
      </c>
      <c r="Y168" t="inlineStr">
        <is>
          <t>None</t>
        </is>
      </c>
      <c r="Z168" t="inlineStr">
        <is>
          <t>Valid</t>
        </is>
      </c>
      <c r="AA168" t="n">
        <v>2031</v>
      </c>
      <c r="AB168" t="inlineStr">
        <is>
          <t>Supplier Target Pathway</t>
        </is>
      </c>
      <c r="AC168" t="n">
        <v>26547.3363</v>
      </c>
      <c r="AD168" t="n">
        <v>17316.8275</v>
      </c>
      <c r="AE168" t="n">
        <v>21470.5564</v>
      </c>
      <c r="AF168" t="n">
        <v>21470.5564</v>
      </c>
      <c r="AG168" t="n">
        <v>5076.7799</v>
      </c>
      <c r="AH168" t="n">
        <v>0.00102945</v>
      </c>
      <c r="AI168" t="n">
        <v>0.191235</v>
      </c>
      <c r="AJ168" t="n">
        <v>4153.729</v>
      </c>
      <c r="AK168" t="n">
        <v>461.5254</v>
      </c>
      <c r="AL168" t="n">
        <v>117083.3106</v>
      </c>
      <c r="AM168" t="n">
        <v>159985.9294</v>
      </c>
      <c r="AN168" t="n">
        <v>0.99</v>
      </c>
      <c r="AO168" t="inlineStr">
        <is>
          <t>High</t>
        </is>
      </c>
      <c r="AP168" t="inlineStr">
        <is>
          <t>On Track to Glide Path</t>
        </is>
      </c>
    </row>
    <row r="169">
      <c r="A169" t="inlineStr">
        <is>
          <t>SUP-0011</t>
        </is>
      </c>
      <c r="B169" t="inlineStr">
        <is>
          <t>Agriculture Supplier 011</t>
        </is>
      </c>
      <c r="C169" t="inlineStr">
        <is>
          <t>Agriculture</t>
        </is>
      </c>
      <c r="D169" t="n">
        <v>2024</v>
      </c>
      <c r="E169" t="n">
        <v>2020</v>
      </c>
      <c r="F169" t="n">
        <v>2040</v>
      </c>
      <c r="G169" t="n">
        <v>22527.4382</v>
      </c>
      <c r="H169" t="n">
        <v>5623.3532</v>
      </c>
      <c r="I169" t="n">
        <v>2525.3928</v>
      </c>
      <c r="J169" t="n">
        <v>15905.1585</v>
      </c>
      <c r="K169" t="n">
        <v>20856357.09</v>
      </c>
      <c r="L169" t="n">
        <v>109421404.1</v>
      </c>
      <c r="M169" t="n">
        <v>22527.4382</v>
      </c>
      <c r="N169" t="inlineStr">
        <is>
          <t>Provided Total Emissions</t>
        </is>
      </c>
      <c r="O169" t="b">
        <v>1</v>
      </c>
      <c r="P169" t="n">
        <v>-0.007143</v>
      </c>
      <c r="Q169" t="n">
        <v>0.011976</v>
      </c>
      <c r="R169" t="n">
        <v>19065.4217</v>
      </c>
      <c r="S169" t="n">
        <v>106043.5654</v>
      </c>
      <c r="T169" t="n">
        <v>-3462.0165</v>
      </c>
      <c r="U169" t="n">
        <v>83516.1272</v>
      </c>
      <c r="V169" t="n">
        <v>-0.15368</v>
      </c>
      <c r="W169" t="n">
        <v>3.707307</v>
      </c>
      <c r="X169" t="inlineStr">
        <is>
          <t>High</t>
        </is>
      </c>
      <c r="Y169" t="inlineStr">
        <is>
          <t>None</t>
        </is>
      </c>
      <c r="Z169" t="inlineStr">
        <is>
          <t>Valid</t>
        </is>
      </c>
      <c r="AA169" t="n">
        <v>2032</v>
      </c>
      <c r="AB169" t="inlineStr">
        <is>
          <t>Supplier Target Pathway</t>
        </is>
      </c>
      <c r="AC169" t="n">
        <v>26547.3363</v>
      </c>
      <c r="AD169" t="n">
        <v>17316.8275</v>
      </c>
      <c r="AE169" t="n">
        <v>21009.031</v>
      </c>
      <c r="AF169" t="n">
        <v>21009.031</v>
      </c>
      <c r="AG169" t="n">
        <v>5538.3053</v>
      </c>
      <c r="AH169" t="n">
        <v>0.00100732</v>
      </c>
      <c r="AI169" t="n">
        <v>0.20862</v>
      </c>
      <c r="AJ169" t="n">
        <v>3692.2035</v>
      </c>
      <c r="AK169" t="n">
        <v>461.5254</v>
      </c>
      <c r="AL169" t="n">
        <v>96074.27959999999</v>
      </c>
      <c r="AM169" t="n">
        <v>180994.9604</v>
      </c>
      <c r="AN169" t="n">
        <v>0.99</v>
      </c>
      <c r="AO169" t="inlineStr">
        <is>
          <t>High</t>
        </is>
      </c>
      <c r="AP169" t="inlineStr">
        <is>
          <t>On Track to Glide Path</t>
        </is>
      </c>
    </row>
    <row r="170">
      <c r="A170" t="inlineStr">
        <is>
          <t>SUP-0011</t>
        </is>
      </c>
      <c r="B170" t="inlineStr">
        <is>
          <t>Agriculture Supplier 011</t>
        </is>
      </c>
      <c r="C170" t="inlineStr">
        <is>
          <t>Agriculture</t>
        </is>
      </c>
      <c r="D170" t="n">
        <v>2024</v>
      </c>
      <c r="E170" t="n">
        <v>2020</v>
      </c>
      <c r="F170" t="n">
        <v>2040</v>
      </c>
      <c r="G170" t="n">
        <v>22527.4382</v>
      </c>
      <c r="H170" t="n">
        <v>5623.3532</v>
      </c>
      <c r="I170" t="n">
        <v>2525.3928</v>
      </c>
      <c r="J170" t="n">
        <v>15905.1585</v>
      </c>
      <c r="K170" t="n">
        <v>20856357.09</v>
      </c>
      <c r="L170" t="n">
        <v>109421404.1</v>
      </c>
      <c r="M170" t="n">
        <v>22527.4382</v>
      </c>
      <c r="N170" t="inlineStr">
        <is>
          <t>Provided Total Emissions</t>
        </is>
      </c>
      <c r="O170" t="b">
        <v>1</v>
      </c>
      <c r="P170" t="n">
        <v>-0.007143</v>
      </c>
      <c r="Q170" t="n">
        <v>0.011976</v>
      </c>
      <c r="R170" t="n">
        <v>19065.4217</v>
      </c>
      <c r="S170" t="n">
        <v>106043.5654</v>
      </c>
      <c r="T170" t="n">
        <v>-3462.0165</v>
      </c>
      <c r="U170" t="n">
        <v>83516.1272</v>
      </c>
      <c r="V170" t="n">
        <v>-0.15368</v>
      </c>
      <c r="W170" t="n">
        <v>3.707307</v>
      </c>
      <c r="X170" t="inlineStr">
        <is>
          <t>High</t>
        </is>
      </c>
      <c r="Y170" t="inlineStr">
        <is>
          <t>None</t>
        </is>
      </c>
      <c r="Z170" t="inlineStr">
        <is>
          <t>Valid</t>
        </is>
      </c>
      <c r="AA170" t="n">
        <v>2033</v>
      </c>
      <c r="AB170" t="inlineStr">
        <is>
          <t>Supplier Target Pathway</t>
        </is>
      </c>
      <c r="AC170" t="n">
        <v>26547.3363</v>
      </c>
      <c r="AD170" t="n">
        <v>17316.8275</v>
      </c>
      <c r="AE170" t="n">
        <v>20547.5056</v>
      </c>
      <c r="AF170" t="n">
        <v>20547.5056</v>
      </c>
      <c r="AG170" t="n">
        <v>5999.8307</v>
      </c>
      <c r="AH170" t="n">
        <v>0.0009851899999999999</v>
      </c>
      <c r="AI170" t="n">
        <v>0.226005</v>
      </c>
      <c r="AJ170" t="n">
        <v>3230.6781</v>
      </c>
      <c r="AK170" t="n">
        <v>461.5254</v>
      </c>
      <c r="AL170" t="n">
        <v>75526.774</v>
      </c>
      <c r="AM170" t="n">
        <v>201542.466</v>
      </c>
      <c r="AN170" t="n">
        <v>0.99</v>
      </c>
      <c r="AO170" t="inlineStr">
        <is>
          <t>High</t>
        </is>
      </c>
      <c r="AP170" t="inlineStr">
        <is>
          <t>On Track to Glide Path</t>
        </is>
      </c>
    </row>
    <row r="171">
      <c r="A171" t="inlineStr">
        <is>
          <t>SUP-0011</t>
        </is>
      </c>
      <c r="B171" t="inlineStr">
        <is>
          <t>Agriculture Supplier 011</t>
        </is>
      </c>
      <c r="C171" t="inlineStr">
        <is>
          <t>Agriculture</t>
        </is>
      </c>
      <c r="D171" t="n">
        <v>2024</v>
      </c>
      <c r="E171" t="n">
        <v>2020</v>
      </c>
      <c r="F171" t="n">
        <v>2040</v>
      </c>
      <c r="G171" t="n">
        <v>22527.4382</v>
      </c>
      <c r="H171" t="n">
        <v>5623.3532</v>
      </c>
      <c r="I171" t="n">
        <v>2525.3928</v>
      </c>
      <c r="J171" t="n">
        <v>15905.1585</v>
      </c>
      <c r="K171" t="n">
        <v>20856357.09</v>
      </c>
      <c r="L171" t="n">
        <v>109421404.1</v>
      </c>
      <c r="M171" t="n">
        <v>22527.4382</v>
      </c>
      <c r="N171" t="inlineStr">
        <is>
          <t>Provided Total Emissions</t>
        </is>
      </c>
      <c r="O171" t="b">
        <v>1</v>
      </c>
      <c r="P171" t="n">
        <v>-0.007143</v>
      </c>
      <c r="Q171" t="n">
        <v>0.011976</v>
      </c>
      <c r="R171" t="n">
        <v>19065.4217</v>
      </c>
      <c r="S171" t="n">
        <v>106043.5654</v>
      </c>
      <c r="T171" t="n">
        <v>-3462.0165</v>
      </c>
      <c r="U171" t="n">
        <v>83516.1272</v>
      </c>
      <c r="V171" t="n">
        <v>-0.15368</v>
      </c>
      <c r="W171" t="n">
        <v>3.707307</v>
      </c>
      <c r="X171" t="inlineStr">
        <is>
          <t>High</t>
        </is>
      </c>
      <c r="Y171" t="inlineStr">
        <is>
          <t>None</t>
        </is>
      </c>
      <c r="Z171" t="inlineStr">
        <is>
          <t>Valid</t>
        </is>
      </c>
      <c r="AA171" t="n">
        <v>2034</v>
      </c>
      <c r="AB171" t="inlineStr">
        <is>
          <t>Supplier Target Pathway</t>
        </is>
      </c>
      <c r="AC171" t="n">
        <v>26547.3363</v>
      </c>
      <c r="AD171" t="n">
        <v>17316.8275</v>
      </c>
      <c r="AE171" t="n">
        <v>20085.9801</v>
      </c>
      <c r="AF171" t="n">
        <v>20085.9801</v>
      </c>
      <c r="AG171" t="n">
        <v>6461.3562</v>
      </c>
      <c r="AH171" t="n">
        <v>0.00096306</v>
      </c>
      <c r="AI171" t="n">
        <v>0.24339</v>
      </c>
      <c r="AJ171" t="n">
        <v>2769.1526</v>
      </c>
      <c r="AK171" t="n">
        <v>461.5254</v>
      </c>
      <c r="AL171" t="n">
        <v>55440.7939</v>
      </c>
      <c r="AM171" t="n">
        <v>221628.4461</v>
      </c>
      <c r="AN171" t="n">
        <v>0.99</v>
      </c>
      <c r="AO171" t="inlineStr">
        <is>
          <t>High</t>
        </is>
      </c>
      <c r="AP171" t="inlineStr">
        <is>
          <t>On Track to Glide Path</t>
        </is>
      </c>
    </row>
    <row r="172">
      <c r="A172" t="inlineStr">
        <is>
          <t>SUP-0011</t>
        </is>
      </c>
      <c r="B172" t="inlineStr">
        <is>
          <t>Agriculture Supplier 011</t>
        </is>
      </c>
      <c r="C172" t="inlineStr">
        <is>
          <t>Agriculture</t>
        </is>
      </c>
      <c r="D172" t="n">
        <v>2024</v>
      </c>
      <c r="E172" t="n">
        <v>2020</v>
      </c>
      <c r="F172" t="n">
        <v>2040</v>
      </c>
      <c r="G172" t="n">
        <v>22527.4382</v>
      </c>
      <c r="H172" t="n">
        <v>5623.3532</v>
      </c>
      <c r="I172" t="n">
        <v>2525.3928</v>
      </c>
      <c r="J172" t="n">
        <v>15905.1585</v>
      </c>
      <c r="K172" t="n">
        <v>20856357.09</v>
      </c>
      <c r="L172" t="n">
        <v>109421404.1</v>
      </c>
      <c r="M172" t="n">
        <v>22527.4382</v>
      </c>
      <c r="N172" t="inlineStr">
        <is>
          <t>Provided Total Emissions</t>
        </is>
      </c>
      <c r="O172" t="b">
        <v>1</v>
      </c>
      <c r="P172" t="n">
        <v>-0.007143</v>
      </c>
      <c r="Q172" t="n">
        <v>0.011976</v>
      </c>
      <c r="R172" t="n">
        <v>19065.4217</v>
      </c>
      <c r="S172" t="n">
        <v>106043.5654</v>
      </c>
      <c r="T172" t="n">
        <v>-3462.0165</v>
      </c>
      <c r="U172" t="n">
        <v>83516.1272</v>
      </c>
      <c r="V172" t="n">
        <v>-0.15368</v>
      </c>
      <c r="W172" t="n">
        <v>3.707307</v>
      </c>
      <c r="X172" t="inlineStr">
        <is>
          <t>High</t>
        </is>
      </c>
      <c r="Y172" t="inlineStr">
        <is>
          <t>None</t>
        </is>
      </c>
      <c r="Z172" t="inlineStr">
        <is>
          <t>Valid</t>
        </is>
      </c>
      <c r="AA172" t="n">
        <v>2035</v>
      </c>
      <c r="AB172" t="inlineStr">
        <is>
          <t>Supplier Target Pathway</t>
        </is>
      </c>
      <c r="AC172" t="n">
        <v>26547.3363</v>
      </c>
      <c r="AD172" t="n">
        <v>17316.8275</v>
      </c>
      <c r="AE172" t="n">
        <v>19624.4547</v>
      </c>
      <c r="AF172" t="n">
        <v>19624.4547</v>
      </c>
      <c r="AG172" t="n">
        <v>6922.8816</v>
      </c>
      <c r="AH172" t="n">
        <v>0.00094093</v>
      </c>
      <c r="AI172" t="n">
        <v>0.260775</v>
      </c>
      <c r="AJ172" t="n">
        <v>2307.6272</v>
      </c>
      <c r="AK172" t="n">
        <v>461.5254</v>
      </c>
      <c r="AL172" t="n">
        <v>35816.3392</v>
      </c>
      <c r="AM172" t="n">
        <v>241252.9008</v>
      </c>
      <c r="AN172" t="n">
        <v>0.99</v>
      </c>
      <c r="AO172" t="inlineStr">
        <is>
          <t>Medium</t>
        </is>
      </c>
      <c r="AP172" t="inlineStr">
        <is>
          <t>On Track to Glide Path</t>
        </is>
      </c>
    </row>
    <row r="173">
      <c r="A173" t="inlineStr">
        <is>
          <t>SUP-0011</t>
        </is>
      </c>
      <c r="B173" t="inlineStr">
        <is>
          <t>Agriculture Supplier 011</t>
        </is>
      </c>
      <c r="C173" t="inlineStr">
        <is>
          <t>Agriculture</t>
        </is>
      </c>
      <c r="D173" t="n">
        <v>2024</v>
      </c>
      <c r="E173" t="n">
        <v>2020</v>
      </c>
      <c r="F173" t="n">
        <v>2040</v>
      </c>
      <c r="G173" t="n">
        <v>22527.4382</v>
      </c>
      <c r="H173" t="n">
        <v>5623.3532</v>
      </c>
      <c r="I173" t="n">
        <v>2525.3928</v>
      </c>
      <c r="J173" t="n">
        <v>15905.1585</v>
      </c>
      <c r="K173" t="n">
        <v>20856357.09</v>
      </c>
      <c r="L173" t="n">
        <v>109421404.1</v>
      </c>
      <c r="M173" t="n">
        <v>22527.4382</v>
      </c>
      <c r="N173" t="inlineStr">
        <is>
          <t>Provided Total Emissions</t>
        </is>
      </c>
      <c r="O173" t="b">
        <v>1</v>
      </c>
      <c r="P173" t="n">
        <v>-0.007143</v>
      </c>
      <c r="Q173" t="n">
        <v>0.011976</v>
      </c>
      <c r="R173" t="n">
        <v>19065.4217</v>
      </c>
      <c r="S173" t="n">
        <v>106043.5654</v>
      </c>
      <c r="T173" t="n">
        <v>-3462.0165</v>
      </c>
      <c r="U173" t="n">
        <v>83516.1272</v>
      </c>
      <c r="V173" t="n">
        <v>-0.15368</v>
      </c>
      <c r="W173" t="n">
        <v>3.707307</v>
      </c>
      <c r="X173" t="inlineStr">
        <is>
          <t>High</t>
        </is>
      </c>
      <c r="Y173" t="inlineStr">
        <is>
          <t>None</t>
        </is>
      </c>
      <c r="Z173" t="inlineStr">
        <is>
          <t>Valid</t>
        </is>
      </c>
      <c r="AA173" t="n">
        <v>2036</v>
      </c>
      <c r="AB173" t="inlineStr">
        <is>
          <t>Supplier Target Pathway</t>
        </is>
      </c>
      <c r="AC173" t="n">
        <v>26547.3363</v>
      </c>
      <c r="AD173" t="n">
        <v>17316.8275</v>
      </c>
      <c r="AE173" t="n">
        <v>19162.9292</v>
      </c>
      <c r="AF173" t="n">
        <v>19162.9292</v>
      </c>
      <c r="AG173" t="n">
        <v>7384.4071</v>
      </c>
      <c r="AH173" t="n">
        <v>0.00091881</v>
      </c>
      <c r="AI173" t="n">
        <v>0.27816</v>
      </c>
      <c r="AJ173" t="n">
        <v>1846.1018</v>
      </c>
      <c r="AK173" t="n">
        <v>461.5254</v>
      </c>
      <c r="AL173" t="n">
        <v>16653.41</v>
      </c>
      <c r="AM173" t="n">
        <v>260415.83</v>
      </c>
      <c r="AN173" t="n">
        <v>0.99</v>
      </c>
      <c r="AO173" t="inlineStr">
        <is>
          <t>Medium</t>
        </is>
      </c>
      <c r="AP173" t="inlineStr">
        <is>
          <t>On Track to Glide Path</t>
        </is>
      </c>
    </row>
    <row r="174">
      <c r="A174" t="inlineStr">
        <is>
          <t>SUP-0011</t>
        </is>
      </c>
      <c r="B174" t="inlineStr">
        <is>
          <t>Agriculture Supplier 011</t>
        </is>
      </c>
      <c r="C174" t="inlineStr">
        <is>
          <t>Agriculture</t>
        </is>
      </c>
      <c r="D174" t="n">
        <v>2024</v>
      </c>
      <c r="E174" t="n">
        <v>2020</v>
      </c>
      <c r="F174" t="n">
        <v>2040</v>
      </c>
      <c r="G174" t="n">
        <v>22527.4382</v>
      </c>
      <c r="H174" t="n">
        <v>5623.3532</v>
      </c>
      <c r="I174" t="n">
        <v>2525.3928</v>
      </c>
      <c r="J174" t="n">
        <v>15905.1585</v>
      </c>
      <c r="K174" t="n">
        <v>20856357.09</v>
      </c>
      <c r="L174" t="n">
        <v>109421404.1</v>
      </c>
      <c r="M174" t="n">
        <v>22527.4382</v>
      </c>
      <c r="N174" t="inlineStr">
        <is>
          <t>Provided Total Emissions</t>
        </is>
      </c>
      <c r="O174" t="b">
        <v>1</v>
      </c>
      <c r="P174" t="n">
        <v>-0.007143</v>
      </c>
      <c r="Q174" t="n">
        <v>0.011976</v>
      </c>
      <c r="R174" t="n">
        <v>19065.4217</v>
      </c>
      <c r="S174" t="n">
        <v>106043.5654</v>
      </c>
      <c r="T174" t="n">
        <v>-3462.0165</v>
      </c>
      <c r="U174" t="n">
        <v>83516.1272</v>
      </c>
      <c r="V174" t="n">
        <v>-0.15368</v>
      </c>
      <c r="W174" t="n">
        <v>3.707307</v>
      </c>
      <c r="X174" t="inlineStr">
        <is>
          <t>High</t>
        </is>
      </c>
      <c r="Y174" t="inlineStr">
        <is>
          <t>None</t>
        </is>
      </c>
      <c r="Z174" t="inlineStr">
        <is>
          <t>Valid</t>
        </is>
      </c>
      <c r="AA174" t="n">
        <v>2037</v>
      </c>
      <c r="AB174" t="inlineStr">
        <is>
          <t>Supplier Target Pathway</t>
        </is>
      </c>
      <c r="AC174" t="n">
        <v>26547.3363</v>
      </c>
      <c r="AD174" t="n">
        <v>17316.8275</v>
      </c>
      <c r="AE174" t="n">
        <v>18701.4038</v>
      </c>
      <c r="AF174" t="n">
        <v>18701.4038</v>
      </c>
      <c r="AG174" t="n">
        <v>7845.9325</v>
      </c>
      <c r="AH174" t="n">
        <v>0.00089668</v>
      </c>
      <c r="AI174" t="n">
        <v>0.295545</v>
      </c>
      <c r="AJ174" t="n">
        <v>1384.5763</v>
      </c>
      <c r="AK174" t="n">
        <v>461.5254</v>
      </c>
      <c r="AL174" t="n">
        <v>-2047.9938</v>
      </c>
      <c r="AM174" t="n">
        <v>279117.2338</v>
      </c>
      <c r="AN174" t="n">
        <v>0.99</v>
      </c>
      <c r="AO174" t="inlineStr">
        <is>
          <t>Medium</t>
        </is>
      </c>
      <c r="AP174" t="inlineStr">
        <is>
          <t>On Track to Glide Path</t>
        </is>
      </c>
    </row>
    <row r="175">
      <c r="A175" t="inlineStr">
        <is>
          <t>SUP-0011</t>
        </is>
      </c>
      <c r="B175" t="inlineStr">
        <is>
          <t>Agriculture Supplier 011</t>
        </is>
      </c>
      <c r="C175" t="inlineStr">
        <is>
          <t>Agriculture</t>
        </is>
      </c>
      <c r="D175" t="n">
        <v>2024</v>
      </c>
      <c r="E175" t="n">
        <v>2020</v>
      </c>
      <c r="F175" t="n">
        <v>2040</v>
      </c>
      <c r="G175" t="n">
        <v>22527.4382</v>
      </c>
      <c r="H175" t="n">
        <v>5623.3532</v>
      </c>
      <c r="I175" t="n">
        <v>2525.3928</v>
      </c>
      <c r="J175" t="n">
        <v>15905.1585</v>
      </c>
      <c r="K175" t="n">
        <v>20856357.09</v>
      </c>
      <c r="L175" t="n">
        <v>109421404.1</v>
      </c>
      <c r="M175" t="n">
        <v>22527.4382</v>
      </c>
      <c r="N175" t="inlineStr">
        <is>
          <t>Provided Total Emissions</t>
        </is>
      </c>
      <c r="O175" t="b">
        <v>1</v>
      </c>
      <c r="P175" t="n">
        <v>-0.007143</v>
      </c>
      <c r="Q175" t="n">
        <v>0.011976</v>
      </c>
      <c r="R175" t="n">
        <v>19065.4217</v>
      </c>
      <c r="S175" t="n">
        <v>106043.5654</v>
      </c>
      <c r="T175" t="n">
        <v>-3462.0165</v>
      </c>
      <c r="U175" t="n">
        <v>83516.1272</v>
      </c>
      <c r="V175" t="n">
        <v>-0.15368</v>
      </c>
      <c r="W175" t="n">
        <v>3.707307</v>
      </c>
      <c r="X175" t="inlineStr">
        <is>
          <t>High</t>
        </is>
      </c>
      <c r="Y175" t="inlineStr">
        <is>
          <t>None</t>
        </is>
      </c>
      <c r="Z175" t="inlineStr">
        <is>
          <t>Valid</t>
        </is>
      </c>
      <c r="AA175" t="n">
        <v>2038</v>
      </c>
      <c r="AB175" t="inlineStr">
        <is>
          <t>Supplier Target Pathway</t>
        </is>
      </c>
      <c r="AC175" t="n">
        <v>26547.3363</v>
      </c>
      <c r="AD175" t="n">
        <v>17316.8275</v>
      </c>
      <c r="AE175" t="n">
        <v>18239.8784</v>
      </c>
      <c r="AF175" t="n">
        <v>18239.8784</v>
      </c>
      <c r="AG175" t="n">
        <v>8307.457899999999</v>
      </c>
      <c r="AH175" t="n">
        <v>0.00087455</v>
      </c>
      <c r="AI175" t="n">
        <v>0.31293</v>
      </c>
      <c r="AJ175" t="n">
        <v>923.0509</v>
      </c>
      <c r="AK175" t="n">
        <v>461.5254</v>
      </c>
      <c r="AL175" t="n">
        <v>-20287.8722</v>
      </c>
      <c r="AM175" t="n">
        <v>297357.1122</v>
      </c>
      <c r="AN175" t="n">
        <v>0.99</v>
      </c>
      <c r="AO175" t="inlineStr">
        <is>
          <t>Medium</t>
        </is>
      </c>
      <c r="AP175" t="inlineStr">
        <is>
          <t>On Track to Glide Path</t>
        </is>
      </c>
    </row>
    <row r="176">
      <c r="A176" t="inlineStr">
        <is>
          <t>SUP-0011</t>
        </is>
      </c>
      <c r="B176" t="inlineStr">
        <is>
          <t>Agriculture Supplier 011</t>
        </is>
      </c>
      <c r="C176" t="inlineStr">
        <is>
          <t>Agriculture</t>
        </is>
      </c>
      <c r="D176" t="n">
        <v>2024</v>
      </c>
      <c r="E176" t="n">
        <v>2020</v>
      </c>
      <c r="F176" t="n">
        <v>2040</v>
      </c>
      <c r="G176" t="n">
        <v>22527.4382</v>
      </c>
      <c r="H176" t="n">
        <v>5623.3532</v>
      </c>
      <c r="I176" t="n">
        <v>2525.3928</v>
      </c>
      <c r="J176" t="n">
        <v>15905.1585</v>
      </c>
      <c r="K176" t="n">
        <v>20856357.09</v>
      </c>
      <c r="L176" t="n">
        <v>109421404.1</v>
      </c>
      <c r="M176" t="n">
        <v>22527.4382</v>
      </c>
      <c r="N176" t="inlineStr">
        <is>
          <t>Provided Total Emissions</t>
        </is>
      </c>
      <c r="O176" t="b">
        <v>1</v>
      </c>
      <c r="P176" t="n">
        <v>-0.007143</v>
      </c>
      <c r="Q176" t="n">
        <v>0.011976</v>
      </c>
      <c r="R176" t="n">
        <v>19065.4217</v>
      </c>
      <c r="S176" t="n">
        <v>106043.5654</v>
      </c>
      <c r="T176" t="n">
        <v>-3462.0165</v>
      </c>
      <c r="U176" t="n">
        <v>83516.1272</v>
      </c>
      <c r="V176" t="n">
        <v>-0.15368</v>
      </c>
      <c r="W176" t="n">
        <v>3.707307</v>
      </c>
      <c r="X176" t="inlineStr">
        <is>
          <t>High</t>
        </is>
      </c>
      <c r="Y176" t="inlineStr">
        <is>
          <t>None</t>
        </is>
      </c>
      <c r="Z176" t="inlineStr">
        <is>
          <t>Valid</t>
        </is>
      </c>
      <c r="AA176" t="n">
        <v>2039</v>
      </c>
      <c r="AB176" t="inlineStr">
        <is>
          <t>Supplier Target Pathway</t>
        </is>
      </c>
      <c r="AC176" t="n">
        <v>26547.3363</v>
      </c>
      <c r="AD176" t="n">
        <v>17316.8275</v>
      </c>
      <c r="AE176" t="n">
        <v>17778.3529</v>
      </c>
      <c r="AF176" t="n">
        <v>17778.3529</v>
      </c>
      <c r="AG176" t="n">
        <v>8768.983399999999</v>
      </c>
      <c r="AH176" t="n">
        <v>0.00085242</v>
      </c>
      <c r="AI176" t="n">
        <v>0.330315</v>
      </c>
      <c r="AJ176" t="n">
        <v>461.5254</v>
      </c>
      <c r="AK176" t="n">
        <v>461.5254</v>
      </c>
      <c r="AL176" t="n">
        <v>-38066.2251</v>
      </c>
      <c r="AM176" t="n">
        <v>315135.4651</v>
      </c>
      <c r="AN176" t="n">
        <v>0.99</v>
      </c>
      <c r="AO176" t="inlineStr">
        <is>
          <t>Medium</t>
        </is>
      </c>
      <c r="AP176" t="inlineStr">
        <is>
          <t>On Track to Glide Path</t>
        </is>
      </c>
    </row>
    <row r="177">
      <c r="A177" t="inlineStr">
        <is>
          <t>SUP-0011</t>
        </is>
      </c>
      <c r="B177" t="inlineStr">
        <is>
          <t>Agriculture Supplier 011</t>
        </is>
      </c>
      <c r="C177" t="inlineStr">
        <is>
          <t>Agriculture</t>
        </is>
      </c>
      <c r="D177" t="n">
        <v>2024</v>
      </c>
      <c r="E177" t="n">
        <v>2020</v>
      </c>
      <c r="F177" t="n">
        <v>2040</v>
      </c>
      <c r="G177" t="n">
        <v>22527.4382</v>
      </c>
      <c r="H177" t="n">
        <v>5623.3532</v>
      </c>
      <c r="I177" t="n">
        <v>2525.3928</v>
      </c>
      <c r="J177" t="n">
        <v>15905.1585</v>
      </c>
      <c r="K177" t="n">
        <v>20856357.09</v>
      </c>
      <c r="L177" t="n">
        <v>109421404.1</v>
      </c>
      <c r="M177" t="n">
        <v>22527.4382</v>
      </c>
      <c r="N177" t="inlineStr">
        <is>
          <t>Provided Total Emissions</t>
        </is>
      </c>
      <c r="O177" t="b">
        <v>1</v>
      </c>
      <c r="P177" t="n">
        <v>-0.007143</v>
      </c>
      <c r="Q177" t="n">
        <v>0.011976</v>
      </c>
      <c r="R177" t="n">
        <v>19065.4217</v>
      </c>
      <c r="S177" t="n">
        <v>106043.5654</v>
      </c>
      <c r="T177" t="n">
        <v>-3462.0165</v>
      </c>
      <c r="U177" t="n">
        <v>83516.1272</v>
      </c>
      <c r="V177" t="n">
        <v>-0.15368</v>
      </c>
      <c r="W177" t="n">
        <v>3.707307</v>
      </c>
      <c r="X177" t="inlineStr">
        <is>
          <t>High</t>
        </is>
      </c>
      <c r="Y177" t="inlineStr">
        <is>
          <t>None</t>
        </is>
      </c>
      <c r="Z177" t="inlineStr">
        <is>
          <t>Valid</t>
        </is>
      </c>
      <c r="AA177" t="n">
        <v>2040</v>
      </c>
      <c r="AB177" t="inlineStr">
        <is>
          <t>Supplier Target Pathway</t>
        </is>
      </c>
      <c r="AC177" t="n">
        <v>26547.3363</v>
      </c>
      <c r="AD177" t="n">
        <v>17316.8275</v>
      </c>
      <c r="AE177" t="n">
        <v>17316.8275</v>
      </c>
      <c r="AF177" t="n">
        <v>17316.8275</v>
      </c>
      <c r="AG177" t="n">
        <v>9230.5088</v>
      </c>
      <c r="AH177" t="n">
        <v>0.00083029</v>
      </c>
      <c r="AI177" t="n">
        <v>0.3477</v>
      </c>
      <c r="AJ177" t="n">
        <v>0</v>
      </c>
      <c r="AK177" t="n">
        <v>461.5254</v>
      </c>
      <c r="AL177" t="n">
        <v>-55383.0526</v>
      </c>
      <c r="AM177" t="n">
        <v>332452.2926</v>
      </c>
      <c r="AN177" t="n">
        <v>0.99</v>
      </c>
      <c r="AO177" t="inlineStr">
        <is>
          <t>Low</t>
        </is>
      </c>
      <c r="AP177" t="inlineStr">
        <is>
          <t>On Track</t>
        </is>
      </c>
    </row>
    <row r="178">
      <c r="A178" t="inlineStr">
        <is>
          <t>SUP-0012</t>
        </is>
      </c>
      <c r="B178" t="inlineStr">
        <is>
          <t>Textiles Supplier 012</t>
        </is>
      </c>
      <c r="C178" t="inlineStr">
        <is>
          <t>Textiles</t>
        </is>
      </c>
      <c r="D178" t="n">
        <v>2024</v>
      </c>
      <c r="E178" t="n">
        <v>2015</v>
      </c>
      <c r="F178" t="n">
        <v>2030</v>
      </c>
      <c r="G178" t="n">
        <v>5818.5637</v>
      </c>
      <c r="H178" t="n">
        <v>1387.6296</v>
      </c>
      <c r="I178" t="n">
        <v>777.2957</v>
      </c>
      <c r="J178" t="n">
        <v>3532.3272</v>
      </c>
      <c r="K178" t="n">
        <v>28117792.16</v>
      </c>
      <c r="L178" t="n">
        <v>188548606.72</v>
      </c>
      <c r="M178" t="n">
        <v>5818.5637</v>
      </c>
      <c r="N178" t="inlineStr">
        <is>
          <t>Provided Total Emissions</t>
        </is>
      </c>
      <c r="O178" t="b">
        <v>1</v>
      </c>
      <c r="P178" t="n">
        <v>0.077768</v>
      </c>
      <c r="Q178" t="n">
        <v>0.06367299999999999</v>
      </c>
      <c r="R178" t="n">
        <v>8216.299999999999</v>
      </c>
      <c r="S178" t="n">
        <v>32699.9849</v>
      </c>
      <c r="T178" t="n">
        <v>2397.7363</v>
      </c>
      <c r="U178" t="n">
        <v>26881.4212</v>
      </c>
      <c r="V178" t="n">
        <v>0.412084</v>
      </c>
      <c r="W178" t="n">
        <v>4.619941</v>
      </c>
      <c r="X178" t="inlineStr">
        <is>
          <t>High</t>
        </is>
      </c>
      <c r="Y178" t="inlineStr">
        <is>
          <t>None</t>
        </is>
      </c>
      <c r="Z178" t="inlineStr">
        <is>
          <t>Valid</t>
        </is>
      </c>
      <c r="AA178" t="n">
        <v>2025</v>
      </c>
      <c r="AB178" t="inlineStr">
        <is>
          <t>Industry Haircut Pathway</t>
        </is>
      </c>
      <c r="AC178" t="n">
        <v>2965.4297</v>
      </c>
      <c r="AD178" t="n">
        <v>2025.0919</v>
      </c>
      <c r="AE178" t="n">
        <v>2338.5379</v>
      </c>
      <c r="AF178" t="n">
        <v>2338.5379</v>
      </c>
      <c r="AG178" t="n">
        <v>626.8918</v>
      </c>
      <c r="AH178" t="n">
        <v>8.317e-05</v>
      </c>
      <c r="AI178" t="n">
        <v>0.2114</v>
      </c>
      <c r="AJ178" t="n">
        <v>313.4459</v>
      </c>
      <c r="AK178" t="n">
        <v>62.6892</v>
      </c>
      <c r="AL178" t="n">
        <v>9812.013499999999</v>
      </c>
      <c r="AM178" t="n">
        <v>2338.5379</v>
      </c>
      <c r="AN178" t="n">
        <v>0.95</v>
      </c>
      <c r="AO178" t="inlineStr">
        <is>
          <t>High</t>
        </is>
      </c>
      <c r="AP178" t="inlineStr">
        <is>
          <t>On Track to Glide Path</t>
        </is>
      </c>
    </row>
    <row r="179">
      <c r="A179" t="inlineStr">
        <is>
          <t>SUP-0012</t>
        </is>
      </c>
      <c r="B179" t="inlineStr">
        <is>
          <t>Textiles Supplier 012</t>
        </is>
      </c>
      <c r="C179" t="inlineStr">
        <is>
          <t>Textiles</t>
        </is>
      </c>
      <c r="D179" t="n">
        <v>2024</v>
      </c>
      <c r="E179" t="n">
        <v>2015</v>
      </c>
      <c r="F179" t="n">
        <v>2030</v>
      </c>
      <c r="G179" t="n">
        <v>5818.5637</v>
      </c>
      <c r="H179" t="n">
        <v>1387.6296</v>
      </c>
      <c r="I179" t="n">
        <v>777.2957</v>
      </c>
      <c r="J179" t="n">
        <v>3532.3272</v>
      </c>
      <c r="K179" t="n">
        <v>28117792.16</v>
      </c>
      <c r="L179" t="n">
        <v>188548606.72</v>
      </c>
      <c r="M179" t="n">
        <v>5818.5637</v>
      </c>
      <c r="N179" t="inlineStr">
        <is>
          <t>Provided Total Emissions</t>
        </is>
      </c>
      <c r="O179" t="b">
        <v>1</v>
      </c>
      <c r="P179" t="n">
        <v>0.077768</v>
      </c>
      <c r="Q179" t="n">
        <v>0.06367299999999999</v>
      </c>
      <c r="R179" t="n">
        <v>8216.299999999999</v>
      </c>
      <c r="S179" t="n">
        <v>32699.9849</v>
      </c>
      <c r="T179" t="n">
        <v>2397.7363</v>
      </c>
      <c r="U179" t="n">
        <v>26881.4212</v>
      </c>
      <c r="V179" t="n">
        <v>0.412084</v>
      </c>
      <c r="W179" t="n">
        <v>4.619941</v>
      </c>
      <c r="X179" t="inlineStr">
        <is>
          <t>High</t>
        </is>
      </c>
      <c r="Y179" t="inlineStr">
        <is>
          <t>None</t>
        </is>
      </c>
      <c r="Z179" t="inlineStr">
        <is>
          <t>Valid</t>
        </is>
      </c>
      <c r="AA179" t="n">
        <v>2026</v>
      </c>
      <c r="AB179" t="inlineStr">
        <is>
          <t>Industry Haircut Pathway</t>
        </is>
      </c>
      <c r="AC179" t="n">
        <v>2965.4297</v>
      </c>
      <c r="AD179" t="n">
        <v>2025.0919</v>
      </c>
      <c r="AE179" t="n">
        <v>2275.8487</v>
      </c>
      <c r="AF179" t="n">
        <v>2275.8487</v>
      </c>
      <c r="AG179" t="n">
        <v>689.581</v>
      </c>
      <c r="AH179" t="n">
        <v>8.093999999999999e-05</v>
      </c>
      <c r="AI179" t="n">
        <v>0.23254</v>
      </c>
      <c r="AJ179" t="n">
        <v>250.7567</v>
      </c>
      <c r="AK179" t="n">
        <v>62.6892</v>
      </c>
      <c r="AL179" t="n">
        <v>7536.1648</v>
      </c>
      <c r="AM179" t="n">
        <v>4614.3866</v>
      </c>
      <c r="AN179" t="n">
        <v>0.95</v>
      </c>
      <c r="AO179" t="inlineStr">
        <is>
          <t>Medium</t>
        </is>
      </c>
      <c r="AP179" t="inlineStr">
        <is>
          <t>On Track to Glide Path</t>
        </is>
      </c>
    </row>
    <row r="180">
      <c r="A180" t="inlineStr">
        <is>
          <t>SUP-0012</t>
        </is>
      </c>
      <c r="B180" t="inlineStr">
        <is>
          <t>Textiles Supplier 012</t>
        </is>
      </c>
      <c r="C180" t="inlineStr">
        <is>
          <t>Textiles</t>
        </is>
      </c>
      <c r="D180" t="n">
        <v>2024</v>
      </c>
      <c r="E180" t="n">
        <v>2015</v>
      </c>
      <c r="F180" t="n">
        <v>2030</v>
      </c>
      <c r="G180" t="n">
        <v>5818.5637</v>
      </c>
      <c r="H180" t="n">
        <v>1387.6296</v>
      </c>
      <c r="I180" t="n">
        <v>777.2957</v>
      </c>
      <c r="J180" t="n">
        <v>3532.3272</v>
      </c>
      <c r="K180" t="n">
        <v>28117792.16</v>
      </c>
      <c r="L180" t="n">
        <v>188548606.72</v>
      </c>
      <c r="M180" t="n">
        <v>5818.5637</v>
      </c>
      <c r="N180" t="inlineStr">
        <is>
          <t>Provided Total Emissions</t>
        </is>
      </c>
      <c r="O180" t="b">
        <v>1</v>
      </c>
      <c r="P180" t="n">
        <v>0.077768</v>
      </c>
      <c r="Q180" t="n">
        <v>0.06367299999999999</v>
      </c>
      <c r="R180" t="n">
        <v>8216.299999999999</v>
      </c>
      <c r="S180" t="n">
        <v>32699.9849</v>
      </c>
      <c r="T180" t="n">
        <v>2397.7363</v>
      </c>
      <c r="U180" t="n">
        <v>26881.4212</v>
      </c>
      <c r="V180" t="n">
        <v>0.412084</v>
      </c>
      <c r="W180" t="n">
        <v>4.619941</v>
      </c>
      <c r="X180" t="inlineStr">
        <is>
          <t>High</t>
        </is>
      </c>
      <c r="Y180" t="inlineStr">
        <is>
          <t>None</t>
        </is>
      </c>
      <c r="Z180" t="inlineStr">
        <is>
          <t>Valid</t>
        </is>
      </c>
      <c r="AA180" t="n">
        <v>2027</v>
      </c>
      <c r="AB180" t="inlineStr">
        <is>
          <t>Industry Haircut Pathway</t>
        </is>
      </c>
      <c r="AC180" t="n">
        <v>2965.4297</v>
      </c>
      <c r="AD180" t="n">
        <v>2025.0919</v>
      </c>
      <c r="AE180" t="n">
        <v>2213.1595</v>
      </c>
      <c r="AF180" t="n">
        <v>2213.1595</v>
      </c>
      <c r="AG180" t="n">
        <v>752.2702</v>
      </c>
      <c r="AH180" t="n">
        <v>7.871e-05</v>
      </c>
      <c r="AI180" t="n">
        <v>0.25368</v>
      </c>
      <c r="AJ180" t="n">
        <v>188.0676</v>
      </c>
      <c r="AK180" t="n">
        <v>62.6892</v>
      </c>
      <c r="AL180" t="n">
        <v>5323.0053</v>
      </c>
      <c r="AM180" t="n">
        <v>6827.5461</v>
      </c>
      <c r="AN180" t="n">
        <v>0.95</v>
      </c>
      <c r="AO180" t="inlineStr">
        <is>
          <t>Medium</t>
        </is>
      </c>
      <c r="AP180" t="inlineStr">
        <is>
          <t>On Track to Glide Path</t>
        </is>
      </c>
    </row>
    <row r="181">
      <c r="A181" t="inlineStr">
        <is>
          <t>SUP-0012</t>
        </is>
      </c>
      <c r="B181" t="inlineStr">
        <is>
          <t>Textiles Supplier 012</t>
        </is>
      </c>
      <c r="C181" t="inlineStr">
        <is>
          <t>Textiles</t>
        </is>
      </c>
      <c r="D181" t="n">
        <v>2024</v>
      </c>
      <c r="E181" t="n">
        <v>2015</v>
      </c>
      <c r="F181" t="n">
        <v>2030</v>
      </c>
      <c r="G181" t="n">
        <v>5818.5637</v>
      </c>
      <c r="H181" t="n">
        <v>1387.6296</v>
      </c>
      <c r="I181" t="n">
        <v>777.2957</v>
      </c>
      <c r="J181" t="n">
        <v>3532.3272</v>
      </c>
      <c r="K181" t="n">
        <v>28117792.16</v>
      </c>
      <c r="L181" t="n">
        <v>188548606.72</v>
      </c>
      <c r="M181" t="n">
        <v>5818.5637</v>
      </c>
      <c r="N181" t="inlineStr">
        <is>
          <t>Provided Total Emissions</t>
        </is>
      </c>
      <c r="O181" t="b">
        <v>1</v>
      </c>
      <c r="P181" t="n">
        <v>0.077768</v>
      </c>
      <c r="Q181" t="n">
        <v>0.06367299999999999</v>
      </c>
      <c r="R181" t="n">
        <v>8216.299999999999</v>
      </c>
      <c r="S181" t="n">
        <v>32699.9849</v>
      </c>
      <c r="T181" t="n">
        <v>2397.7363</v>
      </c>
      <c r="U181" t="n">
        <v>26881.4212</v>
      </c>
      <c r="V181" t="n">
        <v>0.412084</v>
      </c>
      <c r="W181" t="n">
        <v>4.619941</v>
      </c>
      <c r="X181" t="inlineStr">
        <is>
          <t>High</t>
        </is>
      </c>
      <c r="Y181" t="inlineStr">
        <is>
          <t>None</t>
        </is>
      </c>
      <c r="Z181" t="inlineStr">
        <is>
          <t>Valid</t>
        </is>
      </c>
      <c r="AA181" t="n">
        <v>2028</v>
      </c>
      <c r="AB181" t="inlineStr">
        <is>
          <t>Industry Haircut Pathway</t>
        </is>
      </c>
      <c r="AC181" t="n">
        <v>2965.4297</v>
      </c>
      <c r="AD181" t="n">
        <v>2025.0919</v>
      </c>
      <c r="AE181" t="n">
        <v>2150.4703</v>
      </c>
      <c r="AF181" t="n">
        <v>2150.4703</v>
      </c>
      <c r="AG181" t="n">
        <v>814.9594</v>
      </c>
      <c r="AH181" t="n">
        <v>7.648e-05</v>
      </c>
      <c r="AI181" t="n">
        <v>0.27482</v>
      </c>
      <c r="AJ181" t="n">
        <v>125.3784</v>
      </c>
      <c r="AK181" t="n">
        <v>62.6892</v>
      </c>
      <c r="AL181" t="n">
        <v>3172.535</v>
      </c>
      <c r="AM181" t="n">
        <v>8978.0164</v>
      </c>
      <c r="AN181" t="n">
        <v>0.95</v>
      </c>
      <c r="AO181" t="inlineStr">
        <is>
          <t>Medium</t>
        </is>
      </c>
      <c r="AP181" t="inlineStr">
        <is>
          <t>On Track to Glide Path</t>
        </is>
      </c>
    </row>
    <row r="182">
      <c r="A182" t="inlineStr">
        <is>
          <t>SUP-0012</t>
        </is>
      </c>
      <c r="B182" t="inlineStr">
        <is>
          <t>Textiles Supplier 012</t>
        </is>
      </c>
      <c r="C182" t="inlineStr">
        <is>
          <t>Textiles</t>
        </is>
      </c>
      <c r="D182" t="n">
        <v>2024</v>
      </c>
      <c r="E182" t="n">
        <v>2015</v>
      </c>
      <c r="F182" t="n">
        <v>2030</v>
      </c>
      <c r="G182" t="n">
        <v>5818.5637</v>
      </c>
      <c r="H182" t="n">
        <v>1387.6296</v>
      </c>
      <c r="I182" t="n">
        <v>777.2957</v>
      </c>
      <c r="J182" t="n">
        <v>3532.3272</v>
      </c>
      <c r="K182" t="n">
        <v>28117792.16</v>
      </c>
      <c r="L182" t="n">
        <v>188548606.72</v>
      </c>
      <c r="M182" t="n">
        <v>5818.5637</v>
      </c>
      <c r="N182" t="inlineStr">
        <is>
          <t>Provided Total Emissions</t>
        </is>
      </c>
      <c r="O182" t="b">
        <v>1</v>
      </c>
      <c r="P182" t="n">
        <v>0.077768</v>
      </c>
      <c r="Q182" t="n">
        <v>0.06367299999999999</v>
      </c>
      <c r="R182" t="n">
        <v>8216.299999999999</v>
      </c>
      <c r="S182" t="n">
        <v>32699.9849</v>
      </c>
      <c r="T182" t="n">
        <v>2397.7363</v>
      </c>
      <c r="U182" t="n">
        <v>26881.4212</v>
      </c>
      <c r="V182" t="n">
        <v>0.412084</v>
      </c>
      <c r="W182" t="n">
        <v>4.619941</v>
      </c>
      <c r="X182" t="inlineStr">
        <is>
          <t>High</t>
        </is>
      </c>
      <c r="Y182" t="inlineStr">
        <is>
          <t>None</t>
        </is>
      </c>
      <c r="Z182" t="inlineStr">
        <is>
          <t>Valid</t>
        </is>
      </c>
      <c r="AA182" t="n">
        <v>2029</v>
      </c>
      <c r="AB182" t="inlineStr">
        <is>
          <t>Industry Haircut Pathway</t>
        </is>
      </c>
      <c r="AC182" t="n">
        <v>2965.4297</v>
      </c>
      <c r="AD182" t="n">
        <v>2025.0919</v>
      </c>
      <c r="AE182" t="n">
        <v>2087.7811</v>
      </c>
      <c r="AF182" t="n">
        <v>2087.7811</v>
      </c>
      <c r="AG182" t="n">
        <v>877.6486</v>
      </c>
      <c r="AH182" t="n">
        <v>7.425e-05</v>
      </c>
      <c r="AI182" t="n">
        <v>0.29596</v>
      </c>
      <c r="AJ182" t="n">
        <v>62.6892</v>
      </c>
      <c r="AK182" t="n">
        <v>62.6892</v>
      </c>
      <c r="AL182" t="n">
        <v>1084.7539</v>
      </c>
      <c r="AM182" t="n">
        <v>11065.7975</v>
      </c>
      <c r="AN182" t="n">
        <v>0.95</v>
      </c>
      <c r="AO182" t="inlineStr">
        <is>
          <t>Medium</t>
        </is>
      </c>
      <c r="AP182" t="inlineStr">
        <is>
          <t>On Track to Glide Path</t>
        </is>
      </c>
    </row>
    <row r="183">
      <c r="A183" t="inlineStr">
        <is>
          <t>SUP-0012</t>
        </is>
      </c>
      <c r="B183" t="inlineStr">
        <is>
          <t>Textiles Supplier 012</t>
        </is>
      </c>
      <c r="C183" t="inlineStr">
        <is>
          <t>Textiles</t>
        </is>
      </c>
      <c r="D183" t="n">
        <v>2024</v>
      </c>
      <c r="E183" t="n">
        <v>2015</v>
      </c>
      <c r="F183" t="n">
        <v>2030</v>
      </c>
      <c r="G183" t="n">
        <v>5818.5637</v>
      </c>
      <c r="H183" t="n">
        <v>1387.6296</v>
      </c>
      <c r="I183" t="n">
        <v>777.2957</v>
      </c>
      <c r="J183" t="n">
        <v>3532.3272</v>
      </c>
      <c r="K183" t="n">
        <v>28117792.16</v>
      </c>
      <c r="L183" t="n">
        <v>188548606.72</v>
      </c>
      <c r="M183" t="n">
        <v>5818.5637</v>
      </c>
      <c r="N183" t="inlineStr">
        <is>
          <t>Provided Total Emissions</t>
        </is>
      </c>
      <c r="O183" t="b">
        <v>1</v>
      </c>
      <c r="P183" t="n">
        <v>0.077768</v>
      </c>
      <c r="Q183" t="n">
        <v>0.06367299999999999</v>
      </c>
      <c r="R183" t="n">
        <v>8216.299999999999</v>
      </c>
      <c r="S183" t="n">
        <v>32699.9849</v>
      </c>
      <c r="T183" t="n">
        <v>2397.7363</v>
      </c>
      <c r="U183" t="n">
        <v>26881.4212</v>
      </c>
      <c r="V183" t="n">
        <v>0.412084</v>
      </c>
      <c r="W183" t="n">
        <v>4.619941</v>
      </c>
      <c r="X183" t="inlineStr">
        <is>
          <t>High</t>
        </is>
      </c>
      <c r="Y183" t="inlineStr">
        <is>
          <t>None</t>
        </is>
      </c>
      <c r="Z183" t="inlineStr">
        <is>
          <t>Valid</t>
        </is>
      </c>
      <c r="AA183" t="n">
        <v>2030</v>
      </c>
      <c r="AB183" t="inlineStr">
        <is>
          <t>Industry Haircut Pathway</t>
        </is>
      </c>
      <c r="AC183" t="n">
        <v>2965.4297</v>
      </c>
      <c r="AD183" t="n">
        <v>2025.0919</v>
      </c>
      <c r="AE183" t="n">
        <v>2025.0919</v>
      </c>
      <c r="AF183" t="n">
        <v>2025.0919</v>
      </c>
      <c r="AG183" t="n">
        <v>940.3378</v>
      </c>
      <c r="AH183" t="n">
        <v>7.202000000000001e-05</v>
      </c>
      <c r="AI183" t="n">
        <v>0.3171</v>
      </c>
      <c r="AJ183" t="n">
        <v>0</v>
      </c>
      <c r="AK183" t="n">
        <v>62.6892</v>
      </c>
      <c r="AL183" t="n">
        <v>-940.338</v>
      </c>
      <c r="AM183" t="n">
        <v>13090.8894</v>
      </c>
      <c r="AN183" t="n">
        <v>0.95</v>
      </c>
      <c r="AO183" t="inlineStr">
        <is>
          <t>Low</t>
        </is>
      </c>
      <c r="AP183" t="inlineStr">
        <is>
          <t>On Track</t>
        </is>
      </c>
    </row>
    <row r="184">
      <c r="A184" t="inlineStr">
        <is>
          <t>SUP-0012</t>
        </is>
      </c>
      <c r="B184" t="inlineStr">
        <is>
          <t>Textiles Supplier 012</t>
        </is>
      </c>
      <c r="C184" t="inlineStr">
        <is>
          <t>Textiles</t>
        </is>
      </c>
      <c r="D184" t="n">
        <v>2024</v>
      </c>
      <c r="E184" t="n">
        <v>2015</v>
      </c>
      <c r="F184" t="n">
        <v>2030</v>
      </c>
      <c r="G184" t="n">
        <v>5818.5637</v>
      </c>
      <c r="H184" t="n">
        <v>1387.6296</v>
      </c>
      <c r="I184" t="n">
        <v>777.2957</v>
      </c>
      <c r="J184" t="n">
        <v>3532.3272</v>
      </c>
      <c r="K184" t="n">
        <v>28117792.16</v>
      </c>
      <c r="L184" t="n">
        <v>188548606.72</v>
      </c>
      <c r="M184" t="n">
        <v>5818.5637</v>
      </c>
      <c r="N184" t="inlineStr">
        <is>
          <t>Provided Total Emissions</t>
        </is>
      </c>
      <c r="O184" t="b">
        <v>1</v>
      </c>
      <c r="P184" t="n">
        <v>0.077768</v>
      </c>
      <c r="Q184" t="n">
        <v>0.06367299999999999</v>
      </c>
      <c r="R184" t="n">
        <v>8216.299999999999</v>
      </c>
      <c r="S184" t="n">
        <v>32699.9849</v>
      </c>
      <c r="T184" t="n">
        <v>2397.7363</v>
      </c>
      <c r="U184" t="n">
        <v>26881.4212</v>
      </c>
      <c r="V184" t="n">
        <v>0.412084</v>
      </c>
      <c r="W184" t="n">
        <v>4.619941</v>
      </c>
      <c r="X184" t="inlineStr">
        <is>
          <t>High</t>
        </is>
      </c>
      <c r="Y184" t="inlineStr">
        <is>
          <t>None</t>
        </is>
      </c>
      <c r="Z184" t="inlineStr">
        <is>
          <t>Valid</t>
        </is>
      </c>
      <c r="AA184" t="n">
        <v>2031</v>
      </c>
      <c r="AB184" t="inlineStr">
        <is>
          <t>Industry Haircut Pathway</t>
        </is>
      </c>
      <c r="AC184" t="n">
        <v>2965.4297</v>
      </c>
      <c r="AD184" t="n">
        <v>2025.0919</v>
      </c>
      <c r="AE184" t="n">
        <v>2025.0919</v>
      </c>
      <c r="AF184" t="n">
        <v>2025.0919</v>
      </c>
      <c r="AG184" t="n">
        <v>940.3378</v>
      </c>
      <c r="AH184" t="n">
        <v>7.202000000000001e-05</v>
      </c>
      <c r="AI184" t="n">
        <v>0.3171</v>
      </c>
      <c r="AJ184" t="n">
        <v>0</v>
      </c>
      <c r="AK184" t="n">
        <v>62.6892</v>
      </c>
      <c r="AL184" t="n">
        <v>-2965.4299</v>
      </c>
      <c r="AM184" t="n">
        <v>15115.9813</v>
      </c>
      <c r="AN184" t="n">
        <v>0.95</v>
      </c>
      <c r="AO184" t="inlineStr">
        <is>
          <t>Low</t>
        </is>
      </c>
      <c r="AP184" t="inlineStr">
        <is>
          <t>On Track</t>
        </is>
      </c>
    </row>
    <row r="185">
      <c r="A185" t="inlineStr">
        <is>
          <t>SUP-0012</t>
        </is>
      </c>
      <c r="B185" t="inlineStr">
        <is>
          <t>Textiles Supplier 012</t>
        </is>
      </c>
      <c r="C185" t="inlineStr">
        <is>
          <t>Textiles</t>
        </is>
      </c>
      <c r="D185" t="n">
        <v>2024</v>
      </c>
      <c r="E185" t="n">
        <v>2015</v>
      </c>
      <c r="F185" t="n">
        <v>2030</v>
      </c>
      <c r="G185" t="n">
        <v>5818.5637</v>
      </c>
      <c r="H185" t="n">
        <v>1387.6296</v>
      </c>
      <c r="I185" t="n">
        <v>777.2957</v>
      </c>
      <c r="J185" t="n">
        <v>3532.3272</v>
      </c>
      <c r="K185" t="n">
        <v>28117792.16</v>
      </c>
      <c r="L185" t="n">
        <v>188548606.72</v>
      </c>
      <c r="M185" t="n">
        <v>5818.5637</v>
      </c>
      <c r="N185" t="inlineStr">
        <is>
          <t>Provided Total Emissions</t>
        </is>
      </c>
      <c r="O185" t="b">
        <v>1</v>
      </c>
      <c r="P185" t="n">
        <v>0.077768</v>
      </c>
      <c r="Q185" t="n">
        <v>0.06367299999999999</v>
      </c>
      <c r="R185" t="n">
        <v>8216.299999999999</v>
      </c>
      <c r="S185" t="n">
        <v>32699.9849</v>
      </c>
      <c r="T185" t="n">
        <v>2397.7363</v>
      </c>
      <c r="U185" t="n">
        <v>26881.4212</v>
      </c>
      <c r="V185" t="n">
        <v>0.412084</v>
      </c>
      <c r="W185" t="n">
        <v>4.619941</v>
      </c>
      <c r="X185" t="inlineStr">
        <is>
          <t>High</t>
        </is>
      </c>
      <c r="Y185" t="inlineStr">
        <is>
          <t>None</t>
        </is>
      </c>
      <c r="Z185" t="inlineStr">
        <is>
          <t>Valid</t>
        </is>
      </c>
      <c r="AA185" t="n">
        <v>2032</v>
      </c>
      <c r="AB185" t="inlineStr">
        <is>
          <t>Industry Haircut Pathway</t>
        </is>
      </c>
      <c r="AC185" t="n">
        <v>2965.4297</v>
      </c>
      <c r="AD185" t="n">
        <v>2025.0919</v>
      </c>
      <c r="AE185" t="n">
        <v>2025.0919</v>
      </c>
      <c r="AF185" t="n">
        <v>2025.0919</v>
      </c>
      <c r="AG185" t="n">
        <v>940.3378</v>
      </c>
      <c r="AH185" t="n">
        <v>7.202000000000001e-05</v>
      </c>
      <c r="AI185" t="n">
        <v>0.3171</v>
      </c>
      <c r="AJ185" t="n">
        <v>0</v>
      </c>
      <c r="AK185" t="n">
        <v>62.6892</v>
      </c>
      <c r="AL185" t="n">
        <v>-4990.5218</v>
      </c>
      <c r="AM185" t="n">
        <v>17141.0732</v>
      </c>
      <c r="AN185" t="n">
        <v>0.95</v>
      </c>
      <c r="AO185" t="inlineStr">
        <is>
          <t>Low</t>
        </is>
      </c>
      <c r="AP185" t="inlineStr">
        <is>
          <t>On Track</t>
        </is>
      </c>
    </row>
    <row r="186">
      <c r="A186" t="inlineStr">
        <is>
          <t>SUP-0012</t>
        </is>
      </c>
      <c r="B186" t="inlineStr">
        <is>
          <t>Textiles Supplier 012</t>
        </is>
      </c>
      <c r="C186" t="inlineStr">
        <is>
          <t>Textiles</t>
        </is>
      </c>
      <c r="D186" t="n">
        <v>2024</v>
      </c>
      <c r="E186" t="n">
        <v>2015</v>
      </c>
      <c r="F186" t="n">
        <v>2030</v>
      </c>
      <c r="G186" t="n">
        <v>5818.5637</v>
      </c>
      <c r="H186" t="n">
        <v>1387.6296</v>
      </c>
      <c r="I186" t="n">
        <v>777.2957</v>
      </c>
      <c r="J186" t="n">
        <v>3532.3272</v>
      </c>
      <c r="K186" t="n">
        <v>28117792.16</v>
      </c>
      <c r="L186" t="n">
        <v>188548606.72</v>
      </c>
      <c r="M186" t="n">
        <v>5818.5637</v>
      </c>
      <c r="N186" t="inlineStr">
        <is>
          <t>Provided Total Emissions</t>
        </is>
      </c>
      <c r="O186" t="b">
        <v>1</v>
      </c>
      <c r="P186" t="n">
        <v>0.077768</v>
      </c>
      <c r="Q186" t="n">
        <v>0.06367299999999999</v>
      </c>
      <c r="R186" t="n">
        <v>8216.299999999999</v>
      </c>
      <c r="S186" t="n">
        <v>32699.9849</v>
      </c>
      <c r="T186" t="n">
        <v>2397.7363</v>
      </c>
      <c r="U186" t="n">
        <v>26881.4212</v>
      </c>
      <c r="V186" t="n">
        <v>0.412084</v>
      </c>
      <c r="W186" t="n">
        <v>4.619941</v>
      </c>
      <c r="X186" t="inlineStr">
        <is>
          <t>High</t>
        </is>
      </c>
      <c r="Y186" t="inlineStr">
        <is>
          <t>None</t>
        </is>
      </c>
      <c r="Z186" t="inlineStr">
        <is>
          <t>Valid</t>
        </is>
      </c>
      <c r="AA186" t="n">
        <v>2033</v>
      </c>
      <c r="AB186" t="inlineStr">
        <is>
          <t>Industry Haircut Pathway</t>
        </is>
      </c>
      <c r="AC186" t="n">
        <v>2965.4297</v>
      </c>
      <c r="AD186" t="n">
        <v>2025.0919</v>
      </c>
      <c r="AE186" t="n">
        <v>2025.0919</v>
      </c>
      <c r="AF186" t="n">
        <v>2025.0919</v>
      </c>
      <c r="AG186" t="n">
        <v>940.3378</v>
      </c>
      <c r="AH186" t="n">
        <v>7.202000000000001e-05</v>
      </c>
      <c r="AI186" t="n">
        <v>0.3171</v>
      </c>
      <c r="AJ186" t="n">
        <v>0</v>
      </c>
      <c r="AK186" t="n">
        <v>62.6892</v>
      </c>
      <c r="AL186" t="n">
        <v>-7015.6137</v>
      </c>
      <c r="AM186" t="n">
        <v>19166.1651</v>
      </c>
      <c r="AN186" t="n">
        <v>0.95</v>
      </c>
      <c r="AO186" t="inlineStr">
        <is>
          <t>Low</t>
        </is>
      </c>
      <c r="AP186" t="inlineStr">
        <is>
          <t>On Track</t>
        </is>
      </c>
    </row>
    <row r="187">
      <c r="A187" t="inlineStr">
        <is>
          <t>SUP-0012</t>
        </is>
      </c>
      <c r="B187" t="inlineStr">
        <is>
          <t>Textiles Supplier 012</t>
        </is>
      </c>
      <c r="C187" t="inlineStr">
        <is>
          <t>Textiles</t>
        </is>
      </c>
      <c r="D187" t="n">
        <v>2024</v>
      </c>
      <c r="E187" t="n">
        <v>2015</v>
      </c>
      <c r="F187" t="n">
        <v>2030</v>
      </c>
      <c r="G187" t="n">
        <v>5818.5637</v>
      </c>
      <c r="H187" t="n">
        <v>1387.6296</v>
      </c>
      <c r="I187" t="n">
        <v>777.2957</v>
      </c>
      <c r="J187" t="n">
        <v>3532.3272</v>
      </c>
      <c r="K187" t="n">
        <v>28117792.16</v>
      </c>
      <c r="L187" t="n">
        <v>188548606.72</v>
      </c>
      <c r="M187" t="n">
        <v>5818.5637</v>
      </c>
      <c r="N187" t="inlineStr">
        <is>
          <t>Provided Total Emissions</t>
        </is>
      </c>
      <c r="O187" t="b">
        <v>1</v>
      </c>
      <c r="P187" t="n">
        <v>0.077768</v>
      </c>
      <c r="Q187" t="n">
        <v>0.06367299999999999</v>
      </c>
      <c r="R187" t="n">
        <v>8216.299999999999</v>
      </c>
      <c r="S187" t="n">
        <v>32699.9849</v>
      </c>
      <c r="T187" t="n">
        <v>2397.7363</v>
      </c>
      <c r="U187" t="n">
        <v>26881.4212</v>
      </c>
      <c r="V187" t="n">
        <v>0.412084</v>
      </c>
      <c r="W187" t="n">
        <v>4.619941</v>
      </c>
      <c r="X187" t="inlineStr">
        <is>
          <t>High</t>
        </is>
      </c>
      <c r="Y187" t="inlineStr">
        <is>
          <t>None</t>
        </is>
      </c>
      <c r="Z187" t="inlineStr">
        <is>
          <t>Valid</t>
        </is>
      </c>
      <c r="AA187" t="n">
        <v>2034</v>
      </c>
      <c r="AB187" t="inlineStr">
        <is>
          <t>Industry Haircut Pathway</t>
        </is>
      </c>
      <c r="AC187" t="n">
        <v>2965.4297</v>
      </c>
      <c r="AD187" t="n">
        <v>2025.0919</v>
      </c>
      <c r="AE187" t="n">
        <v>2025.0919</v>
      </c>
      <c r="AF187" t="n">
        <v>2025.0919</v>
      </c>
      <c r="AG187" t="n">
        <v>940.3378</v>
      </c>
      <c r="AH187" t="n">
        <v>7.202000000000001e-05</v>
      </c>
      <c r="AI187" t="n">
        <v>0.3171</v>
      </c>
      <c r="AJ187" t="n">
        <v>0</v>
      </c>
      <c r="AK187" t="n">
        <v>62.6892</v>
      </c>
      <c r="AL187" t="n">
        <v>-9040.705599999999</v>
      </c>
      <c r="AM187" t="n">
        <v>21191.257</v>
      </c>
      <c r="AN187" t="n">
        <v>0.95</v>
      </c>
      <c r="AO187" t="inlineStr">
        <is>
          <t>Low</t>
        </is>
      </c>
      <c r="AP187" t="inlineStr">
        <is>
          <t>On Track</t>
        </is>
      </c>
    </row>
    <row r="188">
      <c r="A188" t="inlineStr">
        <is>
          <t>SUP-0012</t>
        </is>
      </c>
      <c r="B188" t="inlineStr">
        <is>
          <t>Textiles Supplier 012</t>
        </is>
      </c>
      <c r="C188" t="inlineStr">
        <is>
          <t>Textiles</t>
        </is>
      </c>
      <c r="D188" t="n">
        <v>2024</v>
      </c>
      <c r="E188" t="n">
        <v>2015</v>
      </c>
      <c r="F188" t="n">
        <v>2030</v>
      </c>
      <c r="G188" t="n">
        <v>5818.5637</v>
      </c>
      <c r="H188" t="n">
        <v>1387.6296</v>
      </c>
      <c r="I188" t="n">
        <v>777.2957</v>
      </c>
      <c r="J188" t="n">
        <v>3532.3272</v>
      </c>
      <c r="K188" t="n">
        <v>28117792.16</v>
      </c>
      <c r="L188" t="n">
        <v>188548606.72</v>
      </c>
      <c r="M188" t="n">
        <v>5818.5637</v>
      </c>
      <c r="N188" t="inlineStr">
        <is>
          <t>Provided Total Emissions</t>
        </is>
      </c>
      <c r="O188" t="b">
        <v>1</v>
      </c>
      <c r="P188" t="n">
        <v>0.077768</v>
      </c>
      <c r="Q188" t="n">
        <v>0.06367299999999999</v>
      </c>
      <c r="R188" t="n">
        <v>8216.299999999999</v>
      </c>
      <c r="S188" t="n">
        <v>32699.9849</v>
      </c>
      <c r="T188" t="n">
        <v>2397.7363</v>
      </c>
      <c r="U188" t="n">
        <v>26881.4212</v>
      </c>
      <c r="V188" t="n">
        <v>0.412084</v>
      </c>
      <c r="W188" t="n">
        <v>4.619941</v>
      </c>
      <c r="X188" t="inlineStr">
        <is>
          <t>High</t>
        </is>
      </c>
      <c r="Y188" t="inlineStr">
        <is>
          <t>None</t>
        </is>
      </c>
      <c r="Z188" t="inlineStr">
        <is>
          <t>Valid</t>
        </is>
      </c>
      <c r="AA188" t="n">
        <v>2035</v>
      </c>
      <c r="AB188" t="inlineStr">
        <is>
          <t>Industry Haircut Pathway</t>
        </is>
      </c>
      <c r="AC188" t="n">
        <v>2965.4297</v>
      </c>
      <c r="AD188" t="n">
        <v>2025.0919</v>
      </c>
      <c r="AE188" t="n">
        <v>2025.0919</v>
      </c>
      <c r="AF188" t="n">
        <v>2025.0919</v>
      </c>
      <c r="AG188" t="n">
        <v>940.3378</v>
      </c>
      <c r="AH188" t="n">
        <v>7.202000000000001e-05</v>
      </c>
      <c r="AI188" t="n">
        <v>0.3171</v>
      </c>
      <c r="AJ188" t="n">
        <v>0</v>
      </c>
      <c r="AK188" t="n">
        <v>62.6892</v>
      </c>
      <c r="AL188" t="n">
        <v>-11065.7975</v>
      </c>
      <c r="AM188" t="n">
        <v>23216.3489</v>
      </c>
      <c r="AN188" t="n">
        <v>0.95</v>
      </c>
      <c r="AO188" t="inlineStr">
        <is>
          <t>Low</t>
        </is>
      </c>
      <c r="AP188" t="inlineStr">
        <is>
          <t>On Track</t>
        </is>
      </c>
    </row>
    <row r="189">
      <c r="A189" t="inlineStr">
        <is>
          <t>SUP-0012</t>
        </is>
      </c>
      <c r="B189" t="inlineStr">
        <is>
          <t>Textiles Supplier 012</t>
        </is>
      </c>
      <c r="C189" t="inlineStr">
        <is>
          <t>Textiles</t>
        </is>
      </c>
      <c r="D189" t="n">
        <v>2024</v>
      </c>
      <c r="E189" t="n">
        <v>2015</v>
      </c>
      <c r="F189" t="n">
        <v>2030</v>
      </c>
      <c r="G189" t="n">
        <v>5818.5637</v>
      </c>
      <c r="H189" t="n">
        <v>1387.6296</v>
      </c>
      <c r="I189" t="n">
        <v>777.2957</v>
      </c>
      <c r="J189" t="n">
        <v>3532.3272</v>
      </c>
      <c r="K189" t="n">
        <v>28117792.16</v>
      </c>
      <c r="L189" t="n">
        <v>188548606.72</v>
      </c>
      <c r="M189" t="n">
        <v>5818.5637</v>
      </c>
      <c r="N189" t="inlineStr">
        <is>
          <t>Provided Total Emissions</t>
        </is>
      </c>
      <c r="O189" t="b">
        <v>1</v>
      </c>
      <c r="P189" t="n">
        <v>0.077768</v>
      </c>
      <c r="Q189" t="n">
        <v>0.06367299999999999</v>
      </c>
      <c r="R189" t="n">
        <v>8216.299999999999</v>
      </c>
      <c r="S189" t="n">
        <v>32699.9849</v>
      </c>
      <c r="T189" t="n">
        <v>2397.7363</v>
      </c>
      <c r="U189" t="n">
        <v>26881.4212</v>
      </c>
      <c r="V189" t="n">
        <v>0.412084</v>
      </c>
      <c r="W189" t="n">
        <v>4.619941</v>
      </c>
      <c r="X189" t="inlineStr">
        <is>
          <t>High</t>
        </is>
      </c>
      <c r="Y189" t="inlineStr">
        <is>
          <t>None</t>
        </is>
      </c>
      <c r="Z189" t="inlineStr">
        <is>
          <t>Valid</t>
        </is>
      </c>
      <c r="AA189" t="n">
        <v>2036</v>
      </c>
      <c r="AB189" t="inlineStr">
        <is>
          <t>Industry Haircut Pathway</t>
        </is>
      </c>
      <c r="AC189" t="n">
        <v>2965.4297</v>
      </c>
      <c r="AD189" t="n">
        <v>2025.0919</v>
      </c>
      <c r="AE189" t="n">
        <v>2025.0919</v>
      </c>
      <c r="AF189" t="n">
        <v>2025.0919</v>
      </c>
      <c r="AG189" t="n">
        <v>940.3378</v>
      </c>
      <c r="AH189" t="n">
        <v>7.202000000000001e-05</v>
      </c>
      <c r="AI189" t="n">
        <v>0.3171</v>
      </c>
      <c r="AJ189" t="n">
        <v>0</v>
      </c>
      <c r="AK189" t="n">
        <v>62.6892</v>
      </c>
      <c r="AL189" t="n">
        <v>-13090.8894</v>
      </c>
      <c r="AM189" t="n">
        <v>25241.4408</v>
      </c>
      <c r="AN189" t="n">
        <v>0.95</v>
      </c>
      <c r="AO189" t="inlineStr">
        <is>
          <t>Low</t>
        </is>
      </c>
      <c r="AP189" t="inlineStr">
        <is>
          <t>On Track</t>
        </is>
      </c>
    </row>
    <row r="190">
      <c r="A190" t="inlineStr">
        <is>
          <t>SUP-0012</t>
        </is>
      </c>
      <c r="B190" t="inlineStr">
        <is>
          <t>Textiles Supplier 012</t>
        </is>
      </c>
      <c r="C190" t="inlineStr">
        <is>
          <t>Textiles</t>
        </is>
      </c>
      <c r="D190" t="n">
        <v>2024</v>
      </c>
      <c r="E190" t="n">
        <v>2015</v>
      </c>
      <c r="F190" t="n">
        <v>2030</v>
      </c>
      <c r="G190" t="n">
        <v>5818.5637</v>
      </c>
      <c r="H190" t="n">
        <v>1387.6296</v>
      </c>
      <c r="I190" t="n">
        <v>777.2957</v>
      </c>
      <c r="J190" t="n">
        <v>3532.3272</v>
      </c>
      <c r="K190" t="n">
        <v>28117792.16</v>
      </c>
      <c r="L190" t="n">
        <v>188548606.72</v>
      </c>
      <c r="M190" t="n">
        <v>5818.5637</v>
      </c>
      <c r="N190" t="inlineStr">
        <is>
          <t>Provided Total Emissions</t>
        </is>
      </c>
      <c r="O190" t="b">
        <v>1</v>
      </c>
      <c r="P190" t="n">
        <v>0.077768</v>
      </c>
      <c r="Q190" t="n">
        <v>0.06367299999999999</v>
      </c>
      <c r="R190" t="n">
        <v>8216.299999999999</v>
      </c>
      <c r="S190" t="n">
        <v>32699.9849</v>
      </c>
      <c r="T190" t="n">
        <v>2397.7363</v>
      </c>
      <c r="U190" t="n">
        <v>26881.4212</v>
      </c>
      <c r="V190" t="n">
        <v>0.412084</v>
      </c>
      <c r="W190" t="n">
        <v>4.619941</v>
      </c>
      <c r="X190" t="inlineStr">
        <is>
          <t>High</t>
        </is>
      </c>
      <c r="Y190" t="inlineStr">
        <is>
          <t>None</t>
        </is>
      </c>
      <c r="Z190" t="inlineStr">
        <is>
          <t>Valid</t>
        </is>
      </c>
      <c r="AA190" t="n">
        <v>2037</v>
      </c>
      <c r="AB190" t="inlineStr">
        <is>
          <t>Industry Haircut Pathway</t>
        </is>
      </c>
      <c r="AC190" t="n">
        <v>2965.4297</v>
      </c>
      <c r="AD190" t="n">
        <v>2025.0919</v>
      </c>
      <c r="AE190" t="n">
        <v>2025.0919</v>
      </c>
      <c r="AF190" t="n">
        <v>2025.0919</v>
      </c>
      <c r="AG190" t="n">
        <v>940.3378</v>
      </c>
      <c r="AH190" t="n">
        <v>7.202000000000001e-05</v>
      </c>
      <c r="AI190" t="n">
        <v>0.3171</v>
      </c>
      <c r="AJ190" t="n">
        <v>0</v>
      </c>
      <c r="AK190" t="n">
        <v>62.6892</v>
      </c>
      <c r="AL190" t="n">
        <v>-15115.9813</v>
      </c>
      <c r="AM190" t="n">
        <v>27266.5327</v>
      </c>
      <c r="AN190" t="n">
        <v>0.95</v>
      </c>
      <c r="AO190" t="inlineStr">
        <is>
          <t>Low</t>
        </is>
      </c>
      <c r="AP190" t="inlineStr">
        <is>
          <t>On Track</t>
        </is>
      </c>
    </row>
    <row r="191">
      <c r="A191" t="inlineStr">
        <is>
          <t>SUP-0012</t>
        </is>
      </c>
      <c r="B191" t="inlineStr">
        <is>
          <t>Textiles Supplier 012</t>
        </is>
      </c>
      <c r="C191" t="inlineStr">
        <is>
          <t>Textiles</t>
        </is>
      </c>
      <c r="D191" t="n">
        <v>2024</v>
      </c>
      <c r="E191" t="n">
        <v>2015</v>
      </c>
      <c r="F191" t="n">
        <v>2030</v>
      </c>
      <c r="G191" t="n">
        <v>5818.5637</v>
      </c>
      <c r="H191" t="n">
        <v>1387.6296</v>
      </c>
      <c r="I191" t="n">
        <v>777.2957</v>
      </c>
      <c r="J191" t="n">
        <v>3532.3272</v>
      </c>
      <c r="K191" t="n">
        <v>28117792.16</v>
      </c>
      <c r="L191" t="n">
        <v>188548606.72</v>
      </c>
      <c r="M191" t="n">
        <v>5818.5637</v>
      </c>
      <c r="N191" t="inlineStr">
        <is>
          <t>Provided Total Emissions</t>
        </is>
      </c>
      <c r="O191" t="b">
        <v>1</v>
      </c>
      <c r="P191" t="n">
        <v>0.077768</v>
      </c>
      <c r="Q191" t="n">
        <v>0.06367299999999999</v>
      </c>
      <c r="R191" t="n">
        <v>8216.299999999999</v>
      </c>
      <c r="S191" t="n">
        <v>32699.9849</v>
      </c>
      <c r="T191" t="n">
        <v>2397.7363</v>
      </c>
      <c r="U191" t="n">
        <v>26881.4212</v>
      </c>
      <c r="V191" t="n">
        <v>0.412084</v>
      </c>
      <c r="W191" t="n">
        <v>4.619941</v>
      </c>
      <c r="X191" t="inlineStr">
        <is>
          <t>High</t>
        </is>
      </c>
      <c r="Y191" t="inlineStr">
        <is>
          <t>None</t>
        </is>
      </c>
      <c r="Z191" t="inlineStr">
        <is>
          <t>Valid</t>
        </is>
      </c>
      <c r="AA191" t="n">
        <v>2038</v>
      </c>
      <c r="AB191" t="inlineStr">
        <is>
          <t>Industry Haircut Pathway</t>
        </is>
      </c>
      <c r="AC191" t="n">
        <v>2965.4297</v>
      </c>
      <c r="AD191" t="n">
        <v>2025.0919</v>
      </c>
      <c r="AE191" t="n">
        <v>2025.0919</v>
      </c>
      <c r="AF191" t="n">
        <v>2025.0919</v>
      </c>
      <c r="AG191" t="n">
        <v>940.3378</v>
      </c>
      <c r="AH191" t="n">
        <v>7.202000000000001e-05</v>
      </c>
      <c r="AI191" t="n">
        <v>0.3171</v>
      </c>
      <c r="AJ191" t="n">
        <v>0</v>
      </c>
      <c r="AK191" t="n">
        <v>62.6892</v>
      </c>
      <c r="AL191" t="n">
        <v>-17141.0732</v>
      </c>
      <c r="AM191" t="n">
        <v>29291.6246</v>
      </c>
      <c r="AN191" t="n">
        <v>0.95</v>
      </c>
      <c r="AO191" t="inlineStr">
        <is>
          <t>Low</t>
        </is>
      </c>
      <c r="AP191" t="inlineStr">
        <is>
          <t>On Track</t>
        </is>
      </c>
    </row>
    <row r="192">
      <c r="A192" t="inlineStr">
        <is>
          <t>SUP-0012</t>
        </is>
      </c>
      <c r="B192" t="inlineStr">
        <is>
          <t>Textiles Supplier 012</t>
        </is>
      </c>
      <c r="C192" t="inlineStr">
        <is>
          <t>Textiles</t>
        </is>
      </c>
      <c r="D192" t="n">
        <v>2024</v>
      </c>
      <c r="E192" t="n">
        <v>2015</v>
      </c>
      <c r="F192" t="n">
        <v>2030</v>
      </c>
      <c r="G192" t="n">
        <v>5818.5637</v>
      </c>
      <c r="H192" t="n">
        <v>1387.6296</v>
      </c>
      <c r="I192" t="n">
        <v>777.2957</v>
      </c>
      <c r="J192" t="n">
        <v>3532.3272</v>
      </c>
      <c r="K192" t="n">
        <v>28117792.16</v>
      </c>
      <c r="L192" t="n">
        <v>188548606.72</v>
      </c>
      <c r="M192" t="n">
        <v>5818.5637</v>
      </c>
      <c r="N192" t="inlineStr">
        <is>
          <t>Provided Total Emissions</t>
        </is>
      </c>
      <c r="O192" t="b">
        <v>1</v>
      </c>
      <c r="P192" t="n">
        <v>0.077768</v>
      </c>
      <c r="Q192" t="n">
        <v>0.06367299999999999</v>
      </c>
      <c r="R192" t="n">
        <v>8216.299999999999</v>
      </c>
      <c r="S192" t="n">
        <v>32699.9849</v>
      </c>
      <c r="T192" t="n">
        <v>2397.7363</v>
      </c>
      <c r="U192" t="n">
        <v>26881.4212</v>
      </c>
      <c r="V192" t="n">
        <v>0.412084</v>
      </c>
      <c r="W192" t="n">
        <v>4.619941</v>
      </c>
      <c r="X192" t="inlineStr">
        <is>
          <t>High</t>
        </is>
      </c>
      <c r="Y192" t="inlineStr">
        <is>
          <t>None</t>
        </is>
      </c>
      <c r="Z192" t="inlineStr">
        <is>
          <t>Valid</t>
        </is>
      </c>
      <c r="AA192" t="n">
        <v>2039</v>
      </c>
      <c r="AB192" t="inlineStr">
        <is>
          <t>Industry Haircut Pathway</t>
        </is>
      </c>
      <c r="AC192" t="n">
        <v>2965.4297</v>
      </c>
      <c r="AD192" t="n">
        <v>2025.0919</v>
      </c>
      <c r="AE192" t="n">
        <v>2025.0919</v>
      </c>
      <c r="AF192" t="n">
        <v>2025.0919</v>
      </c>
      <c r="AG192" t="n">
        <v>940.3378</v>
      </c>
      <c r="AH192" t="n">
        <v>7.202000000000001e-05</v>
      </c>
      <c r="AI192" t="n">
        <v>0.3171</v>
      </c>
      <c r="AJ192" t="n">
        <v>0</v>
      </c>
      <c r="AK192" t="n">
        <v>62.6892</v>
      </c>
      <c r="AL192" t="n">
        <v>-19166.1651</v>
      </c>
      <c r="AM192" t="n">
        <v>31316.7165</v>
      </c>
      <c r="AN192" t="n">
        <v>0.95</v>
      </c>
      <c r="AO192" t="inlineStr">
        <is>
          <t>Low</t>
        </is>
      </c>
      <c r="AP192" t="inlineStr">
        <is>
          <t>On Track</t>
        </is>
      </c>
    </row>
    <row r="193">
      <c r="A193" t="inlineStr">
        <is>
          <t>SUP-0012</t>
        </is>
      </c>
      <c r="B193" t="inlineStr">
        <is>
          <t>Textiles Supplier 012</t>
        </is>
      </c>
      <c r="C193" t="inlineStr">
        <is>
          <t>Textiles</t>
        </is>
      </c>
      <c r="D193" t="n">
        <v>2024</v>
      </c>
      <c r="E193" t="n">
        <v>2015</v>
      </c>
      <c r="F193" t="n">
        <v>2030</v>
      </c>
      <c r="G193" t="n">
        <v>5818.5637</v>
      </c>
      <c r="H193" t="n">
        <v>1387.6296</v>
      </c>
      <c r="I193" t="n">
        <v>777.2957</v>
      </c>
      <c r="J193" t="n">
        <v>3532.3272</v>
      </c>
      <c r="K193" t="n">
        <v>28117792.16</v>
      </c>
      <c r="L193" t="n">
        <v>188548606.72</v>
      </c>
      <c r="M193" t="n">
        <v>5818.5637</v>
      </c>
      <c r="N193" t="inlineStr">
        <is>
          <t>Provided Total Emissions</t>
        </is>
      </c>
      <c r="O193" t="b">
        <v>1</v>
      </c>
      <c r="P193" t="n">
        <v>0.077768</v>
      </c>
      <c r="Q193" t="n">
        <v>0.06367299999999999</v>
      </c>
      <c r="R193" t="n">
        <v>8216.299999999999</v>
      </c>
      <c r="S193" t="n">
        <v>32699.9849</v>
      </c>
      <c r="T193" t="n">
        <v>2397.7363</v>
      </c>
      <c r="U193" t="n">
        <v>26881.4212</v>
      </c>
      <c r="V193" t="n">
        <v>0.412084</v>
      </c>
      <c r="W193" t="n">
        <v>4.619941</v>
      </c>
      <c r="X193" t="inlineStr">
        <is>
          <t>High</t>
        </is>
      </c>
      <c r="Y193" t="inlineStr">
        <is>
          <t>None</t>
        </is>
      </c>
      <c r="Z193" t="inlineStr">
        <is>
          <t>Valid</t>
        </is>
      </c>
      <c r="AA193" t="n">
        <v>2040</v>
      </c>
      <c r="AB193" t="inlineStr">
        <is>
          <t>Industry Haircut Pathway</t>
        </is>
      </c>
      <c r="AC193" t="n">
        <v>2965.4297</v>
      </c>
      <c r="AD193" t="n">
        <v>2025.0919</v>
      </c>
      <c r="AE193" t="n">
        <v>2025.0919</v>
      </c>
      <c r="AF193" t="n">
        <v>2025.0919</v>
      </c>
      <c r="AG193" t="n">
        <v>940.3378</v>
      </c>
      <c r="AH193" t="n">
        <v>7.202000000000001e-05</v>
      </c>
      <c r="AI193" t="n">
        <v>0.3171</v>
      </c>
      <c r="AJ193" t="n">
        <v>0</v>
      </c>
      <c r="AK193" t="n">
        <v>62.6892</v>
      </c>
      <c r="AL193" t="n">
        <v>-21191.257</v>
      </c>
      <c r="AM193" t="n">
        <v>33341.8084</v>
      </c>
      <c r="AN193" t="n">
        <v>0.95</v>
      </c>
      <c r="AO193" t="inlineStr">
        <is>
          <t>Low</t>
        </is>
      </c>
      <c r="AP193" t="inlineStr">
        <is>
          <t>On Track</t>
        </is>
      </c>
    </row>
    <row r="194">
      <c r="A194" t="inlineStr">
        <is>
          <t>SUP-0013</t>
        </is>
      </c>
      <c r="B194" t="inlineStr">
        <is>
          <t>Electronics Supplier 013</t>
        </is>
      </c>
      <c r="C194" t="inlineStr">
        <is>
          <t>Electronics</t>
        </is>
      </c>
      <c r="D194" t="n">
        <v>2024</v>
      </c>
      <c r="E194" t="n">
        <v>2015</v>
      </c>
      <c r="F194" t="n">
        <v>2040</v>
      </c>
      <c r="G194" t="n">
        <v>6510.22</v>
      </c>
      <c r="H194" t="n">
        <v>631.1288</v>
      </c>
      <c r="I194" t="n">
        <v>916.1944</v>
      </c>
      <c r="J194" t="n">
        <v>4871.3148</v>
      </c>
      <c r="K194" t="n">
        <v>7043670.44</v>
      </c>
      <c r="L194" t="n">
        <v>17996629.42</v>
      </c>
      <c r="M194" t="n">
        <v>6510.22</v>
      </c>
      <c r="N194" t="inlineStr">
        <is>
          <t>Provided Total Emissions</t>
        </is>
      </c>
      <c r="O194" t="b">
        <v>1</v>
      </c>
      <c r="P194" t="n">
        <v>-0.034945</v>
      </c>
      <c r="Q194" t="n">
        <v>-0.007946999999999999</v>
      </c>
      <c r="R194" t="n">
        <v>6064.9524</v>
      </c>
      <c r="S194" t="n">
        <v>2509.9899</v>
      </c>
      <c r="T194" t="n">
        <v>-445.2676</v>
      </c>
      <c r="U194" t="n">
        <v>-4000.2301</v>
      </c>
      <c r="V194" t="n">
        <v>-0.068395</v>
      </c>
      <c r="W194" t="n">
        <v>-0.6144539999999999</v>
      </c>
      <c r="X194" t="inlineStr">
        <is>
          <t>High</t>
        </is>
      </c>
      <c r="Y194" t="inlineStr">
        <is>
          <t>None</t>
        </is>
      </c>
      <c r="Z194" t="inlineStr">
        <is>
          <t>Valid</t>
        </is>
      </c>
      <c r="AA194" t="n">
        <v>2025</v>
      </c>
      <c r="AB194" t="inlineStr">
        <is>
          <t>Industry Haircut Pathway</t>
        </is>
      </c>
      <c r="AC194" t="n">
        <v>8966.5666</v>
      </c>
      <c r="AD194" t="n">
        <v>5896.4142</v>
      </c>
      <c r="AE194" t="n">
        <v>7738.5056</v>
      </c>
      <c r="AF194" t="n">
        <v>7738.5056</v>
      </c>
      <c r="AG194" t="n">
        <v>1228.061</v>
      </c>
      <c r="AH194" t="n">
        <v>0.00109865</v>
      </c>
      <c r="AI194" t="n">
        <v>0.13696</v>
      </c>
      <c r="AJ194" t="n">
        <v>1842.0914</v>
      </c>
      <c r="AK194" t="n">
        <v>122.8061</v>
      </c>
      <c r="AL194" t="n">
        <v>86604.1216</v>
      </c>
      <c r="AM194" t="n">
        <v>7738.5056</v>
      </c>
      <c r="AN194" t="n">
        <v>0.95</v>
      </c>
      <c r="AO194" t="inlineStr">
        <is>
          <t>High</t>
        </is>
      </c>
      <c r="AP194" t="inlineStr">
        <is>
          <t>On Track to Glide Path</t>
        </is>
      </c>
    </row>
    <row r="195">
      <c r="A195" t="inlineStr">
        <is>
          <t>SUP-0013</t>
        </is>
      </c>
      <c r="B195" t="inlineStr">
        <is>
          <t>Electronics Supplier 013</t>
        </is>
      </c>
      <c r="C195" t="inlineStr">
        <is>
          <t>Electronics</t>
        </is>
      </c>
      <c r="D195" t="n">
        <v>2024</v>
      </c>
      <c r="E195" t="n">
        <v>2015</v>
      </c>
      <c r="F195" t="n">
        <v>2040</v>
      </c>
      <c r="G195" t="n">
        <v>6510.22</v>
      </c>
      <c r="H195" t="n">
        <v>631.1288</v>
      </c>
      <c r="I195" t="n">
        <v>916.1944</v>
      </c>
      <c r="J195" t="n">
        <v>4871.3148</v>
      </c>
      <c r="K195" t="n">
        <v>7043670.44</v>
      </c>
      <c r="L195" t="n">
        <v>17996629.42</v>
      </c>
      <c r="M195" t="n">
        <v>6510.22</v>
      </c>
      <c r="N195" t="inlineStr">
        <is>
          <t>Provided Total Emissions</t>
        </is>
      </c>
      <c r="O195" t="b">
        <v>1</v>
      </c>
      <c r="P195" t="n">
        <v>-0.034945</v>
      </c>
      <c r="Q195" t="n">
        <v>-0.007946999999999999</v>
      </c>
      <c r="R195" t="n">
        <v>6064.9524</v>
      </c>
      <c r="S195" t="n">
        <v>2509.9899</v>
      </c>
      <c r="T195" t="n">
        <v>-445.2676</v>
      </c>
      <c r="U195" t="n">
        <v>-4000.2301</v>
      </c>
      <c r="V195" t="n">
        <v>-0.068395</v>
      </c>
      <c r="W195" t="n">
        <v>-0.6144539999999999</v>
      </c>
      <c r="X195" t="inlineStr">
        <is>
          <t>High</t>
        </is>
      </c>
      <c r="Y195" t="inlineStr">
        <is>
          <t>None</t>
        </is>
      </c>
      <c r="Z195" t="inlineStr">
        <is>
          <t>Valid</t>
        </is>
      </c>
      <c r="AA195" t="n">
        <v>2026</v>
      </c>
      <c r="AB195" t="inlineStr">
        <is>
          <t>Industry Haircut Pathway</t>
        </is>
      </c>
      <c r="AC195" t="n">
        <v>8966.5666</v>
      </c>
      <c r="AD195" t="n">
        <v>5896.4142</v>
      </c>
      <c r="AE195" t="n">
        <v>7615.6995</v>
      </c>
      <c r="AF195" t="n">
        <v>7615.6995</v>
      </c>
      <c r="AG195" t="n">
        <v>1350.8671</v>
      </c>
      <c r="AH195" t="n">
        <v>0.00108121</v>
      </c>
      <c r="AI195" t="n">
        <v>0.150656</v>
      </c>
      <c r="AJ195" t="n">
        <v>1719.2853</v>
      </c>
      <c r="AK195" t="n">
        <v>122.8061</v>
      </c>
      <c r="AL195" t="n">
        <v>78988.4221</v>
      </c>
      <c r="AM195" t="n">
        <v>15354.2051</v>
      </c>
      <c r="AN195" t="n">
        <v>0.95</v>
      </c>
      <c r="AO195" t="inlineStr">
        <is>
          <t>High</t>
        </is>
      </c>
      <c r="AP195" t="inlineStr">
        <is>
          <t>On Track to Glide Path</t>
        </is>
      </c>
    </row>
    <row r="196">
      <c r="A196" t="inlineStr">
        <is>
          <t>SUP-0013</t>
        </is>
      </c>
      <c r="B196" t="inlineStr">
        <is>
          <t>Electronics Supplier 013</t>
        </is>
      </c>
      <c r="C196" t="inlineStr">
        <is>
          <t>Electronics</t>
        </is>
      </c>
      <c r="D196" t="n">
        <v>2024</v>
      </c>
      <c r="E196" t="n">
        <v>2015</v>
      </c>
      <c r="F196" t="n">
        <v>2040</v>
      </c>
      <c r="G196" t="n">
        <v>6510.22</v>
      </c>
      <c r="H196" t="n">
        <v>631.1288</v>
      </c>
      <c r="I196" t="n">
        <v>916.1944</v>
      </c>
      <c r="J196" t="n">
        <v>4871.3148</v>
      </c>
      <c r="K196" t="n">
        <v>7043670.44</v>
      </c>
      <c r="L196" t="n">
        <v>17996629.42</v>
      </c>
      <c r="M196" t="n">
        <v>6510.22</v>
      </c>
      <c r="N196" t="inlineStr">
        <is>
          <t>Provided Total Emissions</t>
        </is>
      </c>
      <c r="O196" t="b">
        <v>1</v>
      </c>
      <c r="P196" t="n">
        <v>-0.034945</v>
      </c>
      <c r="Q196" t="n">
        <v>-0.007946999999999999</v>
      </c>
      <c r="R196" t="n">
        <v>6064.9524</v>
      </c>
      <c r="S196" t="n">
        <v>2509.9899</v>
      </c>
      <c r="T196" t="n">
        <v>-445.2676</v>
      </c>
      <c r="U196" t="n">
        <v>-4000.2301</v>
      </c>
      <c r="V196" t="n">
        <v>-0.068395</v>
      </c>
      <c r="W196" t="n">
        <v>-0.6144539999999999</v>
      </c>
      <c r="X196" t="inlineStr">
        <is>
          <t>High</t>
        </is>
      </c>
      <c r="Y196" t="inlineStr">
        <is>
          <t>None</t>
        </is>
      </c>
      <c r="Z196" t="inlineStr">
        <is>
          <t>Valid</t>
        </is>
      </c>
      <c r="AA196" t="n">
        <v>2027</v>
      </c>
      <c r="AB196" t="inlineStr">
        <is>
          <t>Industry Haircut Pathway</t>
        </is>
      </c>
      <c r="AC196" t="n">
        <v>8966.5666</v>
      </c>
      <c r="AD196" t="n">
        <v>5896.4142</v>
      </c>
      <c r="AE196" t="n">
        <v>7492.8934</v>
      </c>
      <c r="AF196" t="n">
        <v>7492.8934</v>
      </c>
      <c r="AG196" t="n">
        <v>1473.6732</v>
      </c>
      <c r="AH196" t="n">
        <v>0.00106378</v>
      </c>
      <c r="AI196" t="n">
        <v>0.164352</v>
      </c>
      <c r="AJ196" t="n">
        <v>1596.4792</v>
      </c>
      <c r="AK196" t="n">
        <v>122.8061</v>
      </c>
      <c r="AL196" t="n">
        <v>71495.5287</v>
      </c>
      <c r="AM196" t="n">
        <v>22847.0985</v>
      </c>
      <c r="AN196" t="n">
        <v>0.95</v>
      </c>
      <c r="AO196" t="inlineStr">
        <is>
          <t>High</t>
        </is>
      </c>
      <c r="AP196" t="inlineStr">
        <is>
          <t>On Track to Glide Path</t>
        </is>
      </c>
    </row>
    <row r="197">
      <c r="A197" t="inlineStr">
        <is>
          <t>SUP-0013</t>
        </is>
      </c>
      <c r="B197" t="inlineStr">
        <is>
          <t>Electronics Supplier 013</t>
        </is>
      </c>
      <c r="C197" t="inlineStr">
        <is>
          <t>Electronics</t>
        </is>
      </c>
      <c r="D197" t="n">
        <v>2024</v>
      </c>
      <c r="E197" t="n">
        <v>2015</v>
      </c>
      <c r="F197" t="n">
        <v>2040</v>
      </c>
      <c r="G197" t="n">
        <v>6510.22</v>
      </c>
      <c r="H197" t="n">
        <v>631.1288</v>
      </c>
      <c r="I197" t="n">
        <v>916.1944</v>
      </c>
      <c r="J197" t="n">
        <v>4871.3148</v>
      </c>
      <c r="K197" t="n">
        <v>7043670.44</v>
      </c>
      <c r="L197" t="n">
        <v>17996629.42</v>
      </c>
      <c r="M197" t="n">
        <v>6510.22</v>
      </c>
      <c r="N197" t="inlineStr">
        <is>
          <t>Provided Total Emissions</t>
        </is>
      </c>
      <c r="O197" t="b">
        <v>1</v>
      </c>
      <c r="P197" t="n">
        <v>-0.034945</v>
      </c>
      <c r="Q197" t="n">
        <v>-0.007946999999999999</v>
      </c>
      <c r="R197" t="n">
        <v>6064.9524</v>
      </c>
      <c r="S197" t="n">
        <v>2509.9899</v>
      </c>
      <c r="T197" t="n">
        <v>-445.2676</v>
      </c>
      <c r="U197" t="n">
        <v>-4000.2301</v>
      </c>
      <c r="V197" t="n">
        <v>-0.068395</v>
      </c>
      <c r="W197" t="n">
        <v>-0.6144539999999999</v>
      </c>
      <c r="X197" t="inlineStr">
        <is>
          <t>High</t>
        </is>
      </c>
      <c r="Y197" t="inlineStr">
        <is>
          <t>None</t>
        </is>
      </c>
      <c r="Z197" t="inlineStr">
        <is>
          <t>Valid</t>
        </is>
      </c>
      <c r="AA197" t="n">
        <v>2028</v>
      </c>
      <c r="AB197" t="inlineStr">
        <is>
          <t>Industry Haircut Pathway</t>
        </is>
      </c>
      <c r="AC197" t="n">
        <v>8966.5666</v>
      </c>
      <c r="AD197" t="n">
        <v>5896.4142</v>
      </c>
      <c r="AE197" t="n">
        <v>7370.0874</v>
      </c>
      <c r="AF197" t="n">
        <v>7370.0874</v>
      </c>
      <c r="AG197" t="n">
        <v>1596.4792</v>
      </c>
      <c r="AH197" t="n">
        <v>0.00104634</v>
      </c>
      <c r="AI197" t="n">
        <v>0.178048</v>
      </c>
      <c r="AJ197" t="n">
        <v>1473.6732</v>
      </c>
      <c r="AK197" t="n">
        <v>122.8061</v>
      </c>
      <c r="AL197" t="n">
        <v>64125.4413</v>
      </c>
      <c r="AM197" t="n">
        <v>30217.1859</v>
      </c>
      <c r="AN197" t="n">
        <v>0.95</v>
      </c>
      <c r="AO197" t="inlineStr">
        <is>
          <t>High</t>
        </is>
      </c>
      <c r="AP197" t="inlineStr">
        <is>
          <t>On Track to Glide Path</t>
        </is>
      </c>
    </row>
    <row r="198">
      <c r="A198" t="inlineStr">
        <is>
          <t>SUP-0013</t>
        </is>
      </c>
      <c r="B198" t="inlineStr">
        <is>
          <t>Electronics Supplier 013</t>
        </is>
      </c>
      <c r="C198" t="inlineStr">
        <is>
          <t>Electronics</t>
        </is>
      </c>
      <c r="D198" t="n">
        <v>2024</v>
      </c>
      <c r="E198" t="n">
        <v>2015</v>
      </c>
      <c r="F198" t="n">
        <v>2040</v>
      </c>
      <c r="G198" t="n">
        <v>6510.22</v>
      </c>
      <c r="H198" t="n">
        <v>631.1288</v>
      </c>
      <c r="I198" t="n">
        <v>916.1944</v>
      </c>
      <c r="J198" t="n">
        <v>4871.3148</v>
      </c>
      <c r="K198" t="n">
        <v>7043670.44</v>
      </c>
      <c r="L198" t="n">
        <v>17996629.42</v>
      </c>
      <c r="M198" t="n">
        <v>6510.22</v>
      </c>
      <c r="N198" t="inlineStr">
        <is>
          <t>Provided Total Emissions</t>
        </is>
      </c>
      <c r="O198" t="b">
        <v>1</v>
      </c>
      <c r="P198" t="n">
        <v>-0.034945</v>
      </c>
      <c r="Q198" t="n">
        <v>-0.007946999999999999</v>
      </c>
      <c r="R198" t="n">
        <v>6064.9524</v>
      </c>
      <c r="S198" t="n">
        <v>2509.9899</v>
      </c>
      <c r="T198" t="n">
        <v>-445.2676</v>
      </c>
      <c r="U198" t="n">
        <v>-4000.2301</v>
      </c>
      <c r="V198" t="n">
        <v>-0.068395</v>
      </c>
      <c r="W198" t="n">
        <v>-0.6144539999999999</v>
      </c>
      <c r="X198" t="inlineStr">
        <is>
          <t>High</t>
        </is>
      </c>
      <c r="Y198" t="inlineStr">
        <is>
          <t>None</t>
        </is>
      </c>
      <c r="Z198" t="inlineStr">
        <is>
          <t>Valid</t>
        </is>
      </c>
      <c r="AA198" t="n">
        <v>2029</v>
      </c>
      <c r="AB198" t="inlineStr">
        <is>
          <t>Industry Haircut Pathway</t>
        </is>
      </c>
      <c r="AC198" t="n">
        <v>8966.5666</v>
      </c>
      <c r="AD198" t="n">
        <v>5896.4142</v>
      </c>
      <c r="AE198" t="n">
        <v>7247.2813</v>
      </c>
      <c r="AF198" t="n">
        <v>7247.2813</v>
      </c>
      <c r="AG198" t="n">
        <v>1719.2853</v>
      </c>
      <c r="AH198" t="n">
        <v>0.00102891</v>
      </c>
      <c r="AI198" t="n">
        <v>0.191744</v>
      </c>
      <c r="AJ198" t="n">
        <v>1350.8671</v>
      </c>
      <c r="AK198" t="n">
        <v>122.8061</v>
      </c>
      <c r="AL198" t="n">
        <v>56878.16</v>
      </c>
      <c r="AM198" t="n">
        <v>37464.4672</v>
      </c>
      <c r="AN198" t="n">
        <v>0.95</v>
      </c>
      <c r="AO198" t="inlineStr">
        <is>
          <t>High</t>
        </is>
      </c>
      <c r="AP198" t="inlineStr">
        <is>
          <t>On Track to Glide Path</t>
        </is>
      </c>
    </row>
    <row r="199">
      <c r="A199" t="inlineStr">
        <is>
          <t>SUP-0013</t>
        </is>
      </c>
      <c r="B199" t="inlineStr">
        <is>
          <t>Electronics Supplier 013</t>
        </is>
      </c>
      <c r="C199" t="inlineStr">
        <is>
          <t>Electronics</t>
        </is>
      </c>
      <c r="D199" t="n">
        <v>2024</v>
      </c>
      <c r="E199" t="n">
        <v>2015</v>
      </c>
      <c r="F199" t="n">
        <v>2040</v>
      </c>
      <c r="G199" t="n">
        <v>6510.22</v>
      </c>
      <c r="H199" t="n">
        <v>631.1288</v>
      </c>
      <c r="I199" t="n">
        <v>916.1944</v>
      </c>
      <c r="J199" t="n">
        <v>4871.3148</v>
      </c>
      <c r="K199" t="n">
        <v>7043670.44</v>
      </c>
      <c r="L199" t="n">
        <v>17996629.42</v>
      </c>
      <c r="M199" t="n">
        <v>6510.22</v>
      </c>
      <c r="N199" t="inlineStr">
        <is>
          <t>Provided Total Emissions</t>
        </is>
      </c>
      <c r="O199" t="b">
        <v>1</v>
      </c>
      <c r="P199" t="n">
        <v>-0.034945</v>
      </c>
      <c r="Q199" t="n">
        <v>-0.007946999999999999</v>
      </c>
      <c r="R199" t="n">
        <v>6064.9524</v>
      </c>
      <c r="S199" t="n">
        <v>2509.9899</v>
      </c>
      <c r="T199" t="n">
        <v>-445.2676</v>
      </c>
      <c r="U199" t="n">
        <v>-4000.2301</v>
      </c>
      <c r="V199" t="n">
        <v>-0.068395</v>
      </c>
      <c r="W199" t="n">
        <v>-0.6144539999999999</v>
      </c>
      <c r="X199" t="inlineStr">
        <is>
          <t>High</t>
        </is>
      </c>
      <c r="Y199" t="inlineStr">
        <is>
          <t>None</t>
        </is>
      </c>
      <c r="Z199" t="inlineStr">
        <is>
          <t>Valid</t>
        </is>
      </c>
      <c r="AA199" t="n">
        <v>2030</v>
      </c>
      <c r="AB199" t="inlineStr">
        <is>
          <t>Industry Haircut Pathway</t>
        </is>
      </c>
      <c r="AC199" t="n">
        <v>8966.5666</v>
      </c>
      <c r="AD199" t="n">
        <v>5896.4142</v>
      </c>
      <c r="AE199" t="n">
        <v>7124.4752</v>
      </c>
      <c r="AF199" t="n">
        <v>7124.4752</v>
      </c>
      <c r="AG199" t="n">
        <v>1842.0914</v>
      </c>
      <c r="AH199" t="n">
        <v>0.00101147</v>
      </c>
      <c r="AI199" t="n">
        <v>0.20544</v>
      </c>
      <c r="AJ199" t="n">
        <v>1228.061</v>
      </c>
      <c r="AK199" t="n">
        <v>122.8061</v>
      </c>
      <c r="AL199" t="n">
        <v>49753.6848</v>
      </c>
      <c r="AM199" t="n">
        <v>44588.9424</v>
      </c>
      <c r="AN199" t="n">
        <v>0.95</v>
      </c>
      <c r="AO199" t="inlineStr">
        <is>
          <t>High</t>
        </is>
      </c>
      <c r="AP199" t="inlineStr">
        <is>
          <t>On Track to Glide Path</t>
        </is>
      </c>
    </row>
    <row r="200">
      <c r="A200" t="inlineStr">
        <is>
          <t>SUP-0013</t>
        </is>
      </c>
      <c r="B200" t="inlineStr">
        <is>
          <t>Electronics Supplier 013</t>
        </is>
      </c>
      <c r="C200" t="inlineStr">
        <is>
          <t>Electronics</t>
        </is>
      </c>
      <c r="D200" t="n">
        <v>2024</v>
      </c>
      <c r="E200" t="n">
        <v>2015</v>
      </c>
      <c r="F200" t="n">
        <v>2040</v>
      </c>
      <c r="G200" t="n">
        <v>6510.22</v>
      </c>
      <c r="H200" t="n">
        <v>631.1288</v>
      </c>
      <c r="I200" t="n">
        <v>916.1944</v>
      </c>
      <c r="J200" t="n">
        <v>4871.3148</v>
      </c>
      <c r="K200" t="n">
        <v>7043670.44</v>
      </c>
      <c r="L200" t="n">
        <v>17996629.42</v>
      </c>
      <c r="M200" t="n">
        <v>6510.22</v>
      </c>
      <c r="N200" t="inlineStr">
        <is>
          <t>Provided Total Emissions</t>
        </is>
      </c>
      <c r="O200" t="b">
        <v>1</v>
      </c>
      <c r="P200" t="n">
        <v>-0.034945</v>
      </c>
      <c r="Q200" t="n">
        <v>-0.007946999999999999</v>
      </c>
      <c r="R200" t="n">
        <v>6064.9524</v>
      </c>
      <c r="S200" t="n">
        <v>2509.9899</v>
      </c>
      <c r="T200" t="n">
        <v>-445.2676</v>
      </c>
      <c r="U200" t="n">
        <v>-4000.2301</v>
      </c>
      <c r="V200" t="n">
        <v>-0.068395</v>
      </c>
      <c r="W200" t="n">
        <v>-0.6144539999999999</v>
      </c>
      <c r="X200" t="inlineStr">
        <is>
          <t>High</t>
        </is>
      </c>
      <c r="Y200" t="inlineStr">
        <is>
          <t>None</t>
        </is>
      </c>
      <c r="Z200" t="inlineStr">
        <is>
          <t>Valid</t>
        </is>
      </c>
      <c r="AA200" t="n">
        <v>2031</v>
      </c>
      <c r="AB200" t="inlineStr">
        <is>
          <t>Industry Haircut Pathway</t>
        </is>
      </c>
      <c r="AC200" t="n">
        <v>8966.5666</v>
      </c>
      <c r="AD200" t="n">
        <v>5896.4142</v>
      </c>
      <c r="AE200" t="n">
        <v>7001.6691</v>
      </c>
      <c r="AF200" t="n">
        <v>7001.6691</v>
      </c>
      <c r="AG200" t="n">
        <v>1964.8975</v>
      </c>
      <c r="AH200" t="n">
        <v>0.0009940400000000001</v>
      </c>
      <c r="AI200" t="n">
        <v>0.219136</v>
      </c>
      <c r="AJ200" t="n">
        <v>1105.2549</v>
      </c>
      <c r="AK200" t="n">
        <v>122.8061</v>
      </c>
      <c r="AL200" t="n">
        <v>42752.0157</v>
      </c>
      <c r="AM200" t="n">
        <v>51590.6115</v>
      </c>
      <c r="AN200" t="n">
        <v>0.95</v>
      </c>
      <c r="AO200" t="inlineStr">
        <is>
          <t>High</t>
        </is>
      </c>
      <c r="AP200" t="inlineStr">
        <is>
          <t>On Track to Glide Path</t>
        </is>
      </c>
    </row>
    <row r="201">
      <c r="A201" t="inlineStr">
        <is>
          <t>SUP-0013</t>
        </is>
      </c>
      <c r="B201" t="inlineStr">
        <is>
          <t>Electronics Supplier 013</t>
        </is>
      </c>
      <c r="C201" t="inlineStr">
        <is>
          <t>Electronics</t>
        </is>
      </c>
      <c r="D201" t="n">
        <v>2024</v>
      </c>
      <c r="E201" t="n">
        <v>2015</v>
      </c>
      <c r="F201" t="n">
        <v>2040</v>
      </c>
      <c r="G201" t="n">
        <v>6510.22</v>
      </c>
      <c r="H201" t="n">
        <v>631.1288</v>
      </c>
      <c r="I201" t="n">
        <v>916.1944</v>
      </c>
      <c r="J201" t="n">
        <v>4871.3148</v>
      </c>
      <c r="K201" t="n">
        <v>7043670.44</v>
      </c>
      <c r="L201" t="n">
        <v>17996629.42</v>
      </c>
      <c r="M201" t="n">
        <v>6510.22</v>
      </c>
      <c r="N201" t="inlineStr">
        <is>
          <t>Provided Total Emissions</t>
        </is>
      </c>
      <c r="O201" t="b">
        <v>1</v>
      </c>
      <c r="P201" t="n">
        <v>-0.034945</v>
      </c>
      <c r="Q201" t="n">
        <v>-0.007946999999999999</v>
      </c>
      <c r="R201" t="n">
        <v>6064.9524</v>
      </c>
      <c r="S201" t="n">
        <v>2509.9899</v>
      </c>
      <c r="T201" t="n">
        <v>-445.2676</v>
      </c>
      <c r="U201" t="n">
        <v>-4000.2301</v>
      </c>
      <c r="V201" t="n">
        <v>-0.068395</v>
      </c>
      <c r="W201" t="n">
        <v>-0.6144539999999999</v>
      </c>
      <c r="X201" t="inlineStr">
        <is>
          <t>High</t>
        </is>
      </c>
      <c r="Y201" t="inlineStr">
        <is>
          <t>None</t>
        </is>
      </c>
      <c r="Z201" t="inlineStr">
        <is>
          <t>Valid</t>
        </is>
      </c>
      <c r="AA201" t="n">
        <v>2032</v>
      </c>
      <c r="AB201" t="inlineStr">
        <is>
          <t>Industry Haircut Pathway</t>
        </is>
      </c>
      <c r="AC201" t="n">
        <v>8966.5666</v>
      </c>
      <c r="AD201" t="n">
        <v>5896.4142</v>
      </c>
      <c r="AE201" t="n">
        <v>6878.863</v>
      </c>
      <c r="AF201" t="n">
        <v>6878.863</v>
      </c>
      <c r="AG201" t="n">
        <v>2087.7036</v>
      </c>
      <c r="AH201" t="n">
        <v>0.0009766</v>
      </c>
      <c r="AI201" t="n">
        <v>0.232832</v>
      </c>
      <c r="AJ201" t="n">
        <v>982.4488</v>
      </c>
      <c r="AK201" t="n">
        <v>122.8061</v>
      </c>
      <c r="AL201" t="n">
        <v>35873.1527</v>
      </c>
      <c r="AM201" t="n">
        <v>58469.4745</v>
      </c>
      <c r="AN201" t="n">
        <v>0.95</v>
      </c>
      <c r="AO201" t="inlineStr">
        <is>
          <t>High</t>
        </is>
      </c>
      <c r="AP201" t="inlineStr">
        <is>
          <t>On Track to Glide Path</t>
        </is>
      </c>
    </row>
    <row r="202">
      <c r="A202" t="inlineStr">
        <is>
          <t>SUP-0013</t>
        </is>
      </c>
      <c r="B202" t="inlineStr">
        <is>
          <t>Electronics Supplier 013</t>
        </is>
      </c>
      <c r="C202" t="inlineStr">
        <is>
          <t>Electronics</t>
        </is>
      </c>
      <c r="D202" t="n">
        <v>2024</v>
      </c>
      <c r="E202" t="n">
        <v>2015</v>
      </c>
      <c r="F202" t="n">
        <v>2040</v>
      </c>
      <c r="G202" t="n">
        <v>6510.22</v>
      </c>
      <c r="H202" t="n">
        <v>631.1288</v>
      </c>
      <c r="I202" t="n">
        <v>916.1944</v>
      </c>
      <c r="J202" t="n">
        <v>4871.3148</v>
      </c>
      <c r="K202" t="n">
        <v>7043670.44</v>
      </c>
      <c r="L202" t="n">
        <v>17996629.42</v>
      </c>
      <c r="M202" t="n">
        <v>6510.22</v>
      </c>
      <c r="N202" t="inlineStr">
        <is>
          <t>Provided Total Emissions</t>
        </is>
      </c>
      <c r="O202" t="b">
        <v>1</v>
      </c>
      <c r="P202" t="n">
        <v>-0.034945</v>
      </c>
      <c r="Q202" t="n">
        <v>-0.007946999999999999</v>
      </c>
      <c r="R202" t="n">
        <v>6064.9524</v>
      </c>
      <c r="S202" t="n">
        <v>2509.9899</v>
      </c>
      <c r="T202" t="n">
        <v>-445.2676</v>
      </c>
      <c r="U202" t="n">
        <v>-4000.2301</v>
      </c>
      <c r="V202" t="n">
        <v>-0.068395</v>
      </c>
      <c r="W202" t="n">
        <v>-0.6144539999999999</v>
      </c>
      <c r="X202" t="inlineStr">
        <is>
          <t>High</t>
        </is>
      </c>
      <c r="Y202" t="inlineStr">
        <is>
          <t>None</t>
        </is>
      </c>
      <c r="Z202" t="inlineStr">
        <is>
          <t>Valid</t>
        </is>
      </c>
      <c r="AA202" t="n">
        <v>2033</v>
      </c>
      <c r="AB202" t="inlineStr">
        <is>
          <t>Industry Haircut Pathway</t>
        </is>
      </c>
      <c r="AC202" t="n">
        <v>8966.5666</v>
      </c>
      <c r="AD202" t="n">
        <v>5896.4142</v>
      </c>
      <c r="AE202" t="n">
        <v>6756.0569</v>
      </c>
      <c r="AF202" t="n">
        <v>6756.0569</v>
      </c>
      <c r="AG202" t="n">
        <v>2210.5097</v>
      </c>
      <c r="AH202" t="n">
        <v>0.00095917</v>
      </c>
      <c r="AI202" t="n">
        <v>0.246528</v>
      </c>
      <c r="AJ202" t="n">
        <v>859.6427</v>
      </c>
      <c r="AK202" t="n">
        <v>122.8061</v>
      </c>
      <c r="AL202" t="n">
        <v>29117.0958</v>
      </c>
      <c r="AM202" t="n">
        <v>65225.5314</v>
      </c>
      <c r="AN202" t="n">
        <v>0.95</v>
      </c>
      <c r="AO202" t="inlineStr">
        <is>
          <t>Medium</t>
        </is>
      </c>
      <c r="AP202" t="inlineStr">
        <is>
          <t>On Track to Glide Path</t>
        </is>
      </c>
    </row>
    <row r="203">
      <c r="A203" t="inlineStr">
        <is>
          <t>SUP-0013</t>
        </is>
      </c>
      <c r="B203" t="inlineStr">
        <is>
          <t>Electronics Supplier 013</t>
        </is>
      </c>
      <c r="C203" t="inlineStr">
        <is>
          <t>Electronics</t>
        </is>
      </c>
      <c r="D203" t="n">
        <v>2024</v>
      </c>
      <c r="E203" t="n">
        <v>2015</v>
      </c>
      <c r="F203" t="n">
        <v>2040</v>
      </c>
      <c r="G203" t="n">
        <v>6510.22</v>
      </c>
      <c r="H203" t="n">
        <v>631.1288</v>
      </c>
      <c r="I203" t="n">
        <v>916.1944</v>
      </c>
      <c r="J203" t="n">
        <v>4871.3148</v>
      </c>
      <c r="K203" t="n">
        <v>7043670.44</v>
      </c>
      <c r="L203" t="n">
        <v>17996629.42</v>
      </c>
      <c r="M203" t="n">
        <v>6510.22</v>
      </c>
      <c r="N203" t="inlineStr">
        <is>
          <t>Provided Total Emissions</t>
        </is>
      </c>
      <c r="O203" t="b">
        <v>1</v>
      </c>
      <c r="P203" t="n">
        <v>-0.034945</v>
      </c>
      <c r="Q203" t="n">
        <v>-0.007946999999999999</v>
      </c>
      <c r="R203" t="n">
        <v>6064.9524</v>
      </c>
      <c r="S203" t="n">
        <v>2509.9899</v>
      </c>
      <c r="T203" t="n">
        <v>-445.2676</v>
      </c>
      <c r="U203" t="n">
        <v>-4000.2301</v>
      </c>
      <c r="V203" t="n">
        <v>-0.068395</v>
      </c>
      <c r="W203" t="n">
        <v>-0.6144539999999999</v>
      </c>
      <c r="X203" t="inlineStr">
        <is>
          <t>High</t>
        </is>
      </c>
      <c r="Y203" t="inlineStr">
        <is>
          <t>None</t>
        </is>
      </c>
      <c r="Z203" t="inlineStr">
        <is>
          <t>Valid</t>
        </is>
      </c>
      <c r="AA203" t="n">
        <v>2034</v>
      </c>
      <c r="AB203" t="inlineStr">
        <is>
          <t>Industry Haircut Pathway</t>
        </is>
      </c>
      <c r="AC203" t="n">
        <v>8966.5666</v>
      </c>
      <c r="AD203" t="n">
        <v>5896.4142</v>
      </c>
      <c r="AE203" t="n">
        <v>6633.2508</v>
      </c>
      <c r="AF203" t="n">
        <v>6633.2508</v>
      </c>
      <c r="AG203" t="n">
        <v>2333.3158</v>
      </c>
      <c r="AH203" t="n">
        <v>0.00094173</v>
      </c>
      <c r="AI203" t="n">
        <v>0.260224</v>
      </c>
      <c r="AJ203" t="n">
        <v>736.8366</v>
      </c>
      <c r="AK203" t="n">
        <v>122.8061</v>
      </c>
      <c r="AL203" t="n">
        <v>22483.845</v>
      </c>
      <c r="AM203" t="n">
        <v>71858.7822</v>
      </c>
      <c r="AN203" t="n">
        <v>0.95</v>
      </c>
      <c r="AO203" t="inlineStr">
        <is>
          <t>Medium</t>
        </is>
      </c>
      <c r="AP203" t="inlineStr">
        <is>
          <t>On Track to Glide Path</t>
        </is>
      </c>
    </row>
    <row r="204">
      <c r="A204" t="inlineStr">
        <is>
          <t>SUP-0013</t>
        </is>
      </c>
      <c r="B204" t="inlineStr">
        <is>
          <t>Electronics Supplier 013</t>
        </is>
      </c>
      <c r="C204" t="inlineStr">
        <is>
          <t>Electronics</t>
        </is>
      </c>
      <c r="D204" t="n">
        <v>2024</v>
      </c>
      <c r="E204" t="n">
        <v>2015</v>
      </c>
      <c r="F204" t="n">
        <v>2040</v>
      </c>
      <c r="G204" t="n">
        <v>6510.22</v>
      </c>
      <c r="H204" t="n">
        <v>631.1288</v>
      </c>
      <c r="I204" t="n">
        <v>916.1944</v>
      </c>
      <c r="J204" t="n">
        <v>4871.3148</v>
      </c>
      <c r="K204" t="n">
        <v>7043670.44</v>
      </c>
      <c r="L204" t="n">
        <v>17996629.42</v>
      </c>
      <c r="M204" t="n">
        <v>6510.22</v>
      </c>
      <c r="N204" t="inlineStr">
        <is>
          <t>Provided Total Emissions</t>
        </is>
      </c>
      <c r="O204" t="b">
        <v>1</v>
      </c>
      <c r="P204" t="n">
        <v>-0.034945</v>
      </c>
      <c r="Q204" t="n">
        <v>-0.007946999999999999</v>
      </c>
      <c r="R204" t="n">
        <v>6064.9524</v>
      </c>
      <c r="S204" t="n">
        <v>2509.9899</v>
      </c>
      <c r="T204" t="n">
        <v>-445.2676</v>
      </c>
      <c r="U204" t="n">
        <v>-4000.2301</v>
      </c>
      <c r="V204" t="n">
        <v>-0.068395</v>
      </c>
      <c r="W204" t="n">
        <v>-0.6144539999999999</v>
      </c>
      <c r="X204" t="inlineStr">
        <is>
          <t>High</t>
        </is>
      </c>
      <c r="Y204" t="inlineStr">
        <is>
          <t>None</t>
        </is>
      </c>
      <c r="Z204" t="inlineStr">
        <is>
          <t>Valid</t>
        </is>
      </c>
      <c r="AA204" t="n">
        <v>2035</v>
      </c>
      <c r="AB204" t="inlineStr">
        <is>
          <t>Industry Haircut Pathway</t>
        </is>
      </c>
      <c r="AC204" t="n">
        <v>8966.5666</v>
      </c>
      <c r="AD204" t="n">
        <v>5896.4142</v>
      </c>
      <c r="AE204" t="n">
        <v>6510.4447</v>
      </c>
      <c r="AF204" t="n">
        <v>6510.4447</v>
      </c>
      <c r="AG204" t="n">
        <v>2456.1219</v>
      </c>
      <c r="AH204" t="n">
        <v>0.0009243</v>
      </c>
      <c r="AI204" t="n">
        <v>0.27392</v>
      </c>
      <c r="AJ204" t="n">
        <v>614.0305</v>
      </c>
      <c r="AK204" t="n">
        <v>122.8061</v>
      </c>
      <c r="AL204" t="n">
        <v>15973.4003</v>
      </c>
      <c r="AM204" t="n">
        <v>78369.22689999999</v>
      </c>
      <c r="AN204" t="n">
        <v>0.95</v>
      </c>
      <c r="AO204" t="inlineStr">
        <is>
          <t>Medium</t>
        </is>
      </c>
      <c r="AP204" t="inlineStr">
        <is>
          <t>On Track to Glide Path</t>
        </is>
      </c>
    </row>
    <row r="205">
      <c r="A205" t="inlineStr">
        <is>
          <t>SUP-0013</t>
        </is>
      </c>
      <c r="B205" t="inlineStr">
        <is>
          <t>Electronics Supplier 013</t>
        </is>
      </c>
      <c r="C205" t="inlineStr">
        <is>
          <t>Electronics</t>
        </is>
      </c>
      <c r="D205" t="n">
        <v>2024</v>
      </c>
      <c r="E205" t="n">
        <v>2015</v>
      </c>
      <c r="F205" t="n">
        <v>2040</v>
      </c>
      <c r="G205" t="n">
        <v>6510.22</v>
      </c>
      <c r="H205" t="n">
        <v>631.1288</v>
      </c>
      <c r="I205" t="n">
        <v>916.1944</v>
      </c>
      <c r="J205" t="n">
        <v>4871.3148</v>
      </c>
      <c r="K205" t="n">
        <v>7043670.44</v>
      </c>
      <c r="L205" t="n">
        <v>17996629.42</v>
      </c>
      <c r="M205" t="n">
        <v>6510.22</v>
      </c>
      <c r="N205" t="inlineStr">
        <is>
          <t>Provided Total Emissions</t>
        </is>
      </c>
      <c r="O205" t="b">
        <v>1</v>
      </c>
      <c r="P205" t="n">
        <v>-0.034945</v>
      </c>
      <c r="Q205" t="n">
        <v>-0.007946999999999999</v>
      </c>
      <c r="R205" t="n">
        <v>6064.9524</v>
      </c>
      <c r="S205" t="n">
        <v>2509.9899</v>
      </c>
      <c r="T205" t="n">
        <v>-445.2676</v>
      </c>
      <c r="U205" t="n">
        <v>-4000.2301</v>
      </c>
      <c r="V205" t="n">
        <v>-0.068395</v>
      </c>
      <c r="W205" t="n">
        <v>-0.6144539999999999</v>
      </c>
      <c r="X205" t="inlineStr">
        <is>
          <t>High</t>
        </is>
      </c>
      <c r="Y205" t="inlineStr">
        <is>
          <t>None</t>
        </is>
      </c>
      <c r="Z205" t="inlineStr">
        <is>
          <t>Valid</t>
        </is>
      </c>
      <c r="AA205" t="n">
        <v>2036</v>
      </c>
      <c r="AB205" t="inlineStr">
        <is>
          <t>Industry Haircut Pathway</t>
        </is>
      </c>
      <c r="AC205" t="n">
        <v>8966.5666</v>
      </c>
      <c r="AD205" t="n">
        <v>5896.4142</v>
      </c>
      <c r="AE205" t="n">
        <v>6387.6386</v>
      </c>
      <c r="AF205" t="n">
        <v>6387.6386</v>
      </c>
      <c r="AG205" t="n">
        <v>2578.928</v>
      </c>
      <c r="AH205" t="n">
        <v>0.00090686</v>
      </c>
      <c r="AI205" t="n">
        <v>0.287616</v>
      </c>
      <c r="AJ205" t="n">
        <v>491.2244</v>
      </c>
      <c r="AK205" t="n">
        <v>122.8061</v>
      </c>
      <c r="AL205" t="n">
        <v>9585.761699999999</v>
      </c>
      <c r="AM205" t="n">
        <v>84756.8655</v>
      </c>
      <c r="AN205" t="n">
        <v>0.95</v>
      </c>
      <c r="AO205" t="inlineStr">
        <is>
          <t>Medium</t>
        </is>
      </c>
      <c r="AP205" t="inlineStr">
        <is>
          <t>On Track to Glide Path</t>
        </is>
      </c>
    </row>
    <row r="206">
      <c r="A206" t="inlineStr">
        <is>
          <t>SUP-0013</t>
        </is>
      </c>
      <c r="B206" t="inlineStr">
        <is>
          <t>Electronics Supplier 013</t>
        </is>
      </c>
      <c r="C206" t="inlineStr">
        <is>
          <t>Electronics</t>
        </is>
      </c>
      <c r="D206" t="n">
        <v>2024</v>
      </c>
      <c r="E206" t="n">
        <v>2015</v>
      </c>
      <c r="F206" t="n">
        <v>2040</v>
      </c>
      <c r="G206" t="n">
        <v>6510.22</v>
      </c>
      <c r="H206" t="n">
        <v>631.1288</v>
      </c>
      <c r="I206" t="n">
        <v>916.1944</v>
      </c>
      <c r="J206" t="n">
        <v>4871.3148</v>
      </c>
      <c r="K206" t="n">
        <v>7043670.44</v>
      </c>
      <c r="L206" t="n">
        <v>17996629.42</v>
      </c>
      <c r="M206" t="n">
        <v>6510.22</v>
      </c>
      <c r="N206" t="inlineStr">
        <is>
          <t>Provided Total Emissions</t>
        </is>
      </c>
      <c r="O206" t="b">
        <v>1</v>
      </c>
      <c r="P206" t="n">
        <v>-0.034945</v>
      </c>
      <c r="Q206" t="n">
        <v>-0.007946999999999999</v>
      </c>
      <c r="R206" t="n">
        <v>6064.9524</v>
      </c>
      <c r="S206" t="n">
        <v>2509.9899</v>
      </c>
      <c r="T206" t="n">
        <v>-445.2676</v>
      </c>
      <c r="U206" t="n">
        <v>-4000.2301</v>
      </c>
      <c r="V206" t="n">
        <v>-0.068395</v>
      </c>
      <c r="W206" t="n">
        <v>-0.6144539999999999</v>
      </c>
      <c r="X206" t="inlineStr">
        <is>
          <t>High</t>
        </is>
      </c>
      <c r="Y206" t="inlineStr">
        <is>
          <t>None</t>
        </is>
      </c>
      <c r="Z206" t="inlineStr">
        <is>
          <t>Valid</t>
        </is>
      </c>
      <c r="AA206" t="n">
        <v>2037</v>
      </c>
      <c r="AB206" t="inlineStr">
        <is>
          <t>Industry Haircut Pathway</t>
        </is>
      </c>
      <c r="AC206" t="n">
        <v>8966.5666</v>
      </c>
      <c r="AD206" t="n">
        <v>5896.4142</v>
      </c>
      <c r="AE206" t="n">
        <v>6264.8325</v>
      </c>
      <c r="AF206" t="n">
        <v>6264.8325</v>
      </c>
      <c r="AG206" t="n">
        <v>2701.7341</v>
      </c>
      <c r="AH206" t="n">
        <v>0.00088943</v>
      </c>
      <c r="AI206" t="n">
        <v>0.301312</v>
      </c>
      <c r="AJ206" t="n">
        <v>368.4183</v>
      </c>
      <c r="AK206" t="n">
        <v>122.8061</v>
      </c>
      <c r="AL206" t="n">
        <v>3320.9292</v>
      </c>
      <c r="AM206" t="n">
        <v>91021.698</v>
      </c>
      <c r="AN206" t="n">
        <v>0.95</v>
      </c>
      <c r="AO206" t="inlineStr">
        <is>
          <t>Medium</t>
        </is>
      </c>
      <c r="AP206" t="inlineStr">
        <is>
          <t>On Track to Glide Path</t>
        </is>
      </c>
    </row>
    <row r="207">
      <c r="A207" t="inlineStr">
        <is>
          <t>SUP-0013</t>
        </is>
      </c>
      <c r="B207" t="inlineStr">
        <is>
          <t>Electronics Supplier 013</t>
        </is>
      </c>
      <c r="C207" t="inlineStr">
        <is>
          <t>Electronics</t>
        </is>
      </c>
      <c r="D207" t="n">
        <v>2024</v>
      </c>
      <c r="E207" t="n">
        <v>2015</v>
      </c>
      <c r="F207" t="n">
        <v>2040</v>
      </c>
      <c r="G207" t="n">
        <v>6510.22</v>
      </c>
      <c r="H207" t="n">
        <v>631.1288</v>
      </c>
      <c r="I207" t="n">
        <v>916.1944</v>
      </c>
      <c r="J207" t="n">
        <v>4871.3148</v>
      </c>
      <c r="K207" t="n">
        <v>7043670.44</v>
      </c>
      <c r="L207" t="n">
        <v>17996629.42</v>
      </c>
      <c r="M207" t="n">
        <v>6510.22</v>
      </c>
      <c r="N207" t="inlineStr">
        <is>
          <t>Provided Total Emissions</t>
        </is>
      </c>
      <c r="O207" t="b">
        <v>1</v>
      </c>
      <c r="P207" t="n">
        <v>-0.034945</v>
      </c>
      <c r="Q207" t="n">
        <v>-0.007946999999999999</v>
      </c>
      <c r="R207" t="n">
        <v>6064.9524</v>
      </c>
      <c r="S207" t="n">
        <v>2509.9899</v>
      </c>
      <c r="T207" t="n">
        <v>-445.2676</v>
      </c>
      <c r="U207" t="n">
        <v>-4000.2301</v>
      </c>
      <c r="V207" t="n">
        <v>-0.068395</v>
      </c>
      <c r="W207" t="n">
        <v>-0.6144539999999999</v>
      </c>
      <c r="X207" t="inlineStr">
        <is>
          <t>High</t>
        </is>
      </c>
      <c r="Y207" t="inlineStr">
        <is>
          <t>None</t>
        </is>
      </c>
      <c r="Z207" t="inlineStr">
        <is>
          <t>Valid</t>
        </is>
      </c>
      <c r="AA207" t="n">
        <v>2038</v>
      </c>
      <c r="AB207" t="inlineStr">
        <is>
          <t>Industry Haircut Pathway</t>
        </is>
      </c>
      <c r="AC207" t="n">
        <v>8966.5666</v>
      </c>
      <c r="AD207" t="n">
        <v>5896.4142</v>
      </c>
      <c r="AE207" t="n">
        <v>6142.0264</v>
      </c>
      <c r="AF207" t="n">
        <v>6142.0264</v>
      </c>
      <c r="AG207" t="n">
        <v>2824.5402</v>
      </c>
      <c r="AH207" t="n">
        <v>0.00087199</v>
      </c>
      <c r="AI207" t="n">
        <v>0.315008</v>
      </c>
      <c r="AJ207" t="n">
        <v>245.6122</v>
      </c>
      <c r="AK207" t="n">
        <v>122.8061</v>
      </c>
      <c r="AL207" t="n">
        <v>-2821.0972</v>
      </c>
      <c r="AM207" t="n">
        <v>97163.72440000001</v>
      </c>
      <c r="AN207" t="n">
        <v>0.95</v>
      </c>
      <c r="AO207" t="inlineStr">
        <is>
          <t>Medium</t>
        </is>
      </c>
      <c r="AP207" t="inlineStr">
        <is>
          <t>On Track to Glide Path</t>
        </is>
      </c>
    </row>
    <row r="208">
      <c r="A208" t="inlineStr">
        <is>
          <t>SUP-0013</t>
        </is>
      </c>
      <c r="B208" t="inlineStr">
        <is>
          <t>Electronics Supplier 013</t>
        </is>
      </c>
      <c r="C208" t="inlineStr">
        <is>
          <t>Electronics</t>
        </is>
      </c>
      <c r="D208" t="n">
        <v>2024</v>
      </c>
      <c r="E208" t="n">
        <v>2015</v>
      </c>
      <c r="F208" t="n">
        <v>2040</v>
      </c>
      <c r="G208" t="n">
        <v>6510.22</v>
      </c>
      <c r="H208" t="n">
        <v>631.1288</v>
      </c>
      <c r="I208" t="n">
        <v>916.1944</v>
      </c>
      <c r="J208" t="n">
        <v>4871.3148</v>
      </c>
      <c r="K208" t="n">
        <v>7043670.44</v>
      </c>
      <c r="L208" t="n">
        <v>17996629.42</v>
      </c>
      <c r="M208" t="n">
        <v>6510.22</v>
      </c>
      <c r="N208" t="inlineStr">
        <is>
          <t>Provided Total Emissions</t>
        </is>
      </c>
      <c r="O208" t="b">
        <v>1</v>
      </c>
      <c r="P208" t="n">
        <v>-0.034945</v>
      </c>
      <c r="Q208" t="n">
        <v>-0.007946999999999999</v>
      </c>
      <c r="R208" t="n">
        <v>6064.9524</v>
      </c>
      <c r="S208" t="n">
        <v>2509.9899</v>
      </c>
      <c r="T208" t="n">
        <v>-445.2676</v>
      </c>
      <c r="U208" t="n">
        <v>-4000.2301</v>
      </c>
      <c r="V208" t="n">
        <v>-0.068395</v>
      </c>
      <c r="W208" t="n">
        <v>-0.6144539999999999</v>
      </c>
      <c r="X208" t="inlineStr">
        <is>
          <t>High</t>
        </is>
      </c>
      <c r="Y208" t="inlineStr">
        <is>
          <t>None</t>
        </is>
      </c>
      <c r="Z208" t="inlineStr">
        <is>
          <t>Valid</t>
        </is>
      </c>
      <c r="AA208" t="n">
        <v>2039</v>
      </c>
      <c r="AB208" t="inlineStr">
        <is>
          <t>Industry Haircut Pathway</t>
        </is>
      </c>
      <c r="AC208" t="n">
        <v>8966.5666</v>
      </c>
      <c r="AD208" t="n">
        <v>5896.4142</v>
      </c>
      <c r="AE208" t="n">
        <v>6019.2203</v>
      </c>
      <c r="AF208" t="n">
        <v>6019.2203</v>
      </c>
      <c r="AG208" t="n">
        <v>2947.3463</v>
      </c>
      <c r="AH208" t="n">
        <v>0.00085456</v>
      </c>
      <c r="AI208" t="n">
        <v>0.328704</v>
      </c>
      <c r="AJ208" t="n">
        <v>122.8061</v>
      </c>
      <c r="AK208" t="n">
        <v>122.8061</v>
      </c>
      <c r="AL208" t="n">
        <v>-8840.317499999999</v>
      </c>
      <c r="AM208" t="n">
        <v>103182.9447</v>
      </c>
      <c r="AN208" t="n">
        <v>0.95</v>
      </c>
      <c r="AO208" t="inlineStr">
        <is>
          <t>Medium</t>
        </is>
      </c>
      <c r="AP208" t="inlineStr">
        <is>
          <t>On Track to Glide Path</t>
        </is>
      </c>
    </row>
    <row r="209">
      <c r="A209" t="inlineStr">
        <is>
          <t>SUP-0013</t>
        </is>
      </c>
      <c r="B209" t="inlineStr">
        <is>
          <t>Electronics Supplier 013</t>
        </is>
      </c>
      <c r="C209" t="inlineStr">
        <is>
          <t>Electronics</t>
        </is>
      </c>
      <c r="D209" t="n">
        <v>2024</v>
      </c>
      <c r="E209" t="n">
        <v>2015</v>
      </c>
      <c r="F209" t="n">
        <v>2040</v>
      </c>
      <c r="G209" t="n">
        <v>6510.22</v>
      </c>
      <c r="H209" t="n">
        <v>631.1288</v>
      </c>
      <c r="I209" t="n">
        <v>916.1944</v>
      </c>
      <c r="J209" t="n">
        <v>4871.3148</v>
      </c>
      <c r="K209" t="n">
        <v>7043670.44</v>
      </c>
      <c r="L209" t="n">
        <v>17996629.42</v>
      </c>
      <c r="M209" t="n">
        <v>6510.22</v>
      </c>
      <c r="N209" t="inlineStr">
        <is>
          <t>Provided Total Emissions</t>
        </is>
      </c>
      <c r="O209" t="b">
        <v>1</v>
      </c>
      <c r="P209" t="n">
        <v>-0.034945</v>
      </c>
      <c r="Q209" t="n">
        <v>-0.007946999999999999</v>
      </c>
      <c r="R209" t="n">
        <v>6064.9524</v>
      </c>
      <c r="S209" t="n">
        <v>2509.9899</v>
      </c>
      <c r="T209" t="n">
        <v>-445.2676</v>
      </c>
      <c r="U209" t="n">
        <v>-4000.2301</v>
      </c>
      <c r="V209" t="n">
        <v>-0.068395</v>
      </c>
      <c r="W209" t="n">
        <v>-0.6144539999999999</v>
      </c>
      <c r="X209" t="inlineStr">
        <is>
          <t>High</t>
        </is>
      </c>
      <c r="Y209" t="inlineStr">
        <is>
          <t>None</t>
        </is>
      </c>
      <c r="Z209" t="inlineStr">
        <is>
          <t>Valid</t>
        </is>
      </c>
      <c r="AA209" t="n">
        <v>2040</v>
      </c>
      <c r="AB209" t="inlineStr">
        <is>
          <t>Industry Haircut Pathway</t>
        </is>
      </c>
      <c r="AC209" t="n">
        <v>8966.5666</v>
      </c>
      <c r="AD209" t="n">
        <v>5896.4142</v>
      </c>
      <c r="AE209" t="n">
        <v>5896.4142</v>
      </c>
      <c r="AF209" t="n">
        <v>5896.4142</v>
      </c>
      <c r="AG209" t="n">
        <v>3070.1524</v>
      </c>
      <c r="AH209" t="n">
        <v>0.00083712</v>
      </c>
      <c r="AI209" t="n">
        <v>0.3424</v>
      </c>
      <c r="AJ209" t="n">
        <v>0</v>
      </c>
      <c r="AK209" t="n">
        <v>122.8061</v>
      </c>
      <c r="AL209" t="n">
        <v>-14736.7317</v>
      </c>
      <c r="AM209" t="n">
        <v>109079.3589</v>
      </c>
      <c r="AN209" t="n">
        <v>0.95</v>
      </c>
      <c r="AO209" t="inlineStr">
        <is>
          <t>Low</t>
        </is>
      </c>
      <c r="AP209" t="inlineStr">
        <is>
          <t>On Track</t>
        </is>
      </c>
    </row>
    <row r="210">
      <c r="A210" t="inlineStr">
        <is>
          <t>SUP-0014</t>
        </is>
      </c>
      <c r="B210" t="inlineStr">
        <is>
          <t>Textiles Supplier 014</t>
        </is>
      </c>
      <c r="C210" t="inlineStr">
        <is>
          <t>Textiles</t>
        </is>
      </c>
      <c r="D210" t="n">
        <v>2024</v>
      </c>
      <c r="E210" t="n">
        <v>2015</v>
      </c>
      <c r="F210" t="n">
        <v>2030</v>
      </c>
      <c r="G210" t="n">
        <v>4273.9353</v>
      </c>
      <c r="H210" t="n">
        <v>488.1233</v>
      </c>
      <c r="I210" t="n">
        <v>460.1649</v>
      </c>
      <c r="J210" t="n">
        <v>3618.1924</v>
      </c>
      <c r="K210" t="n">
        <v>24664450.64</v>
      </c>
      <c r="L210" t="n">
        <v>213988750.54</v>
      </c>
      <c r="M210" t="n">
        <v>4273.9353</v>
      </c>
      <c r="N210" t="inlineStr">
        <is>
          <t>Provided Total Emissions</t>
        </is>
      </c>
      <c r="O210" t="b">
        <v>1</v>
      </c>
      <c r="P210" t="n">
        <v>0.015957</v>
      </c>
      <c r="Q210" t="n">
        <v>0.071519</v>
      </c>
      <c r="R210" t="n">
        <v>7207.1991</v>
      </c>
      <c r="S210" t="n">
        <v>37112.069</v>
      </c>
      <c r="T210" t="n">
        <v>2933.2638</v>
      </c>
      <c r="U210" t="n">
        <v>32838.1337</v>
      </c>
      <c r="V210" t="n">
        <v>0.686315</v>
      </c>
      <c r="W210" t="n">
        <v>7.683348</v>
      </c>
      <c r="X210" t="inlineStr">
        <is>
          <t>High</t>
        </is>
      </c>
      <c r="Y210" t="inlineStr">
        <is>
          <t>None</t>
        </is>
      </c>
      <c r="Z210" t="inlineStr">
        <is>
          <t>Valid</t>
        </is>
      </c>
      <c r="AA210" t="n">
        <v>2025</v>
      </c>
      <c r="AB210" t="inlineStr">
        <is>
          <t>Industry Haircut Pathway</t>
        </is>
      </c>
      <c r="AC210" t="n">
        <v>3706.3867</v>
      </c>
      <c r="AD210" t="n">
        <v>2531.0915</v>
      </c>
      <c r="AE210" t="n">
        <v>2922.8566</v>
      </c>
      <c r="AF210" t="n">
        <v>2922.8566</v>
      </c>
      <c r="AG210" t="n">
        <v>783.5300999999999</v>
      </c>
      <c r="AH210" t="n">
        <v>0.0001185</v>
      </c>
      <c r="AI210" t="n">
        <v>0.2114</v>
      </c>
      <c r="AJ210" t="n">
        <v>391.7651</v>
      </c>
      <c r="AK210" t="n">
        <v>78.35299999999999</v>
      </c>
      <c r="AL210" t="n">
        <v>12263.6924</v>
      </c>
      <c r="AM210" t="n">
        <v>2922.8566</v>
      </c>
      <c r="AN210" t="n">
        <v>0.95</v>
      </c>
      <c r="AO210" t="inlineStr">
        <is>
          <t>High</t>
        </is>
      </c>
      <c r="AP210" t="inlineStr">
        <is>
          <t>On Track to Glide Path</t>
        </is>
      </c>
    </row>
    <row r="211">
      <c r="A211" t="inlineStr">
        <is>
          <t>SUP-0014</t>
        </is>
      </c>
      <c r="B211" t="inlineStr">
        <is>
          <t>Textiles Supplier 014</t>
        </is>
      </c>
      <c r="C211" t="inlineStr">
        <is>
          <t>Textiles</t>
        </is>
      </c>
      <c r="D211" t="n">
        <v>2024</v>
      </c>
      <c r="E211" t="n">
        <v>2015</v>
      </c>
      <c r="F211" t="n">
        <v>2030</v>
      </c>
      <c r="G211" t="n">
        <v>4273.9353</v>
      </c>
      <c r="H211" t="n">
        <v>488.1233</v>
      </c>
      <c r="I211" t="n">
        <v>460.1649</v>
      </c>
      <c r="J211" t="n">
        <v>3618.1924</v>
      </c>
      <c r="K211" t="n">
        <v>24664450.64</v>
      </c>
      <c r="L211" t="n">
        <v>213988750.54</v>
      </c>
      <c r="M211" t="n">
        <v>4273.9353</v>
      </c>
      <c r="N211" t="inlineStr">
        <is>
          <t>Provided Total Emissions</t>
        </is>
      </c>
      <c r="O211" t="b">
        <v>1</v>
      </c>
      <c r="P211" t="n">
        <v>0.015957</v>
      </c>
      <c r="Q211" t="n">
        <v>0.071519</v>
      </c>
      <c r="R211" t="n">
        <v>7207.1991</v>
      </c>
      <c r="S211" t="n">
        <v>37112.069</v>
      </c>
      <c r="T211" t="n">
        <v>2933.2638</v>
      </c>
      <c r="U211" t="n">
        <v>32838.1337</v>
      </c>
      <c r="V211" t="n">
        <v>0.686315</v>
      </c>
      <c r="W211" t="n">
        <v>7.683348</v>
      </c>
      <c r="X211" t="inlineStr">
        <is>
          <t>High</t>
        </is>
      </c>
      <c r="Y211" t="inlineStr">
        <is>
          <t>None</t>
        </is>
      </c>
      <c r="Z211" t="inlineStr">
        <is>
          <t>Valid</t>
        </is>
      </c>
      <c r="AA211" t="n">
        <v>2026</v>
      </c>
      <c r="AB211" t="inlineStr">
        <is>
          <t>Industry Haircut Pathway</t>
        </is>
      </c>
      <c r="AC211" t="n">
        <v>3706.3867</v>
      </c>
      <c r="AD211" t="n">
        <v>2531.0915</v>
      </c>
      <c r="AE211" t="n">
        <v>2844.5035</v>
      </c>
      <c r="AF211" t="n">
        <v>2844.5035</v>
      </c>
      <c r="AG211" t="n">
        <v>861.8832</v>
      </c>
      <c r="AH211" t="n">
        <v>0.00011533</v>
      </c>
      <c r="AI211" t="n">
        <v>0.23254</v>
      </c>
      <c r="AJ211" t="n">
        <v>313.4121</v>
      </c>
      <c r="AK211" t="n">
        <v>78.35299999999999</v>
      </c>
      <c r="AL211" t="n">
        <v>9419.188899999999</v>
      </c>
      <c r="AM211" t="n">
        <v>5767.3601</v>
      </c>
      <c r="AN211" t="n">
        <v>0.95</v>
      </c>
      <c r="AO211" t="inlineStr">
        <is>
          <t>Medium</t>
        </is>
      </c>
      <c r="AP211" t="inlineStr">
        <is>
          <t>On Track to Glide Path</t>
        </is>
      </c>
    </row>
    <row r="212">
      <c r="A212" t="inlineStr">
        <is>
          <t>SUP-0014</t>
        </is>
      </c>
      <c r="B212" t="inlineStr">
        <is>
          <t>Textiles Supplier 014</t>
        </is>
      </c>
      <c r="C212" t="inlineStr">
        <is>
          <t>Textiles</t>
        </is>
      </c>
      <c r="D212" t="n">
        <v>2024</v>
      </c>
      <c r="E212" t="n">
        <v>2015</v>
      </c>
      <c r="F212" t="n">
        <v>2030</v>
      </c>
      <c r="G212" t="n">
        <v>4273.9353</v>
      </c>
      <c r="H212" t="n">
        <v>488.1233</v>
      </c>
      <c r="I212" t="n">
        <v>460.1649</v>
      </c>
      <c r="J212" t="n">
        <v>3618.1924</v>
      </c>
      <c r="K212" t="n">
        <v>24664450.64</v>
      </c>
      <c r="L212" t="n">
        <v>213988750.54</v>
      </c>
      <c r="M212" t="n">
        <v>4273.9353</v>
      </c>
      <c r="N212" t="inlineStr">
        <is>
          <t>Provided Total Emissions</t>
        </is>
      </c>
      <c r="O212" t="b">
        <v>1</v>
      </c>
      <c r="P212" t="n">
        <v>0.015957</v>
      </c>
      <c r="Q212" t="n">
        <v>0.071519</v>
      </c>
      <c r="R212" t="n">
        <v>7207.1991</v>
      </c>
      <c r="S212" t="n">
        <v>37112.069</v>
      </c>
      <c r="T212" t="n">
        <v>2933.2638</v>
      </c>
      <c r="U212" t="n">
        <v>32838.1337</v>
      </c>
      <c r="V212" t="n">
        <v>0.686315</v>
      </c>
      <c r="W212" t="n">
        <v>7.683348</v>
      </c>
      <c r="X212" t="inlineStr">
        <is>
          <t>High</t>
        </is>
      </c>
      <c r="Y212" t="inlineStr">
        <is>
          <t>None</t>
        </is>
      </c>
      <c r="Z212" t="inlineStr">
        <is>
          <t>Valid</t>
        </is>
      </c>
      <c r="AA212" t="n">
        <v>2027</v>
      </c>
      <c r="AB212" t="inlineStr">
        <is>
          <t>Industry Haircut Pathway</t>
        </is>
      </c>
      <c r="AC212" t="n">
        <v>3706.3867</v>
      </c>
      <c r="AD212" t="n">
        <v>2531.0915</v>
      </c>
      <c r="AE212" t="n">
        <v>2766.1505</v>
      </c>
      <c r="AF212" t="n">
        <v>2766.1505</v>
      </c>
      <c r="AG212" t="n">
        <v>940.2362000000001</v>
      </c>
      <c r="AH212" t="n">
        <v>0.00011215</v>
      </c>
      <c r="AI212" t="n">
        <v>0.25368</v>
      </c>
      <c r="AJ212" t="n">
        <v>235.059</v>
      </c>
      <c r="AK212" t="n">
        <v>78.35299999999999</v>
      </c>
      <c r="AL212" t="n">
        <v>6653.0384</v>
      </c>
      <c r="AM212" t="n">
        <v>8533.5106</v>
      </c>
      <c r="AN212" t="n">
        <v>0.95</v>
      </c>
      <c r="AO212" t="inlineStr">
        <is>
          <t>Medium</t>
        </is>
      </c>
      <c r="AP212" t="inlineStr">
        <is>
          <t>On Track to Glide Path</t>
        </is>
      </c>
    </row>
    <row r="213">
      <c r="A213" t="inlineStr">
        <is>
          <t>SUP-0014</t>
        </is>
      </c>
      <c r="B213" t="inlineStr">
        <is>
          <t>Textiles Supplier 014</t>
        </is>
      </c>
      <c r="C213" t="inlineStr">
        <is>
          <t>Textiles</t>
        </is>
      </c>
      <c r="D213" t="n">
        <v>2024</v>
      </c>
      <c r="E213" t="n">
        <v>2015</v>
      </c>
      <c r="F213" t="n">
        <v>2030</v>
      </c>
      <c r="G213" t="n">
        <v>4273.9353</v>
      </c>
      <c r="H213" t="n">
        <v>488.1233</v>
      </c>
      <c r="I213" t="n">
        <v>460.1649</v>
      </c>
      <c r="J213" t="n">
        <v>3618.1924</v>
      </c>
      <c r="K213" t="n">
        <v>24664450.64</v>
      </c>
      <c r="L213" t="n">
        <v>213988750.54</v>
      </c>
      <c r="M213" t="n">
        <v>4273.9353</v>
      </c>
      <c r="N213" t="inlineStr">
        <is>
          <t>Provided Total Emissions</t>
        </is>
      </c>
      <c r="O213" t="b">
        <v>1</v>
      </c>
      <c r="P213" t="n">
        <v>0.015957</v>
      </c>
      <c r="Q213" t="n">
        <v>0.071519</v>
      </c>
      <c r="R213" t="n">
        <v>7207.1991</v>
      </c>
      <c r="S213" t="n">
        <v>37112.069</v>
      </c>
      <c r="T213" t="n">
        <v>2933.2638</v>
      </c>
      <c r="U213" t="n">
        <v>32838.1337</v>
      </c>
      <c r="V213" t="n">
        <v>0.686315</v>
      </c>
      <c r="W213" t="n">
        <v>7.683348</v>
      </c>
      <c r="X213" t="inlineStr">
        <is>
          <t>High</t>
        </is>
      </c>
      <c r="Y213" t="inlineStr">
        <is>
          <t>None</t>
        </is>
      </c>
      <c r="Z213" t="inlineStr">
        <is>
          <t>Valid</t>
        </is>
      </c>
      <c r="AA213" t="n">
        <v>2028</v>
      </c>
      <c r="AB213" t="inlineStr">
        <is>
          <t>Industry Haircut Pathway</t>
        </is>
      </c>
      <c r="AC213" t="n">
        <v>3706.3867</v>
      </c>
      <c r="AD213" t="n">
        <v>2531.0915</v>
      </c>
      <c r="AE213" t="n">
        <v>2687.7975</v>
      </c>
      <c r="AF213" t="n">
        <v>2687.7975</v>
      </c>
      <c r="AG213" t="n">
        <v>1018.5892</v>
      </c>
      <c r="AH213" t="n">
        <v>0.00010897</v>
      </c>
      <c r="AI213" t="n">
        <v>0.27482</v>
      </c>
      <c r="AJ213" t="n">
        <v>156.706</v>
      </c>
      <c r="AK213" t="n">
        <v>78.35299999999999</v>
      </c>
      <c r="AL213" t="n">
        <v>3965.2409</v>
      </c>
      <c r="AM213" t="n">
        <v>11221.3081</v>
      </c>
      <c r="AN213" t="n">
        <v>0.95</v>
      </c>
      <c r="AO213" t="inlineStr">
        <is>
          <t>Medium</t>
        </is>
      </c>
      <c r="AP213" t="inlineStr">
        <is>
          <t>On Track to Glide Path</t>
        </is>
      </c>
    </row>
    <row r="214">
      <c r="A214" t="inlineStr">
        <is>
          <t>SUP-0014</t>
        </is>
      </c>
      <c r="B214" t="inlineStr">
        <is>
          <t>Textiles Supplier 014</t>
        </is>
      </c>
      <c r="C214" t="inlineStr">
        <is>
          <t>Textiles</t>
        </is>
      </c>
      <c r="D214" t="n">
        <v>2024</v>
      </c>
      <c r="E214" t="n">
        <v>2015</v>
      </c>
      <c r="F214" t="n">
        <v>2030</v>
      </c>
      <c r="G214" t="n">
        <v>4273.9353</v>
      </c>
      <c r="H214" t="n">
        <v>488.1233</v>
      </c>
      <c r="I214" t="n">
        <v>460.1649</v>
      </c>
      <c r="J214" t="n">
        <v>3618.1924</v>
      </c>
      <c r="K214" t="n">
        <v>24664450.64</v>
      </c>
      <c r="L214" t="n">
        <v>213988750.54</v>
      </c>
      <c r="M214" t="n">
        <v>4273.9353</v>
      </c>
      <c r="N214" t="inlineStr">
        <is>
          <t>Provided Total Emissions</t>
        </is>
      </c>
      <c r="O214" t="b">
        <v>1</v>
      </c>
      <c r="P214" t="n">
        <v>0.015957</v>
      </c>
      <c r="Q214" t="n">
        <v>0.071519</v>
      </c>
      <c r="R214" t="n">
        <v>7207.1991</v>
      </c>
      <c r="S214" t="n">
        <v>37112.069</v>
      </c>
      <c r="T214" t="n">
        <v>2933.2638</v>
      </c>
      <c r="U214" t="n">
        <v>32838.1337</v>
      </c>
      <c r="V214" t="n">
        <v>0.686315</v>
      </c>
      <c r="W214" t="n">
        <v>7.683348</v>
      </c>
      <c r="X214" t="inlineStr">
        <is>
          <t>High</t>
        </is>
      </c>
      <c r="Y214" t="inlineStr">
        <is>
          <t>None</t>
        </is>
      </c>
      <c r="Z214" t="inlineStr">
        <is>
          <t>Valid</t>
        </is>
      </c>
      <c r="AA214" t="n">
        <v>2029</v>
      </c>
      <c r="AB214" t="inlineStr">
        <is>
          <t>Industry Haircut Pathway</t>
        </is>
      </c>
      <c r="AC214" t="n">
        <v>3706.3867</v>
      </c>
      <c r="AD214" t="n">
        <v>2531.0915</v>
      </c>
      <c r="AE214" t="n">
        <v>2609.4445</v>
      </c>
      <c r="AF214" t="n">
        <v>2609.4445</v>
      </c>
      <c r="AG214" t="n">
        <v>1096.9422</v>
      </c>
      <c r="AH214" t="n">
        <v>0.0001058</v>
      </c>
      <c r="AI214" t="n">
        <v>0.29596</v>
      </c>
      <c r="AJ214" t="n">
        <v>78.35299999999999</v>
      </c>
      <c r="AK214" t="n">
        <v>78.35299999999999</v>
      </c>
      <c r="AL214" t="n">
        <v>1355.7964</v>
      </c>
      <c r="AM214" t="n">
        <v>13830.7526</v>
      </c>
      <c r="AN214" t="n">
        <v>0.95</v>
      </c>
      <c r="AO214" t="inlineStr">
        <is>
          <t>Medium</t>
        </is>
      </c>
      <c r="AP214" t="inlineStr">
        <is>
          <t>On Track to Glide Path</t>
        </is>
      </c>
    </row>
    <row r="215">
      <c r="A215" t="inlineStr">
        <is>
          <t>SUP-0014</t>
        </is>
      </c>
      <c r="B215" t="inlineStr">
        <is>
          <t>Textiles Supplier 014</t>
        </is>
      </c>
      <c r="C215" t="inlineStr">
        <is>
          <t>Textiles</t>
        </is>
      </c>
      <c r="D215" t="n">
        <v>2024</v>
      </c>
      <c r="E215" t="n">
        <v>2015</v>
      </c>
      <c r="F215" t="n">
        <v>2030</v>
      </c>
      <c r="G215" t="n">
        <v>4273.9353</v>
      </c>
      <c r="H215" t="n">
        <v>488.1233</v>
      </c>
      <c r="I215" t="n">
        <v>460.1649</v>
      </c>
      <c r="J215" t="n">
        <v>3618.1924</v>
      </c>
      <c r="K215" t="n">
        <v>24664450.64</v>
      </c>
      <c r="L215" t="n">
        <v>213988750.54</v>
      </c>
      <c r="M215" t="n">
        <v>4273.9353</v>
      </c>
      <c r="N215" t="inlineStr">
        <is>
          <t>Provided Total Emissions</t>
        </is>
      </c>
      <c r="O215" t="b">
        <v>1</v>
      </c>
      <c r="P215" t="n">
        <v>0.015957</v>
      </c>
      <c r="Q215" t="n">
        <v>0.071519</v>
      </c>
      <c r="R215" t="n">
        <v>7207.1991</v>
      </c>
      <c r="S215" t="n">
        <v>37112.069</v>
      </c>
      <c r="T215" t="n">
        <v>2933.2638</v>
      </c>
      <c r="U215" t="n">
        <v>32838.1337</v>
      </c>
      <c r="V215" t="n">
        <v>0.686315</v>
      </c>
      <c r="W215" t="n">
        <v>7.683348</v>
      </c>
      <c r="X215" t="inlineStr">
        <is>
          <t>High</t>
        </is>
      </c>
      <c r="Y215" t="inlineStr">
        <is>
          <t>None</t>
        </is>
      </c>
      <c r="Z215" t="inlineStr">
        <is>
          <t>Valid</t>
        </is>
      </c>
      <c r="AA215" t="n">
        <v>2030</v>
      </c>
      <c r="AB215" t="inlineStr">
        <is>
          <t>Industry Haircut Pathway</t>
        </is>
      </c>
      <c r="AC215" t="n">
        <v>3706.3867</v>
      </c>
      <c r="AD215" t="n">
        <v>2531.0915</v>
      </c>
      <c r="AE215" t="n">
        <v>2531.0915</v>
      </c>
      <c r="AF215" t="n">
        <v>2531.0915</v>
      </c>
      <c r="AG215" t="n">
        <v>1175.2952</v>
      </c>
      <c r="AH215" t="n">
        <v>0.00010262</v>
      </c>
      <c r="AI215" t="n">
        <v>0.3171</v>
      </c>
      <c r="AJ215" t="n">
        <v>0</v>
      </c>
      <c r="AK215" t="n">
        <v>78.35299999999999</v>
      </c>
      <c r="AL215" t="n">
        <v>-1175.2951</v>
      </c>
      <c r="AM215" t="n">
        <v>16361.8441</v>
      </c>
      <c r="AN215" t="n">
        <v>0.95</v>
      </c>
      <c r="AO215" t="inlineStr">
        <is>
          <t>Low</t>
        </is>
      </c>
      <c r="AP215" t="inlineStr">
        <is>
          <t>On Track</t>
        </is>
      </c>
    </row>
    <row r="216">
      <c r="A216" t="inlineStr">
        <is>
          <t>SUP-0014</t>
        </is>
      </c>
      <c r="B216" t="inlineStr">
        <is>
          <t>Textiles Supplier 014</t>
        </is>
      </c>
      <c r="C216" t="inlineStr">
        <is>
          <t>Textiles</t>
        </is>
      </c>
      <c r="D216" t="n">
        <v>2024</v>
      </c>
      <c r="E216" t="n">
        <v>2015</v>
      </c>
      <c r="F216" t="n">
        <v>2030</v>
      </c>
      <c r="G216" t="n">
        <v>4273.9353</v>
      </c>
      <c r="H216" t="n">
        <v>488.1233</v>
      </c>
      <c r="I216" t="n">
        <v>460.1649</v>
      </c>
      <c r="J216" t="n">
        <v>3618.1924</v>
      </c>
      <c r="K216" t="n">
        <v>24664450.64</v>
      </c>
      <c r="L216" t="n">
        <v>213988750.54</v>
      </c>
      <c r="M216" t="n">
        <v>4273.9353</v>
      </c>
      <c r="N216" t="inlineStr">
        <is>
          <t>Provided Total Emissions</t>
        </is>
      </c>
      <c r="O216" t="b">
        <v>1</v>
      </c>
      <c r="P216" t="n">
        <v>0.015957</v>
      </c>
      <c r="Q216" t="n">
        <v>0.071519</v>
      </c>
      <c r="R216" t="n">
        <v>7207.1991</v>
      </c>
      <c r="S216" t="n">
        <v>37112.069</v>
      </c>
      <c r="T216" t="n">
        <v>2933.2638</v>
      </c>
      <c r="U216" t="n">
        <v>32838.1337</v>
      </c>
      <c r="V216" t="n">
        <v>0.686315</v>
      </c>
      <c r="W216" t="n">
        <v>7.683348</v>
      </c>
      <c r="X216" t="inlineStr">
        <is>
          <t>High</t>
        </is>
      </c>
      <c r="Y216" t="inlineStr">
        <is>
          <t>None</t>
        </is>
      </c>
      <c r="Z216" t="inlineStr">
        <is>
          <t>Valid</t>
        </is>
      </c>
      <c r="AA216" t="n">
        <v>2031</v>
      </c>
      <c r="AB216" t="inlineStr">
        <is>
          <t>Industry Haircut Pathway</t>
        </is>
      </c>
      <c r="AC216" t="n">
        <v>3706.3867</v>
      </c>
      <c r="AD216" t="n">
        <v>2531.0915</v>
      </c>
      <c r="AE216" t="n">
        <v>2531.0915</v>
      </c>
      <c r="AF216" t="n">
        <v>2531.0915</v>
      </c>
      <c r="AG216" t="n">
        <v>1175.2952</v>
      </c>
      <c r="AH216" t="n">
        <v>0.00010262</v>
      </c>
      <c r="AI216" t="n">
        <v>0.3171</v>
      </c>
      <c r="AJ216" t="n">
        <v>0</v>
      </c>
      <c r="AK216" t="n">
        <v>78.35299999999999</v>
      </c>
      <c r="AL216" t="n">
        <v>-3706.3866</v>
      </c>
      <c r="AM216" t="n">
        <v>18892.9356</v>
      </c>
      <c r="AN216" t="n">
        <v>0.95</v>
      </c>
      <c r="AO216" t="inlineStr">
        <is>
          <t>Low</t>
        </is>
      </c>
      <c r="AP216" t="inlineStr">
        <is>
          <t>On Track</t>
        </is>
      </c>
    </row>
    <row r="217">
      <c r="A217" t="inlineStr">
        <is>
          <t>SUP-0014</t>
        </is>
      </c>
      <c r="B217" t="inlineStr">
        <is>
          <t>Textiles Supplier 014</t>
        </is>
      </c>
      <c r="C217" t="inlineStr">
        <is>
          <t>Textiles</t>
        </is>
      </c>
      <c r="D217" t="n">
        <v>2024</v>
      </c>
      <c r="E217" t="n">
        <v>2015</v>
      </c>
      <c r="F217" t="n">
        <v>2030</v>
      </c>
      <c r="G217" t="n">
        <v>4273.9353</v>
      </c>
      <c r="H217" t="n">
        <v>488.1233</v>
      </c>
      <c r="I217" t="n">
        <v>460.1649</v>
      </c>
      <c r="J217" t="n">
        <v>3618.1924</v>
      </c>
      <c r="K217" t="n">
        <v>24664450.64</v>
      </c>
      <c r="L217" t="n">
        <v>213988750.54</v>
      </c>
      <c r="M217" t="n">
        <v>4273.9353</v>
      </c>
      <c r="N217" t="inlineStr">
        <is>
          <t>Provided Total Emissions</t>
        </is>
      </c>
      <c r="O217" t="b">
        <v>1</v>
      </c>
      <c r="P217" t="n">
        <v>0.015957</v>
      </c>
      <c r="Q217" t="n">
        <v>0.071519</v>
      </c>
      <c r="R217" t="n">
        <v>7207.1991</v>
      </c>
      <c r="S217" t="n">
        <v>37112.069</v>
      </c>
      <c r="T217" t="n">
        <v>2933.2638</v>
      </c>
      <c r="U217" t="n">
        <v>32838.1337</v>
      </c>
      <c r="V217" t="n">
        <v>0.686315</v>
      </c>
      <c r="W217" t="n">
        <v>7.683348</v>
      </c>
      <c r="X217" t="inlineStr">
        <is>
          <t>High</t>
        </is>
      </c>
      <c r="Y217" t="inlineStr">
        <is>
          <t>None</t>
        </is>
      </c>
      <c r="Z217" t="inlineStr">
        <is>
          <t>Valid</t>
        </is>
      </c>
      <c r="AA217" t="n">
        <v>2032</v>
      </c>
      <c r="AB217" t="inlineStr">
        <is>
          <t>Industry Haircut Pathway</t>
        </is>
      </c>
      <c r="AC217" t="n">
        <v>3706.3867</v>
      </c>
      <c r="AD217" t="n">
        <v>2531.0915</v>
      </c>
      <c r="AE217" t="n">
        <v>2531.0915</v>
      </c>
      <c r="AF217" t="n">
        <v>2531.0915</v>
      </c>
      <c r="AG217" t="n">
        <v>1175.2952</v>
      </c>
      <c r="AH217" t="n">
        <v>0.00010262</v>
      </c>
      <c r="AI217" t="n">
        <v>0.3171</v>
      </c>
      <c r="AJ217" t="n">
        <v>0</v>
      </c>
      <c r="AK217" t="n">
        <v>78.35299999999999</v>
      </c>
      <c r="AL217" t="n">
        <v>-6237.4781</v>
      </c>
      <c r="AM217" t="n">
        <v>21424.0271</v>
      </c>
      <c r="AN217" t="n">
        <v>0.95</v>
      </c>
      <c r="AO217" t="inlineStr">
        <is>
          <t>Low</t>
        </is>
      </c>
      <c r="AP217" t="inlineStr">
        <is>
          <t>On Track</t>
        </is>
      </c>
    </row>
    <row r="218">
      <c r="A218" t="inlineStr">
        <is>
          <t>SUP-0014</t>
        </is>
      </c>
      <c r="B218" t="inlineStr">
        <is>
          <t>Textiles Supplier 014</t>
        </is>
      </c>
      <c r="C218" t="inlineStr">
        <is>
          <t>Textiles</t>
        </is>
      </c>
      <c r="D218" t="n">
        <v>2024</v>
      </c>
      <c r="E218" t="n">
        <v>2015</v>
      </c>
      <c r="F218" t="n">
        <v>2030</v>
      </c>
      <c r="G218" t="n">
        <v>4273.9353</v>
      </c>
      <c r="H218" t="n">
        <v>488.1233</v>
      </c>
      <c r="I218" t="n">
        <v>460.1649</v>
      </c>
      <c r="J218" t="n">
        <v>3618.1924</v>
      </c>
      <c r="K218" t="n">
        <v>24664450.64</v>
      </c>
      <c r="L218" t="n">
        <v>213988750.54</v>
      </c>
      <c r="M218" t="n">
        <v>4273.9353</v>
      </c>
      <c r="N218" t="inlineStr">
        <is>
          <t>Provided Total Emissions</t>
        </is>
      </c>
      <c r="O218" t="b">
        <v>1</v>
      </c>
      <c r="P218" t="n">
        <v>0.015957</v>
      </c>
      <c r="Q218" t="n">
        <v>0.071519</v>
      </c>
      <c r="R218" t="n">
        <v>7207.1991</v>
      </c>
      <c r="S218" t="n">
        <v>37112.069</v>
      </c>
      <c r="T218" t="n">
        <v>2933.2638</v>
      </c>
      <c r="U218" t="n">
        <v>32838.1337</v>
      </c>
      <c r="V218" t="n">
        <v>0.686315</v>
      </c>
      <c r="W218" t="n">
        <v>7.683348</v>
      </c>
      <c r="X218" t="inlineStr">
        <is>
          <t>High</t>
        </is>
      </c>
      <c r="Y218" t="inlineStr">
        <is>
          <t>None</t>
        </is>
      </c>
      <c r="Z218" t="inlineStr">
        <is>
          <t>Valid</t>
        </is>
      </c>
      <c r="AA218" t="n">
        <v>2033</v>
      </c>
      <c r="AB218" t="inlineStr">
        <is>
          <t>Industry Haircut Pathway</t>
        </is>
      </c>
      <c r="AC218" t="n">
        <v>3706.3867</v>
      </c>
      <c r="AD218" t="n">
        <v>2531.0915</v>
      </c>
      <c r="AE218" t="n">
        <v>2531.0915</v>
      </c>
      <c r="AF218" t="n">
        <v>2531.0915</v>
      </c>
      <c r="AG218" t="n">
        <v>1175.2952</v>
      </c>
      <c r="AH218" t="n">
        <v>0.00010262</v>
      </c>
      <c r="AI218" t="n">
        <v>0.3171</v>
      </c>
      <c r="AJ218" t="n">
        <v>0</v>
      </c>
      <c r="AK218" t="n">
        <v>78.35299999999999</v>
      </c>
      <c r="AL218" t="n">
        <v>-8768.569600000001</v>
      </c>
      <c r="AM218" t="n">
        <v>23955.1186</v>
      </c>
      <c r="AN218" t="n">
        <v>0.95</v>
      </c>
      <c r="AO218" t="inlineStr">
        <is>
          <t>Low</t>
        </is>
      </c>
      <c r="AP218" t="inlineStr">
        <is>
          <t>On Track</t>
        </is>
      </c>
    </row>
    <row r="219">
      <c r="A219" t="inlineStr">
        <is>
          <t>SUP-0014</t>
        </is>
      </c>
      <c r="B219" t="inlineStr">
        <is>
          <t>Textiles Supplier 014</t>
        </is>
      </c>
      <c r="C219" t="inlineStr">
        <is>
          <t>Textiles</t>
        </is>
      </c>
      <c r="D219" t="n">
        <v>2024</v>
      </c>
      <c r="E219" t="n">
        <v>2015</v>
      </c>
      <c r="F219" t="n">
        <v>2030</v>
      </c>
      <c r="G219" t="n">
        <v>4273.9353</v>
      </c>
      <c r="H219" t="n">
        <v>488.1233</v>
      </c>
      <c r="I219" t="n">
        <v>460.1649</v>
      </c>
      <c r="J219" t="n">
        <v>3618.1924</v>
      </c>
      <c r="K219" t="n">
        <v>24664450.64</v>
      </c>
      <c r="L219" t="n">
        <v>213988750.54</v>
      </c>
      <c r="M219" t="n">
        <v>4273.9353</v>
      </c>
      <c r="N219" t="inlineStr">
        <is>
          <t>Provided Total Emissions</t>
        </is>
      </c>
      <c r="O219" t="b">
        <v>1</v>
      </c>
      <c r="P219" t="n">
        <v>0.015957</v>
      </c>
      <c r="Q219" t="n">
        <v>0.071519</v>
      </c>
      <c r="R219" t="n">
        <v>7207.1991</v>
      </c>
      <c r="S219" t="n">
        <v>37112.069</v>
      </c>
      <c r="T219" t="n">
        <v>2933.2638</v>
      </c>
      <c r="U219" t="n">
        <v>32838.1337</v>
      </c>
      <c r="V219" t="n">
        <v>0.686315</v>
      </c>
      <c r="W219" t="n">
        <v>7.683348</v>
      </c>
      <c r="X219" t="inlineStr">
        <is>
          <t>High</t>
        </is>
      </c>
      <c r="Y219" t="inlineStr">
        <is>
          <t>None</t>
        </is>
      </c>
      <c r="Z219" t="inlineStr">
        <is>
          <t>Valid</t>
        </is>
      </c>
      <c r="AA219" t="n">
        <v>2034</v>
      </c>
      <c r="AB219" t="inlineStr">
        <is>
          <t>Industry Haircut Pathway</t>
        </is>
      </c>
      <c r="AC219" t="n">
        <v>3706.3867</v>
      </c>
      <c r="AD219" t="n">
        <v>2531.0915</v>
      </c>
      <c r="AE219" t="n">
        <v>2531.0915</v>
      </c>
      <c r="AF219" t="n">
        <v>2531.0915</v>
      </c>
      <c r="AG219" t="n">
        <v>1175.2952</v>
      </c>
      <c r="AH219" t="n">
        <v>0.00010262</v>
      </c>
      <c r="AI219" t="n">
        <v>0.3171</v>
      </c>
      <c r="AJ219" t="n">
        <v>0</v>
      </c>
      <c r="AK219" t="n">
        <v>78.35299999999999</v>
      </c>
      <c r="AL219" t="n">
        <v>-11299.6611</v>
      </c>
      <c r="AM219" t="n">
        <v>26486.2101</v>
      </c>
      <c r="AN219" t="n">
        <v>0.95</v>
      </c>
      <c r="AO219" t="inlineStr">
        <is>
          <t>Low</t>
        </is>
      </c>
      <c r="AP219" t="inlineStr">
        <is>
          <t>On Track</t>
        </is>
      </c>
    </row>
    <row r="220">
      <c r="A220" t="inlineStr">
        <is>
          <t>SUP-0014</t>
        </is>
      </c>
      <c r="B220" t="inlineStr">
        <is>
          <t>Textiles Supplier 014</t>
        </is>
      </c>
      <c r="C220" t="inlineStr">
        <is>
          <t>Textiles</t>
        </is>
      </c>
      <c r="D220" t="n">
        <v>2024</v>
      </c>
      <c r="E220" t="n">
        <v>2015</v>
      </c>
      <c r="F220" t="n">
        <v>2030</v>
      </c>
      <c r="G220" t="n">
        <v>4273.9353</v>
      </c>
      <c r="H220" t="n">
        <v>488.1233</v>
      </c>
      <c r="I220" t="n">
        <v>460.1649</v>
      </c>
      <c r="J220" t="n">
        <v>3618.1924</v>
      </c>
      <c r="K220" t="n">
        <v>24664450.64</v>
      </c>
      <c r="L220" t="n">
        <v>213988750.54</v>
      </c>
      <c r="M220" t="n">
        <v>4273.9353</v>
      </c>
      <c r="N220" t="inlineStr">
        <is>
          <t>Provided Total Emissions</t>
        </is>
      </c>
      <c r="O220" t="b">
        <v>1</v>
      </c>
      <c r="P220" t="n">
        <v>0.015957</v>
      </c>
      <c r="Q220" t="n">
        <v>0.071519</v>
      </c>
      <c r="R220" t="n">
        <v>7207.1991</v>
      </c>
      <c r="S220" t="n">
        <v>37112.069</v>
      </c>
      <c r="T220" t="n">
        <v>2933.2638</v>
      </c>
      <c r="U220" t="n">
        <v>32838.1337</v>
      </c>
      <c r="V220" t="n">
        <v>0.686315</v>
      </c>
      <c r="W220" t="n">
        <v>7.683348</v>
      </c>
      <c r="X220" t="inlineStr">
        <is>
          <t>High</t>
        </is>
      </c>
      <c r="Y220" t="inlineStr">
        <is>
          <t>None</t>
        </is>
      </c>
      <c r="Z220" t="inlineStr">
        <is>
          <t>Valid</t>
        </is>
      </c>
      <c r="AA220" t="n">
        <v>2035</v>
      </c>
      <c r="AB220" t="inlineStr">
        <is>
          <t>Industry Haircut Pathway</t>
        </is>
      </c>
      <c r="AC220" t="n">
        <v>3706.3867</v>
      </c>
      <c r="AD220" t="n">
        <v>2531.0915</v>
      </c>
      <c r="AE220" t="n">
        <v>2531.0915</v>
      </c>
      <c r="AF220" t="n">
        <v>2531.0915</v>
      </c>
      <c r="AG220" t="n">
        <v>1175.2952</v>
      </c>
      <c r="AH220" t="n">
        <v>0.00010262</v>
      </c>
      <c r="AI220" t="n">
        <v>0.3171</v>
      </c>
      <c r="AJ220" t="n">
        <v>0</v>
      </c>
      <c r="AK220" t="n">
        <v>78.35299999999999</v>
      </c>
      <c r="AL220" t="n">
        <v>-13830.7526</v>
      </c>
      <c r="AM220" t="n">
        <v>29017.3016</v>
      </c>
      <c r="AN220" t="n">
        <v>0.95</v>
      </c>
      <c r="AO220" t="inlineStr">
        <is>
          <t>Low</t>
        </is>
      </c>
      <c r="AP220" t="inlineStr">
        <is>
          <t>On Track</t>
        </is>
      </c>
    </row>
    <row r="221">
      <c r="A221" t="inlineStr">
        <is>
          <t>SUP-0014</t>
        </is>
      </c>
      <c r="B221" t="inlineStr">
        <is>
          <t>Textiles Supplier 014</t>
        </is>
      </c>
      <c r="C221" t="inlineStr">
        <is>
          <t>Textiles</t>
        </is>
      </c>
      <c r="D221" t="n">
        <v>2024</v>
      </c>
      <c r="E221" t="n">
        <v>2015</v>
      </c>
      <c r="F221" t="n">
        <v>2030</v>
      </c>
      <c r="G221" t="n">
        <v>4273.9353</v>
      </c>
      <c r="H221" t="n">
        <v>488.1233</v>
      </c>
      <c r="I221" t="n">
        <v>460.1649</v>
      </c>
      <c r="J221" t="n">
        <v>3618.1924</v>
      </c>
      <c r="K221" t="n">
        <v>24664450.64</v>
      </c>
      <c r="L221" t="n">
        <v>213988750.54</v>
      </c>
      <c r="M221" t="n">
        <v>4273.9353</v>
      </c>
      <c r="N221" t="inlineStr">
        <is>
          <t>Provided Total Emissions</t>
        </is>
      </c>
      <c r="O221" t="b">
        <v>1</v>
      </c>
      <c r="P221" t="n">
        <v>0.015957</v>
      </c>
      <c r="Q221" t="n">
        <v>0.071519</v>
      </c>
      <c r="R221" t="n">
        <v>7207.1991</v>
      </c>
      <c r="S221" t="n">
        <v>37112.069</v>
      </c>
      <c r="T221" t="n">
        <v>2933.2638</v>
      </c>
      <c r="U221" t="n">
        <v>32838.1337</v>
      </c>
      <c r="V221" t="n">
        <v>0.686315</v>
      </c>
      <c r="W221" t="n">
        <v>7.683348</v>
      </c>
      <c r="X221" t="inlineStr">
        <is>
          <t>High</t>
        </is>
      </c>
      <c r="Y221" t="inlineStr">
        <is>
          <t>None</t>
        </is>
      </c>
      <c r="Z221" t="inlineStr">
        <is>
          <t>Valid</t>
        </is>
      </c>
      <c r="AA221" t="n">
        <v>2036</v>
      </c>
      <c r="AB221" t="inlineStr">
        <is>
          <t>Industry Haircut Pathway</t>
        </is>
      </c>
      <c r="AC221" t="n">
        <v>3706.3867</v>
      </c>
      <c r="AD221" t="n">
        <v>2531.0915</v>
      </c>
      <c r="AE221" t="n">
        <v>2531.0915</v>
      </c>
      <c r="AF221" t="n">
        <v>2531.0915</v>
      </c>
      <c r="AG221" t="n">
        <v>1175.2952</v>
      </c>
      <c r="AH221" t="n">
        <v>0.00010262</v>
      </c>
      <c r="AI221" t="n">
        <v>0.3171</v>
      </c>
      <c r="AJ221" t="n">
        <v>0</v>
      </c>
      <c r="AK221" t="n">
        <v>78.35299999999999</v>
      </c>
      <c r="AL221" t="n">
        <v>-16361.8441</v>
      </c>
      <c r="AM221" t="n">
        <v>31548.3931</v>
      </c>
      <c r="AN221" t="n">
        <v>0.95</v>
      </c>
      <c r="AO221" t="inlineStr">
        <is>
          <t>Low</t>
        </is>
      </c>
      <c r="AP221" t="inlineStr">
        <is>
          <t>On Track</t>
        </is>
      </c>
    </row>
    <row r="222">
      <c r="A222" t="inlineStr">
        <is>
          <t>SUP-0014</t>
        </is>
      </c>
      <c r="B222" t="inlineStr">
        <is>
          <t>Textiles Supplier 014</t>
        </is>
      </c>
      <c r="C222" t="inlineStr">
        <is>
          <t>Textiles</t>
        </is>
      </c>
      <c r="D222" t="n">
        <v>2024</v>
      </c>
      <c r="E222" t="n">
        <v>2015</v>
      </c>
      <c r="F222" t="n">
        <v>2030</v>
      </c>
      <c r="G222" t="n">
        <v>4273.9353</v>
      </c>
      <c r="H222" t="n">
        <v>488.1233</v>
      </c>
      <c r="I222" t="n">
        <v>460.1649</v>
      </c>
      <c r="J222" t="n">
        <v>3618.1924</v>
      </c>
      <c r="K222" t="n">
        <v>24664450.64</v>
      </c>
      <c r="L222" t="n">
        <v>213988750.54</v>
      </c>
      <c r="M222" t="n">
        <v>4273.9353</v>
      </c>
      <c r="N222" t="inlineStr">
        <is>
          <t>Provided Total Emissions</t>
        </is>
      </c>
      <c r="O222" t="b">
        <v>1</v>
      </c>
      <c r="P222" t="n">
        <v>0.015957</v>
      </c>
      <c r="Q222" t="n">
        <v>0.071519</v>
      </c>
      <c r="R222" t="n">
        <v>7207.1991</v>
      </c>
      <c r="S222" t="n">
        <v>37112.069</v>
      </c>
      <c r="T222" t="n">
        <v>2933.2638</v>
      </c>
      <c r="U222" t="n">
        <v>32838.1337</v>
      </c>
      <c r="V222" t="n">
        <v>0.686315</v>
      </c>
      <c r="W222" t="n">
        <v>7.683348</v>
      </c>
      <c r="X222" t="inlineStr">
        <is>
          <t>High</t>
        </is>
      </c>
      <c r="Y222" t="inlineStr">
        <is>
          <t>None</t>
        </is>
      </c>
      <c r="Z222" t="inlineStr">
        <is>
          <t>Valid</t>
        </is>
      </c>
      <c r="AA222" t="n">
        <v>2037</v>
      </c>
      <c r="AB222" t="inlineStr">
        <is>
          <t>Industry Haircut Pathway</t>
        </is>
      </c>
      <c r="AC222" t="n">
        <v>3706.3867</v>
      </c>
      <c r="AD222" t="n">
        <v>2531.0915</v>
      </c>
      <c r="AE222" t="n">
        <v>2531.0915</v>
      </c>
      <c r="AF222" t="n">
        <v>2531.0915</v>
      </c>
      <c r="AG222" t="n">
        <v>1175.2952</v>
      </c>
      <c r="AH222" t="n">
        <v>0.00010262</v>
      </c>
      <c r="AI222" t="n">
        <v>0.3171</v>
      </c>
      <c r="AJ222" t="n">
        <v>0</v>
      </c>
      <c r="AK222" t="n">
        <v>78.35299999999999</v>
      </c>
      <c r="AL222" t="n">
        <v>-18892.9356</v>
      </c>
      <c r="AM222" t="n">
        <v>34079.4846</v>
      </c>
      <c r="AN222" t="n">
        <v>0.95</v>
      </c>
      <c r="AO222" t="inlineStr">
        <is>
          <t>Low</t>
        </is>
      </c>
      <c r="AP222" t="inlineStr">
        <is>
          <t>On Track</t>
        </is>
      </c>
    </row>
    <row r="223">
      <c r="A223" t="inlineStr">
        <is>
          <t>SUP-0014</t>
        </is>
      </c>
      <c r="B223" t="inlineStr">
        <is>
          <t>Textiles Supplier 014</t>
        </is>
      </c>
      <c r="C223" t="inlineStr">
        <is>
          <t>Textiles</t>
        </is>
      </c>
      <c r="D223" t="n">
        <v>2024</v>
      </c>
      <c r="E223" t="n">
        <v>2015</v>
      </c>
      <c r="F223" t="n">
        <v>2030</v>
      </c>
      <c r="G223" t="n">
        <v>4273.9353</v>
      </c>
      <c r="H223" t="n">
        <v>488.1233</v>
      </c>
      <c r="I223" t="n">
        <v>460.1649</v>
      </c>
      <c r="J223" t="n">
        <v>3618.1924</v>
      </c>
      <c r="K223" t="n">
        <v>24664450.64</v>
      </c>
      <c r="L223" t="n">
        <v>213988750.54</v>
      </c>
      <c r="M223" t="n">
        <v>4273.9353</v>
      </c>
      <c r="N223" t="inlineStr">
        <is>
          <t>Provided Total Emissions</t>
        </is>
      </c>
      <c r="O223" t="b">
        <v>1</v>
      </c>
      <c r="P223" t="n">
        <v>0.015957</v>
      </c>
      <c r="Q223" t="n">
        <v>0.071519</v>
      </c>
      <c r="R223" t="n">
        <v>7207.1991</v>
      </c>
      <c r="S223" t="n">
        <v>37112.069</v>
      </c>
      <c r="T223" t="n">
        <v>2933.2638</v>
      </c>
      <c r="U223" t="n">
        <v>32838.1337</v>
      </c>
      <c r="V223" t="n">
        <v>0.686315</v>
      </c>
      <c r="W223" t="n">
        <v>7.683348</v>
      </c>
      <c r="X223" t="inlineStr">
        <is>
          <t>High</t>
        </is>
      </c>
      <c r="Y223" t="inlineStr">
        <is>
          <t>None</t>
        </is>
      </c>
      <c r="Z223" t="inlineStr">
        <is>
          <t>Valid</t>
        </is>
      </c>
      <c r="AA223" t="n">
        <v>2038</v>
      </c>
      <c r="AB223" t="inlineStr">
        <is>
          <t>Industry Haircut Pathway</t>
        </is>
      </c>
      <c r="AC223" t="n">
        <v>3706.3867</v>
      </c>
      <c r="AD223" t="n">
        <v>2531.0915</v>
      </c>
      <c r="AE223" t="n">
        <v>2531.0915</v>
      </c>
      <c r="AF223" t="n">
        <v>2531.0915</v>
      </c>
      <c r="AG223" t="n">
        <v>1175.2952</v>
      </c>
      <c r="AH223" t="n">
        <v>0.00010262</v>
      </c>
      <c r="AI223" t="n">
        <v>0.3171</v>
      </c>
      <c r="AJ223" t="n">
        <v>0</v>
      </c>
      <c r="AK223" t="n">
        <v>78.35299999999999</v>
      </c>
      <c r="AL223" t="n">
        <v>-21424.0271</v>
      </c>
      <c r="AM223" t="n">
        <v>36610.5761</v>
      </c>
      <c r="AN223" t="n">
        <v>0.95</v>
      </c>
      <c r="AO223" t="inlineStr">
        <is>
          <t>Low</t>
        </is>
      </c>
      <c r="AP223" t="inlineStr">
        <is>
          <t>On Track</t>
        </is>
      </c>
    </row>
    <row r="224">
      <c r="A224" t="inlineStr">
        <is>
          <t>SUP-0014</t>
        </is>
      </c>
      <c r="B224" t="inlineStr">
        <is>
          <t>Textiles Supplier 014</t>
        </is>
      </c>
      <c r="C224" t="inlineStr">
        <is>
          <t>Textiles</t>
        </is>
      </c>
      <c r="D224" t="n">
        <v>2024</v>
      </c>
      <c r="E224" t="n">
        <v>2015</v>
      </c>
      <c r="F224" t="n">
        <v>2030</v>
      </c>
      <c r="G224" t="n">
        <v>4273.9353</v>
      </c>
      <c r="H224" t="n">
        <v>488.1233</v>
      </c>
      <c r="I224" t="n">
        <v>460.1649</v>
      </c>
      <c r="J224" t="n">
        <v>3618.1924</v>
      </c>
      <c r="K224" t="n">
        <v>24664450.64</v>
      </c>
      <c r="L224" t="n">
        <v>213988750.54</v>
      </c>
      <c r="M224" t="n">
        <v>4273.9353</v>
      </c>
      <c r="N224" t="inlineStr">
        <is>
          <t>Provided Total Emissions</t>
        </is>
      </c>
      <c r="O224" t="b">
        <v>1</v>
      </c>
      <c r="P224" t="n">
        <v>0.015957</v>
      </c>
      <c r="Q224" t="n">
        <v>0.071519</v>
      </c>
      <c r="R224" t="n">
        <v>7207.1991</v>
      </c>
      <c r="S224" t="n">
        <v>37112.069</v>
      </c>
      <c r="T224" t="n">
        <v>2933.2638</v>
      </c>
      <c r="U224" t="n">
        <v>32838.1337</v>
      </c>
      <c r="V224" t="n">
        <v>0.686315</v>
      </c>
      <c r="W224" t="n">
        <v>7.683348</v>
      </c>
      <c r="X224" t="inlineStr">
        <is>
          <t>High</t>
        </is>
      </c>
      <c r="Y224" t="inlineStr">
        <is>
          <t>None</t>
        </is>
      </c>
      <c r="Z224" t="inlineStr">
        <is>
          <t>Valid</t>
        </is>
      </c>
      <c r="AA224" t="n">
        <v>2039</v>
      </c>
      <c r="AB224" t="inlineStr">
        <is>
          <t>Industry Haircut Pathway</t>
        </is>
      </c>
      <c r="AC224" t="n">
        <v>3706.3867</v>
      </c>
      <c r="AD224" t="n">
        <v>2531.0915</v>
      </c>
      <c r="AE224" t="n">
        <v>2531.0915</v>
      </c>
      <c r="AF224" t="n">
        <v>2531.0915</v>
      </c>
      <c r="AG224" t="n">
        <v>1175.2952</v>
      </c>
      <c r="AH224" t="n">
        <v>0.00010262</v>
      </c>
      <c r="AI224" t="n">
        <v>0.3171</v>
      </c>
      <c r="AJ224" t="n">
        <v>0</v>
      </c>
      <c r="AK224" t="n">
        <v>78.35299999999999</v>
      </c>
      <c r="AL224" t="n">
        <v>-23955.1186</v>
      </c>
      <c r="AM224" t="n">
        <v>39141.6676</v>
      </c>
      <c r="AN224" t="n">
        <v>0.95</v>
      </c>
      <c r="AO224" t="inlineStr">
        <is>
          <t>Low</t>
        </is>
      </c>
      <c r="AP224" t="inlineStr">
        <is>
          <t>On Track</t>
        </is>
      </c>
    </row>
    <row r="225">
      <c r="A225" t="inlineStr">
        <is>
          <t>SUP-0014</t>
        </is>
      </c>
      <c r="B225" t="inlineStr">
        <is>
          <t>Textiles Supplier 014</t>
        </is>
      </c>
      <c r="C225" t="inlineStr">
        <is>
          <t>Textiles</t>
        </is>
      </c>
      <c r="D225" t="n">
        <v>2024</v>
      </c>
      <c r="E225" t="n">
        <v>2015</v>
      </c>
      <c r="F225" t="n">
        <v>2030</v>
      </c>
      <c r="G225" t="n">
        <v>4273.9353</v>
      </c>
      <c r="H225" t="n">
        <v>488.1233</v>
      </c>
      <c r="I225" t="n">
        <v>460.1649</v>
      </c>
      <c r="J225" t="n">
        <v>3618.1924</v>
      </c>
      <c r="K225" t="n">
        <v>24664450.64</v>
      </c>
      <c r="L225" t="n">
        <v>213988750.54</v>
      </c>
      <c r="M225" t="n">
        <v>4273.9353</v>
      </c>
      <c r="N225" t="inlineStr">
        <is>
          <t>Provided Total Emissions</t>
        </is>
      </c>
      <c r="O225" t="b">
        <v>1</v>
      </c>
      <c r="P225" t="n">
        <v>0.015957</v>
      </c>
      <c r="Q225" t="n">
        <v>0.071519</v>
      </c>
      <c r="R225" t="n">
        <v>7207.1991</v>
      </c>
      <c r="S225" t="n">
        <v>37112.069</v>
      </c>
      <c r="T225" t="n">
        <v>2933.2638</v>
      </c>
      <c r="U225" t="n">
        <v>32838.1337</v>
      </c>
      <c r="V225" t="n">
        <v>0.686315</v>
      </c>
      <c r="W225" t="n">
        <v>7.683348</v>
      </c>
      <c r="X225" t="inlineStr">
        <is>
          <t>High</t>
        </is>
      </c>
      <c r="Y225" t="inlineStr">
        <is>
          <t>None</t>
        </is>
      </c>
      <c r="Z225" t="inlineStr">
        <is>
          <t>Valid</t>
        </is>
      </c>
      <c r="AA225" t="n">
        <v>2040</v>
      </c>
      <c r="AB225" t="inlineStr">
        <is>
          <t>Industry Haircut Pathway</t>
        </is>
      </c>
      <c r="AC225" t="n">
        <v>3706.3867</v>
      </c>
      <c r="AD225" t="n">
        <v>2531.0915</v>
      </c>
      <c r="AE225" t="n">
        <v>2531.0915</v>
      </c>
      <c r="AF225" t="n">
        <v>2531.0915</v>
      </c>
      <c r="AG225" t="n">
        <v>1175.2952</v>
      </c>
      <c r="AH225" t="n">
        <v>0.00010262</v>
      </c>
      <c r="AI225" t="n">
        <v>0.3171</v>
      </c>
      <c r="AJ225" t="n">
        <v>0</v>
      </c>
      <c r="AK225" t="n">
        <v>78.35299999999999</v>
      </c>
      <c r="AL225" t="n">
        <v>-26486.2101</v>
      </c>
      <c r="AM225" t="n">
        <v>41672.7591</v>
      </c>
      <c r="AN225" t="n">
        <v>0.95</v>
      </c>
      <c r="AO225" t="inlineStr">
        <is>
          <t>Low</t>
        </is>
      </c>
      <c r="AP225" t="inlineStr">
        <is>
          <t>On Track</t>
        </is>
      </c>
    </row>
    <row r="226">
      <c r="A226" t="inlineStr">
        <is>
          <t>SUP-0015</t>
        </is>
      </c>
      <c r="B226" t="inlineStr">
        <is>
          <t>Packaging Supplier 015</t>
        </is>
      </c>
      <c r="C226" t="inlineStr">
        <is>
          <t>Packaging</t>
        </is>
      </c>
      <c r="D226" t="n">
        <v>2024</v>
      </c>
      <c r="E226" t="n">
        <v>2019</v>
      </c>
      <c r="F226" t="n">
        <v>2040</v>
      </c>
      <c r="G226" t="n">
        <v>33949.0529</v>
      </c>
      <c r="H226" t="n">
        <v>6231.8621</v>
      </c>
      <c r="I226" t="n">
        <v>5555.3183</v>
      </c>
      <c r="J226" t="n">
        <v>19678.3135</v>
      </c>
      <c r="K226" t="n">
        <v>19994189.82</v>
      </c>
      <c r="L226" t="n">
        <v>110798630.88</v>
      </c>
      <c r="M226" t="n">
        <v>33949.0529</v>
      </c>
      <c r="N226" t="inlineStr">
        <is>
          <t>Provided Total Emissions</t>
        </is>
      </c>
      <c r="O226" t="b">
        <v>1</v>
      </c>
      <c r="P226" t="n">
        <v>0.022315</v>
      </c>
      <c r="Q226" t="n">
        <v>0.015806</v>
      </c>
      <c r="R226" t="n">
        <v>21599.7233</v>
      </c>
      <c r="S226" t="n">
        <v>87471.0871</v>
      </c>
      <c r="T226" t="n">
        <v>-12349.3296</v>
      </c>
      <c r="U226" t="n">
        <v>53522.0342</v>
      </c>
      <c r="V226" t="n">
        <v>-0.363761</v>
      </c>
      <c r="W226" t="n">
        <v>1.57654</v>
      </c>
      <c r="X226" t="inlineStr">
        <is>
          <t>High</t>
        </is>
      </c>
      <c r="Y226" t="inlineStr">
        <is>
          <t>None</t>
        </is>
      </c>
      <c r="Z226" t="inlineStr">
        <is>
          <t>Valid</t>
        </is>
      </c>
      <c r="AA226" t="n">
        <v>2025</v>
      </c>
      <c r="AB226" t="inlineStr">
        <is>
          <t>Supplier Target Pathway</t>
        </is>
      </c>
      <c r="AC226" t="n">
        <v>34263.2294</v>
      </c>
      <c r="AD226" t="n">
        <v>25611.764</v>
      </c>
      <c r="AE226" t="n">
        <v>31791.3821</v>
      </c>
      <c r="AF226" t="n">
        <v>31791.3821</v>
      </c>
      <c r="AG226" t="n">
        <v>2471.8473</v>
      </c>
      <c r="AH226" t="n">
        <v>0.00159003</v>
      </c>
      <c r="AI226" t="n">
        <v>0.072143</v>
      </c>
      <c r="AJ226" t="n">
        <v>6179.6182</v>
      </c>
      <c r="AK226" t="n">
        <v>411.9745</v>
      </c>
      <c r="AL226" t="n">
        <v>377996.8419</v>
      </c>
      <c r="AM226" t="n">
        <v>31791.3821</v>
      </c>
      <c r="AN226" t="n">
        <v>0.99</v>
      </c>
      <c r="AO226" t="inlineStr">
        <is>
          <t>High</t>
        </is>
      </c>
      <c r="AP226" t="inlineStr">
        <is>
          <t>On Track to Glide Path</t>
        </is>
      </c>
    </row>
    <row r="227">
      <c r="A227" t="inlineStr">
        <is>
          <t>SUP-0015</t>
        </is>
      </c>
      <c r="B227" t="inlineStr">
        <is>
          <t>Packaging Supplier 015</t>
        </is>
      </c>
      <c r="C227" t="inlineStr">
        <is>
          <t>Packaging</t>
        </is>
      </c>
      <c r="D227" t="n">
        <v>2024</v>
      </c>
      <c r="E227" t="n">
        <v>2019</v>
      </c>
      <c r="F227" t="n">
        <v>2040</v>
      </c>
      <c r="G227" t="n">
        <v>33949.0529</v>
      </c>
      <c r="H227" t="n">
        <v>6231.8621</v>
      </c>
      <c r="I227" t="n">
        <v>5555.3183</v>
      </c>
      <c r="J227" t="n">
        <v>19678.3135</v>
      </c>
      <c r="K227" t="n">
        <v>19994189.82</v>
      </c>
      <c r="L227" t="n">
        <v>110798630.88</v>
      </c>
      <c r="M227" t="n">
        <v>33949.0529</v>
      </c>
      <c r="N227" t="inlineStr">
        <is>
          <t>Provided Total Emissions</t>
        </is>
      </c>
      <c r="O227" t="b">
        <v>1</v>
      </c>
      <c r="P227" t="n">
        <v>0.022315</v>
      </c>
      <c r="Q227" t="n">
        <v>0.015806</v>
      </c>
      <c r="R227" t="n">
        <v>21599.7233</v>
      </c>
      <c r="S227" t="n">
        <v>87471.0871</v>
      </c>
      <c r="T227" t="n">
        <v>-12349.3296</v>
      </c>
      <c r="U227" t="n">
        <v>53522.0342</v>
      </c>
      <c r="V227" t="n">
        <v>-0.363761</v>
      </c>
      <c r="W227" t="n">
        <v>1.57654</v>
      </c>
      <c r="X227" t="inlineStr">
        <is>
          <t>High</t>
        </is>
      </c>
      <c r="Y227" t="inlineStr">
        <is>
          <t>None</t>
        </is>
      </c>
      <c r="Z227" t="inlineStr">
        <is>
          <t>Valid</t>
        </is>
      </c>
      <c r="AA227" t="n">
        <v>2026</v>
      </c>
      <c r="AB227" t="inlineStr">
        <is>
          <t>Supplier Target Pathway</t>
        </is>
      </c>
      <c r="AC227" t="n">
        <v>34263.2294</v>
      </c>
      <c r="AD227" t="n">
        <v>25611.764</v>
      </c>
      <c r="AE227" t="n">
        <v>31379.4076</v>
      </c>
      <c r="AF227" t="n">
        <v>31379.4076</v>
      </c>
      <c r="AG227" t="n">
        <v>2883.8218</v>
      </c>
      <c r="AH227" t="n">
        <v>0.00156943</v>
      </c>
      <c r="AI227" t="n">
        <v>0.08416700000000001</v>
      </c>
      <c r="AJ227" t="n">
        <v>5767.6436</v>
      </c>
      <c r="AK227" t="n">
        <v>411.9745</v>
      </c>
      <c r="AL227" t="n">
        <v>346617.4343</v>
      </c>
      <c r="AM227" t="n">
        <v>63170.7897</v>
      </c>
      <c r="AN227" t="n">
        <v>0.99</v>
      </c>
      <c r="AO227" t="inlineStr">
        <is>
          <t>High</t>
        </is>
      </c>
      <c r="AP227" t="inlineStr">
        <is>
          <t>On Track to Glide Path</t>
        </is>
      </c>
    </row>
    <row r="228">
      <c r="A228" t="inlineStr">
        <is>
          <t>SUP-0015</t>
        </is>
      </c>
      <c r="B228" t="inlineStr">
        <is>
          <t>Packaging Supplier 015</t>
        </is>
      </c>
      <c r="C228" t="inlineStr">
        <is>
          <t>Packaging</t>
        </is>
      </c>
      <c r="D228" t="n">
        <v>2024</v>
      </c>
      <c r="E228" t="n">
        <v>2019</v>
      </c>
      <c r="F228" t="n">
        <v>2040</v>
      </c>
      <c r="G228" t="n">
        <v>33949.0529</v>
      </c>
      <c r="H228" t="n">
        <v>6231.8621</v>
      </c>
      <c r="I228" t="n">
        <v>5555.3183</v>
      </c>
      <c r="J228" t="n">
        <v>19678.3135</v>
      </c>
      <c r="K228" t="n">
        <v>19994189.82</v>
      </c>
      <c r="L228" t="n">
        <v>110798630.88</v>
      </c>
      <c r="M228" t="n">
        <v>33949.0529</v>
      </c>
      <c r="N228" t="inlineStr">
        <is>
          <t>Provided Total Emissions</t>
        </is>
      </c>
      <c r="O228" t="b">
        <v>1</v>
      </c>
      <c r="P228" t="n">
        <v>0.022315</v>
      </c>
      <c r="Q228" t="n">
        <v>0.015806</v>
      </c>
      <c r="R228" t="n">
        <v>21599.7233</v>
      </c>
      <c r="S228" t="n">
        <v>87471.0871</v>
      </c>
      <c r="T228" t="n">
        <v>-12349.3296</v>
      </c>
      <c r="U228" t="n">
        <v>53522.0342</v>
      </c>
      <c r="V228" t="n">
        <v>-0.363761</v>
      </c>
      <c r="W228" t="n">
        <v>1.57654</v>
      </c>
      <c r="X228" t="inlineStr">
        <is>
          <t>High</t>
        </is>
      </c>
      <c r="Y228" t="inlineStr">
        <is>
          <t>None</t>
        </is>
      </c>
      <c r="Z228" t="inlineStr">
        <is>
          <t>Valid</t>
        </is>
      </c>
      <c r="AA228" t="n">
        <v>2027</v>
      </c>
      <c r="AB228" t="inlineStr">
        <is>
          <t>Supplier Target Pathway</t>
        </is>
      </c>
      <c r="AC228" t="n">
        <v>34263.2294</v>
      </c>
      <c r="AD228" t="n">
        <v>25611.764</v>
      </c>
      <c r="AE228" t="n">
        <v>30967.433</v>
      </c>
      <c r="AF228" t="n">
        <v>30967.433</v>
      </c>
      <c r="AG228" t="n">
        <v>3295.7964</v>
      </c>
      <c r="AH228" t="n">
        <v>0.00154882</v>
      </c>
      <c r="AI228" t="n">
        <v>0.09619</v>
      </c>
      <c r="AJ228" t="n">
        <v>5355.6691</v>
      </c>
      <c r="AK228" t="n">
        <v>411.9745</v>
      </c>
      <c r="AL228" t="n">
        <v>315650.0013</v>
      </c>
      <c r="AM228" t="n">
        <v>94138.2227</v>
      </c>
      <c r="AN228" t="n">
        <v>0.99</v>
      </c>
      <c r="AO228" t="inlineStr">
        <is>
          <t>High</t>
        </is>
      </c>
      <c r="AP228" t="inlineStr">
        <is>
          <t>On Track to Glide Path</t>
        </is>
      </c>
    </row>
    <row r="229">
      <c r="A229" t="inlineStr">
        <is>
          <t>SUP-0015</t>
        </is>
      </c>
      <c r="B229" t="inlineStr">
        <is>
          <t>Packaging Supplier 015</t>
        </is>
      </c>
      <c r="C229" t="inlineStr">
        <is>
          <t>Packaging</t>
        </is>
      </c>
      <c r="D229" t="n">
        <v>2024</v>
      </c>
      <c r="E229" t="n">
        <v>2019</v>
      </c>
      <c r="F229" t="n">
        <v>2040</v>
      </c>
      <c r="G229" t="n">
        <v>33949.0529</v>
      </c>
      <c r="H229" t="n">
        <v>6231.8621</v>
      </c>
      <c r="I229" t="n">
        <v>5555.3183</v>
      </c>
      <c r="J229" t="n">
        <v>19678.3135</v>
      </c>
      <c r="K229" t="n">
        <v>19994189.82</v>
      </c>
      <c r="L229" t="n">
        <v>110798630.88</v>
      </c>
      <c r="M229" t="n">
        <v>33949.0529</v>
      </c>
      <c r="N229" t="inlineStr">
        <is>
          <t>Provided Total Emissions</t>
        </is>
      </c>
      <c r="O229" t="b">
        <v>1</v>
      </c>
      <c r="P229" t="n">
        <v>0.022315</v>
      </c>
      <c r="Q229" t="n">
        <v>0.015806</v>
      </c>
      <c r="R229" t="n">
        <v>21599.7233</v>
      </c>
      <c r="S229" t="n">
        <v>87471.0871</v>
      </c>
      <c r="T229" t="n">
        <v>-12349.3296</v>
      </c>
      <c r="U229" t="n">
        <v>53522.0342</v>
      </c>
      <c r="V229" t="n">
        <v>-0.363761</v>
      </c>
      <c r="W229" t="n">
        <v>1.57654</v>
      </c>
      <c r="X229" t="inlineStr">
        <is>
          <t>High</t>
        </is>
      </c>
      <c r="Y229" t="inlineStr">
        <is>
          <t>None</t>
        </is>
      </c>
      <c r="Z229" t="inlineStr">
        <is>
          <t>Valid</t>
        </is>
      </c>
      <c r="AA229" t="n">
        <v>2028</v>
      </c>
      <c r="AB229" t="inlineStr">
        <is>
          <t>Supplier Target Pathway</t>
        </is>
      </c>
      <c r="AC229" t="n">
        <v>34263.2294</v>
      </c>
      <c r="AD229" t="n">
        <v>25611.764</v>
      </c>
      <c r="AE229" t="n">
        <v>30555.4585</v>
      </c>
      <c r="AF229" t="n">
        <v>30555.4585</v>
      </c>
      <c r="AG229" t="n">
        <v>3707.7709</v>
      </c>
      <c r="AH229" t="n">
        <v>0.00152822</v>
      </c>
      <c r="AI229" t="n">
        <v>0.108214</v>
      </c>
      <c r="AJ229" t="n">
        <v>4943.6945</v>
      </c>
      <c r="AK229" t="n">
        <v>411.9745</v>
      </c>
      <c r="AL229" t="n">
        <v>285094.5428</v>
      </c>
      <c r="AM229" t="n">
        <v>124693.6812</v>
      </c>
      <c r="AN229" t="n">
        <v>0.99</v>
      </c>
      <c r="AO229" t="inlineStr">
        <is>
          <t>High</t>
        </is>
      </c>
      <c r="AP229" t="inlineStr">
        <is>
          <t>On Track to Glide Path</t>
        </is>
      </c>
    </row>
    <row r="230">
      <c r="A230" t="inlineStr">
        <is>
          <t>SUP-0015</t>
        </is>
      </c>
      <c r="B230" t="inlineStr">
        <is>
          <t>Packaging Supplier 015</t>
        </is>
      </c>
      <c r="C230" t="inlineStr">
        <is>
          <t>Packaging</t>
        </is>
      </c>
      <c r="D230" t="n">
        <v>2024</v>
      </c>
      <c r="E230" t="n">
        <v>2019</v>
      </c>
      <c r="F230" t="n">
        <v>2040</v>
      </c>
      <c r="G230" t="n">
        <v>33949.0529</v>
      </c>
      <c r="H230" t="n">
        <v>6231.8621</v>
      </c>
      <c r="I230" t="n">
        <v>5555.3183</v>
      </c>
      <c r="J230" t="n">
        <v>19678.3135</v>
      </c>
      <c r="K230" t="n">
        <v>19994189.82</v>
      </c>
      <c r="L230" t="n">
        <v>110798630.88</v>
      </c>
      <c r="M230" t="n">
        <v>33949.0529</v>
      </c>
      <c r="N230" t="inlineStr">
        <is>
          <t>Provided Total Emissions</t>
        </is>
      </c>
      <c r="O230" t="b">
        <v>1</v>
      </c>
      <c r="P230" t="n">
        <v>0.022315</v>
      </c>
      <c r="Q230" t="n">
        <v>0.015806</v>
      </c>
      <c r="R230" t="n">
        <v>21599.7233</v>
      </c>
      <c r="S230" t="n">
        <v>87471.0871</v>
      </c>
      <c r="T230" t="n">
        <v>-12349.3296</v>
      </c>
      <c r="U230" t="n">
        <v>53522.0342</v>
      </c>
      <c r="V230" t="n">
        <v>-0.363761</v>
      </c>
      <c r="W230" t="n">
        <v>1.57654</v>
      </c>
      <c r="X230" t="inlineStr">
        <is>
          <t>High</t>
        </is>
      </c>
      <c r="Y230" t="inlineStr">
        <is>
          <t>None</t>
        </is>
      </c>
      <c r="Z230" t="inlineStr">
        <is>
          <t>Valid</t>
        </is>
      </c>
      <c r="AA230" t="n">
        <v>2029</v>
      </c>
      <c r="AB230" t="inlineStr">
        <is>
          <t>Supplier Target Pathway</t>
        </is>
      </c>
      <c r="AC230" t="n">
        <v>34263.2294</v>
      </c>
      <c r="AD230" t="n">
        <v>25611.764</v>
      </c>
      <c r="AE230" t="n">
        <v>30143.484</v>
      </c>
      <c r="AF230" t="n">
        <v>30143.484</v>
      </c>
      <c r="AG230" t="n">
        <v>4119.7454</v>
      </c>
      <c r="AH230" t="n">
        <v>0.00150761</v>
      </c>
      <c r="AI230" t="n">
        <v>0.120238</v>
      </c>
      <c r="AJ230" t="n">
        <v>4531.72</v>
      </c>
      <c r="AK230" t="n">
        <v>411.9745</v>
      </c>
      <c r="AL230" t="n">
        <v>254951.0588</v>
      </c>
      <c r="AM230" t="n">
        <v>154837.1652</v>
      </c>
      <c r="AN230" t="n">
        <v>0.99</v>
      </c>
      <c r="AO230" t="inlineStr">
        <is>
          <t>High</t>
        </is>
      </c>
      <c r="AP230" t="inlineStr">
        <is>
          <t>On Track to Glide Path</t>
        </is>
      </c>
    </row>
    <row r="231">
      <c r="A231" t="inlineStr">
        <is>
          <t>SUP-0015</t>
        </is>
      </c>
      <c r="B231" t="inlineStr">
        <is>
          <t>Packaging Supplier 015</t>
        </is>
      </c>
      <c r="C231" t="inlineStr">
        <is>
          <t>Packaging</t>
        </is>
      </c>
      <c r="D231" t="n">
        <v>2024</v>
      </c>
      <c r="E231" t="n">
        <v>2019</v>
      </c>
      <c r="F231" t="n">
        <v>2040</v>
      </c>
      <c r="G231" t="n">
        <v>33949.0529</v>
      </c>
      <c r="H231" t="n">
        <v>6231.8621</v>
      </c>
      <c r="I231" t="n">
        <v>5555.3183</v>
      </c>
      <c r="J231" t="n">
        <v>19678.3135</v>
      </c>
      <c r="K231" t="n">
        <v>19994189.82</v>
      </c>
      <c r="L231" t="n">
        <v>110798630.88</v>
      </c>
      <c r="M231" t="n">
        <v>33949.0529</v>
      </c>
      <c r="N231" t="inlineStr">
        <is>
          <t>Provided Total Emissions</t>
        </is>
      </c>
      <c r="O231" t="b">
        <v>1</v>
      </c>
      <c r="P231" t="n">
        <v>0.022315</v>
      </c>
      <c r="Q231" t="n">
        <v>0.015806</v>
      </c>
      <c r="R231" t="n">
        <v>21599.7233</v>
      </c>
      <c r="S231" t="n">
        <v>87471.0871</v>
      </c>
      <c r="T231" t="n">
        <v>-12349.3296</v>
      </c>
      <c r="U231" t="n">
        <v>53522.0342</v>
      </c>
      <c r="V231" t="n">
        <v>-0.363761</v>
      </c>
      <c r="W231" t="n">
        <v>1.57654</v>
      </c>
      <c r="X231" t="inlineStr">
        <is>
          <t>High</t>
        </is>
      </c>
      <c r="Y231" t="inlineStr">
        <is>
          <t>None</t>
        </is>
      </c>
      <c r="Z231" t="inlineStr">
        <is>
          <t>Valid</t>
        </is>
      </c>
      <c r="AA231" t="n">
        <v>2030</v>
      </c>
      <c r="AB231" t="inlineStr">
        <is>
          <t>Supplier Target Pathway</t>
        </is>
      </c>
      <c r="AC231" t="n">
        <v>34263.2294</v>
      </c>
      <c r="AD231" t="n">
        <v>25611.764</v>
      </c>
      <c r="AE231" t="n">
        <v>29731.5094</v>
      </c>
      <c r="AF231" t="n">
        <v>29731.5094</v>
      </c>
      <c r="AG231" t="n">
        <v>4531.72</v>
      </c>
      <c r="AH231" t="n">
        <v>0.00148701</v>
      </c>
      <c r="AI231" t="n">
        <v>0.132262</v>
      </c>
      <c r="AJ231" t="n">
        <v>4119.7454</v>
      </c>
      <c r="AK231" t="n">
        <v>411.9745</v>
      </c>
      <c r="AL231" t="n">
        <v>225219.5494</v>
      </c>
      <c r="AM231" t="n">
        <v>184568.6746</v>
      </c>
      <c r="AN231" t="n">
        <v>0.99</v>
      </c>
      <c r="AO231" t="inlineStr">
        <is>
          <t>High</t>
        </is>
      </c>
      <c r="AP231" t="inlineStr">
        <is>
          <t>On Track to Glide Path</t>
        </is>
      </c>
    </row>
    <row r="232">
      <c r="A232" t="inlineStr">
        <is>
          <t>SUP-0015</t>
        </is>
      </c>
      <c r="B232" t="inlineStr">
        <is>
          <t>Packaging Supplier 015</t>
        </is>
      </c>
      <c r="C232" t="inlineStr">
        <is>
          <t>Packaging</t>
        </is>
      </c>
      <c r="D232" t="n">
        <v>2024</v>
      </c>
      <c r="E232" t="n">
        <v>2019</v>
      </c>
      <c r="F232" t="n">
        <v>2040</v>
      </c>
      <c r="G232" t="n">
        <v>33949.0529</v>
      </c>
      <c r="H232" t="n">
        <v>6231.8621</v>
      </c>
      <c r="I232" t="n">
        <v>5555.3183</v>
      </c>
      <c r="J232" t="n">
        <v>19678.3135</v>
      </c>
      <c r="K232" t="n">
        <v>19994189.82</v>
      </c>
      <c r="L232" t="n">
        <v>110798630.88</v>
      </c>
      <c r="M232" t="n">
        <v>33949.0529</v>
      </c>
      <c r="N232" t="inlineStr">
        <is>
          <t>Provided Total Emissions</t>
        </is>
      </c>
      <c r="O232" t="b">
        <v>1</v>
      </c>
      <c r="P232" t="n">
        <v>0.022315</v>
      </c>
      <c r="Q232" t="n">
        <v>0.015806</v>
      </c>
      <c r="R232" t="n">
        <v>21599.7233</v>
      </c>
      <c r="S232" t="n">
        <v>87471.0871</v>
      </c>
      <c r="T232" t="n">
        <v>-12349.3296</v>
      </c>
      <c r="U232" t="n">
        <v>53522.0342</v>
      </c>
      <c r="V232" t="n">
        <v>-0.363761</v>
      </c>
      <c r="W232" t="n">
        <v>1.57654</v>
      </c>
      <c r="X232" t="inlineStr">
        <is>
          <t>High</t>
        </is>
      </c>
      <c r="Y232" t="inlineStr">
        <is>
          <t>None</t>
        </is>
      </c>
      <c r="Z232" t="inlineStr">
        <is>
          <t>Valid</t>
        </is>
      </c>
      <c r="AA232" t="n">
        <v>2031</v>
      </c>
      <c r="AB232" t="inlineStr">
        <is>
          <t>Supplier Target Pathway</t>
        </is>
      </c>
      <c r="AC232" t="n">
        <v>34263.2294</v>
      </c>
      <c r="AD232" t="n">
        <v>25611.764</v>
      </c>
      <c r="AE232" t="n">
        <v>29319.5349</v>
      </c>
      <c r="AF232" t="n">
        <v>29319.5349</v>
      </c>
      <c r="AG232" t="n">
        <v>4943.6945</v>
      </c>
      <c r="AH232" t="n">
        <v>0.0014664</v>
      </c>
      <c r="AI232" t="n">
        <v>0.144286</v>
      </c>
      <c r="AJ232" t="n">
        <v>3707.7709</v>
      </c>
      <c r="AK232" t="n">
        <v>411.9745</v>
      </c>
      <c r="AL232" t="n">
        <v>195900.0145</v>
      </c>
      <c r="AM232" t="n">
        <v>213888.2095</v>
      </c>
      <c r="AN232" t="n">
        <v>0.99</v>
      </c>
      <c r="AO232" t="inlineStr">
        <is>
          <t>Medium</t>
        </is>
      </c>
      <c r="AP232" t="inlineStr">
        <is>
          <t>On Track to Glide Path</t>
        </is>
      </c>
    </row>
    <row r="233">
      <c r="A233" t="inlineStr">
        <is>
          <t>SUP-0015</t>
        </is>
      </c>
      <c r="B233" t="inlineStr">
        <is>
          <t>Packaging Supplier 015</t>
        </is>
      </c>
      <c r="C233" t="inlineStr">
        <is>
          <t>Packaging</t>
        </is>
      </c>
      <c r="D233" t="n">
        <v>2024</v>
      </c>
      <c r="E233" t="n">
        <v>2019</v>
      </c>
      <c r="F233" t="n">
        <v>2040</v>
      </c>
      <c r="G233" t="n">
        <v>33949.0529</v>
      </c>
      <c r="H233" t="n">
        <v>6231.8621</v>
      </c>
      <c r="I233" t="n">
        <v>5555.3183</v>
      </c>
      <c r="J233" t="n">
        <v>19678.3135</v>
      </c>
      <c r="K233" t="n">
        <v>19994189.82</v>
      </c>
      <c r="L233" t="n">
        <v>110798630.88</v>
      </c>
      <c r="M233" t="n">
        <v>33949.0529</v>
      </c>
      <c r="N233" t="inlineStr">
        <is>
          <t>Provided Total Emissions</t>
        </is>
      </c>
      <c r="O233" t="b">
        <v>1</v>
      </c>
      <c r="P233" t="n">
        <v>0.022315</v>
      </c>
      <c r="Q233" t="n">
        <v>0.015806</v>
      </c>
      <c r="R233" t="n">
        <v>21599.7233</v>
      </c>
      <c r="S233" t="n">
        <v>87471.0871</v>
      </c>
      <c r="T233" t="n">
        <v>-12349.3296</v>
      </c>
      <c r="U233" t="n">
        <v>53522.0342</v>
      </c>
      <c r="V233" t="n">
        <v>-0.363761</v>
      </c>
      <c r="W233" t="n">
        <v>1.57654</v>
      </c>
      <c r="X233" t="inlineStr">
        <is>
          <t>High</t>
        </is>
      </c>
      <c r="Y233" t="inlineStr">
        <is>
          <t>None</t>
        </is>
      </c>
      <c r="Z233" t="inlineStr">
        <is>
          <t>Valid</t>
        </is>
      </c>
      <c r="AA233" t="n">
        <v>2032</v>
      </c>
      <c r="AB233" t="inlineStr">
        <is>
          <t>Supplier Target Pathway</t>
        </is>
      </c>
      <c r="AC233" t="n">
        <v>34263.2294</v>
      </c>
      <c r="AD233" t="n">
        <v>25611.764</v>
      </c>
      <c r="AE233" t="n">
        <v>28907.5603</v>
      </c>
      <c r="AF233" t="n">
        <v>28907.5603</v>
      </c>
      <c r="AG233" t="n">
        <v>5355.6691</v>
      </c>
      <c r="AH233" t="n">
        <v>0.0014458</v>
      </c>
      <c r="AI233" t="n">
        <v>0.15631</v>
      </c>
      <c r="AJ233" t="n">
        <v>3295.7964</v>
      </c>
      <c r="AK233" t="n">
        <v>411.9745</v>
      </c>
      <c r="AL233" t="n">
        <v>166992.4542</v>
      </c>
      <c r="AM233" t="n">
        <v>242795.7698</v>
      </c>
      <c r="AN233" t="n">
        <v>0.99</v>
      </c>
      <c r="AO233" t="inlineStr">
        <is>
          <t>Medium</t>
        </is>
      </c>
      <c r="AP233" t="inlineStr">
        <is>
          <t>On Track to Glide Path</t>
        </is>
      </c>
    </row>
    <row r="234">
      <c r="A234" t="inlineStr">
        <is>
          <t>SUP-0015</t>
        </is>
      </c>
      <c r="B234" t="inlineStr">
        <is>
          <t>Packaging Supplier 015</t>
        </is>
      </c>
      <c r="C234" t="inlineStr">
        <is>
          <t>Packaging</t>
        </is>
      </c>
      <c r="D234" t="n">
        <v>2024</v>
      </c>
      <c r="E234" t="n">
        <v>2019</v>
      </c>
      <c r="F234" t="n">
        <v>2040</v>
      </c>
      <c r="G234" t="n">
        <v>33949.0529</v>
      </c>
      <c r="H234" t="n">
        <v>6231.8621</v>
      </c>
      <c r="I234" t="n">
        <v>5555.3183</v>
      </c>
      <c r="J234" t="n">
        <v>19678.3135</v>
      </c>
      <c r="K234" t="n">
        <v>19994189.82</v>
      </c>
      <c r="L234" t="n">
        <v>110798630.88</v>
      </c>
      <c r="M234" t="n">
        <v>33949.0529</v>
      </c>
      <c r="N234" t="inlineStr">
        <is>
          <t>Provided Total Emissions</t>
        </is>
      </c>
      <c r="O234" t="b">
        <v>1</v>
      </c>
      <c r="P234" t="n">
        <v>0.022315</v>
      </c>
      <c r="Q234" t="n">
        <v>0.015806</v>
      </c>
      <c r="R234" t="n">
        <v>21599.7233</v>
      </c>
      <c r="S234" t="n">
        <v>87471.0871</v>
      </c>
      <c r="T234" t="n">
        <v>-12349.3296</v>
      </c>
      <c r="U234" t="n">
        <v>53522.0342</v>
      </c>
      <c r="V234" t="n">
        <v>-0.363761</v>
      </c>
      <c r="W234" t="n">
        <v>1.57654</v>
      </c>
      <c r="X234" t="inlineStr">
        <is>
          <t>High</t>
        </is>
      </c>
      <c r="Y234" t="inlineStr">
        <is>
          <t>None</t>
        </is>
      </c>
      <c r="Z234" t="inlineStr">
        <is>
          <t>Valid</t>
        </is>
      </c>
      <c r="AA234" t="n">
        <v>2033</v>
      </c>
      <c r="AB234" t="inlineStr">
        <is>
          <t>Supplier Target Pathway</t>
        </is>
      </c>
      <c r="AC234" t="n">
        <v>34263.2294</v>
      </c>
      <c r="AD234" t="n">
        <v>25611.764</v>
      </c>
      <c r="AE234" t="n">
        <v>28495.5858</v>
      </c>
      <c r="AF234" t="n">
        <v>28495.5858</v>
      </c>
      <c r="AG234" t="n">
        <v>5767.6436</v>
      </c>
      <c r="AH234" t="n">
        <v>0.00142519</v>
      </c>
      <c r="AI234" t="n">
        <v>0.168333</v>
      </c>
      <c r="AJ234" t="n">
        <v>2883.8218</v>
      </c>
      <c r="AK234" t="n">
        <v>411.9745</v>
      </c>
      <c r="AL234" t="n">
        <v>138496.8684</v>
      </c>
      <c r="AM234" t="n">
        <v>271291.3556</v>
      </c>
      <c r="AN234" t="n">
        <v>0.99</v>
      </c>
      <c r="AO234" t="inlineStr">
        <is>
          <t>Medium</t>
        </is>
      </c>
      <c r="AP234" t="inlineStr">
        <is>
          <t>On Track to Glide Path</t>
        </is>
      </c>
    </row>
    <row r="235">
      <c r="A235" t="inlineStr">
        <is>
          <t>SUP-0015</t>
        </is>
      </c>
      <c r="B235" t="inlineStr">
        <is>
          <t>Packaging Supplier 015</t>
        </is>
      </c>
      <c r="C235" t="inlineStr">
        <is>
          <t>Packaging</t>
        </is>
      </c>
      <c r="D235" t="n">
        <v>2024</v>
      </c>
      <c r="E235" t="n">
        <v>2019</v>
      </c>
      <c r="F235" t="n">
        <v>2040</v>
      </c>
      <c r="G235" t="n">
        <v>33949.0529</v>
      </c>
      <c r="H235" t="n">
        <v>6231.8621</v>
      </c>
      <c r="I235" t="n">
        <v>5555.3183</v>
      </c>
      <c r="J235" t="n">
        <v>19678.3135</v>
      </c>
      <c r="K235" t="n">
        <v>19994189.82</v>
      </c>
      <c r="L235" t="n">
        <v>110798630.88</v>
      </c>
      <c r="M235" t="n">
        <v>33949.0529</v>
      </c>
      <c r="N235" t="inlineStr">
        <is>
          <t>Provided Total Emissions</t>
        </is>
      </c>
      <c r="O235" t="b">
        <v>1</v>
      </c>
      <c r="P235" t="n">
        <v>0.022315</v>
      </c>
      <c r="Q235" t="n">
        <v>0.015806</v>
      </c>
      <c r="R235" t="n">
        <v>21599.7233</v>
      </c>
      <c r="S235" t="n">
        <v>87471.0871</v>
      </c>
      <c r="T235" t="n">
        <v>-12349.3296</v>
      </c>
      <c r="U235" t="n">
        <v>53522.0342</v>
      </c>
      <c r="V235" t="n">
        <v>-0.363761</v>
      </c>
      <c r="W235" t="n">
        <v>1.57654</v>
      </c>
      <c r="X235" t="inlineStr">
        <is>
          <t>High</t>
        </is>
      </c>
      <c r="Y235" t="inlineStr">
        <is>
          <t>None</t>
        </is>
      </c>
      <c r="Z235" t="inlineStr">
        <is>
          <t>Valid</t>
        </is>
      </c>
      <c r="AA235" t="n">
        <v>2034</v>
      </c>
      <c r="AB235" t="inlineStr">
        <is>
          <t>Supplier Target Pathway</t>
        </is>
      </c>
      <c r="AC235" t="n">
        <v>34263.2294</v>
      </c>
      <c r="AD235" t="n">
        <v>25611.764</v>
      </c>
      <c r="AE235" t="n">
        <v>28083.6112</v>
      </c>
      <c r="AF235" t="n">
        <v>28083.6112</v>
      </c>
      <c r="AG235" t="n">
        <v>6179.6182</v>
      </c>
      <c r="AH235" t="n">
        <v>0.00140459</v>
      </c>
      <c r="AI235" t="n">
        <v>0.180357</v>
      </c>
      <c r="AJ235" t="n">
        <v>2471.8473</v>
      </c>
      <c r="AK235" t="n">
        <v>411.9745</v>
      </c>
      <c r="AL235" t="n">
        <v>110413.2572</v>
      </c>
      <c r="AM235" t="n">
        <v>299374.9668</v>
      </c>
      <c r="AN235" t="n">
        <v>0.99</v>
      </c>
      <c r="AO235" t="inlineStr">
        <is>
          <t>Medium</t>
        </is>
      </c>
      <c r="AP235" t="inlineStr">
        <is>
          <t>On Track to Glide Path</t>
        </is>
      </c>
    </row>
    <row r="236">
      <c r="A236" t="inlineStr">
        <is>
          <t>SUP-0015</t>
        </is>
      </c>
      <c r="B236" t="inlineStr">
        <is>
          <t>Packaging Supplier 015</t>
        </is>
      </c>
      <c r="C236" t="inlineStr">
        <is>
          <t>Packaging</t>
        </is>
      </c>
      <c r="D236" t="n">
        <v>2024</v>
      </c>
      <c r="E236" t="n">
        <v>2019</v>
      </c>
      <c r="F236" t="n">
        <v>2040</v>
      </c>
      <c r="G236" t="n">
        <v>33949.0529</v>
      </c>
      <c r="H236" t="n">
        <v>6231.8621</v>
      </c>
      <c r="I236" t="n">
        <v>5555.3183</v>
      </c>
      <c r="J236" t="n">
        <v>19678.3135</v>
      </c>
      <c r="K236" t="n">
        <v>19994189.82</v>
      </c>
      <c r="L236" t="n">
        <v>110798630.88</v>
      </c>
      <c r="M236" t="n">
        <v>33949.0529</v>
      </c>
      <c r="N236" t="inlineStr">
        <is>
          <t>Provided Total Emissions</t>
        </is>
      </c>
      <c r="O236" t="b">
        <v>1</v>
      </c>
      <c r="P236" t="n">
        <v>0.022315</v>
      </c>
      <c r="Q236" t="n">
        <v>0.015806</v>
      </c>
      <c r="R236" t="n">
        <v>21599.7233</v>
      </c>
      <c r="S236" t="n">
        <v>87471.0871</v>
      </c>
      <c r="T236" t="n">
        <v>-12349.3296</v>
      </c>
      <c r="U236" t="n">
        <v>53522.0342</v>
      </c>
      <c r="V236" t="n">
        <v>-0.363761</v>
      </c>
      <c r="W236" t="n">
        <v>1.57654</v>
      </c>
      <c r="X236" t="inlineStr">
        <is>
          <t>High</t>
        </is>
      </c>
      <c r="Y236" t="inlineStr">
        <is>
          <t>None</t>
        </is>
      </c>
      <c r="Z236" t="inlineStr">
        <is>
          <t>Valid</t>
        </is>
      </c>
      <c r="AA236" t="n">
        <v>2035</v>
      </c>
      <c r="AB236" t="inlineStr">
        <is>
          <t>Supplier Target Pathway</t>
        </is>
      </c>
      <c r="AC236" t="n">
        <v>34263.2294</v>
      </c>
      <c r="AD236" t="n">
        <v>25611.764</v>
      </c>
      <c r="AE236" t="n">
        <v>27671.6367</v>
      </c>
      <c r="AF236" t="n">
        <v>27671.6367</v>
      </c>
      <c r="AG236" t="n">
        <v>6591.5927</v>
      </c>
      <c r="AH236" t="n">
        <v>0.00138398</v>
      </c>
      <c r="AI236" t="n">
        <v>0.192381</v>
      </c>
      <c r="AJ236" t="n">
        <v>2059.8727</v>
      </c>
      <c r="AK236" t="n">
        <v>411.9745</v>
      </c>
      <c r="AL236" t="n">
        <v>82741.6205</v>
      </c>
      <c r="AM236" t="n">
        <v>327046.6035</v>
      </c>
      <c r="AN236" t="n">
        <v>0.99</v>
      </c>
      <c r="AO236" t="inlineStr">
        <is>
          <t>Medium</t>
        </is>
      </c>
      <c r="AP236" t="inlineStr">
        <is>
          <t>On Track to Glide Path</t>
        </is>
      </c>
    </row>
    <row r="237">
      <c r="A237" t="inlineStr">
        <is>
          <t>SUP-0015</t>
        </is>
      </c>
      <c r="B237" t="inlineStr">
        <is>
          <t>Packaging Supplier 015</t>
        </is>
      </c>
      <c r="C237" t="inlineStr">
        <is>
          <t>Packaging</t>
        </is>
      </c>
      <c r="D237" t="n">
        <v>2024</v>
      </c>
      <c r="E237" t="n">
        <v>2019</v>
      </c>
      <c r="F237" t="n">
        <v>2040</v>
      </c>
      <c r="G237" t="n">
        <v>33949.0529</v>
      </c>
      <c r="H237" t="n">
        <v>6231.8621</v>
      </c>
      <c r="I237" t="n">
        <v>5555.3183</v>
      </c>
      <c r="J237" t="n">
        <v>19678.3135</v>
      </c>
      <c r="K237" t="n">
        <v>19994189.82</v>
      </c>
      <c r="L237" t="n">
        <v>110798630.88</v>
      </c>
      <c r="M237" t="n">
        <v>33949.0529</v>
      </c>
      <c r="N237" t="inlineStr">
        <is>
          <t>Provided Total Emissions</t>
        </is>
      </c>
      <c r="O237" t="b">
        <v>1</v>
      </c>
      <c r="P237" t="n">
        <v>0.022315</v>
      </c>
      <c r="Q237" t="n">
        <v>0.015806</v>
      </c>
      <c r="R237" t="n">
        <v>21599.7233</v>
      </c>
      <c r="S237" t="n">
        <v>87471.0871</v>
      </c>
      <c r="T237" t="n">
        <v>-12349.3296</v>
      </c>
      <c r="U237" t="n">
        <v>53522.0342</v>
      </c>
      <c r="V237" t="n">
        <v>-0.363761</v>
      </c>
      <c r="W237" t="n">
        <v>1.57654</v>
      </c>
      <c r="X237" t="inlineStr">
        <is>
          <t>High</t>
        </is>
      </c>
      <c r="Y237" t="inlineStr">
        <is>
          <t>None</t>
        </is>
      </c>
      <c r="Z237" t="inlineStr">
        <is>
          <t>Valid</t>
        </is>
      </c>
      <c r="AA237" t="n">
        <v>2036</v>
      </c>
      <c r="AB237" t="inlineStr">
        <is>
          <t>Supplier Target Pathway</t>
        </is>
      </c>
      <c r="AC237" t="n">
        <v>34263.2294</v>
      </c>
      <c r="AD237" t="n">
        <v>25611.764</v>
      </c>
      <c r="AE237" t="n">
        <v>27259.6622</v>
      </c>
      <c r="AF237" t="n">
        <v>27259.6622</v>
      </c>
      <c r="AG237" t="n">
        <v>7003.5672</v>
      </c>
      <c r="AH237" t="n">
        <v>0.00136338</v>
      </c>
      <c r="AI237" t="n">
        <v>0.204405</v>
      </c>
      <c r="AJ237" t="n">
        <v>1647.8982</v>
      </c>
      <c r="AK237" t="n">
        <v>411.9745</v>
      </c>
      <c r="AL237" t="n">
        <v>55481.9583</v>
      </c>
      <c r="AM237" t="n">
        <v>354306.2657</v>
      </c>
      <c r="AN237" t="n">
        <v>0.99</v>
      </c>
      <c r="AO237" t="inlineStr">
        <is>
          <t>Medium</t>
        </is>
      </c>
      <c r="AP237" t="inlineStr">
        <is>
          <t>On Track to Glide Path</t>
        </is>
      </c>
    </row>
    <row r="238">
      <c r="A238" t="inlineStr">
        <is>
          <t>SUP-0015</t>
        </is>
      </c>
      <c r="B238" t="inlineStr">
        <is>
          <t>Packaging Supplier 015</t>
        </is>
      </c>
      <c r="C238" t="inlineStr">
        <is>
          <t>Packaging</t>
        </is>
      </c>
      <c r="D238" t="n">
        <v>2024</v>
      </c>
      <c r="E238" t="n">
        <v>2019</v>
      </c>
      <c r="F238" t="n">
        <v>2040</v>
      </c>
      <c r="G238" t="n">
        <v>33949.0529</v>
      </c>
      <c r="H238" t="n">
        <v>6231.8621</v>
      </c>
      <c r="I238" t="n">
        <v>5555.3183</v>
      </c>
      <c r="J238" t="n">
        <v>19678.3135</v>
      </c>
      <c r="K238" t="n">
        <v>19994189.82</v>
      </c>
      <c r="L238" t="n">
        <v>110798630.88</v>
      </c>
      <c r="M238" t="n">
        <v>33949.0529</v>
      </c>
      <c r="N238" t="inlineStr">
        <is>
          <t>Provided Total Emissions</t>
        </is>
      </c>
      <c r="O238" t="b">
        <v>1</v>
      </c>
      <c r="P238" t="n">
        <v>0.022315</v>
      </c>
      <c r="Q238" t="n">
        <v>0.015806</v>
      </c>
      <c r="R238" t="n">
        <v>21599.7233</v>
      </c>
      <c r="S238" t="n">
        <v>87471.0871</v>
      </c>
      <c r="T238" t="n">
        <v>-12349.3296</v>
      </c>
      <c r="U238" t="n">
        <v>53522.0342</v>
      </c>
      <c r="V238" t="n">
        <v>-0.363761</v>
      </c>
      <c r="W238" t="n">
        <v>1.57654</v>
      </c>
      <c r="X238" t="inlineStr">
        <is>
          <t>High</t>
        </is>
      </c>
      <c r="Y238" t="inlineStr">
        <is>
          <t>None</t>
        </is>
      </c>
      <c r="Z238" t="inlineStr">
        <is>
          <t>Valid</t>
        </is>
      </c>
      <c r="AA238" t="n">
        <v>2037</v>
      </c>
      <c r="AB238" t="inlineStr">
        <is>
          <t>Supplier Target Pathway</t>
        </is>
      </c>
      <c r="AC238" t="n">
        <v>34263.2294</v>
      </c>
      <c r="AD238" t="n">
        <v>25611.764</v>
      </c>
      <c r="AE238" t="n">
        <v>26847.6876</v>
      </c>
      <c r="AF238" t="n">
        <v>26847.6876</v>
      </c>
      <c r="AG238" t="n">
        <v>7415.5418</v>
      </c>
      <c r="AH238" t="n">
        <v>0.00134277</v>
      </c>
      <c r="AI238" t="n">
        <v>0.216429</v>
      </c>
      <c r="AJ238" t="n">
        <v>1235.9236</v>
      </c>
      <c r="AK238" t="n">
        <v>411.9745</v>
      </c>
      <c r="AL238" t="n">
        <v>28634.2707</v>
      </c>
      <c r="AM238" t="n">
        <v>381153.9533</v>
      </c>
      <c r="AN238" t="n">
        <v>0.99</v>
      </c>
      <c r="AO238" t="inlineStr">
        <is>
          <t>Medium</t>
        </is>
      </c>
      <c r="AP238" t="inlineStr">
        <is>
          <t>On Track to Glide Path</t>
        </is>
      </c>
    </row>
    <row r="239">
      <c r="A239" t="inlineStr">
        <is>
          <t>SUP-0015</t>
        </is>
      </c>
      <c r="B239" t="inlineStr">
        <is>
          <t>Packaging Supplier 015</t>
        </is>
      </c>
      <c r="C239" t="inlineStr">
        <is>
          <t>Packaging</t>
        </is>
      </c>
      <c r="D239" t="n">
        <v>2024</v>
      </c>
      <c r="E239" t="n">
        <v>2019</v>
      </c>
      <c r="F239" t="n">
        <v>2040</v>
      </c>
      <c r="G239" t="n">
        <v>33949.0529</v>
      </c>
      <c r="H239" t="n">
        <v>6231.8621</v>
      </c>
      <c r="I239" t="n">
        <v>5555.3183</v>
      </c>
      <c r="J239" t="n">
        <v>19678.3135</v>
      </c>
      <c r="K239" t="n">
        <v>19994189.82</v>
      </c>
      <c r="L239" t="n">
        <v>110798630.88</v>
      </c>
      <c r="M239" t="n">
        <v>33949.0529</v>
      </c>
      <c r="N239" t="inlineStr">
        <is>
          <t>Provided Total Emissions</t>
        </is>
      </c>
      <c r="O239" t="b">
        <v>1</v>
      </c>
      <c r="P239" t="n">
        <v>0.022315</v>
      </c>
      <c r="Q239" t="n">
        <v>0.015806</v>
      </c>
      <c r="R239" t="n">
        <v>21599.7233</v>
      </c>
      <c r="S239" t="n">
        <v>87471.0871</v>
      </c>
      <c r="T239" t="n">
        <v>-12349.3296</v>
      </c>
      <c r="U239" t="n">
        <v>53522.0342</v>
      </c>
      <c r="V239" t="n">
        <v>-0.363761</v>
      </c>
      <c r="W239" t="n">
        <v>1.57654</v>
      </c>
      <c r="X239" t="inlineStr">
        <is>
          <t>High</t>
        </is>
      </c>
      <c r="Y239" t="inlineStr">
        <is>
          <t>None</t>
        </is>
      </c>
      <c r="Z239" t="inlineStr">
        <is>
          <t>Valid</t>
        </is>
      </c>
      <c r="AA239" t="n">
        <v>2038</v>
      </c>
      <c r="AB239" t="inlineStr">
        <is>
          <t>Supplier Target Pathway</t>
        </is>
      </c>
      <c r="AC239" t="n">
        <v>34263.2294</v>
      </c>
      <c r="AD239" t="n">
        <v>25611.764</v>
      </c>
      <c r="AE239" t="n">
        <v>26435.7131</v>
      </c>
      <c r="AF239" t="n">
        <v>26435.7131</v>
      </c>
      <c r="AG239" t="n">
        <v>7827.5163</v>
      </c>
      <c r="AH239" t="n">
        <v>0.00132217</v>
      </c>
      <c r="AI239" t="n">
        <v>0.228452</v>
      </c>
      <c r="AJ239" t="n">
        <v>823.9491</v>
      </c>
      <c r="AK239" t="n">
        <v>411.9745</v>
      </c>
      <c r="AL239" t="n">
        <v>2198.5576</v>
      </c>
      <c r="AM239" t="n">
        <v>407589.6664</v>
      </c>
      <c r="AN239" t="n">
        <v>0.99</v>
      </c>
      <c r="AO239" t="inlineStr">
        <is>
          <t>Medium</t>
        </is>
      </c>
      <c r="AP239" t="inlineStr">
        <is>
          <t>On Track to Glide Path</t>
        </is>
      </c>
    </row>
    <row r="240">
      <c r="A240" t="inlineStr">
        <is>
          <t>SUP-0015</t>
        </is>
      </c>
      <c r="B240" t="inlineStr">
        <is>
          <t>Packaging Supplier 015</t>
        </is>
      </c>
      <c r="C240" t="inlineStr">
        <is>
          <t>Packaging</t>
        </is>
      </c>
      <c r="D240" t="n">
        <v>2024</v>
      </c>
      <c r="E240" t="n">
        <v>2019</v>
      </c>
      <c r="F240" t="n">
        <v>2040</v>
      </c>
      <c r="G240" t="n">
        <v>33949.0529</v>
      </c>
      <c r="H240" t="n">
        <v>6231.8621</v>
      </c>
      <c r="I240" t="n">
        <v>5555.3183</v>
      </c>
      <c r="J240" t="n">
        <v>19678.3135</v>
      </c>
      <c r="K240" t="n">
        <v>19994189.82</v>
      </c>
      <c r="L240" t="n">
        <v>110798630.88</v>
      </c>
      <c r="M240" t="n">
        <v>33949.0529</v>
      </c>
      <c r="N240" t="inlineStr">
        <is>
          <t>Provided Total Emissions</t>
        </is>
      </c>
      <c r="O240" t="b">
        <v>1</v>
      </c>
      <c r="P240" t="n">
        <v>0.022315</v>
      </c>
      <c r="Q240" t="n">
        <v>0.015806</v>
      </c>
      <c r="R240" t="n">
        <v>21599.7233</v>
      </c>
      <c r="S240" t="n">
        <v>87471.0871</v>
      </c>
      <c r="T240" t="n">
        <v>-12349.3296</v>
      </c>
      <c r="U240" t="n">
        <v>53522.0342</v>
      </c>
      <c r="V240" t="n">
        <v>-0.363761</v>
      </c>
      <c r="W240" t="n">
        <v>1.57654</v>
      </c>
      <c r="X240" t="inlineStr">
        <is>
          <t>High</t>
        </is>
      </c>
      <c r="Y240" t="inlineStr">
        <is>
          <t>None</t>
        </is>
      </c>
      <c r="Z240" t="inlineStr">
        <is>
          <t>Valid</t>
        </is>
      </c>
      <c r="AA240" t="n">
        <v>2039</v>
      </c>
      <c r="AB240" t="inlineStr">
        <is>
          <t>Supplier Target Pathway</t>
        </is>
      </c>
      <c r="AC240" t="n">
        <v>34263.2294</v>
      </c>
      <c r="AD240" t="n">
        <v>25611.764</v>
      </c>
      <c r="AE240" t="n">
        <v>26023.7385</v>
      </c>
      <c r="AF240" t="n">
        <v>26023.7385</v>
      </c>
      <c r="AG240" t="n">
        <v>8239.490900000001</v>
      </c>
      <c r="AH240" t="n">
        <v>0.00130157</v>
      </c>
      <c r="AI240" t="n">
        <v>0.240476</v>
      </c>
      <c r="AJ240" t="n">
        <v>411.9745</v>
      </c>
      <c r="AK240" t="n">
        <v>411.9745</v>
      </c>
      <c r="AL240" t="n">
        <v>-23825.1809</v>
      </c>
      <c r="AM240" t="n">
        <v>433613.4049</v>
      </c>
      <c r="AN240" t="n">
        <v>0.99</v>
      </c>
      <c r="AO240" t="inlineStr">
        <is>
          <t>Medium</t>
        </is>
      </c>
      <c r="AP240" t="inlineStr">
        <is>
          <t>On Track to Glide Path</t>
        </is>
      </c>
    </row>
    <row r="241">
      <c r="A241" t="inlineStr">
        <is>
          <t>SUP-0015</t>
        </is>
      </c>
      <c r="B241" t="inlineStr">
        <is>
          <t>Packaging Supplier 015</t>
        </is>
      </c>
      <c r="C241" t="inlineStr">
        <is>
          <t>Packaging</t>
        </is>
      </c>
      <c r="D241" t="n">
        <v>2024</v>
      </c>
      <c r="E241" t="n">
        <v>2019</v>
      </c>
      <c r="F241" t="n">
        <v>2040</v>
      </c>
      <c r="G241" t="n">
        <v>33949.0529</v>
      </c>
      <c r="H241" t="n">
        <v>6231.8621</v>
      </c>
      <c r="I241" t="n">
        <v>5555.3183</v>
      </c>
      <c r="J241" t="n">
        <v>19678.3135</v>
      </c>
      <c r="K241" t="n">
        <v>19994189.82</v>
      </c>
      <c r="L241" t="n">
        <v>110798630.88</v>
      </c>
      <c r="M241" t="n">
        <v>33949.0529</v>
      </c>
      <c r="N241" t="inlineStr">
        <is>
          <t>Provided Total Emissions</t>
        </is>
      </c>
      <c r="O241" t="b">
        <v>1</v>
      </c>
      <c r="P241" t="n">
        <v>0.022315</v>
      </c>
      <c r="Q241" t="n">
        <v>0.015806</v>
      </c>
      <c r="R241" t="n">
        <v>21599.7233</v>
      </c>
      <c r="S241" t="n">
        <v>87471.0871</v>
      </c>
      <c r="T241" t="n">
        <v>-12349.3296</v>
      </c>
      <c r="U241" t="n">
        <v>53522.0342</v>
      </c>
      <c r="V241" t="n">
        <v>-0.363761</v>
      </c>
      <c r="W241" t="n">
        <v>1.57654</v>
      </c>
      <c r="X241" t="inlineStr">
        <is>
          <t>High</t>
        </is>
      </c>
      <c r="Y241" t="inlineStr">
        <is>
          <t>None</t>
        </is>
      </c>
      <c r="Z241" t="inlineStr">
        <is>
          <t>Valid</t>
        </is>
      </c>
      <c r="AA241" t="n">
        <v>2040</v>
      </c>
      <c r="AB241" t="inlineStr">
        <is>
          <t>Supplier Target Pathway</t>
        </is>
      </c>
      <c r="AC241" t="n">
        <v>34263.2294</v>
      </c>
      <c r="AD241" t="n">
        <v>25611.764</v>
      </c>
      <c r="AE241" t="n">
        <v>25611.764</v>
      </c>
      <c r="AF241" t="n">
        <v>25611.764</v>
      </c>
      <c r="AG241" t="n">
        <v>8651.465399999999</v>
      </c>
      <c r="AH241" t="n">
        <v>0.00128096</v>
      </c>
      <c r="AI241" t="n">
        <v>0.2525</v>
      </c>
      <c r="AJ241" t="n">
        <v>0</v>
      </c>
      <c r="AK241" t="n">
        <v>411.9745</v>
      </c>
      <c r="AL241" t="n">
        <v>-49436.9449</v>
      </c>
      <c r="AM241" t="n">
        <v>459225.1689</v>
      </c>
      <c r="AN241" t="n">
        <v>0.99</v>
      </c>
      <c r="AO241" t="inlineStr">
        <is>
          <t>Low</t>
        </is>
      </c>
      <c r="AP241" t="inlineStr">
        <is>
          <t>On Track</t>
        </is>
      </c>
    </row>
    <row r="242">
      <c r="A242" t="inlineStr">
        <is>
          <t>SUP-0016</t>
        </is>
      </c>
      <c r="B242" t="inlineStr">
        <is>
          <t>Metals Supplier 016</t>
        </is>
      </c>
      <c r="C242" t="inlineStr">
        <is>
          <t>Metals</t>
        </is>
      </c>
      <c r="D242" t="n">
        <v>2024</v>
      </c>
      <c r="E242" t="n">
        <v>2018</v>
      </c>
      <c r="F242" t="n">
        <v>2040</v>
      </c>
      <c r="G242" t="n">
        <v>4467.5461</v>
      </c>
      <c r="H242" t="n">
        <v>717.3159000000001</v>
      </c>
      <c r="I242" t="n">
        <v>410.1449</v>
      </c>
      <c r="J242" t="n">
        <v>3460.3599</v>
      </c>
      <c r="K242" t="n">
        <v>10927929.9</v>
      </c>
      <c r="L242" t="n">
        <v>74404649.87</v>
      </c>
      <c r="M242" t="n">
        <v>4467.5461</v>
      </c>
      <c r="N242" t="inlineStr">
        <is>
          <t>Provided Total Emissions</t>
        </is>
      </c>
      <c r="O242" t="b">
        <v>1</v>
      </c>
      <c r="P242" t="n">
        <v>-0.055009</v>
      </c>
      <c r="Q242" t="n">
        <v>-0.006025</v>
      </c>
      <c r="R242" t="n">
        <v>11003.879</v>
      </c>
      <c r="S242" t="n">
        <v>48368.9748</v>
      </c>
      <c r="T242" t="n">
        <v>6536.3329</v>
      </c>
      <c r="U242" t="n">
        <v>43901.4287</v>
      </c>
      <c r="V242" t="n">
        <v>1.46307</v>
      </c>
      <c r="W242" t="n">
        <v>9.826743</v>
      </c>
      <c r="X242" t="inlineStr">
        <is>
          <t>High</t>
        </is>
      </c>
      <c r="Y242" t="inlineStr">
        <is>
          <t>None</t>
        </is>
      </c>
      <c r="Z242" t="inlineStr">
        <is>
          <t>Valid</t>
        </is>
      </c>
      <c r="AA242" t="n">
        <v>2025</v>
      </c>
      <c r="AB242" t="inlineStr">
        <is>
          <t>Supplier Target Pathway</t>
        </is>
      </c>
      <c r="AC242" t="n">
        <v>6679.2649</v>
      </c>
      <c r="AD242" t="n">
        <v>4943.324</v>
      </c>
      <c r="AE242" t="n">
        <v>6126.9201</v>
      </c>
      <c r="AF242" t="n">
        <v>6126.9201</v>
      </c>
      <c r="AG242" t="n">
        <v>552.3448</v>
      </c>
      <c r="AH242" t="n">
        <v>0.00056067</v>
      </c>
      <c r="AI242" t="n">
        <v>0.082695</v>
      </c>
      <c r="AJ242" t="n">
        <v>1183.5961</v>
      </c>
      <c r="AK242" t="n">
        <v>78.9064</v>
      </c>
      <c r="AL242" t="n">
        <v>72966.26390000001</v>
      </c>
      <c r="AM242" t="n">
        <v>6126.9201</v>
      </c>
      <c r="AN242" t="n">
        <v>0.99</v>
      </c>
      <c r="AO242" t="inlineStr">
        <is>
          <t>High</t>
        </is>
      </c>
      <c r="AP242" t="inlineStr">
        <is>
          <t>On Track to Glide Path</t>
        </is>
      </c>
    </row>
    <row r="243">
      <c r="A243" t="inlineStr">
        <is>
          <t>SUP-0016</t>
        </is>
      </c>
      <c r="B243" t="inlineStr">
        <is>
          <t>Metals Supplier 016</t>
        </is>
      </c>
      <c r="C243" t="inlineStr">
        <is>
          <t>Metals</t>
        </is>
      </c>
      <c r="D243" t="n">
        <v>2024</v>
      </c>
      <c r="E243" t="n">
        <v>2018</v>
      </c>
      <c r="F243" t="n">
        <v>2040</v>
      </c>
      <c r="G243" t="n">
        <v>4467.5461</v>
      </c>
      <c r="H243" t="n">
        <v>717.3159000000001</v>
      </c>
      <c r="I243" t="n">
        <v>410.1449</v>
      </c>
      <c r="J243" t="n">
        <v>3460.3599</v>
      </c>
      <c r="K243" t="n">
        <v>10927929.9</v>
      </c>
      <c r="L243" t="n">
        <v>74404649.87</v>
      </c>
      <c r="M243" t="n">
        <v>4467.5461</v>
      </c>
      <c r="N243" t="inlineStr">
        <is>
          <t>Provided Total Emissions</t>
        </is>
      </c>
      <c r="O243" t="b">
        <v>1</v>
      </c>
      <c r="P243" t="n">
        <v>-0.055009</v>
      </c>
      <c r="Q243" t="n">
        <v>-0.006025</v>
      </c>
      <c r="R243" t="n">
        <v>11003.879</v>
      </c>
      <c r="S243" t="n">
        <v>48368.9748</v>
      </c>
      <c r="T243" t="n">
        <v>6536.3329</v>
      </c>
      <c r="U243" t="n">
        <v>43901.4287</v>
      </c>
      <c r="V243" t="n">
        <v>1.46307</v>
      </c>
      <c r="W243" t="n">
        <v>9.826743</v>
      </c>
      <c r="X243" t="inlineStr">
        <is>
          <t>High</t>
        </is>
      </c>
      <c r="Y243" t="inlineStr">
        <is>
          <t>None</t>
        </is>
      </c>
      <c r="Z243" t="inlineStr">
        <is>
          <t>Valid</t>
        </is>
      </c>
      <c r="AA243" t="n">
        <v>2026</v>
      </c>
      <c r="AB243" t="inlineStr">
        <is>
          <t>Supplier Target Pathway</t>
        </is>
      </c>
      <c r="AC243" t="n">
        <v>6679.2649</v>
      </c>
      <c r="AD243" t="n">
        <v>4943.324</v>
      </c>
      <c r="AE243" t="n">
        <v>6048.0136</v>
      </c>
      <c r="AF243" t="n">
        <v>6048.0136</v>
      </c>
      <c r="AG243" t="n">
        <v>631.2513</v>
      </c>
      <c r="AH243" t="n">
        <v>0.00055345</v>
      </c>
      <c r="AI243" t="n">
        <v>0.094509</v>
      </c>
      <c r="AJ243" t="n">
        <v>1104.6897</v>
      </c>
      <c r="AK243" t="n">
        <v>78.9064</v>
      </c>
      <c r="AL243" t="n">
        <v>66918.2503</v>
      </c>
      <c r="AM243" t="n">
        <v>12174.9337</v>
      </c>
      <c r="AN243" t="n">
        <v>0.99</v>
      </c>
      <c r="AO243" t="inlineStr">
        <is>
          <t>High</t>
        </is>
      </c>
      <c r="AP243" t="inlineStr">
        <is>
          <t>On Track to Glide Path</t>
        </is>
      </c>
    </row>
    <row r="244">
      <c r="A244" t="inlineStr">
        <is>
          <t>SUP-0016</t>
        </is>
      </c>
      <c r="B244" t="inlineStr">
        <is>
          <t>Metals Supplier 016</t>
        </is>
      </c>
      <c r="C244" t="inlineStr">
        <is>
          <t>Metals</t>
        </is>
      </c>
      <c r="D244" t="n">
        <v>2024</v>
      </c>
      <c r="E244" t="n">
        <v>2018</v>
      </c>
      <c r="F244" t="n">
        <v>2040</v>
      </c>
      <c r="G244" t="n">
        <v>4467.5461</v>
      </c>
      <c r="H244" t="n">
        <v>717.3159000000001</v>
      </c>
      <c r="I244" t="n">
        <v>410.1449</v>
      </c>
      <c r="J244" t="n">
        <v>3460.3599</v>
      </c>
      <c r="K244" t="n">
        <v>10927929.9</v>
      </c>
      <c r="L244" t="n">
        <v>74404649.87</v>
      </c>
      <c r="M244" t="n">
        <v>4467.5461</v>
      </c>
      <c r="N244" t="inlineStr">
        <is>
          <t>Provided Total Emissions</t>
        </is>
      </c>
      <c r="O244" t="b">
        <v>1</v>
      </c>
      <c r="P244" t="n">
        <v>-0.055009</v>
      </c>
      <c r="Q244" t="n">
        <v>-0.006025</v>
      </c>
      <c r="R244" t="n">
        <v>11003.879</v>
      </c>
      <c r="S244" t="n">
        <v>48368.9748</v>
      </c>
      <c r="T244" t="n">
        <v>6536.3329</v>
      </c>
      <c r="U244" t="n">
        <v>43901.4287</v>
      </c>
      <c r="V244" t="n">
        <v>1.46307</v>
      </c>
      <c r="W244" t="n">
        <v>9.826743</v>
      </c>
      <c r="X244" t="inlineStr">
        <is>
          <t>High</t>
        </is>
      </c>
      <c r="Y244" t="inlineStr">
        <is>
          <t>None</t>
        </is>
      </c>
      <c r="Z244" t="inlineStr">
        <is>
          <t>Valid</t>
        </is>
      </c>
      <c r="AA244" t="n">
        <v>2027</v>
      </c>
      <c r="AB244" t="inlineStr">
        <is>
          <t>Supplier Target Pathway</t>
        </is>
      </c>
      <c r="AC244" t="n">
        <v>6679.2649</v>
      </c>
      <c r="AD244" t="n">
        <v>4943.324</v>
      </c>
      <c r="AE244" t="n">
        <v>5969.1072</v>
      </c>
      <c r="AF244" t="n">
        <v>5969.1072</v>
      </c>
      <c r="AG244" t="n">
        <v>710.1577</v>
      </c>
      <c r="AH244" t="n">
        <v>0.00054622</v>
      </c>
      <c r="AI244" t="n">
        <v>0.106323</v>
      </c>
      <c r="AJ244" t="n">
        <v>1025.7833</v>
      </c>
      <c r="AK244" t="n">
        <v>78.9064</v>
      </c>
      <c r="AL244" t="n">
        <v>60949.1431</v>
      </c>
      <c r="AM244" t="n">
        <v>18144.0409</v>
      </c>
      <c r="AN244" t="n">
        <v>0.99</v>
      </c>
      <c r="AO244" t="inlineStr">
        <is>
          <t>High</t>
        </is>
      </c>
      <c r="AP244" t="inlineStr">
        <is>
          <t>On Track to Glide Path</t>
        </is>
      </c>
    </row>
    <row r="245">
      <c r="A245" t="inlineStr">
        <is>
          <t>SUP-0016</t>
        </is>
      </c>
      <c r="B245" t="inlineStr">
        <is>
          <t>Metals Supplier 016</t>
        </is>
      </c>
      <c r="C245" t="inlineStr">
        <is>
          <t>Metals</t>
        </is>
      </c>
      <c r="D245" t="n">
        <v>2024</v>
      </c>
      <c r="E245" t="n">
        <v>2018</v>
      </c>
      <c r="F245" t="n">
        <v>2040</v>
      </c>
      <c r="G245" t="n">
        <v>4467.5461</v>
      </c>
      <c r="H245" t="n">
        <v>717.3159000000001</v>
      </c>
      <c r="I245" t="n">
        <v>410.1449</v>
      </c>
      <c r="J245" t="n">
        <v>3460.3599</v>
      </c>
      <c r="K245" t="n">
        <v>10927929.9</v>
      </c>
      <c r="L245" t="n">
        <v>74404649.87</v>
      </c>
      <c r="M245" t="n">
        <v>4467.5461</v>
      </c>
      <c r="N245" t="inlineStr">
        <is>
          <t>Provided Total Emissions</t>
        </is>
      </c>
      <c r="O245" t="b">
        <v>1</v>
      </c>
      <c r="P245" t="n">
        <v>-0.055009</v>
      </c>
      <c r="Q245" t="n">
        <v>-0.006025</v>
      </c>
      <c r="R245" t="n">
        <v>11003.879</v>
      </c>
      <c r="S245" t="n">
        <v>48368.9748</v>
      </c>
      <c r="T245" t="n">
        <v>6536.3329</v>
      </c>
      <c r="U245" t="n">
        <v>43901.4287</v>
      </c>
      <c r="V245" t="n">
        <v>1.46307</v>
      </c>
      <c r="W245" t="n">
        <v>9.826743</v>
      </c>
      <c r="X245" t="inlineStr">
        <is>
          <t>High</t>
        </is>
      </c>
      <c r="Y245" t="inlineStr">
        <is>
          <t>None</t>
        </is>
      </c>
      <c r="Z245" t="inlineStr">
        <is>
          <t>Valid</t>
        </is>
      </c>
      <c r="AA245" t="n">
        <v>2028</v>
      </c>
      <c r="AB245" t="inlineStr">
        <is>
          <t>Supplier Target Pathway</t>
        </is>
      </c>
      <c r="AC245" t="n">
        <v>6679.2649</v>
      </c>
      <c r="AD245" t="n">
        <v>4943.324</v>
      </c>
      <c r="AE245" t="n">
        <v>5890.2008</v>
      </c>
      <c r="AF245" t="n">
        <v>5890.2008</v>
      </c>
      <c r="AG245" t="n">
        <v>789.0641000000001</v>
      </c>
      <c r="AH245" t="n">
        <v>0.000539</v>
      </c>
      <c r="AI245" t="n">
        <v>0.118136</v>
      </c>
      <c r="AJ245" t="n">
        <v>946.8769</v>
      </c>
      <c r="AK245" t="n">
        <v>78.9064</v>
      </c>
      <c r="AL245" t="n">
        <v>55058.9423</v>
      </c>
      <c r="AM245" t="n">
        <v>24034.2417</v>
      </c>
      <c r="AN245" t="n">
        <v>0.99</v>
      </c>
      <c r="AO245" t="inlineStr">
        <is>
          <t>High</t>
        </is>
      </c>
      <c r="AP245" t="inlineStr">
        <is>
          <t>On Track to Glide Path</t>
        </is>
      </c>
    </row>
    <row r="246">
      <c r="A246" t="inlineStr">
        <is>
          <t>SUP-0016</t>
        </is>
      </c>
      <c r="B246" t="inlineStr">
        <is>
          <t>Metals Supplier 016</t>
        </is>
      </c>
      <c r="C246" t="inlineStr">
        <is>
          <t>Metals</t>
        </is>
      </c>
      <c r="D246" t="n">
        <v>2024</v>
      </c>
      <c r="E246" t="n">
        <v>2018</v>
      </c>
      <c r="F246" t="n">
        <v>2040</v>
      </c>
      <c r="G246" t="n">
        <v>4467.5461</v>
      </c>
      <c r="H246" t="n">
        <v>717.3159000000001</v>
      </c>
      <c r="I246" t="n">
        <v>410.1449</v>
      </c>
      <c r="J246" t="n">
        <v>3460.3599</v>
      </c>
      <c r="K246" t="n">
        <v>10927929.9</v>
      </c>
      <c r="L246" t="n">
        <v>74404649.87</v>
      </c>
      <c r="M246" t="n">
        <v>4467.5461</v>
      </c>
      <c r="N246" t="inlineStr">
        <is>
          <t>Provided Total Emissions</t>
        </is>
      </c>
      <c r="O246" t="b">
        <v>1</v>
      </c>
      <c r="P246" t="n">
        <v>-0.055009</v>
      </c>
      <c r="Q246" t="n">
        <v>-0.006025</v>
      </c>
      <c r="R246" t="n">
        <v>11003.879</v>
      </c>
      <c r="S246" t="n">
        <v>48368.9748</v>
      </c>
      <c r="T246" t="n">
        <v>6536.3329</v>
      </c>
      <c r="U246" t="n">
        <v>43901.4287</v>
      </c>
      <c r="V246" t="n">
        <v>1.46307</v>
      </c>
      <c r="W246" t="n">
        <v>9.826743</v>
      </c>
      <c r="X246" t="inlineStr">
        <is>
          <t>High</t>
        </is>
      </c>
      <c r="Y246" t="inlineStr">
        <is>
          <t>None</t>
        </is>
      </c>
      <c r="Z246" t="inlineStr">
        <is>
          <t>Valid</t>
        </is>
      </c>
      <c r="AA246" t="n">
        <v>2029</v>
      </c>
      <c r="AB246" t="inlineStr">
        <is>
          <t>Supplier Target Pathway</t>
        </is>
      </c>
      <c r="AC246" t="n">
        <v>6679.2649</v>
      </c>
      <c r="AD246" t="n">
        <v>4943.324</v>
      </c>
      <c r="AE246" t="n">
        <v>5811.2944</v>
      </c>
      <c r="AF246" t="n">
        <v>5811.2944</v>
      </c>
      <c r="AG246" t="n">
        <v>867.9705</v>
      </c>
      <c r="AH246" t="n">
        <v>0.00053178</v>
      </c>
      <c r="AI246" t="n">
        <v>0.12995</v>
      </c>
      <c r="AJ246" t="n">
        <v>867.9705</v>
      </c>
      <c r="AK246" t="n">
        <v>78.9064</v>
      </c>
      <c r="AL246" t="n">
        <v>49247.6479</v>
      </c>
      <c r="AM246" t="n">
        <v>29845.5361</v>
      </c>
      <c r="AN246" t="n">
        <v>0.99</v>
      </c>
      <c r="AO246" t="inlineStr">
        <is>
          <t>High</t>
        </is>
      </c>
      <c r="AP246" t="inlineStr">
        <is>
          <t>On Track to Glide Path</t>
        </is>
      </c>
    </row>
    <row r="247">
      <c r="A247" t="inlineStr">
        <is>
          <t>SUP-0016</t>
        </is>
      </c>
      <c r="B247" t="inlineStr">
        <is>
          <t>Metals Supplier 016</t>
        </is>
      </c>
      <c r="C247" t="inlineStr">
        <is>
          <t>Metals</t>
        </is>
      </c>
      <c r="D247" t="n">
        <v>2024</v>
      </c>
      <c r="E247" t="n">
        <v>2018</v>
      </c>
      <c r="F247" t="n">
        <v>2040</v>
      </c>
      <c r="G247" t="n">
        <v>4467.5461</v>
      </c>
      <c r="H247" t="n">
        <v>717.3159000000001</v>
      </c>
      <c r="I247" t="n">
        <v>410.1449</v>
      </c>
      <c r="J247" t="n">
        <v>3460.3599</v>
      </c>
      <c r="K247" t="n">
        <v>10927929.9</v>
      </c>
      <c r="L247" t="n">
        <v>74404649.87</v>
      </c>
      <c r="M247" t="n">
        <v>4467.5461</v>
      </c>
      <c r="N247" t="inlineStr">
        <is>
          <t>Provided Total Emissions</t>
        </is>
      </c>
      <c r="O247" t="b">
        <v>1</v>
      </c>
      <c r="P247" t="n">
        <v>-0.055009</v>
      </c>
      <c r="Q247" t="n">
        <v>-0.006025</v>
      </c>
      <c r="R247" t="n">
        <v>11003.879</v>
      </c>
      <c r="S247" t="n">
        <v>48368.9748</v>
      </c>
      <c r="T247" t="n">
        <v>6536.3329</v>
      </c>
      <c r="U247" t="n">
        <v>43901.4287</v>
      </c>
      <c r="V247" t="n">
        <v>1.46307</v>
      </c>
      <c r="W247" t="n">
        <v>9.826743</v>
      </c>
      <c r="X247" t="inlineStr">
        <is>
          <t>High</t>
        </is>
      </c>
      <c r="Y247" t="inlineStr">
        <is>
          <t>None</t>
        </is>
      </c>
      <c r="Z247" t="inlineStr">
        <is>
          <t>Valid</t>
        </is>
      </c>
      <c r="AA247" t="n">
        <v>2030</v>
      </c>
      <c r="AB247" t="inlineStr">
        <is>
          <t>Supplier Target Pathway</t>
        </is>
      </c>
      <c r="AC247" t="n">
        <v>6679.2649</v>
      </c>
      <c r="AD247" t="n">
        <v>4943.324</v>
      </c>
      <c r="AE247" t="n">
        <v>5732.388</v>
      </c>
      <c r="AF247" t="n">
        <v>5732.388</v>
      </c>
      <c r="AG247" t="n">
        <v>946.8769</v>
      </c>
      <c r="AH247" t="n">
        <v>0.00052456</v>
      </c>
      <c r="AI247" t="n">
        <v>0.141764</v>
      </c>
      <c r="AJ247" t="n">
        <v>789.0641000000001</v>
      </c>
      <c r="AK247" t="n">
        <v>78.9064</v>
      </c>
      <c r="AL247" t="n">
        <v>43515.2599</v>
      </c>
      <c r="AM247" t="n">
        <v>35577.9241</v>
      </c>
      <c r="AN247" t="n">
        <v>0.99</v>
      </c>
      <c r="AO247" t="inlineStr">
        <is>
          <t>High</t>
        </is>
      </c>
      <c r="AP247" t="inlineStr">
        <is>
          <t>On Track to Glide Path</t>
        </is>
      </c>
    </row>
    <row r="248">
      <c r="A248" t="inlineStr">
        <is>
          <t>SUP-0016</t>
        </is>
      </c>
      <c r="B248" t="inlineStr">
        <is>
          <t>Metals Supplier 016</t>
        </is>
      </c>
      <c r="C248" t="inlineStr">
        <is>
          <t>Metals</t>
        </is>
      </c>
      <c r="D248" t="n">
        <v>2024</v>
      </c>
      <c r="E248" t="n">
        <v>2018</v>
      </c>
      <c r="F248" t="n">
        <v>2040</v>
      </c>
      <c r="G248" t="n">
        <v>4467.5461</v>
      </c>
      <c r="H248" t="n">
        <v>717.3159000000001</v>
      </c>
      <c r="I248" t="n">
        <v>410.1449</v>
      </c>
      <c r="J248" t="n">
        <v>3460.3599</v>
      </c>
      <c r="K248" t="n">
        <v>10927929.9</v>
      </c>
      <c r="L248" t="n">
        <v>74404649.87</v>
      </c>
      <c r="M248" t="n">
        <v>4467.5461</v>
      </c>
      <c r="N248" t="inlineStr">
        <is>
          <t>Provided Total Emissions</t>
        </is>
      </c>
      <c r="O248" t="b">
        <v>1</v>
      </c>
      <c r="P248" t="n">
        <v>-0.055009</v>
      </c>
      <c r="Q248" t="n">
        <v>-0.006025</v>
      </c>
      <c r="R248" t="n">
        <v>11003.879</v>
      </c>
      <c r="S248" t="n">
        <v>48368.9748</v>
      </c>
      <c r="T248" t="n">
        <v>6536.3329</v>
      </c>
      <c r="U248" t="n">
        <v>43901.4287</v>
      </c>
      <c r="V248" t="n">
        <v>1.46307</v>
      </c>
      <c r="W248" t="n">
        <v>9.826743</v>
      </c>
      <c r="X248" t="inlineStr">
        <is>
          <t>High</t>
        </is>
      </c>
      <c r="Y248" t="inlineStr">
        <is>
          <t>None</t>
        </is>
      </c>
      <c r="Z248" t="inlineStr">
        <is>
          <t>Valid</t>
        </is>
      </c>
      <c r="AA248" t="n">
        <v>2031</v>
      </c>
      <c r="AB248" t="inlineStr">
        <is>
          <t>Supplier Target Pathway</t>
        </is>
      </c>
      <c r="AC248" t="n">
        <v>6679.2649</v>
      </c>
      <c r="AD248" t="n">
        <v>4943.324</v>
      </c>
      <c r="AE248" t="n">
        <v>5653.4816</v>
      </c>
      <c r="AF248" t="n">
        <v>5653.4816</v>
      </c>
      <c r="AG248" t="n">
        <v>1025.7833</v>
      </c>
      <c r="AH248" t="n">
        <v>0.00051734</v>
      </c>
      <c r="AI248" t="n">
        <v>0.153577</v>
      </c>
      <c r="AJ248" t="n">
        <v>710.1577</v>
      </c>
      <c r="AK248" t="n">
        <v>78.9064</v>
      </c>
      <c r="AL248" t="n">
        <v>37861.7783</v>
      </c>
      <c r="AM248" t="n">
        <v>41231.4057</v>
      </c>
      <c r="AN248" t="n">
        <v>0.99</v>
      </c>
      <c r="AO248" t="inlineStr">
        <is>
          <t>Medium</t>
        </is>
      </c>
      <c r="AP248" t="inlineStr">
        <is>
          <t>On Track to Glide Path</t>
        </is>
      </c>
    </row>
    <row r="249">
      <c r="A249" t="inlineStr">
        <is>
          <t>SUP-0016</t>
        </is>
      </c>
      <c r="B249" t="inlineStr">
        <is>
          <t>Metals Supplier 016</t>
        </is>
      </c>
      <c r="C249" t="inlineStr">
        <is>
          <t>Metals</t>
        </is>
      </c>
      <c r="D249" t="n">
        <v>2024</v>
      </c>
      <c r="E249" t="n">
        <v>2018</v>
      </c>
      <c r="F249" t="n">
        <v>2040</v>
      </c>
      <c r="G249" t="n">
        <v>4467.5461</v>
      </c>
      <c r="H249" t="n">
        <v>717.3159000000001</v>
      </c>
      <c r="I249" t="n">
        <v>410.1449</v>
      </c>
      <c r="J249" t="n">
        <v>3460.3599</v>
      </c>
      <c r="K249" t="n">
        <v>10927929.9</v>
      </c>
      <c r="L249" t="n">
        <v>74404649.87</v>
      </c>
      <c r="M249" t="n">
        <v>4467.5461</v>
      </c>
      <c r="N249" t="inlineStr">
        <is>
          <t>Provided Total Emissions</t>
        </is>
      </c>
      <c r="O249" t="b">
        <v>1</v>
      </c>
      <c r="P249" t="n">
        <v>-0.055009</v>
      </c>
      <c r="Q249" t="n">
        <v>-0.006025</v>
      </c>
      <c r="R249" t="n">
        <v>11003.879</v>
      </c>
      <c r="S249" t="n">
        <v>48368.9748</v>
      </c>
      <c r="T249" t="n">
        <v>6536.3329</v>
      </c>
      <c r="U249" t="n">
        <v>43901.4287</v>
      </c>
      <c r="V249" t="n">
        <v>1.46307</v>
      </c>
      <c r="W249" t="n">
        <v>9.826743</v>
      </c>
      <c r="X249" t="inlineStr">
        <is>
          <t>High</t>
        </is>
      </c>
      <c r="Y249" t="inlineStr">
        <is>
          <t>None</t>
        </is>
      </c>
      <c r="Z249" t="inlineStr">
        <is>
          <t>Valid</t>
        </is>
      </c>
      <c r="AA249" t="n">
        <v>2032</v>
      </c>
      <c r="AB249" t="inlineStr">
        <is>
          <t>Supplier Target Pathway</t>
        </is>
      </c>
      <c r="AC249" t="n">
        <v>6679.2649</v>
      </c>
      <c r="AD249" t="n">
        <v>4943.324</v>
      </c>
      <c r="AE249" t="n">
        <v>5574.5752</v>
      </c>
      <c r="AF249" t="n">
        <v>5574.5752</v>
      </c>
      <c r="AG249" t="n">
        <v>1104.6897</v>
      </c>
      <c r="AH249" t="n">
        <v>0.00051012</v>
      </c>
      <c r="AI249" t="n">
        <v>0.165391</v>
      </c>
      <c r="AJ249" t="n">
        <v>631.2513</v>
      </c>
      <c r="AK249" t="n">
        <v>78.9064</v>
      </c>
      <c r="AL249" t="n">
        <v>32287.2031</v>
      </c>
      <c r="AM249" t="n">
        <v>46805.9809</v>
      </c>
      <c r="AN249" t="n">
        <v>0.99</v>
      </c>
      <c r="AO249" t="inlineStr">
        <is>
          <t>Medium</t>
        </is>
      </c>
      <c r="AP249" t="inlineStr">
        <is>
          <t>On Track to Glide Path</t>
        </is>
      </c>
    </row>
    <row r="250">
      <c r="A250" t="inlineStr">
        <is>
          <t>SUP-0016</t>
        </is>
      </c>
      <c r="B250" t="inlineStr">
        <is>
          <t>Metals Supplier 016</t>
        </is>
      </c>
      <c r="C250" t="inlineStr">
        <is>
          <t>Metals</t>
        </is>
      </c>
      <c r="D250" t="n">
        <v>2024</v>
      </c>
      <c r="E250" t="n">
        <v>2018</v>
      </c>
      <c r="F250" t="n">
        <v>2040</v>
      </c>
      <c r="G250" t="n">
        <v>4467.5461</v>
      </c>
      <c r="H250" t="n">
        <v>717.3159000000001</v>
      </c>
      <c r="I250" t="n">
        <v>410.1449</v>
      </c>
      <c r="J250" t="n">
        <v>3460.3599</v>
      </c>
      <c r="K250" t="n">
        <v>10927929.9</v>
      </c>
      <c r="L250" t="n">
        <v>74404649.87</v>
      </c>
      <c r="M250" t="n">
        <v>4467.5461</v>
      </c>
      <c r="N250" t="inlineStr">
        <is>
          <t>Provided Total Emissions</t>
        </is>
      </c>
      <c r="O250" t="b">
        <v>1</v>
      </c>
      <c r="P250" t="n">
        <v>-0.055009</v>
      </c>
      <c r="Q250" t="n">
        <v>-0.006025</v>
      </c>
      <c r="R250" t="n">
        <v>11003.879</v>
      </c>
      <c r="S250" t="n">
        <v>48368.9748</v>
      </c>
      <c r="T250" t="n">
        <v>6536.3329</v>
      </c>
      <c r="U250" t="n">
        <v>43901.4287</v>
      </c>
      <c r="V250" t="n">
        <v>1.46307</v>
      </c>
      <c r="W250" t="n">
        <v>9.826743</v>
      </c>
      <c r="X250" t="inlineStr">
        <is>
          <t>High</t>
        </is>
      </c>
      <c r="Y250" t="inlineStr">
        <is>
          <t>None</t>
        </is>
      </c>
      <c r="Z250" t="inlineStr">
        <is>
          <t>Valid</t>
        </is>
      </c>
      <c r="AA250" t="n">
        <v>2033</v>
      </c>
      <c r="AB250" t="inlineStr">
        <is>
          <t>Supplier Target Pathway</t>
        </is>
      </c>
      <c r="AC250" t="n">
        <v>6679.2649</v>
      </c>
      <c r="AD250" t="n">
        <v>4943.324</v>
      </c>
      <c r="AE250" t="n">
        <v>5495.6688</v>
      </c>
      <c r="AF250" t="n">
        <v>5495.6688</v>
      </c>
      <c r="AG250" t="n">
        <v>1183.5961</v>
      </c>
      <c r="AH250" t="n">
        <v>0.0005029</v>
      </c>
      <c r="AI250" t="n">
        <v>0.177205</v>
      </c>
      <c r="AJ250" t="n">
        <v>552.3448</v>
      </c>
      <c r="AK250" t="n">
        <v>78.9064</v>
      </c>
      <c r="AL250" t="n">
        <v>26791.5343</v>
      </c>
      <c r="AM250" t="n">
        <v>52301.6497</v>
      </c>
      <c r="AN250" t="n">
        <v>0.99</v>
      </c>
      <c r="AO250" t="inlineStr">
        <is>
          <t>Medium</t>
        </is>
      </c>
      <c r="AP250" t="inlineStr">
        <is>
          <t>On Track to Glide Path</t>
        </is>
      </c>
    </row>
    <row r="251">
      <c r="A251" t="inlineStr">
        <is>
          <t>SUP-0016</t>
        </is>
      </c>
      <c r="B251" t="inlineStr">
        <is>
          <t>Metals Supplier 016</t>
        </is>
      </c>
      <c r="C251" t="inlineStr">
        <is>
          <t>Metals</t>
        </is>
      </c>
      <c r="D251" t="n">
        <v>2024</v>
      </c>
      <c r="E251" t="n">
        <v>2018</v>
      </c>
      <c r="F251" t="n">
        <v>2040</v>
      </c>
      <c r="G251" t="n">
        <v>4467.5461</v>
      </c>
      <c r="H251" t="n">
        <v>717.3159000000001</v>
      </c>
      <c r="I251" t="n">
        <v>410.1449</v>
      </c>
      <c r="J251" t="n">
        <v>3460.3599</v>
      </c>
      <c r="K251" t="n">
        <v>10927929.9</v>
      </c>
      <c r="L251" t="n">
        <v>74404649.87</v>
      </c>
      <c r="M251" t="n">
        <v>4467.5461</v>
      </c>
      <c r="N251" t="inlineStr">
        <is>
          <t>Provided Total Emissions</t>
        </is>
      </c>
      <c r="O251" t="b">
        <v>1</v>
      </c>
      <c r="P251" t="n">
        <v>-0.055009</v>
      </c>
      <c r="Q251" t="n">
        <v>-0.006025</v>
      </c>
      <c r="R251" t="n">
        <v>11003.879</v>
      </c>
      <c r="S251" t="n">
        <v>48368.9748</v>
      </c>
      <c r="T251" t="n">
        <v>6536.3329</v>
      </c>
      <c r="U251" t="n">
        <v>43901.4287</v>
      </c>
      <c r="V251" t="n">
        <v>1.46307</v>
      </c>
      <c r="W251" t="n">
        <v>9.826743</v>
      </c>
      <c r="X251" t="inlineStr">
        <is>
          <t>High</t>
        </is>
      </c>
      <c r="Y251" t="inlineStr">
        <is>
          <t>None</t>
        </is>
      </c>
      <c r="Z251" t="inlineStr">
        <is>
          <t>Valid</t>
        </is>
      </c>
      <c r="AA251" t="n">
        <v>2034</v>
      </c>
      <c r="AB251" t="inlineStr">
        <is>
          <t>Supplier Target Pathway</t>
        </is>
      </c>
      <c r="AC251" t="n">
        <v>6679.2649</v>
      </c>
      <c r="AD251" t="n">
        <v>4943.324</v>
      </c>
      <c r="AE251" t="n">
        <v>5416.7624</v>
      </c>
      <c r="AF251" t="n">
        <v>5416.7624</v>
      </c>
      <c r="AG251" t="n">
        <v>1262.5025</v>
      </c>
      <c r="AH251" t="n">
        <v>0.00049568</v>
      </c>
      <c r="AI251" t="n">
        <v>0.189018</v>
      </c>
      <c r="AJ251" t="n">
        <v>473.4384</v>
      </c>
      <c r="AK251" t="n">
        <v>78.9064</v>
      </c>
      <c r="AL251" t="n">
        <v>21374.7719</v>
      </c>
      <c r="AM251" t="n">
        <v>57718.4121</v>
      </c>
      <c r="AN251" t="n">
        <v>0.99</v>
      </c>
      <c r="AO251" t="inlineStr">
        <is>
          <t>Medium</t>
        </is>
      </c>
      <c r="AP251" t="inlineStr">
        <is>
          <t>On Track to Glide Path</t>
        </is>
      </c>
    </row>
    <row r="252">
      <c r="A252" t="inlineStr">
        <is>
          <t>SUP-0016</t>
        </is>
      </c>
      <c r="B252" t="inlineStr">
        <is>
          <t>Metals Supplier 016</t>
        </is>
      </c>
      <c r="C252" t="inlineStr">
        <is>
          <t>Metals</t>
        </is>
      </c>
      <c r="D252" t="n">
        <v>2024</v>
      </c>
      <c r="E252" t="n">
        <v>2018</v>
      </c>
      <c r="F252" t="n">
        <v>2040</v>
      </c>
      <c r="G252" t="n">
        <v>4467.5461</v>
      </c>
      <c r="H252" t="n">
        <v>717.3159000000001</v>
      </c>
      <c r="I252" t="n">
        <v>410.1449</v>
      </c>
      <c r="J252" t="n">
        <v>3460.3599</v>
      </c>
      <c r="K252" t="n">
        <v>10927929.9</v>
      </c>
      <c r="L252" t="n">
        <v>74404649.87</v>
      </c>
      <c r="M252" t="n">
        <v>4467.5461</v>
      </c>
      <c r="N252" t="inlineStr">
        <is>
          <t>Provided Total Emissions</t>
        </is>
      </c>
      <c r="O252" t="b">
        <v>1</v>
      </c>
      <c r="P252" t="n">
        <v>-0.055009</v>
      </c>
      <c r="Q252" t="n">
        <v>-0.006025</v>
      </c>
      <c r="R252" t="n">
        <v>11003.879</v>
      </c>
      <c r="S252" t="n">
        <v>48368.9748</v>
      </c>
      <c r="T252" t="n">
        <v>6536.3329</v>
      </c>
      <c r="U252" t="n">
        <v>43901.4287</v>
      </c>
      <c r="V252" t="n">
        <v>1.46307</v>
      </c>
      <c r="W252" t="n">
        <v>9.826743</v>
      </c>
      <c r="X252" t="inlineStr">
        <is>
          <t>High</t>
        </is>
      </c>
      <c r="Y252" t="inlineStr">
        <is>
          <t>None</t>
        </is>
      </c>
      <c r="Z252" t="inlineStr">
        <is>
          <t>Valid</t>
        </is>
      </c>
      <c r="AA252" t="n">
        <v>2035</v>
      </c>
      <c r="AB252" t="inlineStr">
        <is>
          <t>Supplier Target Pathway</t>
        </is>
      </c>
      <c r="AC252" t="n">
        <v>6679.2649</v>
      </c>
      <c r="AD252" t="n">
        <v>4943.324</v>
      </c>
      <c r="AE252" t="n">
        <v>5337.856</v>
      </c>
      <c r="AF252" t="n">
        <v>5337.856</v>
      </c>
      <c r="AG252" t="n">
        <v>1341.4089</v>
      </c>
      <c r="AH252" t="n">
        <v>0.00048846</v>
      </c>
      <c r="AI252" t="n">
        <v>0.200832</v>
      </c>
      <c r="AJ252" t="n">
        <v>394.532</v>
      </c>
      <c r="AK252" t="n">
        <v>78.9064</v>
      </c>
      <c r="AL252" t="n">
        <v>16036.9159</v>
      </c>
      <c r="AM252" t="n">
        <v>63056.2681</v>
      </c>
      <c r="AN252" t="n">
        <v>0.99</v>
      </c>
      <c r="AO252" t="inlineStr">
        <is>
          <t>Medium</t>
        </is>
      </c>
      <c r="AP252" t="inlineStr">
        <is>
          <t>On Track to Glide Path</t>
        </is>
      </c>
    </row>
    <row r="253">
      <c r="A253" t="inlineStr">
        <is>
          <t>SUP-0016</t>
        </is>
      </c>
      <c r="B253" t="inlineStr">
        <is>
          <t>Metals Supplier 016</t>
        </is>
      </c>
      <c r="C253" t="inlineStr">
        <is>
          <t>Metals</t>
        </is>
      </c>
      <c r="D253" t="n">
        <v>2024</v>
      </c>
      <c r="E253" t="n">
        <v>2018</v>
      </c>
      <c r="F253" t="n">
        <v>2040</v>
      </c>
      <c r="G253" t="n">
        <v>4467.5461</v>
      </c>
      <c r="H253" t="n">
        <v>717.3159000000001</v>
      </c>
      <c r="I253" t="n">
        <v>410.1449</v>
      </c>
      <c r="J253" t="n">
        <v>3460.3599</v>
      </c>
      <c r="K253" t="n">
        <v>10927929.9</v>
      </c>
      <c r="L253" t="n">
        <v>74404649.87</v>
      </c>
      <c r="M253" t="n">
        <v>4467.5461</v>
      </c>
      <c r="N253" t="inlineStr">
        <is>
          <t>Provided Total Emissions</t>
        </is>
      </c>
      <c r="O253" t="b">
        <v>1</v>
      </c>
      <c r="P253" t="n">
        <v>-0.055009</v>
      </c>
      <c r="Q253" t="n">
        <v>-0.006025</v>
      </c>
      <c r="R253" t="n">
        <v>11003.879</v>
      </c>
      <c r="S253" t="n">
        <v>48368.9748</v>
      </c>
      <c r="T253" t="n">
        <v>6536.3329</v>
      </c>
      <c r="U253" t="n">
        <v>43901.4287</v>
      </c>
      <c r="V253" t="n">
        <v>1.46307</v>
      </c>
      <c r="W253" t="n">
        <v>9.826743</v>
      </c>
      <c r="X253" t="inlineStr">
        <is>
          <t>High</t>
        </is>
      </c>
      <c r="Y253" t="inlineStr">
        <is>
          <t>None</t>
        </is>
      </c>
      <c r="Z253" t="inlineStr">
        <is>
          <t>Valid</t>
        </is>
      </c>
      <c r="AA253" t="n">
        <v>2036</v>
      </c>
      <c r="AB253" t="inlineStr">
        <is>
          <t>Supplier Target Pathway</t>
        </is>
      </c>
      <c r="AC253" t="n">
        <v>6679.2649</v>
      </c>
      <c r="AD253" t="n">
        <v>4943.324</v>
      </c>
      <c r="AE253" t="n">
        <v>5258.9496</v>
      </c>
      <c r="AF253" t="n">
        <v>5258.9496</v>
      </c>
      <c r="AG253" t="n">
        <v>1420.3153</v>
      </c>
      <c r="AH253" t="n">
        <v>0.00048124</v>
      </c>
      <c r="AI253" t="n">
        <v>0.212645</v>
      </c>
      <c r="AJ253" t="n">
        <v>315.6256</v>
      </c>
      <c r="AK253" t="n">
        <v>78.9064</v>
      </c>
      <c r="AL253" t="n">
        <v>10777.9663</v>
      </c>
      <c r="AM253" t="n">
        <v>68315.21769999999</v>
      </c>
      <c r="AN253" t="n">
        <v>0.99</v>
      </c>
      <c r="AO253" t="inlineStr">
        <is>
          <t>Medium</t>
        </is>
      </c>
      <c r="AP253" t="inlineStr">
        <is>
          <t>On Track to Glide Path</t>
        </is>
      </c>
    </row>
    <row r="254">
      <c r="A254" t="inlineStr">
        <is>
          <t>SUP-0016</t>
        </is>
      </c>
      <c r="B254" t="inlineStr">
        <is>
          <t>Metals Supplier 016</t>
        </is>
      </c>
      <c r="C254" t="inlineStr">
        <is>
          <t>Metals</t>
        </is>
      </c>
      <c r="D254" t="n">
        <v>2024</v>
      </c>
      <c r="E254" t="n">
        <v>2018</v>
      </c>
      <c r="F254" t="n">
        <v>2040</v>
      </c>
      <c r="G254" t="n">
        <v>4467.5461</v>
      </c>
      <c r="H254" t="n">
        <v>717.3159000000001</v>
      </c>
      <c r="I254" t="n">
        <v>410.1449</v>
      </c>
      <c r="J254" t="n">
        <v>3460.3599</v>
      </c>
      <c r="K254" t="n">
        <v>10927929.9</v>
      </c>
      <c r="L254" t="n">
        <v>74404649.87</v>
      </c>
      <c r="M254" t="n">
        <v>4467.5461</v>
      </c>
      <c r="N254" t="inlineStr">
        <is>
          <t>Provided Total Emissions</t>
        </is>
      </c>
      <c r="O254" t="b">
        <v>1</v>
      </c>
      <c r="P254" t="n">
        <v>-0.055009</v>
      </c>
      <c r="Q254" t="n">
        <v>-0.006025</v>
      </c>
      <c r="R254" t="n">
        <v>11003.879</v>
      </c>
      <c r="S254" t="n">
        <v>48368.9748</v>
      </c>
      <c r="T254" t="n">
        <v>6536.3329</v>
      </c>
      <c r="U254" t="n">
        <v>43901.4287</v>
      </c>
      <c r="V254" t="n">
        <v>1.46307</v>
      </c>
      <c r="W254" t="n">
        <v>9.826743</v>
      </c>
      <c r="X254" t="inlineStr">
        <is>
          <t>High</t>
        </is>
      </c>
      <c r="Y254" t="inlineStr">
        <is>
          <t>None</t>
        </is>
      </c>
      <c r="Z254" t="inlineStr">
        <is>
          <t>Valid</t>
        </is>
      </c>
      <c r="AA254" t="n">
        <v>2037</v>
      </c>
      <c r="AB254" t="inlineStr">
        <is>
          <t>Supplier Target Pathway</t>
        </is>
      </c>
      <c r="AC254" t="n">
        <v>6679.2649</v>
      </c>
      <c r="AD254" t="n">
        <v>4943.324</v>
      </c>
      <c r="AE254" t="n">
        <v>5180.0432</v>
      </c>
      <c r="AF254" t="n">
        <v>5180.0432</v>
      </c>
      <c r="AG254" t="n">
        <v>1499.2217</v>
      </c>
      <c r="AH254" t="n">
        <v>0.00047402</v>
      </c>
      <c r="AI254" t="n">
        <v>0.224459</v>
      </c>
      <c r="AJ254" t="n">
        <v>236.7192</v>
      </c>
      <c r="AK254" t="n">
        <v>78.9064</v>
      </c>
      <c r="AL254" t="n">
        <v>5597.9231</v>
      </c>
      <c r="AM254" t="n">
        <v>73495.26089999999</v>
      </c>
      <c r="AN254" t="n">
        <v>0.99</v>
      </c>
      <c r="AO254" t="inlineStr">
        <is>
          <t>Medium</t>
        </is>
      </c>
      <c r="AP254" t="inlineStr">
        <is>
          <t>On Track to Glide Path</t>
        </is>
      </c>
    </row>
    <row r="255">
      <c r="A255" t="inlineStr">
        <is>
          <t>SUP-0016</t>
        </is>
      </c>
      <c r="B255" t="inlineStr">
        <is>
          <t>Metals Supplier 016</t>
        </is>
      </c>
      <c r="C255" t="inlineStr">
        <is>
          <t>Metals</t>
        </is>
      </c>
      <c r="D255" t="n">
        <v>2024</v>
      </c>
      <c r="E255" t="n">
        <v>2018</v>
      </c>
      <c r="F255" t="n">
        <v>2040</v>
      </c>
      <c r="G255" t="n">
        <v>4467.5461</v>
      </c>
      <c r="H255" t="n">
        <v>717.3159000000001</v>
      </c>
      <c r="I255" t="n">
        <v>410.1449</v>
      </c>
      <c r="J255" t="n">
        <v>3460.3599</v>
      </c>
      <c r="K255" t="n">
        <v>10927929.9</v>
      </c>
      <c r="L255" t="n">
        <v>74404649.87</v>
      </c>
      <c r="M255" t="n">
        <v>4467.5461</v>
      </c>
      <c r="N255" t="inlineStr">
        <is>
          <t>Provided Total Emissions</t>
        </is>
      </c>
      <c r="O255" t="b">
        <v>1</v>
      </c>
      <c r="P255" t="n">
        <v>-0.055009</v>
      </c>
      <c r="Q255" t="n">
        <v>-0.006025</v>
      </c>
      <c r="R255" t="n">
        <v>11003.879</v>
      </c>
      <c r="S255" t="n">
        <v>48368.9748</v>
      </c>
      <c r="T255" t="n">
        <v>6536.3329</v>
      </c>
      <c r="U255" t="n">
        <v>43901.4287</v>
      </c>
      <c r="V255" t="n">
        <v>1.46307</v>
      </c>
      <c r="W255" t="n">
        <v>9.826743</v>
      </c>
      <c r="X255" t="inlineStr">
        <is>
          <t>High</t>
        </is>
      </c>
      <c r="Y255" t="inlineStr">
        <is>
          <t>None</t>
        </is>
      </c>
      <c r="Z255" t="inlineStr">
        <is>
          <t>Valid</t>
        </is>
      </c>
      <c r="AA255" t="n">
        <v>2038</v>
      </c>
      <c r="AB255" t="inlineStr">
        <is>
          <t>Supplier Target Pathway</t>
        </is>
      </c>
      <c r="AC255" t="n">
        <v>6679.2649</v>
      </c>
      <c r="AD255" t="n">
        <v>4943.324</v>
      </c>
      <c r="AE255" t="n">
        <v>5101.1368</v>
      </c>
      <c r="AF255" t="n">
        <v>5101.1368</v>
      </c>
      <c r="AG255" t="n">
        <v>1578.1281</v>
      </c>
      <c r="AH255" t="n">
        <v>0.0004668</v>
      </c>
      <c r="AI255" t="n">
        <v>0.236273</v>
      </c>
      <c r="AJ255" t="n">
        <v>157.8128</v>
      </c>
      <c r="AK255" t="n">
        <v>78.9064</v>
      </c>
      <c r="AL255" t="n">
        <v>496.7863</v>
      </c>
      <c r="AM255" t="n">
        <v>78596.3977</v>
      </c>
      <c r="AN255" t="n">
        <v>0.99</v>
      </c>
      <c r="AO255" t="inlineStr">
        <is>
          <t>Medium</t>
        </is>
      </c>
      <c r="AP255" t="inlineStr">
        <is>
          <t>On Track to Glide Path</t>
        </is>
      </c>
    </row>
    <row r="256">
      <c r="A256" t="inlineStr">
        <is>
          <t>SUP-0016</t>
        </is>
      </c>
      <c r="B256" t="inlineStr">
        <is>
          <t>Metals Supplier 016</t>
        </is>
      </c>
      <c r="C256" t="inlineStr">
        <is>
          <t>Metals</t>
        </is>
      </c>
      <c r="D256" t="n">
        <v>2024</v>
      </c>
      <c r="E256" t="n">
        <v>2018</v>
      </c>
      <c r="F256" t="n">
        <v>2040</v>
      </c>
      <c r="G256" t="n">
        <v>4467.5461</v>
      </c>
      <c r="H256" t="n">
        <v>717.3159000000001</v>
      </c>
      <c r="I256" t="n">
        <v>410.1449</v>
      </c>
      <c r="J256" t="n">
        <v>3460.3599</v>
      </c>
      <c r="K256" t="n">
        <v>10927929.9</v>
      </c>
      <c r="L256" t="n">
        <v>74404649.87</v>
      </c>
      <c r="M256" t="n">
        <v>4467.5461</v>
      </c>
      <c r="N256" t="inlineStr">
        <is>
          <t>Provided Total Emissions</t>
        </is>
      </c>
      <c r="O256" t="b">
        <v>1</v>
      </c>
      <c r="P256" t="n">
        <v>-0.055009</v>
      </c>
      <c r="Q256" t="n">
        <v>-0.006025</v>
      </c>
      <c r="R256" t="n">
        <v>11003.879</v>
      </c>
      <c r="S256" t="n">
        <v>48368.9748</v>
      </c>
      <c r="T256" t="n">
        <v>6536.3329</v>
      </c>
      <c r="U256" t="n">
        <v>43901.4287</v>
      </c>
      <c r="V256" t="n">
        <v>1.46307</v>
      </c>
      <c r="W256" t="n">
        <v>9.826743</v>
      </c>
      <c r="X256" t="inlineStr">
        <is>
          <t>High</t>
        </is>
      </c>
      <c r="Y256" t="inlineStr">
        <is>
          <t>None</t>
        </is>
      </c>
      <c r="Z256" t="inlineStr">
        <is>
          <t>Valid</t>
        </is>
      </c>
      <c r="AA256" t="n">
        <v>2039</v>
      </c>
      <c r="AB256" t="inlineStr">
        <is>
          <t>Supplier Target Pathway</t>
        </is>
      </c>
      <c r="AC256" t="n">
        <v>6679.2649</v>
      </c>
      <c r="AD256" t="n">
        <v>4943.324</v>
      </c>
      <c r="AE256" t="n">
        <v>5022.2304</v>
      </c>
      <c r="AF256" t="n">
        <v>5022.2304</v>
      </c>
      <c r="AG256" t="n">
        <v>1657.0345</v>
      </c>
      <c r="AH256" t="n">
        <v>0.00045958</v>
      </c>
      <c r="AI256" t="n">
        <v>0.248086</v>
      </c>
      <c r="AJ256" t="n">
        <v>78.9064</v>
      </c>
      <c r="AK256" t="n">
        <v>78.9064</v>
      </c>
      <c r="AL256" t="n">
        <v>-4525.4441</v>
      </c>
      <c r="AM256" t="n">
        <v>83618.6281</v>
      </c>
      <c r="AN256" t="n">
        <v>0.99</v>
      </c>
      <c r="AO256" t="inlineStr">
        <is>
          <t>Medium</t>
        </is>
      </c>
      <c r="AP256" t="inlineStr">
        <is>
          <t>On Track to Glide Path</t>
        </is>
      </c>
    </row>
    <row r="257">
      <c r="A257" t="inlineStr">
        <is>
          <t>SUP-0016</t>
        </is>
      </c>
      <c r="B257" t="inlineStr">
        <is>
          <t>Metals Supplier 016</t>
        </is>
      </c>
      <c r="C257" t="inlineStr">
        <is>
          <t>Metals</t>
        </is>
      </c>
      <c r="D257" t="n">
        <v>2024</v>
      </c>
      <c r="E257" t="n">
        <v>2018</v>
      </c>
      <c r="F257" t="n">
        <v>2040</v>
      </c>
      <c r="G257" t="n">
        <v>4467.5461</v>
      </c>
      <c r="H257" t="n">
        <v>717.3159000000001</v>
      </c>
      <c r="I257" t="n">
        <v>410.1449</v>
      </c>
      <c r="J257" t="n">
        <v>3460.3599</v>
      </c>
      <c r="K257" t="n">
        <v>10927929.9</v>
      </c>
      <c r="L257" t="n">
        <v>74404649.87</v>
      </c>
      <c r="M257" t="n">
        <v>4467.5461</v>
      </c>
      <c r="N257" t="inlineStr">
        <is>
          <t>Provided Total Emissions</t>
        </is>
      </c>
      <c r="O257" t="b">
        <v>1</v>
      </c>
      <c r="P257" t="n">
        <v>-0.055009</v>
      </c>
      <c r="Q257" t="n">
        <v>-0.006025</v>
      </c>
      <c r="R257" t="n">
        <v>11003.879</v>
      </c>
      <c r="S257" t="n">
        <v>48368.9748</v>
      </c>
      <c r="T257" t="n">
        <v>6536.3329</v>
      </c>
      <c r="U257" t="n">
        <v>43901.4287</v>
      </c>
      <c r="V257" t="n">
        <v>1.46307</v>
      </c>
      <c r="W257" t="n">
        <v>9.826743</v>
      </c>
      <c r="X257" t="inlineStr">
        <is>
          <t>High</t>
        </is>
      </c>
      <c r="Y257" t="inlineStr">
        <is>
          <t>None</t>
        </is>
      </c>
      <c r="Z257" t="inlineStr">
        <is>
          <t>Valid</t>
        </is>
      </c>
      <c r="AA257" t="n">
        <v>2040</v>
      </c>
      <c r="AB257" t="inlineStr">
        <is>
          <t>Supplier Target Pathway</t>
        </is>
      </c>
      <c r="AC257" t="n">
        <v>6679.2649</v>
      </c>
      <c r="AD257" t="n">
        <v>4943.324</v>
      </c>
      <c r="AE257" t="n">
        <v>4943.324</v>
      </c>
      <c r="AF257" t="n">
        <v>4943.324</v>
      </c>
      <c r="AG257" t="n">
        <v>1735.9409</v>
      </c>
      <c r="AH257" t="n">
        <v>0.00045236</v>
      </c>
      <c r="AI257" t="n">
        <v>0.2599</v>
      </c>
      <c r="AJ257" t="n">
        <v>0</v>
      </c>
      <c r="AK257" t="n">
        <v>78.9064</v>
      </c>
      <c r="AL257" t="n">
        <v>-9468.768099999999</v>
      </c>
      <c r="AM257" t="n">
        <v>88561.95209999999</v>
      </c>
      <c r="AN257" t="n">
        <v>0.99</v>
      </c>
      <c r="AO257" t="inlineStr">
        <is>
          <t>Low</t>
        </is>
      </c>
      <c r="AP257" t="inlineStr">
        <is>
          <t>On Track</t>
        </is>
      </c>
    </row>
    <row r="258">
      <c r="A258" t="inlineStr">
        <is>
          <t>SUP-0017</t>
        </is>
      </c>
      <c r="B258" t="inlineStr">
        <is>
          <t>Electronics Supplier 017</t>
        </is>
      </c>
      <c r="C258" t="inlineStr">
        <is>
          <t>Electronics</t>
        </is>
      </c>
      <c r="D258" t="n">
        <v>2024</v>
      </c>
      <c r="E258" t="n">
        <v>2020</v>
      </c>
      <c r="F258" t="n">
        <v>2035</v>
      </c>
      <c r="G258" t="n">
        <v>6974.0868</v>
      </c>
      <c r="H258" t="n">
        <v>1330.6149</v>
      </c>
      <c r="I258" t="n">
        <v>479.5272</v>
      </c>
      <c r="J258" t="n">
        <v>5173.2292</v>
      </c>
      <c r="K258" t="n">
        <v>12291762.5</v>
      </c>
      <c r="L258" t="n">
        <v>99042383.87</v>
      </c>
      <c r="M258" t="n">
        <v>6974.0868</v>
      </c>
      <c r="N258" t="inlineStr">
        <is>
          <t>Provided Total Emissions</t>
        </is>
      </c>
      <c r="O258" t="b">
        <v>1</v>
      </c>
      <c r="P258" t="n">
        <v>0.008038</v>
      </c>
      <c r="Q258" t="n">
        <v>-0.002831</v>
      </c>
      <c r="R258" t="n">
        <v>10583.8221</v>
      </c>
      <c r="S258" t="n">
        <v>13813.4413</v>
      </c>
      <c r="T258" t="n">
        <v>3609.7353</v>
      </c>
      <c r="U258" t="n">
        <v>6839.3545</v>
      </c>
      <c r="V258" t="n">
        <v>0.517593</v>
      </c>
      <c r="W258" t="n">
        <v>0.980681</v>
      </c>
      <c r="X258" t="inlineStr">
        <is>
          <t>High</t>
        </is>
      </c>
      <c r="Y258" t="inlineStr">
        <is>
          <t>None</t>
        </is>
      </c>
      <c r="Z258" t="inlineStr">
        <is>
          <t>Valid</t>
        </is>
      </c>
      <c r="AA258" t="n">
        <v>2025</v>
      </c>
      <c r="AB258" t="inlineStr">
        <is>
          <t>Supplier Target Pathway</t>
        </is>
      </c>
      <c r="AC258" t="n">
        <v>3595.3805</v>
      </c>
      <c r="AD258" t="n">
        <v>1438.5117</v>
      </c>
      <c r="AE258" t="n">
        <v>2876.4242</v>
      </c>
      <c r="AF258" t="n">
        <v>2876.4242</v>
      </c>
      <c r="AG258" t="n">
        <v>718.9563000000001</v>
      </c>
      <c r="AH258" t="n">
        <v>0.00023401</v>
      </c>
      <c r="AI258" t="n">
        <v>0.199967</v>
      </c>
      <c r="AJ258" t="n">
        <v>1437.9125</v>
      </c>
      <c r="AK258" t="n">
        <v>143.7913</v>
      </c>
      <c r="AL258" t="n">
        <v>12947.2045</v>
      </c>
      <c r="AM258" t="n">
        <v>2876.4242</v>
      </c>
      <c r="AN258" t="n">
        <v>0.99</v>
      </c>
      <c r="AO258" t="inlineStr">
        <is>
          <t>Critical</t>
        </is>
      </c>
      <c r="AP258" t="inlineStr">
        <is>
          <t>On Track to Glide Path</t>
        </is>
      </c>
    </row>
    <row r="259">
      <c r="A259" t="inlineStr">
        <is>
          <t>SUP-0017</t>
        </is>
      </c>
      <c r="B259" t="inlineStr">
        <is>
          <t>Electronics Supplier 017</t>
        </is>
      </c>
      <c r="C259" t="inlineStr">
        <is>
          <t>Electronics</t>
        </is>
      </c>
      <c r="D259" t="n">
        <v>2024</v>
      </c>
      <c r="E259" t="n">
        <v>2020</v>
      </c>
      <c r="F259" t="n">
        <v>2035</v>
      </c>
      <c r="G259" t="n">
        <v>6974.0868</v>
      </c>
      <c r="H259" t="n">
        <v>1330.6149</v>
      </c>
      <c r="I259" t="n">
        <v>479.5272</v>
      </c>
      <c r="J259" t="n">
        <v>5173.2292</v>
      </c>
      <c r="K259" t="n">
        <v>12291762.5</v>
      </c>
      <c r="L259" t="n">
        <v>99042383.87</v>
      </c>
      <c r="M259" t="n">
        <v>6974.0868</v>
      </c>
      <c r="N259" t="inlineStr">
        <is>
          <t>Provided Total Emissions</t>
        </is>
      </c>
      <c r="O259" t="b">
        <v>1</v>
      </c>
      <c r="P259" t="n">
        <v>0.008038</v>
      </c>
      <c r="Q259" t="n">
        <v>-0.002831</v>
      </c>
      <c r="R259" t="n">
        <v>10583.8221</v>
      </c>
      <c r="S259" t="n">
        <v>13813.4413</v>
      </c>
      <c r="T259" t="n">
        <v>3609.7353</v>
      </c>
      <c r="U259" t="n">
        <v>6839.3545</v>
      </c>
      <c r="V259" t="n">
        <v>0.517593</v>
      </c>
      <c r="W259" t="n">
        <v>0.980681</v>
      </c>
      <c r="X259" t="inlineStr">
        <is>
          <t>High</t>
        </is>
      </c>
      <c r="Y259" t="inlineStr">
        <is>
          <t>None</t>
        </is>
      </c>
      <c r="Z259" t="inlineStr">
        <is>
          <t>Valid</t>
        </is>
      </c>
      <c r="AA259" t="n">
        <v>2026</v>
      </c>
      <c r="AB259" t="inlineStr">
        <is>
          <t>Supplier Target Pathway</t>
        </is>
      </c>
      <c r="AC259" t="n">
        <v>3595.3805</v>
      </c>
      <c r="AD259" t="n">
        <v>1438.5117</v>
      </c>
      <c r="AE259" t="n">
        <v>2732.633</v>
      </c>
      <c r="AF259" t="n">
        <v>2732.633</v>
      </c>
      <c r="AG259" t="n">
        <v>862.7474999999999</v>
      </c>
      <c r="AH259" t="n">
        <v>0.00022231</v>
      </c>
      <c r="AI259" t="n">
        <v>0.23996</v>
      </c>
      <c r="AJ259" t="n">
        <v>1294.1213</v>
      </c>
      <c r="AK259" t="n">
        <v>143.7913</v>
      </c>
      <c r="AL259" t="n">
        <v>10214.5715</v>
      </c>
      <c r="AM259" t="n">
        <v>5609.0572</v>
      </c>
      <c r="AN259" t="n">
        <v>0.99</v>
      </c>
      <c r="AO259" t="inlineStr">
        <is>
          <t>Critical</t>
        </is>
      </c>
      <c r="AP259" t="inlineStr">
        <is>
          <t>On Track to Glide Path</t>
        </is>
      </c>
    </row>
    <row r="260">
      <c r="A260" t="inlineStr">
        <is>
          <t>SUP-0017</t>
        </is>
      </c>
      <c r="B260" t="inlineStr">
        <is>
          <t>Electronics Supplier 017</t>
        </is>
      </c>
      <c r="C260" t="inlineStr">
        <is>
          <t>Electronics</t>
        </is>
      </c>
      <c r="D260" t="n">
        <v>2024</v>
      </c>
      <c r="E260" t="n">
        <v>2020</v>
      </c>
      <c r="F260" t="n">
        <v>2035</v>
      </c>
      <c r="G260" t="n">
        <v>6974.0868</v>
      </c>
      <c r="H260" t="n">
        <v>1330.6149</v>
      </c>
      <c r="I260" t="n">
        <v>479.5272</v>
      </c>
      <c r="J260" t="n">
        <v>5173.2292</v>
      </c>
      <c r="K260" t="n">
        <v>12291762.5</v>
      </c>
      <c r="L260" t="n">
        <v>99042383.87</v>
      </c>
      <c r="M260" t="n">
        <v>6974.0868</v>
      </c>
      <c r="N260" t="inlineStr">
        <is>
          <t>Provided Total Emissions</t>
        </is>
      </c>
      <c r="O260" t="b">
        <v>1</v>
      </c>
      <c r="P260" t="n">
        <v>0.008038</v>
      </c>
      <c r="Q260" t="n">
        <v>-0.002831</v>
      </c>
      <c r="R260" t="n">
        <v>10583.8221</v>
      </c>
      <c r="S260" t="n">
        <v>13813.4413</v>
      </c>
      <c r="T260" t="n">
        <v>3609.7353</v>
      </c>
      <c r="U260" t="n">
        <v>6839.3545</v>
      </c>
      <c r="V260" t="n">
        <v>0.517593</v>
      </c>
      <c r="W260" t="n">
        <v>0.980681</v>
      </c>
      <c r="X260" t="inlineStr">
        <is>
          <t>High</t>
        </is>
      </c>
      <c r="Y260" t="inlineStr">
        <is>
          <t>None</t>
        </is>
      </c>
      <c r="Z260" t="inlineStr">
        <is>
          <t>Valid</t>
        </is>
      </c>
      <c r="AA260" t="n">
        <v>2027</v>
      </c>
      <c r="AB260" t="inlineStr">
        <is>
          <t>Supplier Target Pathway</t>
        </is>
      </c>
      <c r="AC260" t="n">
        <v>3595.3805</v>
      </c>
      <c r="AD260" t="n">
        <v>1438.5117</v>
      </c>
      <c r="AE260" t="n">
        <v>2588.8417</v>
      </c>
      <c r="AF260" t="n">
        <v>2588.8417</v>
      </c>
      <c r="AG260" t="n">
        <v>1006.5388</v>
      </c>
      <c r="AH260" t="n">
        <v>0.00021062</v>
      </c>
      <c r="AI260" t="n">
        <v>0.279953</v>
      </c>
      <c r="AJ260" t="n">
        <v>1150.33</v>
      </c>
      <c r="AK260" t="n">
        <v>143.7913</v>
      </c>
      <c r="AL260" t="n">
        <v>7625.7298</v>
      </c>
      <c r="AM260" t="n">
        <v>8197.8989</v>
      </c>
      <c r="AN260" t="n">
        <v>0.99</v>
      </c>
      <c r="AO260" t="inlineStr">
        <is>
          <t>Critical</t>
        </is>
      </c>
      <c r="AP260" t="inlineStr">
        <is>
          <t>On Track to Glide Path</t>
        </is>
      </c>
    </row>
    <row r="261">
      <c r="A261" t="inlineStr">
        <is>
          <t>SUP-0017</t>
        </is>
      </c>
      <c r="B261" t="inlineStr">
        <is>
          <t>Electronics Supplier 017</t>
        </is>
      </c>
      <c r="C261" t="inlineStr">
        <is>
          <t>Electronics</t>
        </is>
      </c>
      <c r="D261" t="n">
        <v>2024</v>
      </c>
      <c r="E261" t="n">
        <v>2020</v>
      </c>
      <c r="F261" t="n">
        <v>2035</v>
      </c>
      <c r="G261" t="n">
        <v>6974.0868</v>
      </c>
      <c r="H261" t="n">
        <v>1330.6149</v>
      </c>
      <c r="I261" t="n">
        <v>479.5272</v>
      </c>
      <c r="J261" t="n">
        <v>5173.2292</v>
      </c>
      <c r="K261" t="n">
        <v>12291762.5</v>
      </c>
      <c r="L261" t="n">
        <v>99042383.87</v>
      </c>
      <c r="M261" t="n">
        <v>6974.0868</v>
      </c>
      <c r="N261" t="inlineStr">
        <is>
          <t>Provided Total Emissions</t>
        </is>
      </c>
      <c r="O261" t="b">
        <v>1</v>
      </c>
      <c r="P261" t="n">
        <v>0.008038</v>
      </c>
      <c r="Q261" t="n">
        <v>-0.002831</v>
      </c>
      <c r="R261" t="n">
        <v>10583.8221</v>
      </c>
      <c r="S261" t="n">
        <v>13813.4413</v>
      </c>
      <c r="T261" t="n">
        <v>3609.7353</v>
      </c>
      <c r="U261" t="n">
        <v>6839.3545</v>
      </c>
      <c r="V261" t="n">
        <v>0.517593</v>
      </c>
      <c r="W261" t="n">
        <v>0.980681</v>
      </c>
      <c r="X261" t="inlineStr">
        <is>
          <t>High</t>
        </is>
      </c>
      <c r="Y261" t="inlineStr">
        <is>
          <t>None</t>
        </is>
      </c>
      <c r="Z261" t="inlineStr">
        <is>
          <t>Valid</t>
        </is>
      </c>
      <c r="AA261" t="n">
        <v>2028</v>
      </c>
      <c r="AB261" t="inlineStr">
        <is>
          <t>Supplier Target Pathway</t>
        </is>
      </c>
      <c r="AC261" t="n">
        <v>3595.3805</v>
      </c>
      <c r="AD261" t="n">
        <v>1438.5117</v>
      </c>
      <c r="AE261" t="n">
        <v>2445.0505</v>
      </c>
      <c r="AF261" t="n">
        <v>2445.0505</v>
      </c>
      <c r="AG261" t="n">
        <v>1150.33</v>
      </c>
      <c r="AH261" t="n">
        <v>0.00019892</v>
      </c>
      <c r="AI261" t="n">
        <v>0.319947</v>
      </c>
      <c r="AJ261" t="n">
        <v>1006.5388</v>
      </c>
      <c r="AK261" t="n">
        <v>143.7913</v>
      </c>
      <c r="AL261" t="n">
        <v>5180.6793</v>
      </c>
      <c r="AM261" t="n">
        <v>10642.9494</v>
      </c>
      <c r="AN261" t="n">
        <v>0.99</v>
      </c>
      <c r="AO261" t="inlineStr">
        <is>
          <t>Critical</t>
        </is>
      </c>
      <c r="AP261" t="inlineStr">
        <is>
          <t>On Track to Glide Path</t>
        </is>
      </c>
    </row>
    <row r="262">
      <c r="A262" t="inlineStr">
        <is>
          <t>SUP-0017</t>
        </is>
      </c>
      <c r="B262" t="inlineStr">
        <is>
          <t>Electronics Supplier 017</t>
        </is>
      </c>
      <c r="C262" t="inlineStr">
        <is>
          <t>Electronics</t>
        </is>
      </c>
      <c r="D262" t="n">
        <v>2024</v>
      </c>
      <c r="E262" t="n">
        <v>2020</v>
      </c>
      <c r="F262" t="n">
        <v>2035</v>
      </c>
      <c r="G262" t="n">
        <v>6974.0868</v>
      </c>
      <c r="H262" t="n">
        <v>1330.6149</v>
      </c>
      <c r="I262" t="n">
        <v>479.5272</v>
      </c>
      <c r="J262" t="n">
        <v>5173.2292</v>
      </c>
      <c r="K262" t="n">
        <v>12291762.5</v>
      </c>
      <c r="L262" t="n">
        <v>99042383.87</v>
      </c>
      <c r="M262" t="n">
        <v>6974.0868</v>
      </c>
      <c r="N262" t="inlineStr">
        <is>
          <t>Provided Total Emissions</t>
        </is>
      </c>
      <c r="O262" t="b">
        <v>1</v>
      </c>
      <c r="P262" t="n">
        <v>0.008038</v>
      </c>
      <c r="Q262" t="n">
        <v>-0.002831</v>
      </c>
      <c r="R262" t="n">
        <v>10583.8221</v>
      </c>
      <c r="S262" t="n">
        <v>13813.4413</v>
      </c>
      <c r="T262" t="n">
        <v>3609.7353</v>
      </c>
      <c r="U262" t="n">
        <v>6839.3545</v>
      </c>
      <c r="V262" t="n">
        <v>0.517593</v>
      </c>
      <c r="W262" t="n">
        <v>0.980681</v>
      </c>
      <c r="X262" t="inlineStr">
        <is>
          <t>High</t>
        </is>
      </c>
      <c r="Y262" t="inlineStr">
        <is>
          <t>None</t>
        </is>
      </c>
      <c r="Z262" t="inlineStr">
        <is>
          <t>Valid</t>
        </is>
      </c>
      <c r="AA262" t="n">
        <v>2029</v>
      </c>
      <c r="AB262" t="inlineStr">
        <is>
          <t>Supplier Target Pathway</t>
        </is>
      </c>
      <c r="AC262" t="n">
        <v>3595.3805</v>
      </c>
      <c r="AD262" t="n">
        <v>1438.5117</v>
      </c>
      <c r="AE262" t="n">
        <v>2301.2592</v>
      </c>
      <c r="AF262" t="n">
        <v>2301.2592</v>
      </c>
      <c r="AG262" t="n">
        <v>1294.1213</v>
      </c>
      <c r="AH262" t="n">
        <v>0.00018722</v>
      </c>
      <c r="AI262" t="n">
        <v>0.35994</v>
      </c>
      <c r="AJ262" t="n">
        <v>862.7474999999999</v>
      </c>
      <c r="AK262" t="n">
        <v>143.7913</v>
      </c>
      <c r="AL262" t="n">
        <v>2879.4201</v>
      </c>
      <c r="AM262" t="n">
        <v>12944.2086</v>
      </c>
      <c r="AN262" t="n">
        <v>0.99</v>
      </c>
      <c r="AO262" t="inlineStr">
        <is>
          <t>Critical</t>
        </is>
      </c>
      <c r="AP262" t="inlineStr">
        <is>
          <t>On Track to Glide Path</t>
        </is>
      </c>
    </row>
    <row r="263">
      <c r="A263" t="inlineStr">
        <is>
          <t>SUP-0017</t>
        </is>
      </c>
      <c r="B263" t="inlineStr">
        <is>
          <t>Electronics Supplier 017</t>
        </is>
      </c>
      <c r="C263" t="inlineStr">
        <is>
          <t>Electronics</t>
        </is>
      </c>
      <c r="D263" t="n">
        <v>2024</v>
      </c>
      <c r="E263" t="n">
        <v>2020</v>
      </c>
      <c r="F263" t="n">
        <v>2035</v>
      </c>
      <c r="G263" t="n">
        <v>6974.0868</v>
      </c>
      <c r="H263" t="n">
        <v>1330.6149</v>
      </c>
      <c r="I263" t="n">
        <v>479.5272</v>
      </c>
      <c r="J263" t="n">
        <v>5173.2292</v>
      </c>
      <c r="K263" t="n">
        <v>12291762.5</v>
      </c>
      <c r="L263" t="n">
        <v>99042383.87</v>
      </c>
      <c r="M263" t="n">
        <v>6974.0868</v>
      </c>
      <c r="N263" t="inlineStr">
        <is>
          <t>Provided Total Emissions</t>
        </is>
      </c>
      <c r="O263" t="b">
        <v>1</v>
      </c>
      <c r="P263" t="n">
        <v>0.008038</v>
      </c>
      <c r="Q263" t="n">
        <v>-0.002831</v>
      </c>
      <c r="R263" t="n">
        <v>10583.8221</v>
      </c>
      <c r="S263" t="n">
        <v>13813.4413</v>
      </c>
      <c r="T263" t="n">
        <v>3609.7353</v>
      </c>
      <c r="U263" t="n">
        <v>6839.3545</v>
      </c>
      <c r="V263" t="n">
        <v>0.517593</v>
      </c>
      <c r="W263" t="n">
        <v>0.980681</v>
      </c>
      <c r="X263" t="inlineStr">
        <is>
          <t>High</t>
        </is>
      </c>
      <c r="Y263" t="inlineStr">
        <is>
          <t>None</t>
        </is>
      </c>
      <c r="Z263" t="inlineStr">
        <is>
          <t>Valid</t>
        </is>
      </c>
      <c r="AA263" t="n">
        <v>2030</v>
      </c>
      <c r="AB263" t="inlineStr">
        <is>
          <t>Supplier Target Pathway</t>
        </is>
      </c>
      <c r="AC263" t="n">
        <v>3595.3805</v>
      </c>
      <c r="AD263" t="n">
        <v>1438.5117</v>
      </c>
      <c r="AE263" t="n">
        <v>2157.468</v>
      </c>
      <c r="AF263" t="n">
        <v>2157.468</v>
      </c>
      <c r="AG263" t="n">
        <v>1437.9125</v>
      </c>
      <c r="AH263" t="n">
        <v>0.00017552</v>
      </c>
      <c r="AI263" t="n">
        <v>0.399933</v>
      </c>
      <c r="AJ263" t="n">
        <v>718.9563000000001</v>
      </c>
      <c r="AK263" t="n">
        <v>143.7913</v>
      </c>
      <c r="AL263" t="n">
        <v>721.9521</v>
      </c>
      <c r="AM263" t="n">
        <v>15101.6766</v>
      </c>
      <c r="AN263" t="n">
        <v>0.99</v>
      </c>
      <c r="AO263" t="inlineStr">
        <is>
          <t>Critical</t>
        </is>
      </c>
      <c r="AP263" t="inlineStr">
        <is>
          <t>On Track to Glide Path</t>
        </is>
      </c>
    </row>
    <row r="264">
      <c r="A264" t="inlineStr">
        <is>
          <t>SUP-0017</t>
        </is>
      </c>
      <c r="B264" t="inlineStr">
        <is>
          <t>Electronics Supplier 017</t>
        </is>
      </c>
      <c r="C264" t="inlineStr">
        <is>
          <t>Electronics</t>
        </is>
      </c>
      <c r="D264" t="n">
        <v>2024</v>
      </c>
      <c r="E264" t="n">
        <v>2020</v>
      </c>
      <c r="F264" t="n">
        <v>2035</v>
      </c>
      <c r="G264" t="n">
        <v>6974.0868</v>
      </c>
      <c r="H264" t="n">
        <v>1330.6149</v>
      </c>
      <c r="I264" t="n">
        <v>479.5272</v>
      </c>
      <c r="J264" t="n">
        <v>5173.2292</v>
      </c>
      <c r="K264" t="n">
        <v>12291762.5</v>
      </c>
      <c r="L264" t="n">
        <v>99042383.87</v>
      </c>
      <c r="M264" t="n">
        <v>6974.0868</v>
      </c>
      <c r="N264" t="inlineStr">
        <is>
          <t>Provided Total Emissions</t>
        </is>
      </c>
      <c r="O264" t="b">
        <v>1</v>
      </c>
      <c r="P264" t="n">
        <v>0.008038</v>
      </c>
      <c r="Q264" t="n">
        <v>-0.002831</v>
      </c>
      <c r="R264" t="n">
        <v>10583.8221</v>
      </c>
      <c r="S264" t="n">
        <v>13813.4413</v>
      </c>
      <c r="T264" t="n">
        <v>3609.7353</v>
      </c>
      <c r="U264" t="n">
        <v>6839.3545</v>
      </c>
      <c r="V264" t="n">
        <v>0.517593</v>
      </c>
      <c r="W264" t="n">
        <v>0.980681</v>
      </c>
      <c r="X264" t="inlineStr">
        <is>
          <t>High</t>
        </is>
      </c>
      <c r="Y264" t="inlineStr">
        <is>
          <t>None</t>
        </is>
      </c>
      <c r="Z264" t="inlineStr">
        <is>
          <t>Valid</t>
        </is>
      </c>
      <c r="AA264" t="n">
        <v>2031</v>
      </c>
      <c r="AB264" t="inlineStr">
        <is>
          <t>Supplier Target Pathway</t>
        </is>
      </c>
      <c r="AC264" t="n">
        <v>3595.3805</v>
      </c>
      <c r="AD264" t="n">
        <v>1438.5117</v>
      </c>
      <c r="AE264" t="n">
        <v>2013.6767</v>
      </c>
      <c r="AF264" t="n">
        <v>2013.6767</v>
      </c>
      <c r="AG264" t="n">
        <v>1581.7038</v>
      </c>
      <c r="AH264" t="n">
        <v>0.00016382</v>
      </c>
      <c r="AI264" t="n">
        <v>0.439927</v>
      </c>
      <c r="AJ264" t="n">
        <v>575.165</v>
      </c>
      <c r="AK264" t="n">
        <v>143.7913</v>
      </c>
      <c r="AL264" t="n">
        <v>-1291.7246</v>
      </c>
      <c r="AM264" t="n">
        <v>17115.3533</v>
      </c>
      <c r="AN264" t="n">
        <v>0.99</v>
      </c>
      <c r="AO264" t="inlineStr">
        <is>
          <t>Critical</t>
        </is>
      </c>
      <c r="AP264" t="inlineStr">
        <is>
          <t>On Track to Glide Path</t>
        </is>
      </c>
    </row>
    <row r="265">
      <c r="A265" t="inlineStr">
        <is>
          <t>SUP-0017</t>
        </is>
      </c>
      <c r="B265" t="inlineStr">
        <is>
          <t>Electronics Supplier 017</t>
        </is>
      </c>
      <c r="C265" t="inlineStr">
        <is>
          <t>Electronics</t>
        </is>
      </c>
      <c r="D265" t="n">
        <v>2024</v>
      </c>
      <c r="E265" t="n">
        <v>2020</v>
      </c>
      <c r="F265" t="n">
        <v>2035</v>
      </c>
      <c r="G265" t="n">
        <v>6974.0868</v>
      </c>
      <c r="H265" t="n">
        <v>1330.6149</v>
      </c>
      <c r="I265" t="n">
        <v>479.5272</v>
      </c>
      <c r="J265" t="n">
        <v>5173.2292</v>
      </c>
      <c r="K265" t="n">
        <v>12291762.5</v>
      </c>
      <c r="L265" t="n">
        <v>99042383.87</v>
      </c>
      <c r="M265" t="n">
        <v>6974.0868</v>
      </c>
      <c r="N265" t="inlineStr">
        <is>
          <t>Provided Total Emissions</t>
        </is>
      </c>
      <c r="O265" t="b">
        <v>1</v>
      </c>
      <c r="P265" t="n">
        <v>0.008038</v>
      </c>
      <c r="Q265" t="n">
        <v>-0.002831</v>
      </c>
      <c r="R265" t="n">
        <v>10583.8221</v>
      </c>
      <c r="S265" t="n">
        <v>13813.4413</v>
      </c>
      <c r="T265" t="n">
        <v>3609.7353</v>
      </c>
      <c r="U265" t="n">
        <v>6839.3545</v>
      </c>
      <c r="V265" t="n">
        <v>0.517593</v>
      </c>
      <c r="W265" t="n">
        <v>0.980681</v>
      </c>
      <c r="X265" t="inlineStr">
        <is>
          <t>High</t>
        </is>
      </c>
      <c r="Y265" t="inlineStr">
        <is>
          <t>None</t>
        </is>
      </c>
      <c r="Z265" t="inlineStr">
        <is>
          <t>Valid</t>
        </is>
      </c>
      <c r="AA265" t="n">
        <v>2032</v>
      </c>
      <c r="AB265" t="inlineStr">
        <is>
          <t>Supplier Target Pathway</t>
        </is>
      </c>
      <c r="AC265" t="n">
        <v>3595.3805</v>
      </c>
      <c r="AD265" t="n">
        <v>1438.5117</v>
      </c>
      <c r="AE265" t="n">
        <v>1869.8855</v>
      </c>
      <c r="AF265" t="n">
        <v>1869.8855</v>
      </c>
      <c r="AG265" t="n">
        <v>1725.495</v>
      </c>
      <c r="AH265" t="n">
        <v>0.00015213</v>
      </c>
      <c r="AI265" t="n">
        <v>0.47992</v>
      </c>
      <c r="AJ265" t="n">
        <v>431.3738</v>
      </c>
      <c r="AK265" t="n">
        <v>143.7913</v>
      </c>
      <c r="AL265" t="n">
        <v>-3161.6101</v>
      </c>
      <c r="AM265" t="n">
        <v>18985.2388</v>
      </c>
      <c r="AN265" t="n">
        <v>0.99</v>
      </c>
      <c r="AO265" t="inlineStr">
        <is>
          <t>High</t>
        </is>
      </c>
      <c r="AP265" t="inlineStr">
        <is>
          <t>On Track to Glide Path</t>
        </is>
      </c>
    </row>
    <row r="266">
      <c r="A266" t="inlineStr">
        <is>
          <t>SUP-0017</t>
        </is>
      </c>
      <c r="B266" t="inlineStr">
        <is>
          <t>Electronics Supplier 017</t>
        </is>
      </c>
      <c r="C266" t="inlineStr">
        <is>
          <t>Electronics</t>
        </is>
      </c>
      <c r="D266" t="n">
        <v>2024</v>
      </c>
      <c r="E266" t="n">
        <v>2020</v>
      </c>
      <c r="F266" t="n">
        <v>2035</v>
      </c>
      <c r="G266" t="n">
        <v>6974.0868</v>
      </c>
      <c r="H266" t="n">
        <v>1330.6149</v>
      </c>
      <c r="I266" t="n">
        <v>479.5272</v>
      </c>
      <c r="J266" t="n">
        <v>5173.2292</v>
      </c>
      <c r="K266" t="n">
        <v>12291762.5</v>
      </c>
      <c r="L266" t="n">
        <v>99042383.87</v>
      </c>
      <c r="M266" t="n">
        <v>6974.0868</v>
      </c>
      <c r="N266" t="inlineStr">
        <is>
          <t>Provided Total Emissions</t>
        </is>
      </c>
      <c r="O266" t="b">
        <v>1</v>
      </c>
      <c r="P266" t="n">
        <v>0.008038</v>
      </c>
      <c r="Q266" t="n">
        <v>-0.002831</v>
      </c>
      <c r="R266" t="n">
        <v>10583.8221</v>
      </c>
      <c r="S266" t="n">
        <v>13813.4413</v>
      </c>
      <c r="T266" t="n">
        <v>3609.7353</v>
      </c>
      <c r="U266" t="n">
        <v>6839.3545</v>
      </c>
      <c r="V266" t="n">
        <v>0.517593</v>
      </c>
      <c r="W266" t="n">
        <v>0.980681</v>
      </c>
      <c r="X266" t="inlineStr">
        <is>
          <t>High</t>
        </is>
      </c>
      <c r="Y266" t="inlineStr">
        <is>
          <t>None</t>
        </is>
      </c>
      <c r="Z266" t="inlineStr">
        <is>
          <t>Valid</t>
        </is>
      </c>
      <c r="AA266" t="n">
        <v>2033</v>
      </c>
      <c r="AB266" t="inlineStr">
        <is>
          <t>Supplier Target Pathway</t>
        </is>
      </c>
      <c r="AC266" t="n">
        <v>3595.3805</v>
      </c>
      <c r="AD266" t="n">
        <v>1438.5117</v>
      </c>
      <c r="AE266" t="n">
        <v>1726.0942</v>
      </c>
      <c r="AF266" t="n">
        <v>1726.0942</v>
      </c>
      <c r="AG266" t="n">
        <v>1869.2863</v>
      </c>
      <c r="AH266" t="n">
        <v>0.00014043</v>
      </c>
      <c r="AI266" t="n">
        <v>0.519913</v>
      </c>
      <c r="AJ266" t="n">
        <v>287.5825</v>
      </c>
      <c r="AK266" t="n">
        <v>143.7913</v>
      </c>
      <c r="AL266" t="n">
        <v>-4887.7043</v>
      </c>
      <c r="AM266" t="n">
        <v>20711.333</v>
      </c>
      <c r="AN266" t="n">
        <v>0.99</v>
      </c>
      <c r="AO266" t="inlineStr">
        <is>
          <t>High</t>
        </is>
      </c>
      <c r="AP266" t="inlineStr">
        <is>
          <t>On Track to Glide Path</t>
        </is>
      </c>
    </row>
    <row r="267">
      <c r="A267" t="inlineStr">
        <is>
          <t>SUP-0017</t>
        </is>
      </c>
      <c r="B267" t="inlineStr">
        <is>
          <t>Electronics Supplier 017</t>
        </is>
      </c>
      <c r="C267" t="inlineStr">
        <is>
          <t>Electronics</t>
        </is>
      </c>
      <c r="D267" t="n">
        <v>2024</v>
      </c>
      <c r="E267" t="n">
        <v>2020</v>
      </c>
      <c r="F267" t="n">
        <v>2035</v>
      </c>
      <c r="G267" t="n">
        <v>6974.0868</v>
      </c>
      <c r="H267" t="n">
        <v>1330.6149</v>
      </c>
      <c r="I267" t="n">
        <v>479.5272</v>
      </c>
      <c r="J267" t="n">
        <v>5173.2292</v>
      </c>
      <c r="K267" t="n">
        <v>12291762.5</v>
      </c>
      <c r="L267" t="n">
        <v>99042383.87</v>
      </c>
      <c r="M267" t="n">
        <v>6974.0868</v>
      </c>
      <c r="N267" t="inlineStr">
        <is>
          <t>Provided Total Emissions</t>
        </is>
      </c>
      <c r="O267" t="b">
        <v>1</v>
      </c>
      <c r="P267" t="n">
        <v>0.008038</v>
      </c>
      <c r="Q267" t="n">
        <v>-0.002831</v>
      </c>
      <c r="R267" t="n">
        <v>10583.8221</v>
      </c>
      <c r="S267" t="n">
        <v>13813.4413</v>
      </c>
      <c r="T267" t="n">
        <v>3609.7353</v>
      </c>
      <c r="U267" t="n">
        <v>6839.3545</v>
      </c>
      <c r="V267" t="n">
        <v>0.517593</v>
      </c>
      <c r="W267" t="n">
        <v>0.980681</v>
      </c>
      <c r="X267" t="inlineStr">
        <is>
          <t>High</t>
        </is>
      </c>
      <c r="Y267" t="inlineStr">
        <is>
          <t>None</t>
        </is>
      </c>
      <c r="Z267" t="inlineStr">
        <is>
          <t>Valid</t>
        </is>
      </c>
      <c r="AA267" t="n">
        <v>2034</v>
      </c>
      <c r="AB267" t="inlineStr">
        <is>
          <t>Supplier Target Pathway</t>
        </is>
      </c>
      <c r="AC267" t="n">
        <v>3595.3805</v>
      </c>
      <c r="AD267" t="n">
        <v>1438.5117</v>
      </c>
      <c r="AE267" t="n">
        <v>1582.303</v>
      </c>
      <c r="AF267" t="n">
        <v>1582.303</v>
      </c>
      <c r="AG267" t="n">
        <v>2013.0775</v>
      </c>
      <c r="AH267" t="n">
        <v>0.00012873</v>
      </c>
      <c r="AI267" t="n">
        <v>0.559907</v>
      </c>
      <c r="AJ267" t="n">
        <v>143.7913</v>
      </c>
      <c r="AK267" t="n">
        <v>143.7913</v>
      </c>
      <c r="AL267" t="n">
        <v>-6470.0073</v>
      </c>
      <c r="AM267" t="n">
        <v>22293.636</v>
      </c>
      <c r="AN267" t="n">
        <v>0.99</v>
      </c>
      <c r="AO267" t="inlineStr">
        <is>
          <t>Medium</t>
        </is>
      </c>
      <c r="AP267" t="inlineStr">
        <is>
          <t>On Track to Glide Path</t>
        </is>
      </c>
    </row>
    <row r="268">
      <c r="A268" t="inlineStr">
        <is>
          <t>SUP-0017</t>
        </is>
      </c>
      <c r="B268" t="inlineStr">
        <is>
          <t>Electronics Supplier 017</t>
        </is>
      </c>
      <c r="C268" t="inlineStr">
        <is>
          <t>Electronics</t>
        </is>
      </c>
      <c r="D268" t="n">
        <v>2024</v>
      </c>
      <c r="E268" t="n">
        <v>2020</v>
      </c>
      <c r="F268" t="n">
        <v>2035</v>
      </c>
      <c r="G268" t="n">
        <v>6974.0868</v>
      </c>
      <c r="H268" t="n">
        <v>1330.6149</v>
      </c>
      <c r="I268" t="n">
        <v>479.5272</v>
      </c>
      <c r="J268" t="n">
        <v>5173.2292</v>
      </c>
      <c r="K268" t="n">
        <v>12291762.5</v>
      </c>
      <c r="L268" t="n">
        <v>99042383.87</v>
      </c>
      <c r="M268" t="n">
        <v>6974.0868</v>
      </c>
      <c r="N268" t="inlineStr">
        <is>
          <t>Provided Total Emissions</t>
        </is>
      </c>
      <c r="O268" t="b">
        <v>1</v>
      </c>
      <c r="P268" t="n">
        <v>0.008038</v>
      </c>
      <c r="Q268" t="n">
        <v>-0.002831</v>
      </c>
      <c r="R268" t="n">
        <v>10583.8221</v>
      </c>
      <c r="S268" t="n">
        <v>13813.4413</v>
      </c>
      <c r="T268" t="n">
        <v>3609.7353</v>
      </c>
      <c r="U268" t="n">
        <v>6839.3545</v>
      </c>
      <c r="V268" t="n">
        <v>0.517593</v>
      </c>
      <c r="W268" t="n">
        <v>0.980681</v>
      </c>
      <c r="X268" t="inlineStr">
        <is>
          <t>High</t>
        </is>
      </c>
      <c r="Y268" t="inlineStr">
        <is>
          <t>None</t>
        </is>
      </c>
      <c r="Z268" t="inlineStr">
        <is>
          <t>Valid</t>
        </is>
      </c>
      <c r="AA268" t="n">
        <v>2035</v>
      </c>
      <c r="AB268" t="inlineStr">
        <is>
          <t>Supplier Target Pathway</t>
        </is>
      </c>
      <c r="AC268" t="n">
        <v>3595.3805</v>
      </c>
      <c r="AD268" t="n">
        <v>1438.5117</v>
      </c>
      <c r="AE268" t="n">
        <v>1438.5117</v>
      </c>
      <c r="AF268" t="n">
        <v>1438.5117</v>
      </c>
      <c r="AG268" t="n">
        <v>2156.8688</v>
      </c>
      <c r="AH268" t="n">
        <v>0.00011703</v>
      </c>
      <c r="AI268" t="n">
        <v>0.5999</v>
      </c>
      <c r="AJ268" t="n">
        <v>0</v>
      </c>
      <c r="AK268" t="n">
        <v>143.7913</v>
      </c>
      <c r="AL268" t="n">
        <v>-7908.519</v>
      </c>
      <c r="AM268" t="n">
        <v>23732.1477</v>
      </c>
      <c r="AN268" t="n">
        <v>0.99</v>
      </c>
      <c r="AO268" t="inlineStr">
        <is>
          <t>Low</t>
        </is>
      </c>
      <c r="AP268" t="inlineStr">
        <is>
          <t>On Track</t>
        </is>
      </c>
    </row>
    <row r="269">
      <c r="A269" t="inlineStr">
        <is>
          <t>SUP-0017</t>
        </is>
      </c>
      <c r="B269" t="inlineStr">
        <is>
          <t>Electronics Supplier 017</t>
        </is>
      </c>
      <c r="C269" t="inlineStr">
        <is>
          <t>Electronics</t>
        </is>
      </c>
      <c r="D269" t="n">
        <v>2024</v>
      </c>
      <c r="E269" t="n">
        <v>2020</v>
      </c>
      <c r="F269" t="n">
        <v>2035</v>
      </c>
      <c r="G269" t="n">
        <v>6974.0868</v>
      </c>
      <c r="H269" t="n">
        <v>1330.6149</v>
      </c>
      <c r="I269" t="n">
        <v>479.5272</v>
      </c>
      <c r="J269" t="n">
        <v>5173.2292</v>
      </c>
      <c r="K269" t="n">
        <v>12291762.5</v>
      </c>
      <c r="L269" t="n">
        <v>99042383.87</v>
      </c>
      <c r="M269" t="n">
        <v>6974.0868</v>
      </c>
      <c r="N269" t="inlineStr">
        <is>
          <t>Provided Total Emissions</t>
        </is>
      </c>
      <c r="O269" t="b">
        <v>1</v>
      </c>
      <c r="P269" t="n">
        <v>0.008038</v>
      </c>
      <c r="Q269" t="n">
        <v>-0.002831</v>
      </c>
      <c r="R269" t="n">
        <v>10583.8221</v>
      </c>
      <c r="S269" t="n">
        <v>13813.4413</v>
      </c>
      <c r="T269" t="n">
        <v>3609.7353</v>
      </c>
      <c r="U269" t="n">
        <v>6839.3545</v>
      </c>
      <c r="V269" t="n">
        <v>0.517593</v>
      </c>
      <c r="W269" t="n">
        <v>0.980681</v>
      </c>
      <c r="X269" t="inlineStr">
        <is>
          <t>High</t>
        </is>
      </c>
      <c r="Y269" t="inlineStr">
        <is>
          <t>None</t>
        </is>
      </c>
      <c r="Z269" t="inlineStr">
        <is>
          <t>Valid</t>
        </is>
      </c>
      <c r="AA269" t="n">
        <v>2036</v>
      </c>
      <c r="AB269" t="inlineStr">
        <is>
          <t>Supplier Target Pathway</t>
        </is>
      </c>
      <c r="AC269" t="n">
        <v>3595.3805</v>
      </c>
      <c r="AD269" t="n">
        <v>1438.5117</v>
      </c>
      <c r="AE269" t="n">
        <v>1438.5117</v>
      </c>
      <c r="AF269" t="n">
        <v>1438.5117</v>
      </c>
      <c r="AG269" t="n">
        <v>2156.8688</v>
      </c>
      <c r="AH269" t="n">
        <v>0.00011703</v>
      </c>
      <c r="AI269" t="n">
        <v>0.5999</v>
      </c>
      <c r="AJ269" t="n">
        <v>0</v>
      </c>
      <c r="AK269" t="n">
        <v>143.7913</v>
      </c>
      <c r="AL269" t="n">
        <v>-9347.030699999999</v>
      </c>
      <c r="AM269" t="n">
        <v>25170.6594</v>
      </c>
      <c r="AN269" t="n">
        <v>0.99</v>
      </c>
      <c r="AO269" t="inlineStr">
        <is>
          <t>Low</t>
        </is>
      </c>
      <c r="AP269" t="inlineStr">
        <is>
          <t>On Track</t>
        </is>
      </c>
    </row>
    <row r="270">
      <c r="A270" t="inlineStr">
        <is>
          <t>SUP-0017</t>
        </is>
      </c>
      <c r="B270" t="inlineStr">
        <is>
          <t>Electronics Supplier 017</t>
        </is>
      </c>
      <c r="C270" t="inlineStr">
        <is>
          <t>Electronics</t>
        </is>
      </c>
      <c r="D270" t="n">
        <v>2024</v>
      </c>
      <c r="E270" t="n">
        <v>2020</v>
      </c>
      <c r="F270" t="n">
        <v>2035</v>
      </c>
      <c r="G270" t="n">
        <v>6974.0868</v>
      </c>
      <c r="H270" t="n">
        <v>1330.6149</v>
      </c>
      <c r="I270" t="n">
        <v>479.5272</v>
      </c>
      <c r="J270" t="n">
        <v>5173.2292</v>
      </c>
      <c r="K270" t="n">
        <v>12291762.5</v>
      </c>
      <c r="L270" t="n">
        <v>99042383.87</v>
      </c>
      <c r="M270" t="n">
        <v>6974.0868</v>
      </c>
      <c r="N270" t="inlineStr">
        <is>
          <t>Provided Total Emissions</t>
        </is>
      </c>
      <c r="O270" t="b">
        <v>1</v>
      </c>
      <c r="P270" t="n">
        <v>0.008038</v>
      </c>
      <c r="Q270" t="n">
        <v>-0.002831</v>
      </c>
      <c r="R270" t="n">
        <v>10583.8221</v>
      </c>
      <c r="S270" t="n">
        <v>13813.4413</v>
      </c>
      <c r="T270" t="n">
        <v>3609.7353</v>
      </c>
      <c r="U270" t="n">
        <v>6839.3545</v>
      </c>
      <c r="V270" t="n">
        <v>0.517593</v>
      </c>
      <c r="W270" t="n">
        <v>0.980681</v>
      </c>
      <c r="X270" t="inlineStr">
        <is>
          <t>High</t>
        </is>
      </c>
      <c r="Y270" t="inlineStr">
        <is>
          <t>None</t>
        </is>
      </c>
      <c r="Z270" t="inlineStr">
        <is>
          <t>Valid</t>
        </is>
      </c>
      <c r="AA270" t="n">
        <v>2037</v>
      </c>
      <c r="AB270" t="inlineStr">
        <is>
          <t>Supplier Target Pathway</t>
        </is>
      </c>
      <c r="AC270" t="n">
        <v>3595.3805</v>
      </c>
      <c r="AD270" t="n">
        <v>1438.5117</v>
      </c>
      <c r="AE270" t="n">
        <v>1438.5117</v>
      </c>
      <c r="AF270" t="n">
        <v>1438.5117</v>
      </c>
      <c r="AG270" t="n">
        <v>2156.8688</v>
      </c>
      <c r="AH270" t="n">
        <v>0.00011703</v>
      </c>
      <c r="AI270" t="n">
        <v>0.5999</v>
      </c>
      <c r="AJ270" t="n">
        <v>0</v>
      </c>
      <c r="AK270" t="n">
        <v>143.7913</v>
      </c>
      <c r="AL270" t="n">
        <v>-10785.5424</v>
      </c>
      <c r="AM270" t="n">
        <v>26609.1711</v>
      </c>
      <c r="AN270" t="n">
        <v>0.99</v>
      </c>
      <c r="AO270" t="inlineStr">
        <is>
          <t>Low</t>
        </is>
      </c>
      <c r="AP270" t="inlineStr">
        <is>
          <t>On Track</t>
        </is>
      </c>
    </row>
    <row r="271">
      <c r="A271" t="inlineStr">
        <is>
          <t>SUP-0017</t>
        </is>
      </c>
      <c r="B271" t="inlineStr">
        <is>
          <t>Electronics Supplier 017</t>
        </is>
      </c>
      <c r="C271" t="inlineStr">
        <is>
          <t>Electronics</t>
        </is>
      </c>
      <c r="D271" t="n">
        <v>2024</v>
      </c>
      <c r="E271" t="n">
        <v>2020</v>
      </c>
      <c r="F271" t="n">
        <v>2035</v>
      </c>
      <c r="G271" t="n">
        <v>6974.0868</v>
      </c>
      <c r="H271" t="n">
        <v>1330.6149</v>
      </c>
      <c r="I271" t="n">
        <v>479.5272</v>
      </c>
      <c r="J271" t="n">
        <v>5173.2292</v>
      </c>
      <c r="K271" t="n">
        <v>12291762.5</v>
      </c>
      <c r="L271" t="n">
        <v>99042383.87</v>
      </c>
      <c r="M271" t="n">
        <v>6974.0868</v>
      </c>
      <c r="N271" t="inlineStr">
        <is>
          <t>Provided Total Emissions</t>
        </is>
      </c>
      <c r="O271" t="b">
        <v>1</v>
      </c>
      <c r="P271" t="n">
        <v>0.008038</v>
      </c>
      <c r="Q271" t="n">
        <v>-0.002831</v>
      </c>
      <c r="R271" t="n">
        <v>10583.8221</v>
      </c>
      <c r="S271" t="n">
        <v>13813.4413</v>
      </c>
      <c r="T271" t="n">
        <v>3609.7353</v>
      </c>
      <c r="U271" t="n">
        <v>6839.3545</v>
      </c>
      <c r="V271" t="n">
        <v>0.517593</v>
      </c>
      <c r="W271" t="n">
        <v>0.980681</v>
      </c>
      <c r="X271" t="inlineStr">
        <is>
          <t>High</t>
        </is>
      </c>
      <c r="Y271" t="inlineStr">
        <is>
          <t>None</t>
        </is>
      </c>
      <c r="Z271" t="inlineStr">
        <is>
          <t>Valid</t>
        </is>
      </c>
      <c r="AA271" t="n">
        <v>2038</v>
      </c>
      <c r="AB271" t="inlineStr">
        <is>
          <t>Supplier Target Pathway</t>
        </is>
      </c>
      <c r="AC271" t="n">
        <v>3595.3805</v>
      </c>
      <c r="AD271" t="n">
        <v>1438.5117</v>
      </c>
      <c r="AE271" t="n">
        <v>1438.5117</v>
      </c>
      <c r="AF271" t="n">
        <v>1438.5117</v>
      </c>
      <c r="AG271" t="n">
        <v>2156.8688</v>
      </c>
      <c r="AH271" t="n">
        <v>0.00011703</v>
      </c>
      <c r="AI271" t="n">
        <v>0.5999</v>
      </c>
      <c r="AJ271" t="n">
        <v>0</v>
      </c>
      <c r="AK271" t="n">
        <v>143.7913</v>
      </c>
      <c r="AL271" t="n">
        <v>-12224.0541</v>
      </c>
      <c r="AM271" t="n">
        <v>28047.6828</v>
      </c>
      <c r="AN271" t="n">
        <v>0.99</v>
      </c>
      <c r="AO271" t="inlineStr">
        <is>
          <t>Low</t>
        </is>
      </c>
      <c r="AP271" t="inlineStr">
        <is>
          <t>On Track</t>
        </is>
      </c>
    </row>
    <row r="272">
      <c r="A272" t="inlineStr">
        <is>
          <t>SUP-0017</t>
        </is>
      </c>
      <c r="B272" t="inlineStr">
        <is>
          <t>Electronics Supplier 017</t>
        </is>
      </c>
      <c r="C272" t="inlineStr">
        <is>
          <t>Electronics</t>
        </is>
      </c>
      <c r="D272" t="n">
        <v>2024</v>
      </c>
      <c r="E272" t="n">
        <v>2020</v>
      </c>
      <c r="F272" t="n">
        <v>2035</v>
      </c>
      <c r="G272" t="n">
        <v>6974.0868</v>
      </c>
      <c r="H272" t="n">
        <v>1330.6149</v>
      </c>
      <c r="I272" t="n">
        <v>479.5272</v>
      </c>
      <c r="J272" t="n">
        <v>5173.2292</v>
      </c>
      <c r="K272" t="n">
        <v>12291762.5</v>
      </c>
      <c r="L272" t="n">
        <v>99042383.87</v>
      </c>
      <c r="M272" t="n">
        <v>6974.0868</v>
      </c>
      <c r="N272" t="inlineStr">
        <is>
          <t>Provided Total Emissions</t>
        </is>
      </c>
      <c r="O272" t="b">
        <v>1</v>
      </c>
      <c r="P272" t="n">
        <v>0.008038</v>
      </c>
      <c r="Q272" t="n">
        <v>-0.002831</v>
      </c>
      <c r="R272" t="n">
        <v>10583.8221</v>
      </c>
      <c r="S272" t="n">
        <v>13813.4413</v>
      </c>
      <c r="T272" t="n">
        <v>3609.7353</v>
      </c>
      <c r="U272" t="n">
        <v>6839.3545</v>
      </c>
      <c r="V272" t="n">
        <v>0.517593</v>
      </c>
      <c r="W272" t="n">
        <v>0.980681</v>
      </c>
      <c r="X272" t="inlineStr">
        <is>
          <t>High</t>
        </is>
      </c>
      <c r="Y272" t="inlineStr">
        <is>
          <t>None</t>
        </is>
      </c>
      <c r="Z272" t="inlineStr">
        <is>
          <t>Valid</t>
        </is>
      </c>
      <c r="AA272" t="n">
        <v>2039</v>
      </c>
      <c r="AB272" t="inlineStr">
        <is>
          <t>Supplier Target Pathway</t>
        </is>
      </c>
      <c r="AC272" t="n">
        <v>3595.3805</v>
      </c>
      <c r="AD272" t="n">
        <v>1438.5117</v>
      </c>
      <c r="AE272" t="n">
        <v>1438.5117</v>
      </c>
      <c r="AF272" t="n">
        <v>1438.5117</v>
      </c>
      <c r="AG272" t="n">
        <v>2156.8688</v>
      </c>
      <c r="AH272" t="n">
        <v>0.00011703</v>
      </c>
      <c r="AI272" t="n">
        <v>0.5999</v>
      </c>
      <c r="AJ272" t="n">
        <v>0</v>
      </c>
      <c r="AK272" t="n">
        <v>143.7913</v>
      </c>
      <c r="AL272" t="n">
        <v>-13662.5658</v>
      </c>
      <c r="AM272" t="n">
        <v>29486.1945</v>
      </c>
      <c r="AN272" t="n">
        <v>0.99</v>
      </c>
      <c r="AO272" t="inlineStr">
        <is>
          <t>Low</t>
        </is>
      </c>
      <c r="AP272" t="inlineStr">
        <is>
          <t>On Track</t>
        </is>
      </c>
    </row>
    <row r="273">
      <c r="A273" t="inlineStr">
        <is>
          <t>SUP-0017</t>
        </is>
      </c>
      <c r="B273" t="inlineStr">
        <is>
          <t>Electronics Supplier 017</t>
        </is>
      </c>
      <c r="C273" t="inlineStr">
        <is>
          <t>Electronics</t>
        </is>
      </c>
      <c r="D273" t="n">
        <v>2024</v>
      </c>
      <c r="E273" t="n">
        <v>2020</v>
      </c>
      <c r="F273" t="n">
        <v>2035</v>
      </c>
      <c r="G273" t="n">
        <v>6974.0868</v>
      </c>
      <c r="H273" t="n">
        <v>1330.6149</v>
      </c>
      <c r="I273" t="n">
        <v>479.5272</v>
      </c>
      <c r="J273" t="n">
        <v>5173.2292</v>
      </c>
      <c r="K273" t="n">
        <v>12291762.5</v>
      </c>
      <c r="L273" t="n">
        <v>99042383.87</v>
      </c>
      <c r="M273" t="n">
        <v>6974.0868</v>
      </c>
      <c r="N273" t="inlineStr">
        <is>
          <t>Provided Total Emissions</t>
        </is>
      </c>
      <c r="O273" t="b">
        <v>1</v>
      </c>
      <c r="P273" t="n">
        <v>0.008038</v>
      </c>
      <c r="Q273" t="n">
        <v>-0.002831</v>
      </c>
      <c r="R273" t="n">
        <v>10583.8221</v>
      </c>
      <c r="S273" t="n">
        <v>13813.4413</v>
      </c>
      <c r="T273" t="n">
        <v>3609.7353</v>
      </c>
      <c r="U273" t="n">
        <v>6839.3545</v>
      </c>
      <c r="V273" t="n">
        <v>0.517593</v>
      </c>
      <c r="W273" t="n">
        <v>0.980681</v>
      </c>
      <c r="X273" t="inlineStr">
        <is>
          <t>High</t>
        </is>
      </c>
      <c r="Y273" t="inlineStr">
        <is>
          <t>None</t>
        </is>
      </c>
      <c r="Z273" t="inlineStr">
        <is>
          <t>Valid</t>
        </is>
      </c>
      <c r="AA273" t="n">
        <v>2040</v>
      </c>
      <c r="AB273" t="inlineStr">
        <is>
          <t>Supplier Target Pathway</t>
        </is>
      </c>
      <c r="AC273" t="n">
        <v>3595.3805</v>
      </c>
      <c r="AD273" t="n">
        <v>1438.5117</v>
      </c>
      <c r="AE273" t="n">
        <v>1438.5117</v>
      </c>
      <c r="AF273" t="n">
        <v>1438.5117</v>
      </c>
      <c r="AG273" t="n">
        <v>2156.8688</v>
      </c>
      <c r="AH273" t="n">
        <v>0.00011703</v>
      </c>
      <c r="AI273" t="n">
        <v>0.5999</v>
      </c>
      <c r="AJ273" t="n">
        <v>0</v>
      </c>
      <c r="AK273" t="n">
        <v>143.7913</v>
      </c>
      <c r="AL273" t="n">
        <v>-15101.0775</v>
      </c>
      <c r="AM273" t="n">
        <v>30924.7062</v>
      </c>
      <c r="AN273" t="n">
        <v>0.99</v>
      </c>
      <c r="AO273" t="inlineStr">
        <is>
          <t>Low</t>
        </is>
      </c>
      <c r="AP273" t="inlineStr">
        <is>
          <t>On Track</t>
        </is>
      </c>
    </row>
    <row r="274">
      <c r="A274" t="inlineStr">
        <is>
          <t>SUP-0018</t>
        </is>
      </c>
      <c r="B274" t="inlineStr">
        <is>
          <t>Professional Supplier 018</t>
        </is>
      </c>
      <c r="C274" t="inlineStr">
        <is>
          <t>Professional Services</t>
        </is>
      </c>
      <c r="D274" t="n">
        <v>2024</v>
      </c>
      <c r="E274" t="n">
        <v>2015</v>
      </c>
      <c r="F274" t="n">
        <v>2040</v>
      </c>
      <c r="G274" t="n">
        <v>231.6462</v>
      </c>
      <c r="H274" t="n">
        <v>58.6964</v>
      </c>
      <c r="I274" t="n">
        <v>47.0019</v>
      </c>
      <c r="J274" t="n">
        <v>114.9503</v>
      </c>
      <c r="K274" t="n">
        <v>2101779.39</v>
      </c>
      <c r="L274" t="n">
        <v>17106470.76</v>
      </c>
      <c r="M274" t="n">
        <v>231.6462</v>
      </c>
      <c r="N274" t="inlineStr">
        <is>
          <t>Provided Total Emissions</t>
        </is>
      </c>
      <c r="O274" t="b">
        <v>1</v>
      </c>
      <c r="P274" t="n">
        <v>-0.07196</v>
      </c>
      <c r="Q274" t="n">
        <v>-0.020868</v>
      </c>
      <c r="R274" t="n">
        <v>271.2556</v>
      </c>
      <c r="S274" t="n">
        <v>3362.79</v>
      </c>
      <c r="T274" t="n">
        <v>39.6094</v>
      </c>
      <c r="U274" t="n">
        <v>3131.1438</v>
      </c>
      <c r="V274" t="n">
        <v>0.170991</v>
      </c>
      <c r="W274" t="n">
        <v>13.516923</v>
      </c>
      <c r="X274" t="inlineStr">
        <is>
          <t>High</t>
        </is>
      </c>
      <c r="Y274" t="inlineStr">
        <is>
          <t>None</t>
        </is>
      </c>
      <c r="Z274" t="inlineStr">
        <is>
          <t>Valid</t>
        </is>
      </c>
      <c r="AA274" t="n">
        <v>2025</v>
      </c>
      <c r="AB274" t="inlineStr">
        <is>
          <t>Historical Trend Pathway</t>
        </is>
      </c>
      <c r="AC274" t="n">
        <v>453.6538</v>
      </c>
      <c r="AD274" t="n">
        <v>294.875</v>
      </c>
      <c r="AE274" t="n">
        <v>219.1193</v>
      </c>
      <c r="AF274" t="n">
        <v>390.1423</v>
      </c>
      <c r="AG274" t="n">
        <v>234.5345</v>
      </c>
      <c r="AH274" t="n">
        <v>0.00010425</v>
      </c>
      <c r="AI274" t="n">
        <v>0.5169899999999999</v>
      </c>
      <c r="AJ274" t="n">
        <v>-75.7557</v>
      </c>
      <c r="AK274" t="n">
        <v>6.3512</v>
      </c>
      <c r="AL274" t="n">
        <v>4498.8807</v>
      </c>
      <c r="AM274" t="n">
        <v>219.1193</v>
      </c>
      <c r="AN274" t="n">
        <v>0.88</v>
      </c>
      <c r="AO274" t="inlineStr">
        <is>
          <t>Low</t>
        </is>
      </c>
      <c r="AP274" t="inlineStr">
        <is>
          <t>On Track to Glide Path</t>
        </is>
      </c>
    </row>
    <row r="275">
      <c r="A275" t="inlineStr">
        <is>
          <t>SUP-0018</t>
        </is>
      </c>
      <c r="B275" t="inlineStr">
        <is>
          <t>Professional Supplier 018</t>
        </is>
      </c>
      <c r="C275" t="inlineStr">
        <is>
          <t>Professional Services</t>
        </is>
      </c>
      <c r="D275" t="n">
        <v>2024</v>
      </c>
      <c r="E275" t="n">
        <v>2015</v>
      </c>
      <c r="F275" t="n">
        <v>2040</v>
      </c>
      <c r="G275" t="n">
        <v>231.6462</v>
      </c>
      <c r="H275" t="n">
        <v>58.6964</v>
      </c>
      <c r="I275" t="n">
        <v>47.0019</v>
      </c>
      <c r="J275" t="n">
        <v>114.9503</v>
      </c>
      <c r="K275" t="n">
        <v>2101779.39</v>
      </c>
      <c r="L275" t="n">
        <v>17106470.76</v>
      </c>
      <c r="M275" t="n">
        <v>231.6462</v>
      </c>
      <c r="N275" t="inlineStr">
        <is>
          <t>Provided Total Emissions</t>
        </is>
      </c>
      <c r="O275" t="b">
        <v>1</v>
      </c>
      <c r="P275" t="n">
        <v>-0.07196</v>
      </c>
      <c r="Q275" t="n">
        <v>-0.020868</v>
      </c>
      <c r="R275" t="n">
        <v>271.2556</v>
      </c>
      <c r="S275" t="n">
        <v>3362.79</v>
      </c>
      <c r="T275" t="n">
        <v>39.6094</v>
      </c>
      <c r="U275" t="n">
        <v>3131.1438</v>
      </c>
      <c r="V275" t="n">
        <v>0.170991</v>
      </c>
      <c r="W275" t="n">
        <v>13.516923</v>
      </c>
      <c r="X275" t="inlineStr">
        <is>
          <t>High</t>
        </is>
      </c>
      <c r="Y275" t="inlineStr">
        <is>
          <t>None</t>
        </is>
      </c>
      <c r="Z275" t="inlineStr">
        <is>
          <t>Valid</t>
        </is>
      </c>
      <c r="AA275" t="n">
        <v>2026</v>
      </c>
      <c r="AB275" t="inlineStr">
        <is>
          <t>Historical Trend Pathway</t>
        </is>
      </c>
      <c r="AC275" t="n">
        <v>453.6538</v>
      </c>
      <c r="AD275" t="n">
        <v>294.875</v>
      </c>
      <c r="AE275" t="n">
        <v>207.2698</v>
      </c>
      <c r="AF275" t="n">
        <v>383.7911</v>
      </c>
      <c r="AG275" t="n">
        <v>246.384</v>
      </c>
      <c r="AH275" t="n">
        <v>9.862e-05</v>
      </c>
      <c r="AI275" t="n">
        <v>0.54311</v>
      </c>
      <c r="AJ275" t="n">
        <v>-87.6052</v>
      </c>
      <c r="AK275" t="n">
        <v>6.3512</v>
      </c>
      <c r="AL275" t="n">
        <v>4291.6109</v>
      </c>
      <c r="AM275" t="n">
        <v>426.3891</v>
      </c>
      <c r="AN275" t="n">
        <v>0.88</v>
      </c>
      <c r="AO275" t="inlineStr">
        <is>
          <t>Low</t>
        </is>
      </c>
      <c r="AP275" t="inlineStr">
        <is>
          <t>On Track to Glide Path</t>
        </is>
      </c>
    </row>
    <row r="276">
      <c r="A276" t="inlineStr">
        <is>
          <t>SUP-0018</t>
        </is>
      </c>
      <c r="B276" t="inlineStr">
        <is>
          <t>Professional Supplier 018</t>
        </is>
      </c>
      <c r="C276" t="inlineStr">
        <is>
          <t>Professional Services</t>
        </is>
      </c>
      <c r="D276" t="n">
        <v>2024</v>
      </c>
      <c r="E276" t="n">
        <v>2015</v>
      </c>
      <c r="F276" t="n">
        <v>2040</v>
      </c>
      <c r="G276" t="n">
        <v>231.6462</v>
      </c>
      <c r="H276" t="n">
        <v>58.6964</v>
      </c>
      <c r="I276" t="n">
        <v>47.0019</v>
      </c>
      <c r="J276" t="n">
        <v>114.9503</v>
      </c>
      <c r="K276" t="n">
        <v>2101779.39</v>
      </c>
      <c r="L276" t="n">
        <v>17106470.76</v>
      </c>
      <c r="M276" t="n">
        <v>231.6462</v>
      </c>
      <c r="N276" t="inlineStr">
        <is>
          <t>Provided Total Emissions</t>
        </is>
      </c>
      <c r="O276" t="b">
        <v>1</v>
      </c>
      <c r="P276" t="n">
        <v>-0.07196</v>
      </c>
      <c r="Q276" t="n">
        <v>-0.020868</v>
      </c>
      <c r="R276" t="n">
        <v>271.2556</v>
      </c>
      <c r="S276" t="n">
        <v>3362.79</v>
      </c>
      <c r="T276" t="n">
        <v>39.6094</v>
      </c>
      <c r="U276" t="n">
        <v>3131.1438</v>
      </c>
      <c r="V276" t="n">
        <v>0.170991</v>
      </c>
      <c r="W276" t="n">
        <v>13.516923</v>
      </c>
      <c r="X276" t="inlineStr">
        <is>
          <t>High</t>
        </is>
      </c>
      <c r="Y276" t="inlineStr">
        <is>
          <t>None</t>
        </is>
      </c>
      <c r="Z276" t="inlineStr">
        <is>
          <t>Valid</t>
        </is>
      </c>
      <c r="AA276" t="n">
        <v>2027</v>
      </c>
      <c r="AB276" t="inlineStr">
        <is>
          <t>Historical Trend Pathway</t>
        </is>
      </c>
      <c r="AC276" t="n">
        <v>453.6538</v>
      </c>
      <c r="AD276" t="n">
        <v>294.875</v>
      </c>
      <c r="AE276" t="n">
        <v>196.0611</v>
      </c>
      <c r="AF276" t="n">
        <v>377.44</v>
      </c>
      <c r="AG276" t="n">
        <v>257.5927</v>
      </c>
      <c r="AH276" t="n">
        <v>9.328e-05</v>
      </c>
      <c r="AI276" t="n">
        <v>0.567818</v>
      </c>
      <c r="AJ276" t="n">
        <v>-98.8139</v>
      </c>
      <c r="AK276" t="n">
        <v>6.3512</v>
      </c>
      <c r="AL276" t="n">
        <v>4095.5498</v>
      </c>
      <c r="AM276" t="n">
        <v>622.4502</v>
      </c>
      <c r="AN276" t="n">
        <v>0.88</v>
      </c>
      <c r="AO276" t="inlineStr">
        <is>
          <t>Low</t>
        </is>
      </c>
      <c r="AP276" t="inlineStr">
        <is>
          <t>On Track to Glide Path</t>
        </is>
      </c>
    </row>
    <row r="277">
      <c r="A277" t="inlineStr">
        <is>
          <t>SUP-0018</t>
        </is>
      </c>
      <c r="B277" t="inlineStr">
        <is>
          <t>Professional Supplier 018</t>
        </is>
      </c>
      <c r="C277" t="inlineStr">
        <is>
          <t>Professional Services</t>
        </is>
      </c>
      <c r="D277" t="n">
        <v>2024</v>
      </c>
      <c r="E277" t="n">
        <v>2015</v>
      </c>
      <c r="F277" t="n">
        <v>2040</v>
      </c>
      <c r="G277" t="n">
        <v>231.6462</v>
      </c>
      <c r="H277" t="n">
        <v>58.6964</v>
      </c>
      <c r="I277" t="n">
        <v>47.0019</v>
      </c>
      <c r="J277" t="n">
        <v>114.9503</v>
      </c>
      <c r="K277" t="n">
        <v>2101779.39</v>
      </c>
      <c r="L277" t="n">
        <v>17106470.76</v>
      </c>
      <c r="M277" t="n">
        <v>231.6462</v>
      </c>
      <c r="N277" t="inlineStr">
        <is>
          <t>Provided Total Emissions</t>
        </is>
      </c>
      <c r="O277" t="b">
        <v>1</v>
      </c>
      <c r="P277" t="n">
        <v>-0.07196</v>
      </c>
      <c r="Q277" t="n">
        <v>-0.020868</v>
      </c>
      <c r="R277" t="n">
        <v>271.2556</v>
      </c>
      <c r="S277" t="n">
        <v>3362.79</v>
      </c>
      <c r="T277" t="n">
        <v>39.6094</v>
      </c>
      <c r="U277" t="n">
        <v>3131.1438</v>
      </c>
      <c r="V277" t="n">
        <v>0.170991</v>
      </c>
      <c r="W277" t="n">
        <v>13.516923</v>
      </c>
      <c r="X277" t="inlineStr">
        <is>
          <t>High</t>
        </is>
      </c>
      <c r="Y277" t="inlineStr">
        <is>
          <t>None</t>
        </is>
      </c>
      <c r="Z277" t="inlineStr">
        <is>
          <t>Valid</t>
        </is>
      </c>
      <c r="AA277" t="n">
        <v>2028</v>
      </c>
      <c r="AB277" t="inlineStr">
        <is>
          <t>Historical Trend Pathway</t>
        </is>
      </c>
      <c r="AC277" t="n">
        <v>453.6538</v>
      </c>
      <c r="AD277" t="n">
        <v>294.875</v>
      </c>
      <c r="AE277" t="n">
        <v>185.4585</v>
      </c>
      <c r="AF277" t="n">
        <v>371.0888</v>
      </c>
      <c r="AG277" t="n">
        <v>268.1953</v>
      </c>
      <c r="AH277" t="n">
        <v>8.824e-05</v>
      </c>
      <c r="AI277" t="n">
        <v>0.591189</v>
      </c>
      <c r="AJ277" t="n">
        <v>-109.4164</v>
      </c>
      <c r="AK277" t="n">
        <v>6.3512</v>
      </c>
      <c r="AL277" t="n">
        <v>3910.0913</v>
      </c>
      <c r="AM277" t="n">
        <v>807.9087</v>
      </c>
      <c r="AN277" t="n">
        <v>0.88</v>
      </c>
      <c r="AO277" t="inlineStr">
        <is>
          <t>Low</t>
        </is>
      </c>
      <c r="AP277" t="inlineStr">
        <is>
          <t>On Track to Glide Path</t>
        </is>
      </c>
    </row>
    <row r="278">
      <c r="A278" t="inlineStr">
        <is>
          <t>SUP-0018</t>
        </is>
      </c>
      <c r="B278" t="inlineStr">
        <is>
          <t>Professional Supplier 018</t>
        </is>
      </c>
      <c r="C278" t="inlineStr">
        <is>
          <t>Professional Services</t>
        </is>
      </c>
      <c r="D278" t="n">
        <v>2024</v>
      </c>
      <c r="E278" t="n">
        <v>2015</v>
      </c>
      <c r="F278" t="n">
        <v>2040</v>
      </c>
      <c r="G278" t="n">
        <v>231.6462</v>
      </c>
      <c r="H278" t="n">
        <v>58.6964</v>
      </c>
      <c r="I278" t="n">
        <v>47.0019</v>
      </c>
      <c r="J278" t="n">
        <v>114.9503</v>
      </c>
      <c r="K278" t="n">
        <v>2101779.39</v>
      </c>
      <c r="L278" t="n">
        <v>17106470.76</v>
      </c>
      <c r="M278" t="n">
        <v>231.6462</v>
      </c>
      <c r="N278" t="inlineStr">
        <is>
          <t>Provided Total Emissions</t>
        </is>
      </c>
      <c r="O278" t="b">
        <v>1</v>
      </c>
      <c r="P278" t="n">
        <v>-0.07196</v>
      </c>
      <c r="Q278" t="n">
        <v>-0.020868</v>
      </c>
      <c r="R278" t="n">
        <v>271.2556</v>
      </c>
      <c r="S278" t="n">
        <v>3362.79</v>
      </c>
      <c r="T278" t="n">
        <v>39.6094</v>
      </c>
      <c r="U278" t="n">
        <v>3131.1438</v>
      </c>
      <c r="V278" t="n">
        <v>0.170991</v>
      </c>
      <c r="W278" t="n">
        <v>13.516923</v>
      </c>
      <c r="X278" t="inlineStr">
        <is>
          <t>High</t>
        </is>
      </c>
      <c r="Y278" t="inlineStr">
        <is>
          <t>None</t>
        </is>
      </c>
      <c r="Z278" t="inlineStr">
        <is>
          <t>Valid</t>
        </is>
      </c>
      <c r="AA278" t="n">
        <v>2029</v>
      </c>
      <c r="AB278" t="inlineStr">
        <is>
          <t>Historical Trend Pathway</t>
        </is>
      </c>
      <c r="AC278" t="n">
        <v>453.6538</v>
      </c>
      <c r="AD278" t="n">
        <v>294.875</v>
      </c>
      <c r="AE278" t="n">
        <v>175.4294</v>
      </c>
      <c r="AF278" t="n">
        <v>364.7377</v>
      </c>
      <c r="AG278" t="n">
        <v>278.2244</v>
      </c>
      <c r="AH278" t="n">
        <v>8.347e-05</v>
      </c>
      <c r="AI278" t="n">
        <v>0.613297</v>
      </c>
      <c r="AJ278" t="n">
        <v>-119.4456</v>
      </c>
      <c r="AK278" t="n">
        <v>6.3512</v>
      </c>
      <c r="AL278" t="n">
        <v>3734.6619</v>
      </c>
      <c r="AM278" t="n">
        <v>983.3381000000001</v>
      </c>
      <c r="AN278" t="n">
        <v>0.88</v>
      </c>
      <c r="AO278" t="inlineStr">
        <is>
          <t>Low</t>
        </is>
      </c>
      <c r="AP278" t="inlineStr">
        <is>
          <t>On Track to Glide Path</t>
        </is>
      </c>
    </row>
    <row r="279">
      <c r="A279" t="inlineStr">
        <is>
          <t>SUP-0018</t>
        </is>
      </c>
      <c r="B279" t="inlineStr">
        <is>
          <t>Professional Supplier 018</t>
        </is>
      </c>
      <c r="C279" t="inlineStr">
        <is>
          <t>Professional Services</t>
        </is>
      </c>
      <c r="D279" t="n">
        <v>2024</v>
      </c>
      <c r="E279" t="n">
        <v>2015</v>
      </c>
      <c r="F279" t="n">
        <v>2040</v>
      </c>
      <c r="G279" t="n">
        <v>231.6462</v>
      </c>
      <c r="H279" t="n">
        <v>58.6964</v>
      </c>
      <c r="I279" t="n">
        <v>47.0019</v>
      </c>
      <c r="J279" t="n">
        <v>114.9503</v>
      </c>
      <c r="K279" t="n">
        <v>2101779.39</v>
      </c>
      <c r="L279" t="n">
        <v>17106470.76</v>
      </c>
      <c r="M279" t="n">
        <v>231.6462</v>
      </c>
      <c r="N279" t="inlineStr">
        <is>
          <t>Provided Total Emissions</t>
        </is>
      </c>
      <c r="O279" t="b">
        <v>1</v>
      </c>
      <c r="P279" t="n">
        <v>-0.07196</v>
      </c>
      <c r="Q279" t="n">
        <v>-0.020868</v>
      </c>
      <c r="R279" t="n">
        <v>271.2556</v>
      </c>
      <c r="S279" t="n">
        <v>3362.79</v>
      </c>
      <c r="T279" t="n">
        <v>39.6094</v>
      </c>
      <c r="U279" t="n">
        <v>3131.1438</v>
      </c>
      <c r="V279" t="n">
        <v>0.170991</v>
      </c>
      <c r="W279" t="n">
        <v>13.516923</v>
      </c>
      <c r="X279" t="inlineStr">
        <is>
          <t>High</t>
        </is>
      </c>
      <c r="Y279" t="inlineStr">
        <is>
          <t>None</t>
        </is>
      </c>
      <c r="Z279" t="inlineStr">
        <is>
          <t>Valid</t>
        </is>
      </c>
      <c r="AA279" t="n">
        <v>2030</v>
      </c>
      <c r="AB279" t="inlineStr">
        <is>
          <t>Historical Trend Pathway</t>
        </is>
      </c>
      <c r="AC279" t="n">
        <v>453.6538</v>
      </c>
      <c r="AD279" t="n">
        <v>294.875</v>
      </c>
      <c r="AE279" t="n">
        <v>165.9425</v>
      </c>
      <c r="AF279" t="n">
        <v>358.3865</v>
      </c>
      <c r="AG279" t="n">
        <v>287.7113</v>
      </c>
      <c r="AH279" t="n">
        <v>7.894999999999999e-05</v>
      </c>
      <c r="AI279" t="n">
        <v>0.634209</v>
      </c>
      <c r="AJ279" t="n">
        <v>-128.9324</v>
      </c>
      <c r="AK279" t="n">
        <v>6.3512</v>
      </c>
      <c r="AL279" t="n">
        <v>3568.7194</v>
      </c>
      <c r="AM279" t="n">
        <v>1149.2806</v>
      </c>
      <c r="AN279" t="n">
        <v>0.88</v>
      </c>
      <c r="AO279" t="inlineStr">
        <is>
          <t>Low</t>
        </is>
      </c>
      <c r="AP279" t="inlineStr">
        <is>
          <t>On Track to Glide Path</t>
        </is>
      </c>
    </row>
    <row r="280">
      <c r="A280" t="inlineStr">
        <is>
          <t>SUP-0018</t>
        </is>
      </c>
      <c r="B280" t="inlineStr">
        <is>
          <t>Professional Supplier 018</t>
        </is>
      </c>
      <c r="C280" t="inlineStr">
        <is>
          <t>Professional Services</t>
        </is>
      </c>
      <c r="D280" t="n">
        <v>2024</v>
      </c>
      <c r="E280" t="n">
        <v>2015</v>
      </c>
      <c r="F280" t="n">
        <v>2040</v>
      </c>
      <c r="G280" t="n">
        <v>231.6462</v>
      </c>
      <c r="H280" t="n">
        <v>58.6964</v>
      </c>
      <c r="I280" t="n">
        <v>47.0019</v>
      </c>
      <c r="J280" t="n">
        <v>114.9503</v>
      </c>
      <c r="K280" t="n">
        <v>2101779.39</v>
      </c>
      <c r="L280" t="n">
        <v>17106470.76</v>
      </c>
      <c r="M280" t="n">
        <v>231.6462</v>
      </c>
      <c r="N280" t="inlineStr">
        <is>
          <t>Provided Total Emissions</t>
        </is>
      </c>
      <c r="O280" t="b">
        <v>1</v>
      </c>
      <c r="P280" t="n">
        <v>-0.07196</v>
      </c>
      <c r="Q280" t="n">
        <v>-0.020868</v>
      </c>
      <c r="R280" t="n">
        <v>271.2556</v>
      </c>
      <c r="S280" t="n">
        <v>3362.79</v>
      </c>
      <c r="T280" t="n">
        <v>39.6094</v>
      </c>
      <c r="U280" t="n">
        <v>3131.1438</v>
      </c>
      <c r="V280" t="n">
        <v>0.170991</v>
      </c>
      <c r="W280" t="n">
        <v>13.516923</v>
      </c>
      <c r="X280" t="inlineStr">
        <is>
          <t>High</t>
        </is>
      </c>
      <c r="Y280" t="inlineStr">
        <is>
          <t>None</t>
        </is>
      </c>
      <c r="Z280" t="inlineStr">
        <is>
          <t>Valid</t>
        </is>
      </c>
      <c r="AA280" t="n">
        <v>2031</v>
      </c>
      <c r="AB280" t="inlineStr">
        <is>
          <t>Historical Trend Pathway</t>
        </is>
      </c>
      <c r="AC280" t="n">
        <v>453.6538</v>
      </c>
      <c r="AD280" t="n">
        <v>294.875</v>
      </c>
      <c r="AE280" t="n">
        <v>156.9687</v>
      </c>
      <c r="AF280" t="n">
        <v>352.0353</v>
      </c>
      <c r="AG280" t="n">
        <v>296.6851</v>
      </c>
      <c r="AH280" t="n">
        <v>7.468e-05</v>
      </c>
      <c r="AI280" t="n">
        <v>0.65399</v>
      </c>
      <c r="AJ280" t="n">
        <v>-137.9063</v>
      </c>
      <c r="AK280" t="n">
        <v>6.3512</v>
      </c>
      <c r="AL280" t="n">
        <v>3411.7507</v>
      </c>
      <c r="AM280" t="n">
        <v>1306.2493</v>
      </c>
      <c r="AN280" t="n">
        <v>0.88</v>
      </c>
      <c r="AO280" t="inlineStr">
        <is>
          <t>Low</t>
        </is>
      </c>
      <c r="AP280" t="inlineStr">
        <is>
          <t>On Track to Glide Path</t>
        </is>
      </c>
    </row>
    <row r="281">
      <c r="A281" t="inlineStr">
        <is>
          <t>SUP-0018</t>
        </is>
      </c>
      <c r="B281" t="inlineStr">
        <is>
          <t>Professional Supplier 018</t>
        </is>
      </c>
      <c r="C281" t="inlineStr">
        <is>
          <t>Professional Services</t>
        </is>
      </c>
      <c r="D281" t="n">
        <v>2024</v>
      </c>
      <c r="E281" t="n">
        <v>2015</v>
      </c>
      <c r="F281" t="n">
        <v>2040</v>
      </c>
      <c r="G281" t="n">
        <v>231.6462</v>
      </c>
      <c r="H281" t="n">
        <v>58.6964</v>
      </c>
      <c r="I281" t="n">
        <v>47.0019</v>
      </c>
      <c r="J281" t="n">
        <v>114.9503</v>
      </c>
      <c r="K281" t="n">
        <v>2101779.39</v>
      </c>
      <c r="L281" t="n">
        <v>17106470.76</v>
      </c>
      <c r="M281" t="n">
        <v>231.6462</v>
      </c>
      <c r="N281" t="inlineStr">
        <is>
          <t>Provided Total Emissions</t>
        </is>
      </c>
      <c r="O281" t="b">
        <v>1</v>
      </c>
      <c r="P281" t="n">
        <v>-0.07196</v>
      </c>
      <c r="Q281" t="n">
        <v>-0.020868</v>
      </c>
      <c r="R281" t="n">
        <v>271.2556</v>
      </c>
      <c r="S281" t="n">
        <v>3362.79</v>
      </c>
      <c r="T281" t="n">
        <v>39.6094</v>
      </c>
      <c r="U281" t="n">
        <v>3131.1438</v>
      </c>
      <c r="V281" t="n">
        <v>0.170991</v>
      </c>
      <c r="W281" t="n">
        <v>13.516923</v>
      </c>
      <c r="X281" t="inlineStr">
        <is>
          <t>High</t>
        </is>
      </c>
      <c r="Y281" t="inlineStr">
        <is>
          <t>None</t>
        </is>
      </c>
      <c r="Z281" t="inlineStr">
        <is>
          <t>Valid</t>
        </is>
      </c>
      <c r="AA281" t="n">
        <v>2032</v>
      </c>
      <c r="AB281" t="inlineStr">
        <is>
          <t>Historical Trend Pathway</t>
        </is>
      </c>
      <c r="AC281" t="n">
        <v>453.6538</v>
      </c>
      <c r="AD281" t="n">
        <v>294.875</v>
      </c>
      <c r="AE281" t="n">
        <v>148.4802</v>
      </c>
      <c r="AF281" t="n">
        <v>345.6842</v>
      </c>
      <c r="AG281" t="n">
        <v>305.1736</v>
      </c>
      <c r="AH281" t="n">
        <v>7.064e-05</v>
      </c>
      <c r="AI281" t="n">
        <v>0.672702</v>
      </c>
      <c r="AJ281" t="n">
        <v>-146.3948</v>
      </c>
      <c r="AK281" t="n">
        <v>6.3512</v>
      </c>
      <c r="AL281" t="n">
        <v>3263.2705</v>
      </c>
      <c r="AM281" t="n">
        <v>1454.7295</v>
      </c>
      <c r="AN281" t="n">
        <v>0.88</v>
      </c>
      <c r="AO281" t="inlineStr">
        <is>
          <t>Low</t>
        </is>
      </c>
      <c r="AP281" t="inlineStr">
        <is>
          <t>On Track to Glide Path</t>
        </is>
      </c>
    </row>
    <row r="282">
      <c r="A282" t="inlineStr">
        <is>
          <t>SUP-0018</t>
        </is>
      </c>
      <c r="B282" t="inlineStr">
        <is>
          <t>Professional Supplier 018</t>
        </is>
      </c>
      <c r="C282" t="inlineStr">
        <is>
          <t>Professional Services</t>
        </is>
      </c>
      <c r="D282" t="n">
        <v>2024</v>
      </c>
      <c r="E282" t="n">
        <v>2015</v>
      </c>
      <c r="F282" t="n">
        <v>2040</v>
      </c>
      <c r="G282" t="n">
        <v>231.6462</v>
      </c>
      <c r="H282" t="n">
        <v>58.6964</v>
      </c>
      <c r="I282" t="n">
        <v>47.0019</v>
      </c>
      <c r="J282" t="n">
        <v>114.9503</v>
      </c>
      <c r="K282" t="n">
        <v>2101779.39</v>
      </c>
      <c r="L282" t="n">
        <v>17106470.76</v>
      </c>
      <c r="M282" t="n">
        <v>231.6462</v>
      </c>
      <c r="N282" t="inlineStr">
        <is>
          <t>Provided Total Emissions</t>
        </is>
      </c>
      <c r="O282" t="b">
        <v>1</v>
      </c>
      <c r="P282" t="n">
        <v>-0.07196</v>
      </c>
      <c r="Q282" t="n">
        <v>-0.020868</v>
      </c>
      <c r="R282" t="n">
        <v>271.2556</v>
      </c>
      <c r="S282" t="n">
        <v>3362.79</v>
      </c>
      <c r="T282" t="n">
        <v>39.6094</v>
      </c>
      <c r="U282" t="n">
        <v>3131.1438</v>
      </c>
      <c r="V282" t="n">
        <v>0.170991</v>
      </c>
      <c r="W282" t="n">
        <v>13.516923</v>
      </c>
      <c r="X282" t="inlineStr">
        <is>
          <t>High</t>
        </is>
      </c>
      <c r="Y282" t="inlineStr">
        <is>
          <t>None</t>
        </is>
      </c>
      <c r="Z282" t="inlineStr">
        <is>
          <t>Valid</t>
        </is>
      </c>
      <c r="AA282" t="n">
        <v>2033</v>
      </c>
      <c r="AB282" t="inlineStr">
        <is>
          <t>Historical Trend Pathway</t>
        </is>
      </c>
      <c r="AC282" t="n">
        <v>453.6538</v>
      </c>
      <c r="AD282" t="n">
        <v>294.875</v>
      </c>
      <c r="AE282" t="n">
        <v>140.4507</v>
      </c>
      <c r="AF282" t="n">
        <v>339.333</v>
      </c>
      <c r="AG282" t="n">
        <v>313.2031</v>
      </c>
      <c r="AH282" t="n">
        <v>6.682e-05</v>
      </c>
      <c r="AI282" t="n">
        <v>0.690401</v>
      </c>
      <c r="AJ282" t="n">
        <v>-154.4243</v>
      </c>
      <c r="AK282" t="n">
        <v>6.3512</v>
      </c>
      <c r="AL282" t="n">
        <v>3122.8198</v>
      </c>
      <c r="AM282" t="n">
        <v>1595.1802</v>
      </c>
      <c r="AN282" t="n">
        <v>0.88</v>
      </c>
      <c r="AO282" t="inlineStr">
        <is>
          <t>Low</t>
        </is>
      </c>
      <c r="AP282" t="inlineStr">
        <is>
          <t>On Track to Glide Path</t>
        </is>
      </c>
    </row>
    <row r="283">
      <c r="A283" t="inlineStr">
        <is>
          <t>SUP-0018</t>
        </is>
      </c>
      <c r="B283" t="inlineStr">
        <is>
          <t>Professional Supplier 018</t>
        </is>
      </c>
      <c r="C283" t="inlineStr">
        <is>
          <t>Professional Services</t>
        </is>
      </c>
      <c r="D283" t="n">
        <v>2024</v>
      </c>
      <c r="E283" t="n">
        <v>2015</v>
      </c>
      <c r="F283" t="n">
        <v>2040</v>
      </c>
      <c r="G283" t="n">
        <v>231.6462</v>
      </c>
      <c r="H283" t="n">
        <v>58.6964</v>
      </c>
      <c r="I283" t="n">
        <v>47.0019</v>
      </c>
      <c r="J283" t="n">
        <v>114.9503</v>
      </c>
      <c r="K283" t="n">
        <v>2101779.39</v>
      </c>
      <c r="L283" t="n">
        <v>17106470.76</v>
      </c>
      <c r="M283" t="n">
        <v>231.6462</v>
      </c>
      <c r="N283" t="inlineStr">
        <is>
          <t>Provided Total Emissions</t>
        </is>
      </c>
      <c r="O283" t="b">
        <v>1</v>
      </c>
      <c r="P283" t="n">
        <v>-0.07196</v>
      </c>
      <c r="Q283" t="n">
        <v>-0.020868</v>
      </c>
      <c r="R283" t="n">
        <v>271.2556</v>
      </c>
      <c r="S283" t="n">
        <v>3362.79</v>
      </c>
      <c r="T283" t="n">
        <v>39.6094</v>
      </c>
      <c r="U283" t="n">
        <v>3131.1438</v>
      </c>
      <c r="V283" t="n">
        <v>0.170991</v>
      </c>
      <c r="W283" t="n">
        <v>13.516923</v>
      </c>
      <c r="X283" t="inlineStr">
        <is>
          <t>High</t>
        </is>
      </c>
      <c r="Y283" t="inlineStr">
        <is>
          <t>None</t>
        </is>
      </c>
      <c r="Z283" t="inlineStr">
        <is>
          <t>Valid</t>
        </is>
      </c>
      <c r="AA283" t="n">
        <v>2034</v>
      </c>
      <c r="AB283" t="inlineStr">
        <is>
          <t>Historical Trend Pathway</t>
        </is>
      </c>
      <c r="AC283" t="n">
        <v>453.6538</v>
      </c>
      <c r="AD283" t="n">
        <v>294.875</v>
      </c>
      <c r="AE283" t="n">
        <v>132.8554</v>
      </c>
      <c r="AF283" t="n">
        <v>332.9819</v>
      </c>
      <c r="AG283" t="n">
        <v>320.7984</v>
      </c>
      <c r="AH283" t="n">
        <v>6.321e-05</v>
      </c>
      <c r="AI283" t="n">
        <v>0.707144</v>
      </c>
      <c r="AJ283" t="n">
        <v>-162.0195</v>
      </c>
      <c r="AK283" t="n">
        <v>6.3512</v>
      </c>
      <c r="AL283" t="n">
        <v>2989.9644</v>
      </c>
      <c r="AM283" t="n">
        <v>1728.0356</v>
      </c>
      <c r="AN283" t="n">
        <v>0.88</v>
      </c>
      <c r="AO283" t="inlineStr">
        <is>
          <t>Low</t>
        </is>
      </c>
      <c r="AP283" t="inlineStr">
        <is>
          <t>On Track to Glide Path</t>
        </is>
      </c>
    </row>
    <row r="284">
      <c r="A284" t="inlineStr">
        <is>
          <t>SUP-0018</t>
        </is>
      </c>
      <c r="B284" t="inlineStr">
        <is>
          <t>Professional Supplier 018</t>
        </is>
      </c>
      <c r="C284" t="inlineStr">
        <is>
          <t>Professional Services</t>
        </is>
      </c>
      <c r="D284" t="n">
        <v>2024</v>
      </c>
      <c r="E284" t="n">
        <v>2015</v>
      </c>
      <c r="F284" t="n">
        <v>2040</v>
      </c>
      <c r="G284" t="n">
        <v>231.6462</v>
      </c>
      <c r="H284" t="n">
        <v>58.6964</v>
      </c>
      <c r="I284" t="n">
        <v>47.0019</v>
      </c>
      <c r="J284" t="n">
        <v>114.9503</v>
      </c>
      <c r="K284" t="n">
        <v>2101779.39</v>
      </c>
      <c r="L284" t="n">
        <v>17106470.76</v>
      </c>
      <c r="M284" t="n">
        <v>231.6462</v>
      </c>
      <c r="N284" t="inlineStr">
        <is>
          <t>Provided Total Emissions</t>
        </is>
      </c>
      <c r="O284" t="b">
        <v>1</v>
      </c>
      <c r="P284" t="n">
        <v>-0.07196</v>
      </c>
      <c r="Q284" t="n">
        <v>-0.020868</v>
      </c>
      <c r="R284" t="n">
        <v>271.2556</v>
      </c>
      <c r="S284" t="n">
        <v>3362.79</v>
      </c>
      <c r="T284" t="n">
        <v>39.6094</v>
      </c>
      <c r="U284" t="n">
        <v>3131.1438</v>
      </c>
      <c r="V284" t="n">
        <v>0.170991</v>
      </c>
      <c r="W284" t="n">
        <v>13.516923</v>
      </c>
      <c r="X284" t="inlineStr">
        <is>
          <t>High</t>
        </is>
      </c>
      <c r="Y284" t="inlineStr">
        <is>
          <t>None</t>
        </is>
      </c>
      <c r="Z284" t="inlineStr">
        <is>
          <t>Valid</t>
        </is>
      </c>
      <c r="AA284" t="n">
        <v>2035</v>
      </c>
      <c r="AB284" t="inlineStr">
        <is>
          <t>Historical Trend Pathway</t>
        </is>
      </c>
      <c r="AC284" t="n">
        <v>453.6538</v>
      </c>
      <c r="AD284" t="n">
        <v>294.875</v>
      </c>
      <c r="AE284" t="n">
        <v>125.6709</v>
      </c>
      <c r="AF284" t="n">
        <v>326.6307</v>
      </c>
      <c r="AG284" t="n">
        <v>327.9829</v>
      </c>
      <c r="AH284" t="n">
        <v>5.979e-05</v>
      </c>
      <c r="AI284" t="n">
        <v>0.722981</v>
      </c>
      <c r="AJ284" t="n">
        <v>-169.2041</v>
      </c>
      <c r="AK284" t="n">
        <v>6.3512</v>
      </c>
      <c r="AL284" t="n">
        <v>2864.2935</v>
      </c>
      <c r="AM284" t="n">
        <v>1853.7065</v>
      </c>
      <c r="AN284" t="n">
        <v>0.88</v>
      </c>
      <c r="AO284" t="inlineStr">
        <is>
          <t>Low</t>
        </is>
      </c>
      <c r="AP284" t="inlineStr">
        <is>
          <t>On Track to Glide Path</t>
        </is>
      </c>
    </row>
    <row r="285">
      <c r="A285" t="inlineStr">
        <is>
          <t>SUP-0018</t>
        </is>
      </c>
      <c r="B285" t="inlineStr">
        <is>
          <t>Professional Supplier 018</t>
        </is>
      </c>
      <c r="C285" t="inlineStr">
        <is>
          <t>Professional Services</t>
        </is>
      </c>
      <c r="D285" t="n">
        <v>2024</v>
      </c>
      <c r="E285" t="n">
        <v>2015</v>
      </c>
      <c r="F285" t="n">
        <v>2040</v>
      </c>
      <c r="G285" t="n">
        <v>231.6462</v>
      </c>
      <c r="H285" t="n">
        <v>58.6964</v>
      </c>
      <c r="I285" t="n">
        <v>47.0019</v>
      </c>
      <c r="J285" t="n">
        <v>114.9503</v>
      </c>
      <c r="K285" t="n">
        <v>2101779.39</v>
      </c>
      <c r="L285" t="n">
        <v>17106470.76</v>
      </c>
      <c r="M285" t="n">
        <v>231.6462</v>
      </c>
      <c r="N285" t="inlineStr">
        <is>
          <t>Provided Total Emissions</t>
        </is>
      </c>
      <c r="O285" t="b">
        <v>1</v>
      </c>
      <c r="P285" t="n">
        <v>-0.07196</v>
      </c>
      <c r="Q285" t="n">
        <v>-0.020868</v>
      </c>
      <c r="R285" t="n">
        <v>271.2556</v>
      </c>
      <c r="S285" t="n">
        <v>3362.79</v>
      </c>
      <c r="T285" t="n">
        <v>39.6094</v>
      </c>
      <c r="U285" t="n">
        <v>3131.1438</v>
      </c>
      <c r="V285" t="n">
        <v>0.170991</v>
      </c>
      <c r="W285" t="n">
        <v>13.516923</v>
      </c>
      <c r="X285" t="inlineStr">
        <is>
          <t>High</t>
        </is>
      </c>
      <c r="Y285" t="inlineStr">
        <is>
          <t>None</t>
        </is>
      </c>
      <c r="Z285" t="inlineStr">
        <is>
          <t>Valid</t>
        </is>
      </c>
      <c r="AA285" t="n">
        <v>2036</v>
      </c>
      <c r="AB285" t="inlineStr">
        <is>
          <t>Historical Trend Pathway</t>
        </is>
      </c>
      <c r="AC285" t="n">
        <v>453.6538</v>
      </c>
      <c r="AD285" t="n">
        <v>294.875</v>
      </c>
      <c r="AE285" t="n">
        <v>118.8749</v>
      </c>
      <c r="AF285" t="n">
        <v>320.2796</v>
      </c>
      <c r="AG285" t="n">
        <v>334.7789</v>
      </c>
      <c r="AH285" t="n">
        <v>5.656e-05</v>
      </c>
      <c r="AI285" t="n">
        <v>0.737961</v>
      </c>
      <c r="AJ285" t="n">
        <v>-176.0001</v>
      </c>
      <c r="AK285" t="n">
        <v>6.3512</v>
      </c>
      <c r="AL285" t="n">
        <v>2745.4186</v>
      </c>
      <c r="AM285" t="n">
        <v>1972.5814</v>
      </c>
      <c r="AN285" t="n">
        <v>0.88</v>
      </c>
      <c r="AO285" t="inlineStr">
        <is>
          <t>Low</t>
        </is>
      </c>
      <c r="AP285" t="inlineStr">
        <is>
          <t>On Track to Glide Path</t>
        </is>
      </c>
    </row>
    <row r="286">
      <c r="A286" t="inlineStr">
        <is>
          <t>SUP-0018</t>
        </is>
      </c>
      <c r="B286" t="inlineStr">
        <is>
          <t>Professional Supplier 018</t>
        </is>
      </c>
      <c r="C286" t="inlineStr">
        <is>
          <t>Professional Services</t>
        </is>
      </c>
      <c r="D286" t="n">
        <v>2024</v>
      </c>
      <c r="E286" t="n">
        <v>2015</v>
      </c>
      <c r="F286" t="n">
        <v>2040</v>
      </c>
      <c r="G286" t="n">
        <v>231.6462</v>
      </c>
      <c r="H286" t="n">
        <v>58.6964</v>
      </c>
      <c r="I286" t="n">
        <v>47.0019</v>
      </c>
      <c r="J286" t="n">
        <v>114.9503</v>
      </c>
      <c r="K286" t="n">
        <v>2101779.39</v>
      </c>
      <c r="L286" t="n">
        <v>17106470.76</v>
      </c>
      <c r="M286" t="n">
        <v>231.6462</v>
      </c>
      <c r="N286" t="inlineStr">
        <is>
          <t>Provided Total Emissions</t>
        </is>
      </c>
      <c r="O286" t="b">
        <v>1</v>
      </c>
      <c r="P286" t="n">
        <v>-0.07196</v>
      </c>
      <c r="Q286" t="n">
        <v>-0.020868</v>
      </c>
      <c r="R286" t="n">
        <v>271.2556</v>
      </c>
      <c r="S286" t="n">
        <v>3362.79</v>
      </c>
      <c r="T286" t="n">
        <v>39.6094</v>
      </c>
      <c r="U286" t="n">
        <v>3131.1438</v>
      </c>
      <c r="V286" t="n">
        <v>0.170991</v>
      </c>
      <c r="W286" t="n">
        <v>13.516923</v>
      </c>
      <c r="X286" t="inlineStr">
        <is>
          <t>High</t>
        </is>
      </c>
      <c r="Y286" t="inlineStr">
        <is>
          <t>None</t>
        </is>
      </c>
      <c r="Z286" t="inlineStr">
        <is>
          <t>Valid</t>
        </is>
      </c>
      <c r="AA286" t="n">
        <v>2037</v>
      </c>
      <c r="AB286" t="inlineStr">
        <is>
          <t>Historical Trend Pathway</t>
        </is>
      </c>
      <c r="AC286" t="n">
        <v>453.6538</v>
      </c>
      <c r="AD286" t="n">
        <v>294.875</v>
      </c>
      <c r="AE286" t="n">
        <v>112.4464</v>
      </c>
      <c r="AF286" t="n">
        <v>313.9284</v>
      </c>
      <c r="AG286" t="n">
        <v>341.2074</v>
      </c>
      <c r="AH286" t="n">
        <v>5.35e-05</v>
      </c>
      <c r="AI286" t="n">
        <v>0.752132</v>
      </c>
      <c r="AJ286" t="n">
        <v>-182.4286</v>
      </c>
      <c r="AK286" t="n">
        <v>6.3512</v>
      </c>
      <c r="AL286" t="n">
        <v>2632.9722</v>
      </c>
      <c r="AM286" t="n">
        <v>2085.0278</v>
      </c>
      <c r="AN286" t="n">
        <v>0.88</v>
      </c>
      <c r="AO286" t="inlineStr">
        <is>
          <t>Low</t>
        </is>
      </c>
      <c r="AP286" t="inlineStr">
        <is>
          <t>On Track to Glide Path</t>
        </is>
      </c>
    </row>
    <row r="287">
      <c r="A287" t="inlineStr">
        <is>
          <t>SUP-0018</t>
        </is>
      </c>
      <c r="B287" t="inlineStr">
        <is>
          <t>Professional Supplier 018</t>
        </is>
      </c>
      <c r="C287" t="inlineStr">
        <is>
          <t>Professional Services</t>
        </is>
      </c>
      <c r="D287" t="n">
        <v>2024</v>
      </c>
      <c r="E287" t="n">
        <v>2015</v>
      </c>
      <c r="F287" t="n">
        <v>2040</v>
      </c>
      <c r="G287" t="n">
        <v>231.6462</v>
      </c>
      <c r="H287" t="n">
        <v>58.6964</v>
      </c>
      <c r="I287" t="n">
        <v>47.0019</v>
      </c>
      <c r="J287" t="n">
        <v>114.9503</v>
      </c>
      <c r="K287" t="n">
        <v>2101779.39</v>
      </c>
      <c r="L287" t="n">
        <v>17106470.76</v>
      </c>
      <c r="M287" t="n">
        <v>231.6462</v>
      </c>
      <c r="N287" t="inlineStr">
        <is>
          <t>Provided Total Emissions</t>
        </is>
      </c>
      <c r="O287" t="b">
        <v>1</v>
      </c>
      <c r="P287" t="n">
        <v>-0.07196</v>
      </c>
      <c r="Q287" t="n">
        <v>-0.020868</v>
      </c>
      <c r="R287" t="n">
        <v>271.2556</v>
      </c>
      <c r="S287" t="n">
        <v>3362.79</v>
      </c>
      <c r="T287" t="n">
        <v>39.6094</v>
      </c>
      <c r="U287" t="n">
        <v>3131.1438</v>
      </c>
      <c r="V287" t="n">
        <v>0.170991</v>
      </c>
      <c r="W287" t="n">
        <v>13.516923</v>
      </c>
      <c r="X287" t="inlineStr">
        <is>
          <t>High</t>
        </is>
      </c>
      <c r="Y287" t="inlineStr">
        <is>
          <t>None</t>
        </is>
      </c>
      <c r="Z287" t="inlineStr">
        <is>
          <t>Valid</t>
        </is>
      </c>
      <c r="AA287" t="n">
        <v>2038</v>
      </c>
      <c r="AB287" t="inlineStr">
        <is>
          <t>Historical Trend Pathway</t>
        </is>
      </c>
      <c r="AC287" t="n">
        <v>453.6538</v>
      </c>
      <c r="AD287" t="n">
        <v>294.875</v>
      </c>
      <c r="AE287" t="n">
        <v>106.3656</v>
      </c>
      <c r="AF287" t="n">
        <v>307.5773</v>
      </c>
      <c r="AG287" t="n">
        <v>347.2882</v>
      </c>
      <c r="AH287" t="n">
        <v>5.061e-05</v>
      </c>
      <c r="AI287" t="n">
        <v>0.765536</v>
      </c>
      <c r="AJ287" t="n">
        <v>-188.5094</v>
      </c>
      <c r="AK287" t="n">
        <v>6.3512</v>
      </c>
      <c r="AL287" t="n">
        <v>2526.6066</v>
      </c>
      <c r="AM287" t="n">
        <v>2191.3934</v>
      </c>
      <c r="AN287" t="n">
        <v>0.88</v>
      </c>
      <c r="AO287" t="inlineStr">
        <is>
          <t>Low</t>
        </is>
      </c>
      <c r="AP287" t="inlineStr">
        <is>
          <t>On Track to Glide Path</t>
        </is>
      </c>
    </row>
    <row r="288">
      <c r="A288" t="inlineStr">
        <is>
          <t>SUP-0018</t>
        </is>
      </c>
      <c r="B288" t="inlineStr">
        <is>
          <t>Professional Supplier 018</t>
        </is>
      </c>
      <c r="C288" t="inlineStr">
        <is>
          <t>Professional Services</t>
        </is>
      </c>
      <c r="D288" t="n">
        <v>2024</v>
      </c>
      <c r="E288" t="n">
        <v>2015</v>
      </c>
      <c r="F288" t="n">
        <v>2040</v>
      </c>
      <c r="G288" t="n">
        <v>231.6462</v>
      </c>
      <c r="H288" t="n">
        <v>58.6964</v>
      </c>
      <c r="I288" t="n">
        <v>47.0019</v>
      </c>
      <c r="J288" t="n">
        <v>114.9503</v>
      </c>
      <c r="K288" t="n">
        <v>2101779.39</v>
      </c>
      <c r="L288" t="n">
        <v>17106470.76</v>
      </c>
      <c r="M288" t="n">
        <v>231.6462</v>
      </c>
      <c r="N288" t="inlineStr">
        <is>
          <t>Provided Total Emissions</t>
        </is>
      </c>
      <c r="O288" t="b">
        <v>1</v>
      </c>
      <c r="P288" t="n">
        <v>-0.07196</v>
      </c>
      <c r="Q288" t="n">
        <v>-0.020868</v>
      </c>
      <c r="R288" t="n">
        <v>271.2556</v>
      </c>
      <c r="S288" t="n">
        <v>3362.79</v>
      </c>
      <c r="T288" t="n">
        <v>39.6094</v>
      </c>
      <c r="U288" t="n">
        <v>3131.1438</v>
      </c>
      <c r="V288" t="n">
        <v>0.170991</v>
      </c>
      <c r="W288" t="n">
        <v>13.516923</v>
      </c>
      <c r="X288" t="inlineStr">
        <is>
          <t>High</t>
        </is>
      </c>
      <c r="Y288" t="inlineStr">
        <is>
          <t>None</t>
        </is>
      </c>
      <c r="Z288" t="inlineStr">
        <is>
          <t>Valid</t>
        </is>
      </c>
      <c r="AA288" t="n">
        <v>2039</v>
      </c>
      <c r="AB288" t="inlineStr">
        <is>
          <t>Historical Trend Pathway</t>
        </is>
      </c>
      <c r="AC288" t="n">
        <v>453.6538</v>
      </c>
      <c r="AD288" t="n">
        <v>294.875</v>
      </c>
      <c r="AE288" t="n">
        <v>100.6135</v>
      </c>
      <c r="AF288" t="n">
        <v>301.2261</v>
      </c>
      <c r="AG288" t="n">
        <v>353.0403</v>
      </c>
      <c r="AH288" t="n">
        <v>4.787e-05</v>
      </c>
      <c r="AI288" t="n">
        <v>0.778215</v>
      </c>
      <c r="AJ288" t="n">
        <v>-194.2614</v>
      </c>
      <c r="AK288" t="n">
        <v>6.3512</v>
      </c>
      <c r="AL288" t="n">
        <v>2425.9931</v>
      </c>
      <c r="AM288" t="n">
        <v>2292.0069</v>
      </c>
      <c r="AN288" t="n">
        <v>0.88</v>
      </c>
      <c r="AO288" t="inlineStr">
        <is>
          <t>Low</t>
        </is>
      </c>
      <c r="AP288" t="inlineStr">
        <is>
          <t>On Track to Glide Path</t>
        </is>
      </c>
    </row>
    <row r="289">
      <c r="A289" t="inlineStr">
        <is>
          <t>SUP-0018</t>
        </is>
      </c>
      <c r="B289" t="inlineStr">
        <is>
          <t>Professional Supplier 018</t>
        </is>
      </c>
      <c r="C289" t="inlineStr">
        <is>
          <t>Professional Services</t>
        </is>
      </c>
      <c r="D289" t="n">
        <v>2024</v>
      </c>
      <c r="E289" t="n">
        <v>2015</v>
      </c>
      <c r="F289" t="n">
        <v>2040</v>
      </c>
      <c r="G289" t="n">
        <v>231.6462</v>
      </c>
      <c r="H289" t="n">
        <v>58.6964</v>
      </c>
      <c r="I289" t="n">
        <v>47.0019</v>
      </c>
      <c r="J289" t="n">
        <v>114.9503</v>
      </c>
      <c r="K289" t="n">
        <v>2101779.39</v>
      </c>
      <c r="L289" t="n">
        <v>17106470.76</v>
      </c>
      <c r="M289" t="n">
        <v>231.6462</v>
      </c>
      <c r="N289" t="inlineStr">
        <is>
          <t>Provided Total Emissions</t>
        </is>
      </c>
      <c r="O289" t="b">
        <v>1</v>
      </c>
      <c r="P289" t="n">
        <v>-0.07196</v>
      </c>
      <c r="Q289" t="n">
        <v>-0.020868</v>
      </c>
      <c r="R289" t="n">
        <v>271.2556</v>
      </c>
      <c r="S289" t="n">
        <v>3362.79</v>
      </c>
      <c r="T289" t="n">
        <v>39.6094</v>
      </c>
      <c r="U289" t="n">
        <v>3131.1438</v>
      </c>
      <c r="V289" t="n">
        <v>0.170991</v>
      </c>
      <c r="W289" t="n">
        <v>13.516923</v>
      </c>
      <c r="X289" t="inlineStr">
        <is>
          <t>High</t>
        </is>
      </c>
      <c r="Y289" t="inlineStr">
        <is>
          <t>None</t>
        </is>
      </c>
      <c r="Z289" t="inlineStr">
        <is>
          <t>Valid</t>
        </is>
      </c>
      <c r="AA289" t="n">
        <v>2040</v>
      </c>
      <c r="AB289" t="inlineStr">
        <is>
          <t>Historical Trend Pathway</t>
        </is>
      </c>
      <c r="AC289" t="n">
        <v>453.6538</v>
      </c>
      <c r="AD289" t="n">
        <v>294.875</v>
      </c>
      <c r="AE289" t="n">
        <v>95.1726</v>
      </c>
      <c r="AF289" t="n">
        <v>294.875</v>
      </c>
      <c r="AG289" t="n">
        <v>358.4812</v>
      </c>
      <c r="AH289" t="n">
        <v>4.528e-05</v>
      </c>
      <c r="AI289" t="n">
        <v>0.7902090000000001</v>
      </c>
      <c r="AJ289" t="n">
        <v>-199.7024</v>
      </c>
      <c r="AK289" t="n">
        <v>6.3512</v>
      </c>
      <c r="AL289" t="n">
        <v>2330.8205</v>
      </c>
      <c r="AM289" t="n">
        <v>2387.1795</v>
      </c>
      <c r="AN289" t="n">
        <v>0.88</v>
      </c>
      <c r="AO289" t="inlineStr">
        <is>
          <t>Low</t>
        </is>
      </c>
      <c r="AP289" t="inlineStr">
        <is>
          <t>On Track</t>
        </is>
      </c>
    </row>
    <row r="290">
      <c r="A290" t="inlineStr">
        <is>
          <t>SUP-0019</t>
        </is>
      </c>
      <c r="B290" t="inlineStr">
        <is>
          <t>Metals Supplier 019</t>
        </is>
      </c>
      <c r="C290" t="inlineStr">
        <is>
          <t>Metals</t>
        </is>
      </c>
      <c r="D290" t="n">
        <v>2024</v>
      </c>
      <c r="E290" t="n">
        <v>2021</v>
      </c>
      <c r="F290" t="n">
        <v>2035</v>
      </c>
      <c r="G290" t="n">
        <v>21637.1443</v>
      </c>
      <c r="H290" t="n">
        <v>3908.234</v>
      </c>
      <c r="I290" t="n">
        <v>1969.4431</v>
      </c>
      <c r="J290" t="n">
        <v>16391.7637</v>
      </c>
      <c r="K290" t="n">
        <v>24549341.99</v>
      </c>
      <c r="L290" t="n">
        <v>36127319.87</v>
      </c>
      <c r="M290" t="n">
        <v>21637.1443</v>
      </c>
      <c r="N290" t="inlineStr">
        <is>
          <t>Provided Total Emissions</t>
        </is>
      </c>
      <c r="O290" t="b">
        <v>1</v>
      </c>
      <c r="P290" t="n">
        <v>-0.018362</v>
      </c>
      <c r="Q290" t="n">
        <v>0.040525</v>
      </c>
      <c r="R290" t="n">
        <v>24719.9599</v>
      </c>
      <c r="S290" t="n">
        <v>23485.6481</v>
      </c>
      <c r="T290" t="n">
        <v>3082.8156</v>
      </c>
      <c r="U290" t="n">
        <v>1848.5038</v>
      </c>
      <c r="V290" t="n">
        <v>0.142478</v>
      </c>
      <c r="W290" t="n">
        <v>0.08543199999999999</v>
      </c>
      <c r="X290" t="inlineStr">
        <is>
          <t>High</t>
        </is>
      </c>
      <c r="Y290" t="inlineStr">
        <is>
          <t>None</t>
        </is>
      </c>
      <c r="Z290" t="inlineStr">
        <is>
          <t>Valid</t>
        </is>
      </c>
      <c r="AA290" t="n">
        <v>2025</v>
      </c>
      <c r="AB290" t="inlineStr">
        <is>
          <t>Supplier Target Pathway</t>
        </is>
      </c>
      <c r="AC290" t="n">
        <v>22965.889</v>
      </c>
      <c r="AD290" t="n">
        <v>11085.6346</v>
      </c>
      <c r="AE290" t="n">
        <v>19571.5306</v>
      </c>
      <c r="AF290" t="n">
        <v>19571.5306</v>
      </c>
      <c r="AG290" t="n">
        <v>3394.3584</v>
      </c>
      <c r="AH290" t="n">
        <v>0.00079723</v>
      </c>
      <c r="AI290" t="n">
        <v>0.1478</v>
      </c>
      <c r="AJ290" t="n">
        <v>8485.896000000001</v>
      </c>
      <c r="AK290" t="n">
        <v>848.5896</v>
      </c>
      <c r="AL290" t="n">
        <v>102370.45</v>
      </c>
      <c r="AM290" t="n">
        <v>19571.5306</v>
      </c>
      <c r="AN290" t="n">
        <v>0.99</v>
      </c>
      <c r="AO290" t="inlineStr">
        <is>
          <t>Critical</t>
        </is>
      </c>
      <c r="AP290" t="inlineStr">
        <is>
          <t>On Track to Glide Path</t>
        </is>
      </c>
    </row>
    <row r="291">
      <c r="A291" t="inlineStr">
        <is>
          <t>SUP-0019</t>
        </is>
      </c>
      <c r="B291" t="inlineStr">
        <is>
          <t>Metals Supplier 019</t>
        </is>
      </c>
      <c r="C291" t="inlineStr">
        <is>
          <t>Metals</t>
        </is>
      </c>
      <c r="D291" t="n">
        <v>2024</v>
      </c>
      <c r="E291" t="n">
        <v>2021</v>
      </c>
      <c r="F291" t="n">
        <v>2035</v>
      </c>
      <c r="G291" t="n">
        <v>21637.1443</v>
      </c>
      <c r="H291" t="n">
        <v>3908.234</v>
      </c>
      <c r="I291" t="n">
        <v>1969.4431</v>
      </c>
      <c r="J291" t="n">
        <v>16391.7637</v>
      </c>
      <c r="K291" t="n">
        <v>24549341.99</v>
      </c>
      <c r="L291" t="n">
        <v>36127319.87</v>
      </c>
      <c r="M291" t="n">
        <v>21637.1443</v>
      </c>
      <c r="N291" t="inlineStr">
        <is>
          <t>Provided Total Emissions</t>
        </is>
      </c>
      <c r="O291" t="b">
        <v>1</v>
      </c>
      <c r="P291" t="n">
        <v>-0.018362</v>
      </c>
      <c r="Q291" t="n">
        <v>0.040525</v>
      </c>
      <c r="R291" t="n">
        <v>24719.9599</v>
      </c>
      <c r="S291" t="n">
        <v>23485.6481</v>
      </c>
      <c r="T291" t="n">
        <v>3082.8156</v>
      </c>
      <c r="U291" t="n">
        <v>1848.5038</v>
      </c>
      <c r="V291" t="n">
        <v>0.142478</v>
      </c>
      <c r="W291" t="n">
        <v>0.08543199999999999</v>
      </c>
      <c r="X291" t="inlineStr">
        <is>
          <t>High</t>
        </is>
      </c>
      <c r="Y291" t="inlineStr">
        <is>
          <t>None</t>
        </is>
      </c>
      <c r="Z291" t="inlineStr">
        <is>
          <t>Valid</t>
        </is>
      </c>
      <c r="AA291" t="n">
        <v>2026</v>
      </c>
      <c r="AB291" t="inlineStr">
        <is>
          <t>Supplier Target Pathway</t>
        </is>
      </c>
      <c r="AC291" t="n">
        <v>22965.889</v>
      </c>
      <c r="AD291" t="n">
        <v>11085.6346</v>
      </c>
      <c r="AE291" t="n">
        <v>18722.941</v>
      </c>
      <c r="AF291" t="n">
        <v>18722.941</v>
      </c>
      <c r="AG291" t="n">
        <v>4242.948</v>
      </c>
      <c r="AH291" t="n">
        <v>0.00076267</v>
      </c>
      <c r="AI291" t="n">
        <v>0.18475</v>
      </c>
      <c r="AJ291" t="n">
        <v>7637.3064</v>
      </c>
      <c r="AK291" t="n">
        <v>848.5896</v>
      </c>
      <c r="AL291" t="n">
        <v>83647.50900000001</v>
      </c>
      <c r="AM291" t="n">
        <v>38294.4716</v>
      </c>
      <c r="AN291" t="n">
        <v>0.99</v>
      </c>
      <c r="AO291" t="inlineStr">
        <is>
          <t>Critical</t>
        </is>
      </c>
      <c r="AP291" t="inlineStr">
        <is>
          <t>On Track to Glide Path</t>
        </is>
      </c>
    </row>
    <row r="292">
      <c r="A292" t="inlineStr">
        <is>
          <t>SUP-0019</t>
        </is>
      </c>
      <c r="B292" t="inlineStr">
        <is>
          <t>Metals Supplier 019</t>
        </is>
      </c>
      <c r="C292" t="inlineStr">
        <is>
          <t>Metals</t>
        </is>
      </c>
      <c r="D292" t="n">
        <v>2024</v>
      </c>
      <c r="E292" t="n">
        <v>2021</v>
      </c>
      <c r="F292" t="n">
        <v>2035</v>
      </c>
      <c r="G292" t="n">
        <v>21637.1443</v>
      </c>
      <c r="H292" t="n">
        <v>3908.234</v>
      </c>
      <c r="I292" t="n">
        <v>1969.4431</v>
      </c>
      <c r="J292" t="n">
        <v>16391.7637</v>
      </c>
      <c r="K292" t="n">
        <v>24549341.99</v>
      </c>
      <c r="L292" t="n">
        <v>36127319.87</v>
      </c>
      <c r="M292" t="n">
        <v>21637.1443</v>
      </c>
      <c r="N292" t="inlineStr">
        <is>
          <t>Provided Total Emissions</t>
        </is>
      </c>
      <c r="O292" t="b">
        <v>1</v>
      </c>
      <c r="P292" t="n">
        <v>-0.018362</v>
      </c>
      <c r="Q292" t="n">
        <v>0.040525</v>
      </c>
      <c r="R292" t="n">
        <v>24719.9599</v>
      </c>
      <c r="S292" t="n">
        <v>23485.6481</v>
      </c>
      <c r="T292" t="n">
        <v>3082.8156</v>
      </c>
      <c r="U292" t="n">
        <v>1848.5038</v>
      </c>
      <c r="V292" t="n">
        <v>0.142478</v>
      </c>
      <c r="W292" t="n">
        <v>0.08543199999999999</v>
      </c>
      <c r="X292" t="inlineStr">
        <is>
          <t>High</t>
        </is>
      </c>
      <c r="Y292" t="inlineStr">
        <is>
          <t>None</t>
        </is>
      </c>
      <c r="Z292" t="inlineStr">
        <is>
          <t>Valid</t>
        </is>
      </c>
      <c r="AA292" t="n">
        <v>2027</v>
      </c>
      <c r="AB292" t="inlineStr">
        <is>
          <t>Supplier Target Pathway</t>
        </is>
      </c>
      <c r="AC292" t="n">
        <v>22965.889</v>
      </c>
      <c r="AD292" t="n">
        <v>11085.6346</v>
      </c>
      <c r="AE292" t="n">
        <v>17874.3514</v>
      </c>
      <c r="AF292" t="n">
        <v>17874.3514</v>
      </c>
      <c r="AG292" t="n">
        <v>5091.5376</v>
      </c>
      <c r="AH292" t="n">
        <v>0.0007281</v>
      </c>
      <c r="AI292" t="n">
        <v>0.2217</v>
      </c>
      <c r="AJ292" t="n">
        <v>6788.7168</v>
      </c>
      <c r="AK292" t="n">
        <v>848.5896</v>
      </c>
      <c r="AL292" t="n">
        <v>65773.15760000001</v>
      </c>
      <c r="AM292" t="n">
        <v>56168.823</v>
      </c>
      <c r="AN292" t="n">
        <v>0.99</v>
      </c>
      <c r="AO292" t="inlineStr">
        <is>
          <t>Critical</t>
        </is>
      </c>
      <c r="AP292" t="inlineStr">
        <is>
          <t>On Track to Glide Path</t>
        </is>
      </c>
    </row>
    <row r="293">
      <c r="A293" t="inlineStr">
        <is>
          <t>SUP-0019</t>
        </is>
      </c>
      <c r="B293" t="inlineStr">
        <is>
          <t>Metals Supplier 019</t>
        </is>
      </c>
      <c r="C293" t="inlineStr">
        <is>
          <t>Metals</t>
        </is>
      </c>
      <c r="D293" t="n">
        <v>2024</v>
      </c>
      <c r="E293" t="n">
        <v>2021</v>
      </c>
      <c r="F293" t="n">
        <v>2035</v>
      </c>
      <c r="G293" t="n">
        <v>21637.1443</v>
      </c>
      <c r="H293" t="n">
        <v>3908.234</v>
      </c>
      <c r="I293" t="n">
        <v>1969.4431</v>
      </c>
      <c r="J293" t="n">
        <v>16391.7637</v>
      </c>
      <c r="K293" t="n">
        <v>24549341.99</v>
      </c>
      <c r="L293" t="n">
        <v>36127319.87</v>
      </c>
      <c r="M293" t="n">
        <v>21637.1443</v>
      </c>
      <c r="N293" t="inlineStr">
        <is>
          <t>Provided Total Emissions</t>
        </is>
      </c>
      <c r="O293" t="b">
        <v>1</v>
      </c>
      <c r="P293" t="n">
        <v>-0.018362</v>
      </c>
      <c r="Q293" t="n">
        <v>0.040525</v>
      </c>
      <c r="R293" t="n">
        <v>24719.9599</v>
      </c>
      <c r="S293" t="n">
        <v>23485.6481</v>
      </c>
      <c r="T293" t="n">
        <v>3082.8156</v>
      </c>
      <c r="U293" t="n">
        <v>1848.5038</v>
      </c>
      <c r="V293" t="n">
        <v>0.142478</v>
      </c>
      <c r="W293" t="n">
        <v>0.08543199999999999</v>
      </c>
      <c r="X293" t="inlineStr">
        <is>
          <t>High</t>
        </is>
      </c>
      <c r="Y293" t="inlineStr">
        <is>
          <t>None</t>
        </is>
      </c>
      <c r="Z293" t="inlineStr">
        <is>
          <t>Valid</t>
        </is>
      </c>
      <c r="AA293" t="n">
        <v>2028</v>
      </c>
      <c r="AB293" t="inlineStr">
        <is>
          <t>Supplier Target Pathway</t>
        </is>
      </c>
      <c r="AC293" t="n">
        <v>22965.889</v>
      </c>
      <c r="AD293" t="n">
        <v>11085.6346</v>
      </c>
      <c r="AE293" t="n">
        <v>17025.7618</v>
      </c>
      <c r="AF293" t="n">
        <v>17025.7618</v>
      </c>
      <c r="AG293" t="n">
        <v>5940.1272</v>
      </c>
      <c r="AH293" t="n">
        <v>0.00069353</v>
      </c>
      <c r="AI293" t="n">
        <v>0.25865</v>
      </c>
      <c r="AJ293" t="n">
        <v>5940.1272</v>
      </c>
      <c r="AK293" t="n">
        <v>848.5896</v>
      </c>
      <c r="AL293" t="n">
        <v>48747.3958</v>
      </c>
      <c r="AM293" t="n">
        <v>73194.5848</v>
      </c>
      <c r="AN293" t="n">
        <v>0.99</v>
      </c>
      <c r="AO293" t="inlineStr">
        <is>
          <t>Critical</t>
        </is>
      </c>
      <c r="AP293" t="inlineStr">
        <is>
          <t>On Track to Glide Path</t>
        </is>
      </c>
    </row>
    <row r="294">
      <c r="A294" t="inlineStr">
        <is>
          <t>SUP-0019</t>
        </is>
      </c>
      <c r="B294" t="inlineStr">
        <is>
          <t>Metals Supplier 019</t>
        </is>
      </c>
      <c r="C294" t="inlineStr">
        <is>
          <t>Metals</t>
        </is>
      </c>
      <c r="D294" t="n">
        <v>2024</v>
      </c>
      <c r="E294" t="n">
        <v>2021</v>
      </c>
      <c r="F294" t="n">
        <v>2035</v>
      </c>
      <c r="G294" t="n">
        <v>21637.1443</v>
      </c>
      <c r="H294" t="n">
        <v>3908.234</v>
      </c>
      <c r="I294" t="n">
        <v>1969.4431</v>
      </c>
      <c r="J294" t="n">
        <v>16391.7637</v>
      </c>
      <c r="K294" t="n">
        <v>24549341.99</v>
      </c>
      <c r="L294" t="n">
        <v>36127319.87</v>
      </c>
      <c r="M294" t="n">
        <v>21637.1443</v>
      </c>
      <c r="N294" t="inlineStr">
        <is>
          <t>Provided Total Emissions</t>
        </is>
      </c>
      <c r="O294" t="b">
        <v>1</v>
      </c>
      <c r="P294" t="n">
        <v>-0.018362</v>
      </c>
      <c r="Q294" t="n">
        <v>0.040525</v>
      </c>
      <c r="R294" t="n">
        <v>24719.9599</v>
      </c>
      <c r="S294" t="n">
        <v>23485.6481</v>
      </c>
      <c r="T294" t="n">
        <v>3082.8156</v>
      </c>
      <c r="U294" t="n">
        <v>1848.5038</v>
      </c>
      <c r="V294" t="n">
        <v>0.142478</v>
      </c>
      <c r="W294" t="n">
        <v>0.08543199999999999</v>
      </c>
      <c r="X294" t="inlineStr">
        <is>
          <t>High</t>
        </is>
      </c>
      <c r="Y294" t="inlineStr">
        <is>
          <t>None</t>
        </is>
      </c>
      <c r="Z294" t="inlineStr">
        <is>
          <t>Valid</t>
        </is>
      </c>
      <c r="AA294" t="n">
        <v>2029</v>
      </c>
      <c r="AB294" t="inlineStr">
        <is>
          <t>Supplier Target Pathway</t>
        </is>
      </c>
      <c r="AC294" t="n">
        <v>22965.889</v>
      </c>
      <c r="AD294" t="n">
        <v>11085.6346</v>
      </c>
      <c r="AE294" t="n">
        <v>16177.1722</v>
      </c>
      <c r="AF294" t="n">
        <v>16177.1722</v>
      </c>
      <c r="AG294" t="n">
        <v>6788.7168</v>
      </c>
      <c r="AH294" t="n">
        <v>0.00065897</v>
      </c>
      <c r="AI294" t="n">
        <v>0.2956</v>
      </c>
      <c r="AJ294" t="n">
        <v>5091.5376</v>
      </c>
      <c r="AK294" t="n">
        <v>848.5896</v>
      </c>
      <c r="AL294" t="n">
        <v>32570.2236</v>
      </c>
      <c r="AM294" t="n">
        <v>89371.757</v>
      </c>
      <c r="AN294" t="n">
        <v>0.99</v>
      </c>
      <c r="AO294" t="inlineStr">
        <is>
          <t>Critical</t>
        </is>
      </c>
      <c r="AP294" t="inlineStr">
        <is>
          <t>On Track to Glide Path</t>
        </is>
      </c>
    </row>
    <row r="295">
      <c r="A295" t="inlineStr">
        <is>
          <t>SUP-0019</t>
        </is>
      </c>
      <c r="B295" t="inlineStr">
        <is>
          <t>Metals Supplier 019</t>
        </is>
      </c>
      <c r="C295" t="inlineStr">
        <is>
          <t>Metals</t>
        </is>
      </c>
      <c r="D295" t="n">
        <v>2024</v>
      </c>
      <c r="E295" t="n">
        <v>2021</v>
      </c>
      <c r="F295" t="n">
        <v>2035</v>
      </c>
      <c r="G295" t="n">
        <v>21637.1443</v>
      </c>
      <c r="H295" t="n">
        <v>3908.234</v>
      </c>
      <c r="I295" t="n">
        <v>1969.4431</v>
      </c>
      <c r="J295" t="n">
        <v>16391.7637</v>
      </c>
      <c r="K295" t="n">
        <v>24549341.99</v>
      </c>
      <c r="L295" t="n">
        <v>36127319.87</v>
      </c>
      <c r="M295" t="n">
        <v>21637.1443</v>
      </c>
      <c r="N295" t="inlineStr">
        <is>
          <t>Provided Total Emissions</t>
        </is>
      </c>
      <c r="O295" t="b">
        <v>1</v>
      </c>
      <c r="P295" t="n">
        <v>-0.018362</v>
      </c>
      <c r="Q295" t="n">
        <v>0.040525</v>
      </c>
      <c r="R295" t="n">
        <v>24719.9599</v>
      </c>
      <c r="S295" t="n">
        <v>23485.6481</v>
      </c>
      <c r="T295" t="n">
        <v>3082.8156</v>
      </c>
      <c r="U295" t="n">
        <v>1848.5038</v>
      </c>
      <c r="V295" t="n">
        <v>0.142478</v>
      </c>
      <c r="W295" t="n">
        <v>0.08543199999999999</v>
      </c>
      <c r="X295" t="inlineStr">
        <is>
          <t>High</t>
        </is>
      </c>
      <c r="Y295" t="inlineStr">
        <is>
          <t>None</t>
        </is>
      </c>
      <c r="Z295" t="inlineStr">
        <is>
          <t>Valid</t>
        </is>
      </c>
      <c r="AA295" t="n">
        <v>2030</v>
      </c>
      <c r="AB295" t="inlineStr">
        <is>
          <t>Supplier Target Pathway</t>
        </is>
      </c>
      <c r="AC295" t="n">
        <v>22965.889</v>
      </c>
      <c r="AD295" t="n">
        <v>11085.6346</v>
      </c>
      <c r="AE295" t="n">
        <v>15328.5826</v>
      </c>
      <c r="AF295" t="n">
        <v>15328.5826</v>
      </c>
      <c r="AG295" t="n">
        <v>7637.3064</v>
      </c>
      <c r="AH295" t="n">
        <v>0.0006244</v>
      </c>
      <c r="AI295" t="n">
        <v>0.33255</v>
      </c>
      <c r="AJ295" t="n">
        <v>4242.948</v>
      </c>
      <c r="AK295" t="n">
        <v>848.5896</v>
      </c>
      <c r="AL295" t="n">
        <v>17241.641</v>
      </c>
      <c r="AM295" t="n">
        <v>104700.3396</v>
      </c>
      <c r="AN295" t="n">
        <v>0.99</v>
      </c>
      <c r="AO295" t="inlineStr">
        <is>
          <t>Critical</t>
        </is>
      </c>
      <c r="AP295" t="inlineStr">
        <is>
          <t>On Track to Glide Path</t>
        </is>
      </c>
    </row>
    <row r="296">
      <c r="A296" t="inlineStr">
        <is>
          <t>SUP-0019</t>
        </is>
      </c>
      <c r="B296" t="inlineStr">
        <is>
          <t>Metals Supplier 019</t>
        </is>
      </c>
      <c r="C296" t="inlineStr">
        <is>
          <t>Metals</t>
        </is>
      </c>
      <c r="D296" t="n">
        <v>2024</v>
      </c>
      <c r="E296" t="n">
        <v>2021</v>
      </c>
      <c r="F296" t="n">
        <v>2035</v>
      </c>
      <c r="G296" t="n">
        <v>21637.1443</v>
      </c>
      <c r="H296" t="n">
        <v>3908.234</v>
      </c>
      <c r="I296" t="n">
        <v>1969.4431</v>
      </c>
      <c r="J296" t="n">
        <v>16391.7637</v>
      </c>
      <c r="K296" t="n">
        <v>24549341.99</v>
      </c>
      <c r="L296" t="n">
        <v>36127319.87</v>
      </c>
      <c r="M296" t="n">
        <v>21637.1443</v>
      </c>
      <c r="N296" t="inlineStr">
        <is>
          <t>Provided Total Emissions</t>
        </is>
      </c>
      <c r="O296" t="b">
        <v>1</v>
      </c>
      <c r="P296" t="n">
        <v>-0.018362</v>
      </c>
      <c r="Q296" t="n">
        <v>0.040525</v>
      </c>
      <c r="R296" t="n">
        <v>24719.9599</v>
      </c>
      <c r="S296" t="n">
        <v>23485.6481</v>
      </c>
      <c r="T296" t="n">
        <v>3082.8156</v>
      </c>
      <c r="U296" t="n">
        <v>1848.5038</v>
      </c>
      <c r="V296" t="n">
        <v>0.142478</v>
      </c>
      <c r="W296" t="n">
        <v>0.08543199999999999</v>
      </c>
      <c r="X296" t="inlineStr">
        <is>
          <t>High</t>
        </is>
      </c>
      <c r="Y296" t="inlineStr">
        <is>
          <t>None</t>
        </is>
      </c>
      <c r="Z296" t="inlineStr">
        <is>
          <t>Valid</t>
        </is>
      </c>
      <c r="AA296" t="n">
        <v>2031</v>
      </c>
      <c r="AB296" t="inlineStr">
        <is>
          <t>Supplier Target Pathway</t>
        </is>
      </c>
      <c r="AC296" t="n">
        <v>22965.889</v>
      </c>
      <c r="AD296" t="n">
        <v>11085.6346</v>
      </c>
      <c r="AE296" t="n">
        <v>14479.993</v>
      </c>
      <c r="AF296" t="n">
        <v>14479.993</v>
      </c>
      <c r="AG296" t="n">
        <v>8485.896000000001</v>
      </c>
      <c r="AH296" t="n">
        <v>0.00058983</v>
      </c>
      <c r="AI296" t="n">
        <v>0.3695</v>
      </c>
      <c r="AJ296" t="n">
        <v>3394.3584</v>
      </c>
      <c r="AK296" t="n">
        <v>848.5896</v>
      </c>
      <c r="AL296" t="n">
        <v>2761.648</v>
      </c>
      <c r="AM296" t="n">
        <v>119180.3326</v>
      </c>
      <c r="AN296" t="n">
        <v>0.99</v>
      </c>
      <c r="AO296" t="inlineStr">
        <is>
          <t>High</t>
        </is>
      </c>
      <c r="AP296" t="inlineStr">
        <is>
          <t>On Track to Glide Path</t>
        </is>
      </c>
    </row>
    <row r="297">
      <c r="A297" t="inlineStr">
        <is>
          <t>SUP-0019</t>
        </is>
      </c>
      <c r="B297" t="inlineStr">
        <is>
          <t>Metals Supplier 019</t>
        </is>
      </c>
      <c r="C297" t="inlineStr">
        <is>
          <t>Metals</t>
        </is>
      </c>
      <c r="D297" t="n">
        <v>2024</v>
      </c>
      <c r="E297" t="n">
        <v>2021</v>
      </c>
      <c r="F297" t="n">
        <v>2035</v>
      </c>
      <c r="G297" t="n">
        <v>21637.1443</v>
      </c>
      <c r="H297" t="n">
        <v>3908.234</v>
      </c>
      <c r="I297" t="n">
        <v>1969.4431</v>
      </c>
      <c r="J297" t="n">
        <v>16391.7637</v>
      </c>
      <c r="K297" t="n">
        <v>24549341.99</v>
      </c>
      <c r="L297" t="n">
        <v>36127319.87</v>
      </c>
      <c r="M297" t="n">
        <v>21637.1443</v>
      </c>
      <c r="N297" t="inlineStr">
        <is>
          <t>Provided Total Emissions</t>
        </is>
      </c>
      <c r="O297" t="b">
        <v>1</v>
      </c>
      <c r="P297" t="n">
        <v>-0.018362</v>
      </c>
      <c r="Q297" t="n">
        <v>0.040525</v>
      </c>
      <c r="R297" t="n">
        <v>24719.9599</v>
      </c>
      <c r="S297" t="n">
        <v>23485.6481</v>
      </c>
      <c r="T297" t="n">
        <v>3082.8156</v>
      </c>
      <c r="U297" t="n">
        <v>1848.5038</v>
      </c>
      <c r="V297" t="n">
        <v>0.142478</v>
      </c>
      <c r="W297" t="n">
        <v>0.08543199999999999</v>
      </c>
      <c r="X297" t="inlineStr">
        <is>
          <t>High</t>
        </is>
      </c>
      <c r="Y297" t="inlineStr">
        <is>
          <t>None</t>
        </is>
      </c>
      <c r="Z297" t="inlineStr">
        <is>
          <t>Valid</t>
        </is>
      </c>
      <c r="AA297" t="n">
        <v>2032</v>
      </c>
      <c r="AB297" t="inlineStr">
        <is>
          <t>Supplier Target Pathway</t>
        </is>
      </c>
      <c r="AC297" t="n">
        <v>22965.889</v>
      </c>
      <c r="AD297" t="n">
        <v>11085.6346</v>
      </c>
      <c r="AE297" t="n">
        <v>13631.4034</v>
      </c>
      <c r="AF297" t="n">
        <v>13631.4034</v>
      </c>
      <c r="AG297" t="n">
        <v>9334.4856</v>
      </c>
      <c r="AH297" t="n">
        <v>0.00055527</v>
      </c>
      <c r="AI297" t="n">
        <v>0.40645</v>
      </c>
      <c r="AJ297" t="n">
        <v>2545.7688</v>
      </c>
      <c r="AK297" t="n">
        <v>848.5896</v>
      </c>
      <c r="AL297" t="n">
        <v>-10869.7554</v>
      </c>
      <c r="AM297" t="n">
        <v>132811.736</v>
      </c>
      <c r="AN297" t="n">
        <v>0.99</v>
      </c>
      <c r="AO297" t="inlineStr">
        <is>
          <t>High</t>
        </is>
      </c>
      <c r="AP297" t="inlineStr">
        <is>
          <t>On Track to Glide Path</t>
        </is>
      </c>
    </row>
    <row r="298">
      <c r="A298" t="inlineStr">
        <is>
          <t>SUP-0019</t>
        </is>
      </c>
      <c r="B298" t="inlineStr">
        <is>
          <t>Metals Supplier 019</t>
        </is>
      </c>
      <c r="C298" t="inlineStr">
        <is>
          <t>Metals</t>
        </is>
      </c>
      <c r="D298" t="n">
        <v>2024</v>
      </c>
      <c r="E298" t="n">
        <v>2021</v>
      </c>
      <c r="F298" t="n">
        <v>2035</v>
      </c>
      <c r="G298" t="n">
        <v>21637.1443</v>
      </c>
      <c r="H298" t="n">
        <v>3908.234</v>
      </c>
      <c r="I298" t="n">
        <v>1969.4431</v>
      </c>
      <c r="J298" t="n">
        <v>16391.7637</v>
      </c>
      <c r="K298" t="n">
        <v>24549341.99</v>
      </c>
      <c r="L298" t="n">
        <v>36127319.87</v>
      </c>
      <c r="M298" t="n">
        <v>21637.1443</v>
      </c>
      <c r="N298" t="inlineStr">
        <is>
          <t>Provided Total Emissions</t>
        </is>
      </c>
      <c r="O298" t="b">
        <v>1</v>
      </c>
      <c r="P298" t="n">
        <v>-0.018362</v>
      </c>
      <c r="Q298" t="n">
        <v>0.040525</v>
      </c>
      <c r="R298" t="n">
        <v>24719.9599</v>
      </c>
      <c r="S298" t="n">
        <v>23485.6481</v>
      </c>
      <c r="T298" t="n">
        <v>3082.8156</v>
      </c>
      <c r="U298" t="n">
        <v>1848.5038</v>
      </c>
      <c r="V298" t="n">
        <v>0.142478</v>
      </c>
      <c r="W298" t="n">
        <v>0.08543199999999999</v>
      </c>
      <c r="X298" t="inlineStr">
        <is>
          <t>High</t>
        </is>
      </c>
      <c r="Y298" t="inlineStr">
        <is>
          <t>None</t>
        </is>
      </c>
      <c r="Z298" t="inlineStr">
        <is>
          <t>Valid</t>
        </is>
      </c>
      <c r="AA298" t="n">
        <v>2033</v>
      </c>
      <c r="AB298" t="inlineStr">
        <is>
          <t>Supplier Target Pathway</t>
        </is>
      </c>
      <c r="AC298" t="n">
        <v>22965.889</v>
      </c>
      <c r="AD298" t="n">
        <v>11085.6346</v>
      </c>
      <c r="AE298" t="n">
        <v>12782.8138</v>
      </c>
      <c r="AF298" t="n">
        <v>12782.8138</v>
      </c>
      <c r="AG298" t="n">
        <v>10183.0752</v>
      </c>
      <c r="AH298" t="n">
        <v>0.0005207</v>
      </c>
      <c r="AI298" t="n">
        <v>0.4434</v>
      </c>
      <c r="AJ298" t="n">
        <v>1697.1792</v>
      </c>
      <c r="AK298" t="n">
        <v>848.5896</v>
      </c>
      <c r="AL298" t="n">
        <v>-23652.5692</v>
      </c>
      <c r="AM298" t="n">
        <v>145594.5498</v>
      </c>
      <c r="AN298" t="n">
        <v>0.99</v>
      </c>
      <c r="AO298" t="inlineStr">
        <is>
          <t>High</t>
        </is>
      </c>
      <c r="AP298" t="inlineStr">
        <is>
          <t>On Track to Glide Path</t>
        </is>
      </c>
    </row>
    <row r="299">
      <c r="A299" t="inlineStr">
        <is>
          <t>SUP-0019</t>
        </is>
      </c>
      <c r="B299" t="inlineStr">
        <is>
          <t>Metals Supplier 019</t>
        </is>
      </c>
      <c r="C299" t="inlineStr">
        <is>
          <t>Metals</t>
        </is>
      </c>
      <c r="D299" t="n">
        <v>2024</v>
      </c>
      <c r="E299" t="n">
        <v>2021</v>
      </c>
      <c r="F299" t="n">
        <v>2035</v>
      </c>
      <c r="G299" t="n">
        <v>21637.1443</v>
      </c>
      <c r="H299" t="n">
        <v>3908.234</v>
      </c>
      <c r="I299" t="n">
        <v>1969.4431</v>
      </c>
      <c r="J299" t="n">
        <v>16391.7637</v>
      </c>
      <c r="K299" t="n">
        <v>24549341.99</v>
      </c>
      <c r="L299" t="n">
        <v>36127319.87</v>
      </c>
      <c r="M299" t="n">
        <v>21637.1443</v>
      </c>
      <c r="N299" t="inlineStr">
        <is>
          <t>Provided Total Emissions</t>
        </is>
      </c>
      <c r="O299" t="b">
        <v>1</v>
      </c>
      <c r="P299" t="n">
        <v>-0.018362</v>
      </c>
      <c r="Q299" t="n">
        <v>0.040525</v>
      </c>
      <c r="R299" t="n">
        <v>24719.9599</v>
      </c>
      <c r="S299" t="n">
        <v>23485.6481</v>
      </c>
      <c r="T299" t="n">
        <v>3082.8156</v>
      </c>
      <c r="U299" t="n">
        <v>1848.5038</v>
      </c>
      <c r="V299" t="n">
        <v>0.142478</v>
      </c>
      <c r="W299" t="n">
        <v>0.08543199999999999</v>
      </c>
      <c r="X299" t="inlineStr">
        <is>
          <t>High</t>
        </is>
      </c>
      <c r="Y299" t="inlineStr">
        <is>
          <t>None</t>
        </is>
      </c>
      <c r="Z299" t="inlineStr">
        <is>
          <t>Valid</t>
        </is>
      </c>
      <c r="AA299" t="n">
        <v>2034</v>
      </c>
      <c r="AB299" t="inlineStr">
        <is>
          <t>Supplier Target Pathway</t>
        </is>
      </c>
      <c r="AC299" t="n">
        <v>22965.889</v>
      </c>
      <c r="AD299" t="n">
        <v>11085.6346</v>
      </c>
      <c r="AE299" t="n">
        <v>11934.2242</v>
      </c>
      <c r="AF299" t="n">
        <v>11934.2242</v>
      </c>
      <c r="AG299" t="n">
        <v>11031.6648</v>
      </c>
      <c r="AH299" t="n">
        <v>0.00048613</v>
      </c>
      <c r="AI299" t="n">
        <v>0.48035</v>
      </c>
      <c r="AJ299" t="n">
        <v>848.5896</v>
      </c>
      <c r="AK299" t="n">
        <v>848.5896</v>
      </c>
      <c r="AL299" t="n">
        <v>-35586.7934</v>
      </c>
      <c r="AM299" t="n">
        <v>157528.774</v>
      </c>
      <c r="AN299" t="n">
        <v>0.99</v>
      </c>
      <c r="AO299" t="inlineStr">
        <is>
          <t>Medium</t>
        </is>
      </c>
      <c r="AP299" t="inlineStr">
        <is>
          <t>On Track to Glide Path</t>
        </is>
      </c>
    </row>
    <row r="300">
      <c r="A300" t="inlineStr">
        <is>
          <t>SUP-0019</t>
        </is>
      </c>
      <c r="B300" t="inlineStr">
        <is>
          <t>Metals Supplier 019</t>
        </is>
      </c>
      <c r="C300" t="inlineStr">
        <is>
          <t>Metals</t>
        </is>
      </c>
      <c r="D300" t="n">
        <v>2024</v>
      </c>
      <c r="E300" t="n">
        <v>2021</v>
      </c>
      <c r="F300" t="n">
        <v>2035</v>
      </c>
      <c r="G300" t="n">
        <v>21637.1443</v>
      </c>
      <c r="H300" t="n">
        <v>3908.234</v>
      </c>
      <c r="I300" t="n">
        <v>1969.4431</v>
      </c>
      <c r="J300" t="n">
        <v>16391.7637</v>
      </c>
      <c r="K300" t="n">
        <v>24549341.99</v>
      </c>
      <c r="L300" t="n">
        <v>36127319.87</v>
      </c>
      <c r="M300" t="n">
        <v>21637.1443</v>
      </c>
      <c r="N300" t="inlineStr">
        <is>
          <t>Provided Total Emissions</t>
        </is>
      </c>
      <c r="O300" t="b">
        <v>1</v>
      </c>
      <c r="P300" t="n">
        <v>-0.018362</v>
      </c>
      <c r="Q300" t="n">
        <v>0.040525</v>
      </c>
      <c r="R300" t="n">
        <v>24719.9599</v>
      </c>
      <c r="S300" t="n">
        <v>23485.6481</v>
      </c>
      <c r="T300" t="n">
        <v>3082.8156</v>
      </c>
      <c r="U300" t="n">
        <v>1848.5038</v>
      </c>
      <c r="V300" t="n">
        <v>0.142478</v>
      </c>
      <c r="W300" t="n">
        <v>0.08543199999999999</v>
      </c>
      <c r="X300" t="inlineStr">
        <is>
          <t>High</t>
        </is>
      </c>
      <c r="Y300" t="inlineStr">
        <is>
          <t>None</t>
        </is>
      </c>
      <c r="Z300" t="inlineStr">
        <is>
          <t>Valid</t>
        </is>
      </c>
      <c r="AA300" t="n">
        <v>2035</v>
      </c>
      <c r="AB300" t="inlineStr">
        <is>
          <t>Supplier Target Pathway</t>
        </is>
      </c>
      <c r="AC300" t="n">
        <v>22965.889</v>
      </c>
      <c r="AD300" t="n">
        <v>11085.6346</v>
      </c>
      <c r="AE300" t="n">
        <v>11085.6346</v>
      </c>
      <c r="AF300" t="n">
        <v>11085.6346</v>
      </c>
      <c r="AG300" t="n">
        <v>11880.2544</v>
      </c>
      <c r="AH300" t="n">
        <v>0.00045157</v>
      </c>
      <c r="AI300" t="n">
        <v>0.5173</v>
      </c>
      <c r="AJ300" t="n">
        <v>0</v>
      </c>
      <c r="AK300" t="n">
        <v>848.5896</v>
      </c>
      <c r="AL300" t="n">
        <v>-46672.428</v>
      </c>
      <c r="AM300" t="n">
        <v>168614.4086</v>
      </c>
      <c r="AN300" t="n">
        <v>0.99</v>
      </c>
      <c r="AO300" t="inlineStr">
        <is>
          <t>Low</t>
        </is>
      </c>
      <c r="AP300" t="inlineStr">
        <is>
          <t>On Track</t>
        </is>
      </c>
    </row>
    <row r="301">
      <c r="A301" t="inlineStr">
        <is>
          <t>SUP-0019</t>
        </is>
      </c>
      <c r="B301" t="inlineStr">
        <is>
          <t>Metals Supplier 019</t>
        </is>
      </c>
      <c r="C301" t="inlineStr">
        <is>
          <t>Metals</t>
        </is>
      </c>
      <c r="D301" t="n">
        <v>2024</v>
      </c>
      <c r="E301" t="n">
        <v>2021</v>
      </c>
      <c r="F301" t="n">
        <v>2035</v>
      </c>
      <c r="G301" t="n">
        <v>21637.1443</v>
      </c>
      <c r="H301" t="n">
        <v>3908.234</v>
      </c>
      <c r="I301" t="n">
        <v>1969.4431</v>
      </c>
      <c r="J301" t="n">
        <v>16391.7637</v>
      </c>
      <c r="K301" t="n">
        <v>24549341.99</v>
      </c>
      <c r="L301" t="n">
        <v>36127319.87</v>
      </c>
      <c r="M301" t="n">
        <v>21637.1443</v>
      </c>
      <c r="N301" t="inlineStr">
        <is>
          <t>Provided Total Emissions</t>
        </is>
      </c>
      <c r="O301" t="b">
        <v>1</v>
      </c>
      <c r="P301" t="n">
        <v>-0.018362</v>
      </c>
      <c r="Q301" t="n">
        <v>0.040525</v>
      </c>
      <c r="R301" t="n">
        <v>24719.9599</v>
      </c>
      <c r="S301" t="n">
        <v>23485.6481</v>
      </c>
      <c r="T301" t="n">
        <v>3082.8156</v>
      </c>
      <c r="U301" t="n">
        <v>1848.5038</v>
      </c>
      <c r="V301" t="n">
        <v>0.142478</v>
      </c>
      <c r="W301" t="n">
        <v>0.08543199999999999</v>
      </c>
      <c r="X301" t="inlineStr">
        <is>
          <t>High</t>
        </is>
      </c>
      <c r="Y301" t="inlineStr">
        <is>
          <t>None</t>
        </is>
      </c>
      <c r="Z301" t="inlineStr">
        <is>
          <t>Valid</t>
        </is>
      </c>
      <c r="AA301" t="n">
        <v>2036</v>
      </c>
      <c r="AB301" t="inlineStr">
        <is>
          <t>Supplier Target Pathway</t>
        </is>
      </c>
      <c r="AC301" t="n">
        <v>22965.889</v>
      </c>
      <c r="AD301" t="n">
        <v>11085.6346</v>
      </c>
      <c r="AE301" t="n">
        <v>11085.6346</v>
      </c>
      <c r="AF301" t="n">
        <v>11085.6346</v>
      </c>
      <c r="AG301" t="n">
        <v>11880.2544</v>
      </c>
      <c r="AH301" t="n">
        <v>0.00045157</v>
      </c>
      <c r="AI301" t="n">
        <v>0.5173</v>
      </c>
      <c r="AJ301" t="n">
        <v>0</v>
      </c>
      <c r="AK301" t="n">
        <v>848.5896</v>
      </c>
      <c r="AL301" t="n">
        <v>-57758.0626</v>
      </c>
      <c r="AM301" t="n">
        <v>179700.0432</v>
      </c>
      <c r="AN301" t="n">
        <v>0.99</v>
      </c>
      <c r="AO301" t="inlineStr">
        <is>
          <t>Low</t>
        </is>
      </c>
      <c r="AP301" t="inlineStr">
        <is>
          <t>On Track</t>
        </is>
      </c>
    </row>
    <row r="302">
      <c r="A302" t="inlineStr">
        <is>
          <t>SUP-0019</t>
        </is>
      </c>
      <c r="B302" t="inlineStr">
        <is>
          <t>Metals Supplier 019</t>
        </is>
      </c>
      <c r="C302" t="inlineStr">
        <is>
          <t>Metals</t>
        </is>
      </c>
      <c r="D302" t="n">
        <v>2024</v>
      </c>
      <c r="E302" t="n">
        <v>2021</v>
      </c>
      <c r="F302" t="n">
        <v>2035</v>
      </c>
      <c r="G302" t="n">
        <v>21637.1443</v>
      </c>
      <c r="H302" t="n">
        <v>3908.234</v>
      </c>
      <c r="I302" t="n">
        <v>1969.4431</v>
      </c>
      <c r="J302" t="n">
        <v>16391.7637</v>
      </c>
      <c r="K302" t="n">
        <v>24549341.99</v>
      </c>
      <c r="L302" t="n">
        <v>36127319.87</v>
      </c>
      <c r="M302" t="n">
        <v>21637.1443</v>
      </c>
      <c r="N302" t="inlineStr">
        <is>
          <t>Provided Total Emissions</t>
        </is>
      </c>
      <c r="O302" t="b">
        <v>1</v>
      </c>
      <c r="P302" t="n">
        <v>-0.018362</v>
      </c>
      <c r="Q302" t="n">
        <v>0.040525</v>
      </c>
      <c r="R302" t="n">
        <v>24719.9599</v>
      </c>
      <c r="S302" t="n">
        <v>23485.6481</v>
      </c>
      <c r="T302" t="n">
        <v>3082.8156</v>
      </c>
      <c r="U302" t="n">
        <v>1848.5038</v>
      </c>
      <c r="V302" t="n">
        <v>0.142478</v>
      </c>
      <c r="W302" t="n">
        <v>0.08543199999999999</v>
      </c>
      <c r="X302" t="inlineStr">
        <is>
          <t>High</t>
        </is>
      </c>
      <c r="Y302" t="inlineStr">
        <is>
          <t>None</t>
        </is>
      </c>
      <c r="Z302" t="inlineStr">
        <is>
          <t>Valid</t>
        </is>
      </c>
      <c r="AA302" t="n">
        <v>2037</v>
      </c>
      <c r="AB302" t="inlineStr">
        <is>
          <t>Supplier Target Pathway</t>
        </is>
      </c>
      <c r="AC302" t="n">
        <v>22965.889</v>
      </c>
      <c r="AD302" t="n">
        <v>11085.6346</v>
      </c>
      <c r="AE302" t="n">
        <v>11085.6346</v>
      </c>
      <c r="AF302" t="n">
        <v>11085.6346</v>
      </c>
      <c r="AG302" t="n">
        <v>11880.2544</v>
      </c>
      <c r="AH302" t="n">
        <v>0.00045157</v>
      </c>
      <c r="AI302" t="n">
        <v>0.5173</v>
      </c>
      <c r="AJ302" t="n">
        <v>0</v>
      </c>
      <c r="AK302" t="n">
        <v>848.5896</v>
      </c>
      <c r="AL302" t="n">
        <v>-68843.6972</v>
      </c>
      <c r="AM302" t="n">
        <v>190785.6778</v>
      </c>
      <c r="AN302" t="n">
        <v>0.99</v>
      </c>
      <c r="AO302" t="inlineStr">
        <is>
          <t>Low</t>
        </is>
      </c>
      <c r="AP302" t="inlineStr">
        <is>
          <t>On Track</t>
        </is>
      </c>
    </row>
    <row r="303">
      <c r="A303" t="inlineStr">
        <is>
          <t>SUP-0019</t>
        </is>
      </c>
      <c r="B303" t="inlineStr">
        <is>
          <t>Metals Supplier 019</t>
        </is>
      </c>
      <c r="C303" t="inlineStr">
        <is>
          <t>Metals</t>
        </is>
      </c>
      <c r="D303" t="n">
        <v>2024</v>
      </c>
      <c r="E303" t="n">
        <v>2021</v>
      </c>
      <c r="F303" t="n">
        <v>2035</v>
      </c>
      <c r="G303" t="n">
        <v>21637.1443</v>
      </c>
      <c r="H303" t="n">
        <v>3908.234</v>
      </c>
      <c r="I303" t="n">
        <v>1969.4431</v>
      </c>
      <c r="J303" t="n">
        <v>16391.7637</v>
      </c>
      <c r="K303" t="n">
        <v>24549341.99</v>
      </c>
      <c r="L303" t="n">
        <v>36127319.87</v>
      </c>
      <c r="M303" t="n">
        <v>21637.1443</v>
      </c>
      <c r="N303" t="inlineStr">
        <is>
          <t>Provided Total Emissions</t>
        </is>
      </c>
      <c r="O303" t="b">
        <v>1</v>
      </c>
      <c r="P303" t="n">
        <v>-0.018362</v>
      </c>
      <c r="Q303" t="n">
        <v>0.040525</v>
      </c>
      <c r="R303" t="n">
        <v>24719.9599</v>
      </c>
      <c r="S303" t="n">
        <v>23485.6481</v>
      </c>
      <c r="T303" t="n">
        <v>3082.8156</v>
      </c>
      <c r="U303" t="n">
        <v>1848.5038</v>
      </c>
      <c r="V303" t="n">
        <v>0.142478</v>
      </c>
      <c r="W303" t="n">
        <v>0.08543199999999999</v>
      </c>
      <c r="X303" t="inlineStr">
        <is>
          <t>High</t>
        </is>
      </c>
      <c r="Y303" t="inlineStr">
        <is>
          <t>None</t>
        </is>
      </c>
      <c r="Z303" t="inlineStr">
        <is>
          <t>Valid</t>
        </is>
      </c>
      <c r="AA303" t="n">
        <v>2038</v>
      </c>
      <c r="AB303" t="inlineStr">
        <is>
          <t>Supplier Target Pathway</t>
        </is>
      </c>
      <c r="AC303" t="n">
        <v>22965.889</v>
      </c>
      <c r="AD303" t="n">
        <v>11085.6346</v>
      </c>
      <c r="AE303" t="n">
        <v>11085.6346</v>
      </c>
      <c r="AF303" t="n">
        <v>11085.6346</v>
      </c>
      <c r="AG303" t="n">
        <v>11880.2544</v>
      </c>
      <c r="AH303" t="n">
        <v>0.00045157</v>
      </c>
      <c r="AI303" t="n">
        <v>0.5173</v>
      </c>
      <c r="AJ303" t="n">
        <v>0</v>
      </c>
      <c r="AK303" t="n">
        <v>848.5896</v>
      </c>
      <c r="AL303" t="n">
        <v>-79929.3318</v>
      </c>
      <c r="AM303" t="n">
        <v>201871.3124</v>
      </c>
      <c r="AN303" t="n">
        <v>0.99</v>
      </c>
      <c r="AO303" t="inlineStr">
        <is>
          <t>Low</t>
        </is>
      </c>
      <c r="AP303" t="inlineStr">
        <is>
          <t>On Track</t>
        </is>
      </c>
    </row>
    <row r="304">
      <c r="A304" t="inlineStr">
        <is>
          <t>SUP-0019</t>
        </is>
      </c>
      <c r="B304" t="inlineStr">
        <is>
          <t>Metals Supplier 019</t>
        </is>
      </c>
      <c r="C304" t="inlineStr">
        <is>
          <t>Metals</t>
        </is>
      </c>
      <c r="D304" t="n">
        <v>2024</v>
      </c>
      <c r="E304" t="n">
        <v>2021</v>
      </c>
      <c r="F304" t="n">
        <v>2035</v>
      </c>
      <c r="G304" t="n">
        <v>21637.1443</v>
      </c>
      <c r="H304" t="n">
        <v>3908.234</v>
      </c>
      <c r="I304" t="n">
        <v>1969.4431</v>
      </c>
      <c r="J304" t="n">
        <v>16391.7637</v>
      </c>
      <c r="K304" t="n">
        <v>24549341.99</v>
      </c>
      <c r="L304" t="n">
        <v>36127319.87</v>
      </c>
      <c r="M304" t="n">
        <v>21637.1443</v>
      </c>
      <c r="N304" t="inlineStr">
        <is>
          <t>Provided Total Emissions</t>
        </is>
      </c>
      <c r="O304" t="b">
        <v>1</v>
      </c>
      <c r="P304" t="n">
        <v>-0.018362</v>
      </c>
      <c r="Q304" t="n">
        <v>0.040525</v>
      </c>
      <c r="R304" t="n">
        <v>24719.9599</v>
      </c>
      <c r="S304" t="n">
        <v>23485.6481</v>
      </c>
      <c r="T304" t="n">
        <v>3082.8156</v>
      </c>
      <c r="U304" t="n">
        <v>1848.5038</v>
      </c>
      <c r="V304" t="n">
        <v>0.142478</v>
      </c>
      <c r="W304" t="n">
        <v>0.08543199999999999</v>
      </c>
      <c r="X304" t="inlineStr">
        <is>
          <t>High</t>
        </is>
      </c>
      <c r="Y304" t="inlineStr">
        <is>
          <t>None</t>
        </is>
      </c>
      <c r="Z304" t="inlineStr">
        <is>
          <t>Valid</t>
        </is>
      </c>
      <c r="AA304" t="n">
        <v>2039</v>
      </c>
      <c r="AB304" t="inlineStr">
        <is>
          <t>Supplier Target Pathway</t>
        </is>
      </c>
      <c r="AC304" t="n">
        <v>22965.889</v>
      </c>
      <c r="AD304" t="n">
        <v>11085.6346</v>
      </c>
      <c r="AE304" t="n">
        <v>11085.6346</v>
      </c>
      <c r="AF304" t="n">
        <v>11085.6346</v>
      </c>
      <c r="AG304" t="n">
        <v>11880.2544</v>
      </c>
      <c r="AH304" t="n">
        <v>0.00045157</v>
      </c>
      <c r="AI304" t="n">
        <v>0.5173</v>
      </c>
      <c r="AJ304" t="n">
        <v>0</v>
      </c>
      <c r="AK304" t="n">
        <v>848.5896</v>
      </c>
      <c r="AL304" t="n">
        <v>-91014.9664</v>
      </c>
      <c r="AM304" t="n">
        <v>212956.947</v>
      </c>
      <c r="AN304" t="n">
        <v>0.99</v>
      </c>
      <c r="AO304" t="inlineStr">
        <is>
          <t>Low</t>
        </is>
      </c>
      <c r="AP304" t="inlineStr">
        <is>
          <t>On Track</t>
        </is>
      </c>
    </row>
    <row r="305">
      <c r="A305" t="inlineStr">
        <is>
          <t>SUP-0019</t>
        </is>
      </c>
      <c r="B305" t="inlineStr">
        <is>
          <t>Metals Supplier 019</t>
        </is>
      </c>
      <c r="C305" t="inlineStr">
        <is>
          <t>Metals</t>
        </is>
      </c>
      <c r="D305" t="n">
        <v>2024</v>
      </c>
      <c r="E305" t="n">
        <v>2021</v>
      </c>
      <c r="F305" t="n">
        <v>2035</v>
      </c>
      <c r="G305" t="n">
        <v>21637.1443</v>
      </c>
      <c r="H305" t="n">
        <v>3908.234</v>
      </c>
      <c r="I305" t="n">
        <v>1969.4431</v>
      </c>
      <c r="J305" t="n">
        <v>16391.7637</v>
      </c>
      <c r="K305" t="n">
        <v>24549341.99</v>
      </c>
      <c r="L305" t="n">
        <v>36127319.87</v>
      </c>
      <c r="M305" t="n">
        <v>21637.1443</v>
      </c>
      <c r="N305" t="inlineStr">
        <is>
          <t>Provided Total Emissions</t>
        </is>
      </c>
      <c r="O305" t="b">
        <v>1</v>
      </c>
      <c r="P305" t="n">
        <v>-0.018362</v>
      </c>
      <c r="Q305" t="n">
        <v>0.040525</v>
      </c>
      <c r="R305" t="n">
        <v>24719.9599</v>
      </c>
      <c r="S305" t="n">
        <v>23485.6481</v>
      </c>
      <c r="T305" t="n">
        <v>3082.8156</v>
      </c>
      <c r="U305" t="n">
        <v>1848.5038</v>
      </c>
      <c r="V305" t="n">
        <v>0.142478</v>
      </c>
      <c r="W305" t="n">
        <v>0.08543199999999999</v>
      </c>
      <c r="X305" t="inlineStr">
        <is>
          <t>High</t>
        </is>
      </c>
      <c r="Y305" t="inlineStr">
        <is>
          <t>None</t>
        </is>
      </c>
      <c r="Z305" t="inlineStr">
        <is>
          <t>Valid</t>
        </is>
      </c>
      <c r="AA305" t="n">
        <v>2040</v>
      </c>
      <c r="AB305" t="inlineStr">
        <is>
          <t>Supplier Target Pathway</t>
        </is>
      </c>
      <c r="AC305" t="n">
        <v>22965.889</v>
      </c>
      <c r="AD305" t="n">
        <v>11085.6346</v>
      </c>
      <c r="AE305" t="n">
        <v>11085.6346</v>
      </c>
      <c r="AF305" t="n">
        <v>11085.6346</v>
      </c>
      <c r="AG305" t="n">
        <v>11880.2544</v>
      </c>
      <c r="AH305" t="n">
        <v>0.00045157</v>
      </c>
      <c r="AI305" t="n">
        <v>0.5173</v>
      </c>
      <c r="AJ305" t="n">
        <v>0</v>
      </c>
      <c r="AK305" t="n">
        <v>848.5896</v>
      </c>
      <c r="AL305" t="n">
        <v>-102100.601</v>
      </c>
      <c r="AM305" t="n">
        <v>224042.5816</v>
      </c>
      <c r="AN305" t="n">
        <v>0.99</v>
      </c>
      <c r="AO305" t="inlineStr">
        <is>
          <t>Low</t>
        </is>
      </c>
      <c r="AP305" t="inlineStr">
        <is>
          <t>On Track</t>
        </is>
      </c>
    </row>
    <row r="306">
      <c r="A306" t="inlineStr">
        <is>
          <t>SUP-0020</t>
        </is>
      </c>
      <c r="B306" t="inlineStr">
        <is>
          <t>Logistics Supplier 020</t>
        </is>
      </c>
      <c r="C306" t="inlineStr">
        <is>
          <t>Logistics</t>
        </is>
      </c>
      <c r="D306" t="n">
        <v>2024</v>
      </c>
      <c r="E306" t="n">
        <v>2020</v>
      </c>
      <c r="F306" t="n">
        <v>2035</v>
      </c>
      <c r="G306" t="n">
        <v>3896.7543</v>
      </c>
      <c r="H306" t="n">
        <v>571.8148</v>
      </c>
      <c r="I306" t="n">
        <v>731.9186</v>
      </c>
      <c r="J306" t="n">
        <v>2469.7873</v>
      </c>
      <c r="K306" t="n">
        <v>28872722.48</v>
      </c>
      <c r="L306" t="n">
        <v>176082919.37</v>
      </c>
      <c r="M306" t="n">
        <v>3896.7543</v>
      </c>
      <c r="N306" t="inlineStr">
        <is>
          <t>Provided Total Emissions</t>
        </is>
      </c>
      <c r="O306" t="b">
        <v>1</v>
      </c>
      <c r="P306" t="n">
        <v>0.002555</v>
      </c>
      <c r="Q306" t="n">
        <v>0.074235</v>
      </c>
      <c r="R306" t="n">
        <v>6452.7647</v>
      </c>
      <c r="S306" t="n">
        <v>84144.7447</v>
      </c>
      <c r="T306" t="n">
        <v>2556.0104</v>
      </c>
      <c r="U306" t="n">
        <v>80247.9904</v>
      </c>
      <c r="V306" t="n">
        <v>0.655933</v>
      </c>
      <c r="W306" t="n">
        <v>20.593546</v>
      </c>
      <c r="X306" t="inlineStr">
        <is>
          <t>High</t>
        </is>
      </c>
      <c r="Y306" t="inlineStr">
        <is>
          <t>None</t>
        </is>
      </c>
      <c r="Z306" t="inlineStr">
        <is>
          <t>Valid</t>
        </is>
      </c>
      <c r="AA306" t="n">
        <v>2025</v>
      </c>
      <c r="AB306" t="inlineStr">
        <is>
          <t>Supplier Target Pathway</t>
        </is>
      </c>
      <c r="AC306" t="n">
        <v>3133.1158</v>
      </c>
      <c r="AD306" t="n">
        <v>1040.1944</v>
      </c>
      <c r="AE306" t="n">
        <v>2435.4753</v>
      </c>
      <c r="AF306" t="n">
        <v>2435.4753</v>
      </c>
      <c r="AG306" t="n">
        <v>697.6405</v>
      </c>
      <c r="AH306" t="n">
        <v>8.435e-05</v>
      </c>
      <c r="AI306" t="n">
        <v>0.222667</v>
      </c>
      <c r="AJ306" t="n">
        <v>1395.2809</v>
      </c>
      <c r="AK306" t="n">
        <v>139.5281</v>
      </c>
      <c r="AL306" t="n">
        <v>9006.6631</v>
      </c>
      <c r="AM306" t="n">
        <v>2435.4753</v>
      </c>
      <c r="AN306" t="n">
        <v>0.99</v>
      </c>
      <c r="AO306" t="inlineStr">
        <is>
          <t>Critical</t>
        </is>
      </c>
      <c r="AP306" t="inlineStr">
        <is>
          <t>On Track to Glide Path</t>
        </is>
      </c>
    </row>
    <row r="307">
      <c r="A307" t="inlineStr">
        <is>
          <t>SUP-0020</t>
        </is>
      </c>
      <c r="B307" t="inlineStr">
        <is>
          <t>Logistics Supplier 020</t>
        </is>
      </c>
      <c r="C307" t="inlineStr">
        <is>
          <t>Logistics</t>
        </is>
      </c>
      <c r="D307" t="n">
        <v>2024</v>
      </c>
      <c r="E307" t="n">
        <v>2020</v>
      </c>
      <c r="F307" t="n">
        <v>2035</v>
      </c>
      <c r="G307" t="n">
        <v>3896.7543</v>
      </c>
      <c r="H307" t="n">
        <v>571.8148</v>
      </c>
      <c r="I307" t="n">
        <v>731.9186</v>
      </c>
      <c r="J307" t="n">
        <v>2469.7873</v>
      </c>
      <c r="K307" t="n">
        <v>28872722.48</v>
      </c>
      <c r="L307" t="n">
        <v>176082919.37</v>
      </c>
      <c r="M307" t="n">
        <v>3896.7543</v>
      </c>
      <c r="N307" t="inlineStr">
        <is>
          <t>Provided Total Emissions</t>
        </is>
      </c>
      <c r="O307" t="b">
        <v>1</v>
      </c>
      <c r="P307" t="n">
        <v>0.002555</v>
      </c>
      <c r="Q307" t="n">
        <v>0.074235</v>
      </c>
      <c r="R307" t="n">
        <v>6452.7647</v>
      </c>
      <c r="S307" t="n">
        <v>84144.7447</v>
      </c>
      <c r="T307" t="n">
        <v>2556.0104</v>
      </c>
      <c r="U307" t="n">
        <v>80247.9904</v>
      </c>
      <c r="V307" t="n">
        <v>0.655933</v>
      </c>
      <c r="W307" t="n">
        <v>20.593546</v>
      </c>
      <c r="X307" t="inlineStr">
        <is>
          <t>High</t>
        </is>
      </c>
      <c r="Y307" t="inlineStr">
        <is>
          <t>None</t>
        </is>
      </c>
      <c r="Z307" t="inlineStr">
        <is>
          <t>Valid</t>
        </is>
      </c>
      <c r="AA307" t="n">
        <v>2026</v>
      </c>
      <c r="AB307" t="inlineStr">
        <is>
          <t>Supplier Target Pathway</t>
        </is>
      </c>
      <c r="AC307" t="n">
        <v>3133.1158</v>
      </c>
      <c r="AD307" t="n">
        <v>1040.1944</v>
      </c>
      <c r="AE307" t="n">
        <v>2295.9473</v>
      </c>
      <c r="AF307" t="n">
        <v>2295.9473</v>
      </c>
      <c r="AG307" t="n">
        <v>837.1685</v>
      </c>
      <c r="AH307" t="n">
        <v>7.952e-05</v>
      </c>
      <c r="AI307" t="n">
        <v>0.2672</v>
      </c>
      <c r="AJ307" t="n">
        <v>1255.7528</v>
      </c>
      <c r="AK307" t="n">
        <v>139.5281</v>
      </c>
      <c r="AL307" t="n">
        <v>6710.7158</v>
      </c>
      <c r="AM307" t="n">
        <v>4731.4226</v>
      </c>
      <c r="AN307" t="n">
        <v>0.99</v>
      </c>
      <c r="AO307" t="inlineStr">
        <is>
          <t>Critical</t>
        </is>
      </c>
      <c r="AP307" t="inlineStr">
        <is>
          <t>On Track to Glide Path</t>
        </is>
      </c>
    </row>
    <row r="308">
      <c r="A308" t="inlineStr">
        <is>
          <t>SUP-0020</t>
        </is>
      </c>
      <c r="B308" t="inlineStr">
        <is>
          <t>Logistics Supplier 020</t>
        </is>
      </c>
      <c r="C308" t="inlineStr">
        <is>
          <t>Logistics</t>
        </is>
      </c>
      <c r="D308" t="n">
        <v>2024</v>
      </c>
      <c r="E308" t="n">
        <v>2020</v>
      </c>
      <c r="F308" t="n">
        <v>2035</v>
      </c>
      <c r="G308" t="n">
        <v>3896.7543</v>
      </c>
      <c r="H308" t="n">
        <v>571.8148</v>
      </c>
      <c r="I308" t="n">
        <v>731.9186</v>
      </c>
      <c r="J308" t="n">
        <v>2469.7873</v>
      </c>
      <c r="K308" t="n">
        <v>28872722.48</v>
      </c>
      <c r="L308" t="n">
        <v>176082919.37</v>
      </c>
      <c r="M308" t="n">
        <v>3896.7543</v>
      </c>
      <c r="N308" t="inlineStr">
        <is>
          <t>Provided Total Emissions</t>
        </is>
      </c>
      <c r="O308" t="b">
        <v>1</v>
      </c>
      <c r="P308" t="n">
        <v>0.002555</v>
      </c>
      <c r="Q308" t="n">
        <v>0.074235</v>
      </c>
      <c r="R308" t="n">
        <v>6452.7647</v>
      </c>
      <c r="S308" t="n">
        <v>84144.7447</v>
      </c>
      <c r="T308" t="n">
        <v>2556.0104</v>
      </c>
      <c r="U308" t="n">
        <v>80247.9904</v>
      </c>
      <c r="V308" t="n">
        <v>0.655933</v>
      </c>
      <c r="W308" t="n">
        <v>20.593546</v>
      </c>
      <c r="X308" t="inlineStr">
        <is>
          <t>High</t>
        </is>
      </c>
      <c r="Y308" t="inlineStr">
        <is>
          <t>None</t>
        </is>
      </c>
      <c r="Z308" t="inlineStr">
        <is>
          <t>Valid</t>
        </is>
      </c>
      <c r="AA308" t="n">
        <v>2027</v>
      </c>
      <c r="AB308" t="inlineStr">
        <is>
          <t>Supplier Target Pathway</t>
        </is>
      </c>
      <c r="AC308" t="n">
        <v>3133.1158</v>
      </c>
      <c r="AD308" t="n">
        <v>1040.1944</v>
      </c>
      <c r="AE308" t="n">
        <v>2156.4192</v>
      </c>
      <c r="AF308" t="n">
        <v>2156.4192</v>
      </c>
      <c r="AG308" t="n">
        <v>976.6966</v>
      </c>
      <c r="AH308" t="n">
        <v>7.469e-05</v>
      </c>
      <c r="AI308" t="n">
        <v>0.311733</v>
      </c>
      <c r="AJ308" t="n">
        <v>1116.2247</v>
      </c>
      <c r="AK308" t="n">
        <v>139.5281</v>
      </c>
      <c r="AL308" t="n">
        <v>4554.2966</v>
      </c>
      <c r="AM308" t="n">
        <v>6887.8418</v>
      </c>
      <c r="AN308" t="n">
        <v>0.99</v>
      </c>
      <c r="AO308" t="inlineStr">
        <is>
          <t>Critical</t>
        </is>
      </c>
      <c r="AP308" t="inlineStr">
        <is>
          <t>On Track to Glide Path</t>
        </is>
      </c>
    </row>
    <row r="309">
      <c r="A309" t="inlineStr">
        <is>
          <t>SUP-0020</t>
        </is>
      </c>
      <c r="B309" t="inlineStr">
        <is>
          <t>Logistics Supplier 020</t>
        </is>
      </c>
      <c r="C309" t="inlineStr">
        <is>
          <t>Logistics</t>
        </is>
      </c>
      <c r="D309" t="n">
        <v>2024</v>
      </c>
      <c r="E309" t="n">
        <v>2020</v>
      </c>
      <c r="F309" t="n">
        <v>2035</v>
      </c>
      <c r="G309" t="n">
        <v>3896.7543</v>
      </c>
      <c r="H309" t="n">
        <v>571.8148</v>
      </c>
      <c r="I309" t="n">
        <v>731.9186</v>
      </c>
      <c r="J309" t="n">
        <v>2469.7873</v>
      </c>
      <c r="K309" t="n">
        <v>28872722.48</v>
      </c>
      <c r="L309" t="n">
        <v>176082919.37</v>
      </c>
      <c r="M309" t="n">
        <v>3896.7543</v>
      </c>
      <c r="N309" t="inlineStr">
        <is>
          <t>Provided Total Emissions</t>
        </is>
      </c>
      <c r="O309" t="b">
        <v>1</v>
      </c>
      <c r="P309" t="n">
        <v>0.002555</v>
      </c>
      <c r="Q309" t="n">
        <v>0.074235</v>
      </c>
      <c r="R309" t="n">
        <v>6452.7647</v>
      </c>
      <c r="S309" t="n">
        <v>84144.7447</v>
      </c>
      <c r="T309" t="n">
        <v>2556.0104</v>
      </c>
      <c r="U309" t="n">
        <v>80247.9904</v>
      </c>
      <c r="V309" t="n">
        <v>0.655933</v>
      </c>
      <c r="W309" t="n">
        <v>20.593546</v>
      </c>
      <c r="X309" t="inlineStr">
        <is>
          <t>High</t>
        </is>
      </c>
      <c r="Y309" t="inlineStr">
        <is>
          <t>None</t>
        </is>
      </c>
      <c r="Z309" t="inlineStr">
        <is>
          <t>Valid</t>
        </is>
      </c>
      <c r="AA309" t="n">
        <v>2028</v>
      </c>
      <c r="AB309" t="inlineStr">
        <is>
          <t>Supplier Target Pathway</t>
        </is>
      </c>
      <c r="AC309" t="n">
        <v>3133.1158</v>
      </c>
      <c r="AD309" t="n">
        <v>1040.1944</v>
      </c>
      <c r="AE309" t="n">
        <v>2016.8911</v>
      </c>
      <c r="AF309" t="n">
        <v>2016.8911</v>
      </c>
      <c r="AG309" t="n">
        <v>1116.2247</v>
      </c>
      <c r="AH309" t="n">
        <v>6.985e-05</v>
      </c>
      <c r="AI309" t="n">
        <v>0.356267</v>
      </c>
      <c r="AJ309" t="n">
        <v>976.6966</v>
      </c>
      <c r="AK309" t="n">
        <v>139.5281</v>
      </c>
      <c r="AL309" t="n">
        <v>2537.4055</v>
      </c>
      <c r="AM309" t="n">
        <v>8904.732900000001</v>
      </c>
      <c r="AN309" t="n">
        <v>0.99</v>
      </c>
      <c r="AO309" t="inlineStr">
        <is>
          <t>Critical</t>
        </is>
      </c>
      <c r="AP309" t="inlineStr">
        <is>
          <t>On Track to Glide Path</t>
        </is>
      </c>
    </row>
    <row r="310">
      <c r="A310" t="inlineStr">
        <is>
          <t>SUP-0020</t>
        </is>
      </c>
      <c r="B310" t="inlineStr">
        <is>
          <t>Logistics Supplier 020</t>
        </is>
      </c>
      <c r="C310" t="inlineStr">
        <is>
          <t>Logistics</t>
        </is>
      </c>
      <c r="D310" t="n">
        <v>2024</v>
      </c>
      <c r="E310" t="n">
        <v>2020</v>
      </c>
      <c r="F310" t="n">
        <v>2035</v>
      </c>
      <c r="G310" t="n">
        <v>3896.7543</v>
      </c>
      <c r="H310" t="n">
        <v>571.8148</v>
      </c>
      <c r="I310" t="n">
        <v>731.9186</v>
      </c>
      <c r="J310" t="n">
        <v>2469.7873</v>
      </c>
      <c r="K310" t="n">
        <v>28872722.48</v>
      </c>
      <c r="L310" t="n">
        <v>176082919.37</v>
      </c>
      <c r="M310" t="n">
        <v>3896.7543</v>
      </c>
      <c r="N310" t="inlineStr">
        <is>
          <t>Provided Total Emissions</t>
        </is>
      </c>
      <c r="O310" t="b">
        <v>1</v>
      </c>
      <c r="P310" t="n">
        <v>0.002555</v>
      </c>
      <c r="Q310" t="n">
        <v>0.074235</v>
      </c>
      <c r="R310" t="n">
        <v>6452.7647</v>
      </c>
      <c r="S310" t="n">
        <v>84144.7447</v>
      </c>
      <c r="T310" t="n">
        <v>2556.0104</v>
      </c>
      <c r="U310" t="n">
        <v>80247.9904</v>
      </c>
      <c r="V310" t="n">
        <v>0.655933</v>
      </c>
      <c r="W310" t="n">
        <v>20.593546</v>
      </c>
      <c r="X310" t="inlineStr">
        <is>
          <t>High</t>
        </is>
      </c>
      <c r="Y310" t="inlineStr">
        <is>
          <t>None</t>
        </is>
      </c>
      <c r="Z310" t="inlineStr">
        <is>
          <t>Valid</t>
        </is>
      </c>
      <c r="AA310" t="n">
        <v>2029</v>
      </c>
      <c r="AB310" t="inlineStr">
        <is>
          <t>Supplier Target Pathway</t>
        </is>
      </c>
      <c r="AC310" t="n">
        <v>3133.1158</v>
      </c>
      <c r="AD310" t="n">
        <v>1040.1944</v>
      </c>
      <c r="AE310" t="n">
        <v>1877.363</v>
      </c>
      <c r="AF310" t="n">
        <v>1877.363</v>
      </c>
      <c r="AG310" t="n">
        <v>1255.7528</v>
      </c>
      <c r="AH310" t="n">
        <v>6.502e-05</v>
      </c>
      <c r="AI310" t="n">
        <v>0.4008</v>
      </c>
      <c r="AJ310" t="n">
        <v>837.1685</v>
      </c>
      <c r="AK310" t="n">
        <v>139.5281</v>
      </c>
      <c r="AL310" t="n">
        <v>660.0425</v>
      </c>
      <c r="AM310" t="n">
        <v>10782.0959</v>
      </c>
      <c r="AN310" t="n">
        <v>0.99</v>
      </c>
      <c r="AO310" t="inlineStr">
        <is>
          <t>Critical</t>
        </is>
      </c>
      <c r="AP310" t="inlineStr">
        <is>
          <t>On Track to Glide Path</t>
        </is>
      </c>
    </row>
    <row r="311">
      <c r="A311" t="inlineStr">
        <is>
          <t>SUP-0020</t>
        </is>
      </c>
      <c r="B311" t="inlineStr">
        <is>
          <t>Logistics Supplier 020</t>
        </is>
      </c>
      <c r="C311" t="inlineStr">
        <is>
          <t>Logistics</t>
        </is>
      </c>
      <c r="D311" t="n">
        <v>2024</v>
      </c>
      <c r="E311" t="n">
        <v>2020</v>
      </c>
      <c r="F311" t="n">
        <v>2035</v>
      </c>
      <c r="G311" t="n">
        <v>3896.7543</v>
      </c>
      <c r="H311" t="n">
        <v>571.8148</v>
      </c>
      <c r="I311" t="n">
        <v>731.9186</v>
      </c>
      <c r="J311" t="n">
        <v>2469.7873</v>
      </c>
      <c r="K311" t="n">
        <v>28872722.48</v>
      </c>
      <c r="L311" t="n">
        <v>176082919.37</v>
      </c>
      <c r="M311" t="n">
        <v>3896.7543</v>
      </c>
      <c r="N311" t="inlineStr">
        <is>
          <t>Provided Total Emissions</t>
        </is>
      </c>
      <c r="O311" t="b">
        <v>1</v>
      </c>
      <c r="P311" t="n">
        <v>0.002555</v>
      </c>
      <c r="Q311" t="n">
        <v>0.074235</v>
      </c>
      <c r="R311" t="n">
        <v>6452.7647</v>
      </c>
      <c r="S311" t="n">
        <v>84144.7447</v>
      </c>
      <c r="T311" t="n">
        <v>2556.0104</v>
      </c>
      <c r="U311" t="n">
        <v>80247.9904</v>
      </c>
      <c r="V311" t="n">
        <v>0.655933</v>
      </c>
      <c r="W311" t="n">
        <v>20.593546</v>
      </c>
      <c r="X311" t="inlineStr">
        <is>
          <t>High</t>
        </is>
      </c>
      <c r="Y311" t="inlineStr">
        <is>
          <t>None</t>
        </is>
      </c>
      <c r="Z311" t="inlineStr">
        <is>
          <t>Valid</t>
        </is>
      </c>
      <c r="AA311" t="n">
        <v>2030</v>
      </c>
      <c r="AB311" t="inlineStr">
        <is>
          <t>Supplier Target Pathway</t>
        </is>
      </c>
      <c r="AC311" t="n">
        <v>3133.1158</v>
      </c>
      <c r="AD311" t="n">
        <v>1040.1944</v>
      </c>
      <c r="AE311" t="n">
        <v>1737.8349</v>
      </c>
      <c r="AF311" t="n">
        <v>1737.8349</v>
      </c>
      <c r="AG311" t="n">
        <v>1395.2809</v>
      </c>
      <c r="AH311" t="n">
        <v>6.019e-05</v>
      </c>
      <c r="AI311" t="n">
        <v>0.445333</v>
      </c>
      <c r="AJ311" t="n">
        <v>697.6405</v>
      </c>
      <c r="AK311" t="n">
        <v>139.5281</v>
      </c>
      <c r="AL311" t="n">
        <v>-1077.7924</v>
      </c>
      <c r="AM311" t="n">
        <v>12519.9308</v>
      </c>
      <c r="AN311" t="n">
        <v>0.99</v>
      </c>
      <c r="AO311" t="inlineStr">
        <is>
          <t>Critical</t>
        </is>
      </c>
      <c r="AP311" t="inlineStr">
        <is>
          <t>On Track to Glide Path</t>
        </is>
      </c>
    </row>
    <row r="312">
      <c r="A312" t="inlineStr">
        <is>
          <t>SUP-0020</t>
        </is>
      </c>
      <c r="B312" t="inlineStr">
        <is>
          <t>Logistics Supplier 020</t>
        </is>
      </c>
      <c r="C312" t="inlineStr">
        <is>
          <t>Logistics</t>
        </is>
      </c>
      <c r="D312" t="n">
        <v>2024</v>
      </c>
      <c r="E312" t="n">
        <v>2020</v>
      </c>
      <c r="F312" t="n">
        <v>2035</v>
      </c>
      <c r="G312" t="n">
        <v>3896.7543</v>
      </c>
      <c r="H312" t="n">
        <v>571.8148</v>
      </c>
      <c r="I312" t="n">
        <v>731.9186</v>
      </c>
      <c r="J312" t="n">
        <v>2469.7873</v>
      </c>
      <c r="K312" t="n">
        <v>28872722.48</v>
      </c>
      <c r="L312" t="n">
        <v>176082919.37</v>
      </c>
      <c r="M312" t="n">
        <v>3896.7543</v>
      </c>
      <c r="N312" t="inlineStr">
        <is>
          <t>Provided Total Emissions</t>
        </is>
      </c>
      <c r="O312" t="b">
        <v>1</v>
      </c>
      <c r="P312" t="n">
        <v>0.002555</v>
      </c>
      <c r="Q312" t="n">
        <v>0.074235</v>
      </c>
      <c r="R312" t="n">
        <v>6452.7647</v>
      </c>
      <c r="S312" t="n">
        <v>84144.7447</v>
      </c>
      <c r="T312" t="n">
        <v>2556.0104</v>
      </c>
      <c r="U312" t="n">
        <v>80247.9904</v>
      </c>
      <c r="V312" t="n">
        <v>0.655933</v>
      </c>
      <c r="W312" t="n">
        <v>20.593546</v>
      </c>
      <c r="X312" t="inlineStr">
        <is>
          <t>High</t>
        </is>
      </c>
      <c r="Y312" t="inlineStr">
        <is>
          <t>None</t>
        </is>
      </c>
      <c r="Z312" t="inlineStr">
        <is>
          <t>Valid</t>
        </is>
      </c>
      <c r="AA312" t="n">
        <v>2031</v>
      </c>
      <c r="AB312" t="inlineStr">
        <is>
          <t>Supplier Target Pathway</t>
        </is>
      </c>
      <c r="AC312" t="n">
        <v>3133.1158</v>
      </c>
      <c r="AD312" t="n">
        <v>1040.1944</v>
      </c>
      <c r="AE312" t="n">
        <v>1598.3068</v>
      </c>
      <c r="AF312" t="n">
        <v>1598.3068</v>
      </c>
      <c r="AG312" t="n">
        <v>1534.809</v>
      </c>
      <c r="AH312" t="n">
        <v>5.536e-05</v>
      </c>
      <c r="AI312" t="n">
        <v>0.489867</v>
      </c>
      <c r="AJ312" t="n">
        <v>558.1124</v>
      </c>
      <c r="AK312" t="n">
        <v>139.5281</v>
      </c>
      <c r="AL312" t="n">
        <v>-2676.0992</v>
      </c>
      <c r="AM312" t="n">
        <v>14118.2376</v>
      </c>
      <c r="AN312" t="n">
        <v>0.99</v>
      </c>
      <c r="AO312" t="inlineStr">
        <is>
          <t>Critical</t>
        </is>
      </c>
      <c r="AP312" t="inlineStr">
        <is>
          <t>On Track to Glide Path</t>
        </is>
      </c>
    </row>
    <row r="313">
      <c r="A313" t="inlineStr">
        <is>
          <t>SUP-0020</t>
        </is>
      </c>
      <c r="B313" t="inlineStr">
        <is>
          <t>Logistics Supplier 020</t>
        </is>
      </c>
      <c r="C313" t="inlineStr">
        <is>
          <t>Logistics</t>
        </is>
      </c>
      <c r="D313" t="n">
        <v>2024</v>
      </c>
      <c r="E313" t="n">
        <v>2020</v>
      </c>
      <c r="F313" t="n">
        <v>2035</v>
      </c>
      <c r="G313" t="n">
        <v>3896.7543</v>
      </c>
      <c r="H313" t="n">
        <v>571.8148</v>
      </c>
      <c r="I313" t="n">
        <v>731.9186</v>
      </c>
      <c r="J313" t="n">
        <v>2469.7873</v>
      </c>
      <c r="K313" t="n">
        <v>28872722.48</v>
      </c>
      <c r="L313" t="n">
        <v>176082919.37</v>
      </c>
      <c r="M313" t="n">
        <v>3896.7543</v>
      </c>
      <c r="N313" t="inlineStr">
        <is>
          <t>Provided Total Emissions</t>
        </is>
      </c>
      <c r="O313" t="b">
        <v>1</v>
      </c>
      <c r="P313" t="n">
        <v>0.002555</v>
      </c>
      <c r="Q313" t="n">
        <v>0.074235</v>
      </c>
      <c r="R313" t="n">
        <v>6452.7647</v>
      </c>
      <c r="S313" t="n">
        <v>84144.7447</v>
      </c>
      <c r="T313" t="n">
        <v>2556.0104</v>
      </c>
      <c r="U313" t="n">
        <v>80247.9904</v>
      </c>
      <c r="V313" t="n">
        <v>0.655933</v>
      </c>
      <c r="W313" t="n">
        <v>20.593546</v>
      </c>
      <c r="X313" t="inlineStr">
        <is>
          <t>High</t>
        </is>
      </c>
      <c r="Y313" t="inlineStr">
        <is>
          <t>None</t>
        </is>
      </c>
      <c r="Z313" t="inlineStr">
        <is>
          <t>Valid</t>
        </is>
      </c>
      <c r="AA313" t="n">
        <v>2032</v>
      </c>
      <c r="AB313" t="inlineStr">
        <is>
          <t>Supplier Target Pathway</t>
        </is>
      </c>
      <c r="AC313" t="n">
        <v>3133.1158</v>
      </c>
      <c r="AD313" t="n">
        <v>1040.1944</v>
      </c>
      <c r="AE313" t="n">
        <v>1458.7787</v>
      </c>
      <c r="AF313" t="n">
        <v>1458.7787</v>
      </c>
      <c r="AG313" t="n">
        <v>1674.3371</v>
      </c>
      <c r="AH313" t="n">
        <v>5.052e-05</v>
      </c>
      <c r="AI313" t="n">
        <v>0.5344</v>
      </c>
      <c r="AJ313" t="n">
        <v>418.5843</v>
      </c>
      <c r="AK313" t="n">
        <v>139.5281</v>
      </c>
      <c r="AL313" t="n">
        <v>-4134.8779</v>
      </c>
      <c r="AM313" t="n">
        <v>15577.0163</v>
      </c>
      <c r="AN313" t="n">
        <v>0.99</v>
      </c>
      <c r="AO313" t="inlineStr">
        <is>
          <t>Critical</t>
        </is>
      </c>
      <c r="AP313" t="inlineStr">
        <is>
          <t>On Track to Glide Path</t>
        </is>
      </c>
    </row>
    <row r="314">
      <c r="A314" t="inlineStr">
        <is>
          <t>SUP-0020</t>
        </is>
      </c>
      <c r="B314" t="inlineStr">
        <is>
          <t>Logistics Supplier 020</t>
        </is>
      </c>
      <c r="C314" t="inlineStr">
        <is>
          <t>Logistics</t>
        </is>
      </c>
      <c r="D314" t="n">
        <v>2024</v>
      </c>
      <c r="E314" t="n">
        <v>2020</v>
      </c>
      <c r="F314" t="n">
        <v>2035</v>
      </c>
      <c r="G314" t="n">
        <v>3896.7543</v>
      </c>
      <c r="H314" t="n">
        <v>571.8148</v>
      </c>
      <c r="I314" t="n">
        <v>731.9186</v>
      </c>
      <c r="J314" t="n">
        <v>2469.7873</v>
      </c>
      <c r="K314" t="n">
        <v>28872722.48</v>
      </c>
      <c r="L314" t="n">
        <v>176082919.37</v>
      </c>
      <c r="M314" t="n">
        <v>3896.7543</v>
      </c>
      <c r="N314" t="inlineStr">
        <is>
          <t>Provided Total Emissions</t>
        </is>
      </c>
      <c r="O314" t="b">
        <v>1</v>
      </c>
      <c r="P314" t="n">
        <v>0.002555</v>
      </c>
      <c r="Q314" t="n">
        <v>0.074235</v>
      </c>
      <c r="R314" t="n">
        <v>6452.7647</v>
      </c>
      <c r="S314" t="n">
        <v>84144.7447</v>
      </c>
      <c r="T314" t="n">
        <v>2556.0104</v>
      </c>
      <c r="U314" t="n">
        <v>80247.9904</v>
      </c>
      <c r="V314" t="n">
        <v>0.655933</v>
      </c>
      <c r="W314" t="n">
        <v>20.593546</v>
      </c>
      <c r="X314" t="inlineStr">
        <is>
          <t>High</t>
        </is>
      </c>
      <c r="Y314" t="inlineStr">
        <is>
          <t>None</t>
        </is>
      </c>
      <c r="Z314" t="inlineStr">
        <is>
          <t>Valid</t>
        </is>
      </c>
      <c r="AA314" t="n">
        <v>2033</v>
      </c>
      <c r="AB314" t="inlineStr">
        <is>
          <t>Supplier Target Pathway</t>
        </is>
      </c>
      <c r="AC314" t="n">
        <v>3133.1158</v>
      </c>
      <c r="AD314" t="n">
        <v>1040.1944</v>
      </c>
      <c r="AE314" t="n">
        <v>1319.2506</v>
      </c>
      <c r="AF314" t="n">
        <v>1319.2506</v>
      </c>
      <c r="AG314" t="n">
        <v>1813.8652</v>
      </c>
      <c r="AH314" t="n">
        <v>4.569e-05</v>
      </c>
      <c r="AI314" t="n">
        <v>0.578933</v>
      </c>
      <c r="AJ314" t="n">
        <v>279.0562</v>
      </c>
      <c r="AK314" t="n">
        <v>139.5281</v>
      </c>
      <c r="AL314" t="n">
        <v>-5454.1285</v>
      </c>
      <c r="AM314" t="n">
        <v>16896.2669</v>
      </c>
      <c r="AN314" t="n">
        <v>0.99</v>
      </c>
      <c r="AO314" t="inlineStr">
        <is>
          <t>High</t>
        </is>
      </c>
      <c r="AP314" t="inlineStr">
        <is>
          <t>On Track to Glide Path</t>
        </is>
      </c>
    </row>
    <row r="315">
      <c r="A315" t="inlineStr">
        <is>
          <t>SUP-0020</t>
        </is>
      </c>
      <c r="B315" t="inlineStr">
        <is>
          <t>Logistics Supplier 020</t>
        </is>
      </c>
      <c r="C315" t="inlineStr">
        <is>
          <t>Logistics</t>
        </is>
      </c>
      <c r="D315" t="n">
        <v>2024</v>
      </c>
      <c r="E315" t="n">
        <v>2020</v>
      </c>
      <c r="F315" t="n">
        <v>2035</v>
      </c>
      <c r="G315" t="n">
        <v>3896.7543</v>
      </c>
      <c r="H315" t="n">
        <v>571.8148</v>
      </c>
      <c r="I315" t="n">
        <v>731.9186</v>
      </c>
      <c r="J315" t="n">
        <v>2469.7873</v>
      </c>
      <c r="K315" t="n">
        <v>28872722.48</v>
      </c>
      <c r="L315" t="n">
        <v>176082919.37</v>
      </c>
      <c r="M315" t="n">
        <v>3896.7543</v>
      </c>
      <c r="N315" t="inlineStr">
        <is>
          <t>Provided Total Emissions</t>
        </is>
      </c>
      <c r="O315" t="b">
        <v>1</v>
      </c>
      <c r="P315" t="n">
        <v>0.002555</v>
      </c>
      <c r="Q315" t="n">
        <v>0.074235</v>
      </c>
      <c r="R315" t="n">
        <v>6452.7647</v>
      </c>
      <c r="S315" t="n">
        <v>84144.7447</v>
      </c>
      <c r="T315" t="n">
        <v>2556.0104</v>
      </c>
      <c r="U315" t="n">
        <v>80247.9904</v>
      </c>
      <c r="V315" t="n">
        <v>0.655933</v>
      </c>
      <c r="W315" t="n">
        <v>20.593546</v>
      </c>
      <c r="X315" t="inlineStr">
        <is>
          <t>High</t>
        </is>
      </c>
      <c r="Y315" t="inlineStr">
        <is>
          <t>None</t>
        </is>
      </c>
      <c r="Z315" t="inlineStr">
        <is>
          <t>Valid</t>
        </is>
      </c>
      <c r="AA315" t="n">
        <v>2034</v>
      </c>
      <c r="AB315" t="inlineStr">
        <is>
          <t>Supplier Target Pathway</t>
        </is>
      </c>
      <c r="AC315" t="n">
        <v>3133.1158</v>
      </c>
      <c r="AD315" t="n">
        <v>1040.1944</v>
      </c>
      <c r="AE315" t="n">
        <v>1179.7225</v>
      </c>
      <c r="AF315" t="n">
        <v>1179.7225</v>
      </c>
      <c r="AG315" t="n">
        <v>1953.3933</v>
      </c>
      <c r="AH315" t="n">
        <v>4.086e-05</v>
      </c>
      <c r="AI315" t="n">
        <v>0.623467</v>
      </c>
      <c r="AJ315" t="n">
        <v>139.5281</v>
      </c>
      <c r="AK315" t="n">
        <v>139.5281</v>
      </c>
      <c r="AL315" t="n">
        <v>-6633.851</v>
      </c>
      <c r="AM315" t="n">
        <v>18075.9894</v>
      </c>
      <c r="AN315" t="n">
        <v>0.99</v>
      </c>
      <c r="AO315" t="inlineStr">
        <is>
          <t>Medium</t>
        </is>
      </c>
      <c r="AP315" t="inlineStr">
        <is>
          <t>On Track to Glide Path</t>
        </is>
      </c>
    </row>
    <row r="316">
      <c r="A316" t="inlineStr">
        <is>
          <t>SUP-0020</t>
        </is>
      </c>
      <c r="B316" t="inlineStr">
        <is>
          <t>Logistics Supplier 020</t>
        </is>
      </c>
      <c r="C316" t="inlineStr">
        <is>
          <t>Logistics</t>
        </is>
      </c>
      <c r="D316" t="n">
        <v>2024</v>
      </c>
      <c r="E316" t="n">
        <v>2020</v>
      </c>
      <c r="F316" t="n">
        <v>2035</v>
      </c>
      <c r="G316" t="n">
        <v>3896.7543</v>
      </c>
      <c r="H316" t="n">
        <v>571.8148</v>
      </c>
      <c r="I316" t="n">
        <v>731.9186</v>
      </c>
      <c r="J316" t="n">
        <v>2469.7873</v>
      </c>
      <c r="K316" t="n">
        <v>28872722.48</v>
      </c>
      <c r="L316" t="n">
        <v>176082919.37</v>
      </c>
      <c r="M316" t="n">
        <v>3896.7543</v>
      </c>
      <c r="N316" t="inlineStr">
        <is>
          <t>Provided Total Emissions</t>
        </is>
      </c>
      <c r="O316" t="b">
        <v>1</v>
      </c>
      <c r="P316" t="n">
        <v>0.002555</v>
      </c>
      <c r="Q316" t="n">
        <v>0.074235</v>
      </c>
      <c r="R316" t="n">
        <v>6452.7647</v>
      </c>
      <c r="S316" t="n">
        <v>84144.7447</v>
      </c>
      <c r="T316" t="n">
        <v>2556.0104</v>
      </c>
      <c r="U316" t="n">
        <v>80247.9904</v>
      </c>
      <c r="V316" t="n">
        <v>0.655933</v>
      </c>
      <c r="W316" t="n">
        <v>20.593546</v>
      </c>
      <c r="X316" t="inlineStr">
        <is>
          <t>High</t>
        </is>
      </c>
      <c r="Y316" t="inlineStr">
        <is>
          <t>None</t>
        </is>
      </c>
      <c r="Z316" t="inlineStr">
        <is>
          <t>Valid</t>
        </is>
      </c>
      <c r="AA316" t="n">
        <v>2035</v>
      </c>
      <c r="AB316" t="inlineStr">
        <is>
          <t>Supplier Target Pathway</t>
        </is>
      </c>
      <c r="AC316" t="n">
        <v>3133.1158</v>
      </c>
      <c r="AD316" t="n">
        <v>1040.1944</v>
      </c>
      <c r="AE316" t="n">
        <v>1040.1944</v>
      </c>
      <c r="AF316" t="n">
        <v>1040.1944</v>
      </c>
      <c r="AG316" t="n">
        <v>2092.9214</v>
      </c>
      <c r="AH316" t="n">
        <v>3.603e-05</v>
      </c>
      <c r="AI316" t="n">
        <v>0.668</v>
      </c>
      <c r="AJ316" t="n">
        <v>0</v>
      </c>
      <c r="AK316" t="n">
        <v>139.5281</v>
      </c>
      <c r="AL316" t="n">
        <v>-7674.0454</v>
      </c>
      <c r="AM316" t="n">
        <v>19116.1838</v>
      </c>
      <c r="AN316" t="n">
        <v>0.99</v>
      </c>
      <c r="AO316" t="inlineStr">
        <is>
          <t>Low</t>
        </is>
      </c>
      <c r="AP316" t="inlineStr">
        <is>
          <t>On Track</t>
        </is>
      </c>
    </row>
    <row r="317">
      <c r="A317" t="inlineStr">
        <is>
          <t>SUP-0020</t>
        </is>
      </c>
      <c r="B317" t="inlineStr">
        <is>
          <t>Logistics Supplier 020</t>
        </is>
      </c>
      <c r="C317" t="inlineStr">
        <is>
          <t>Logistics</t>
        </is>
      </c>
      <c r="D317" t="n">
        <v>2024</v>
      </c>
      <c r="E317" t="n">
        <v>2020</v>
      </c>
      <c r="F317" t="n">
        <v>2035</v>
      </c>
      <c r="G317" t="n">
        <v>3896.7543</v>
      </c>
      <c r="H317" t="n">
        <v>571.8148</v>
      </c>
      <c r="I317" t="n">
        <v>731.9186</v>
      </c>
      <c r="J317" t="n">
        <v>2469.7873</v>
      </c>
      <c r="K317" t="n">
        <v>28872722.48</v>
      </c>
      <c r="L317" t="n">
        <v>176082919.37</v>
      </c>
      <c r="M317" t="n">
        <v>3896.7543</v>
      </c>
      <c r="N317" t="inlineStr">
        <is>
          <t>Provided Total Emissions</t>
        </is>
      </c>
      <c r="O317" t="b">
        <v>1</v>
      </c>
      <c r="P317" t="n">
        <v>0.002555</v>
      </c>
      <c r="Q317" t="n">
        <v>0.074235</v>
      </c>
      <c r="R317" t="n">
        <v>6452.7647</v>
      </c>
      <c r="S317" t="n">
        <v>84144.7447</v>
      </c>
      <c r="T317" t="n">
        <v>2556.0104</v>
      </c>
      <c r="U317" t="n">
        <v>80247.9904</v>
      </c>
      <c r="V317" t="n">
        <v>0.655933</v>
      </c>
      <c r="W317" t="n">
        <v>20.593546</v>
      </c>
      <c r="X317" t="inlineStr">
        <is>
          <t>High</t>
        </is>
      </c>
      <c r="Y317" t="inlineStr">
        <is>
          <t>None</t>
        </is>
      </c>
      <c r="Z317" t="inlineStr">
        <is>
          <t>Valid</t>
        </is>
      </c>
      <c r="AA317" t="n">
        <v>2036</v>
      </c>
      <c r="AB317" t="inlineStr">
        <is>
          <t>Supplier Target Pathway</t>
        </is>
      </c>
      <c r="AC317" t="n">
        <v>3133.1158</v>
      </c>
      <c r="AD317" t="n">
        <v>1040.1944</v>
      </c>
      <c r="AE317" t="n">
        <v>1040.1944</v>
      </c>
      <c r="AF317" t="n">
        <v>1040.1944</v>
      </c>
      <c r="AG317" t="n">
        <v>2092.9214</v>
      </c>
      <c r="AH317" t="n">
        <v>3.603e-05</v>
      </c>
      <c r="AI317" t="n">
        <v>0.668</v>
      </c>
      <c r="AJ317" t="n">
        <v>0</v>
      </c>
      <c r="AK317" t="n">
        <v>139.5281</v>
      </c>
      <c r="AL317" t="n">
        <v>-8714.239799999999</v>
      </c>
      <c r="AM317" t="n">
        <v>20156.3782</v>
      </c>
      <c r="AN317" t="n">
        <v>0.99</v>
      </c>
      <c r="AO317" t="inlineStr">
        <is>
          <t>Low</t>
        </is>
      </c>
      <c r="AP317" t="inlineStr">
        <is>
          <t>On Track</t>
        </is>
      </c>
    </row>
    <row r="318">
      <c r="A318" t="inlineStr">
        <is>
          <t>SUP-0020</t>
        </is>
      </c>
      <c r="B318" t="inlineStr">
        <is>
          <t>Logistics Supplier 020</t>
        </is>
      </c>
      <c r="C318" t="inlineStr">
        <is>
          <t>Logistics</t>
        </is>
      </c>
      <c r="D318" t="n">
        <v>2024</v>
      </c>
      <c r="E318" t="n">
        <v>2020</v>
      </c>
      <c r="F318" t="n">
        <v>2035</v>
      </c>
      <c r="G318" t="n">
        <v>3896.7543</v>
      </c>
      <c r="H318" t="n">
        <v>571.8148</v>
      </c>
      <c r="I318" t="n">
        <v>731.9186</v>
      </c>
      <c r="J318" t="n">
        <v>2469.7873</v>
      </c>
      <c r="K318" t="n">
        <v>28872722.48</v>
      </c>
      <c r="L318" t="n">
        <v>176082919.37</v>
      </c>
      <c r="M318" t="n">
        <v>3896.7543</v>
      </c>
      <c r="N318" t="inlineStr">
        <is>
          <t>Provided Total Emissions</t>
        </is>
      </c>
      <c r="O318" t="b">
        <v>1</v>
      </c>
      <c r="P318" t="n">
        <v>0.002555</v>
      </c>
      <c r="Q318" t="n">
        <v>0.074235</v>
      </c>
      <c r="R318" t="n">
        <v>6452.7647</v>
      </c>
      <c r="S318" t="n">
        <v>84144.7447</v>
      </c>
      <c r="T318" t="n">
        <v>2556.0104</v>
      </c>
      <c r="U318" t="n">
        <v>80247.9904</v>
      </c>
      <c r="V318" t="n">
        <v>0.655933</v>
      </c>
      <c r="W318" t="n">
        <v>20.593546</v>
      </c>
      <c r="X318" t="inlineStr">
        <is>
          <t>High</t>
        </is>
      </c>
      <c r="Y318" t="inlineStr">
        <is>
          <t>None</t>
        </is>
      </c>
      <c r="Z318" t="inlineStr">
        <is>
          <t>Valid</t>
        </is>
      </c>
      <c r="AA318" t="n">
        <v>2037</v>
      </c>
      <c r="AB318" t="inlineStr">
        <is>
          <t>Supplier Target Pathway</t>
        </is>
      </c>
      <c r="AC318" t="n">
        <v>3133.1158</v>
      </c>
      <c r="AD318" t="n">
        <v>1040.1944</v>
      </c>
      <c r="AE318" t="n">
        <v>1040.1944</v>
      </c>
      <c r="AF318" t="n">
        <v>1040.1944</v>
      </c>
      <c r="AG318" t="n">
        <v>2092.9214</v>
      </c>
      <c r="AH318" t="n">
        <v>3.603e-05</v>
      </c>
      <c r="AI318" t="n">
        <v>0.668</v>
      </c>
      <c r="AJ318" t="n">
        <v>0</v>
      </c>
      <c r="AK318" t="n">
        <v>139.5281</v>
      </c>
      <c r="AL318" t="n">
        <v>-9754.4342</v>
      </c>
      <c r="AM318" t="n">
        <v>21196.5726</v>
      </c>
      <c r="AN318" t="n">
        <v>0.99</v>
      </c>
      <c r="AO318" t="inlineStr">
        <is>
          <t>Low</t>
        </is>
      </c>
      <c r="AP318" t="inlineStr">
        <is>
          <t>On Track</t>
        </is>
      </c>
    </row>
    <row r="319">
      <c r="A319" t="inlineStr">
        <is>
          <t>SUP-0020</t>
        </is>
      </c>
      <c r="B319" t="inlineStr">
        <is>
          <t>Logistics Supplier 020</t>
        </is>
      </c>
      <c r="C319" t="inlineStr">
        <is>
          <t>Logistics</t>
        </is>
      </c>
      <c r="D319" t="n">
        <v>2024</v>
      </c>
      <c r="E319" t="n">
        <v>2020</v>
      </c>
      <c r="F319" t="n">
        <v>2035</v>
      </c>
      <c r="G319" t="n">
        <v>3896.7543</v>
      </c>
      <c r="H319" t="n">
        <v>571.8148</v>
      </c>
      <c r="I319" t="n">
        <v>731.9186</v>
      </c>
      <c r="J319" t="n">
        <v>2469.7873</v>
      </c>
      <c r="K319" t="n">
        <v>28872722.48</v>
      </c>
      <c r="L319" t="n">
        <v>176082919.37</v>
      </c>
      <c r="M319" t="n">
        <v>3896.7543</v>
      </c>
      <c r="N319" t="inlineStr">
        <is>
          <t>Provided Total Emissions</t>
        </is>
      </c>
      <c r="O319" t="b">
        <v>1</v>
      </c>
      <c r="P319" t="n">
        <v>0.002555</v>
      </c>
      <c r="Q319" t="n">
        <v>0.074235</v>
      </c>
      <c r="R319" t="n">
        <v>6452.7647</v>
      </c>
      <c r="S319" t="n">
        <v>84144.7447</v>
      </c>
      <c r="T319" t="n">
        <v>2556.0104</v>
      </c>
      <c r="U319" t="n">
        <v>80247.9904</v>
      </c>
      <c r="V319" t="n">
        <v>0.655933</v>
      </c>
      <c r="W319" t="n">
        <v>20.593546</v>
      </c>
      <c r="X319" t="inlineStr">
        <is>
          <t>High</t>
        </is>
      </c>
      <c r="Y319" t="inlineStr">
        <is>
          <t>None</t>
        </is>
      </c>
      <c r="Z319" t="inlineStr">
        <is>
          <t>Valid</t>
        </is>
      </c>
      <c r="AA319" t="n">
        <v>2038</v>
      </c>
      <c r="AB319" t="inlineStr">
        <is>
          <t>Supplier Target Pathway</t>
        </is>
      </c>
      <c r="AC319" t="n">
        <v>3133.1158</v>
      </c>
      <c r="AD319" t="n">
        <v>1040.1944</v>
      </c>
      <c r="AE319" t="n">
        <v>1040.1944</v>
      </c>
      <c r="AF319" t="n">
        <v>1040.1944</v>
      </c>
      <c r="AG319" t="n">
        <v>2092.9214</v>
      </c>
      <c r="AH319" t="n">
        <v>3.603e-05</v>
      </c>
      <c r="AI319" t="n">
        <v>0.668</v>
      </c>
      <c r="AJ319" t="n">
        <v>0</v>
      </c>
      <c r="AK319" t="n">
        <v>139.5281</v>
      </c>
      <c r="AL319" t="n">
        <v>-10794.6286</v>
      </c>
      <c r="AM319" t="n">
        <v>22236.767</v>
      </c>
      <c r="AN319" t="n">
        <v>0.99</v>
      </c>
      <c r="AO319" t="inlineStr">
        <is>
          <t>Low</t>
        </is>
      </c>
      <c r="AP319" t="inlineStr">
        <is>
          <t>On Track</t>
        </is>
      </c>
    </row>
    <row r="320">
      <c r="A320" t="inlineStr">
        <is>
          <t>SUP-0020</t>
        </is>
      </c>
      <c r="B320" t="inlineStr">
        <is>
          <t>Logistics Supplier 020</t>
        </is>
      </c>
      <c r="C320" t="inlineStr">
        <is>
          <t>Logistics</t>
        </is>
      </c>
      <c r="D320" t="n">
        <v>2024</v>
      </c>
      <c r="E320" t="n">
        <v>2020</v>
      </c>
      <c r="F320" t="n">
        <v>2035</v>
      </c>
      <c r="G320" t="n">
        <v>3896.7543</v>
      </c>
      <c r="H320" t="n">
        <v>571.8148</v>
      </c>
      <c r="I320" t="n">
        <v>731.9186</v>
      </c>
      <c r="J320" t="n">
        <v>2469.7873</v>
      </c>
      <c r="K320" t="n">
        <v>28872722.48</v>
      </c>
      <c r="L320" t="n">
        <v>176082919.37</v>
      </c>
      <c r="M320" t="n">
        <v>3896.7543</v>
      </c>
      <c r="N320" t="inlineStr">
        <is>
          <t>Provided Total Emissions</t>
        </is>
      </c>
      <c r="O320" t="b">
        <v>1</v>
      </c>
      <c r="P320" t="n">
        <v>0.002555</v>
      </c>
      <c r="Q320" t="n">
        <v>0.074235</v>
      </c>
      <c r="R320" t="n">
        <v>6452.7647</v>
      </c>
      <c r="S320" t="n">
        <v>84144.7447</v>
      </c>
      <c r="T320" t="n">
        <v>2556.0104</v>
      </c>
      <c r="U320" t="n">
        <v>80247.9904</v>
      </c>
      <c r="V320" t="n">
        <v>0.655933</v>
      </c>
      <c r="W320" t="n">
        <v>20.593546</v>
      </c>
      <c r="X320" t="inlineStr">
        <is>
          <t>High</t>
        </is>
      </c>
      <c r="Y320" t="inlineStr">
        <is>
          <t>None</t>
        </is>
      </c>
      <c r="Z320" t="inlineStr">
        <is>
          <t>Valid</t>
        </is>
      </c>
      <c r="AA320" t="n">
        <v>2039</v>
      </c>
      <c r="AB320" t="inlineStr">
        <is>
          <t>Supplier Target Pathway</t>
        </is>
      </c>
      <c r="AC320" t="n">
        <v>3133.1158</v>
      </c>
      <c r="AD320" t="n">
        <v>1040.1944</v>
      </c>
      <c r="AE320" t="n">
        <v>1040.1944</v>
      </c>
      <c r="AF320" t="n">
        <v>1040.1944</v>
      </c>
      <c r="AG320" t="n">
        <v>2092.9214</v>
      </c>
      <c r="AH320" t="n">
        <v>3.603e-05</v>
      </c>
      <c r="AI320" t="n">
        <v>0.668</v>
      </c>
      <c r="AJ320" t="n">
        <v>0</v>
      </c>
      <c r="AK320" t="n">
        <v>139.5281</v>
      </c>
      <c r="AL320" t="n">
        <v>-11834.823</v>
      </c>
      <c r="AM320" t="n">
        <v>23276.9614</v>
      </c>
      <c r="AN320" t="n">
        <v>0.99</v>
      </c>
      <c r="AO320" t="inlineStr">
        <is>
          <t>Low</t>
        </is>
      </c>
      <c r="AP320" t="inlineStr">
        <is>
          <t>On Track</t>
        </is>
      </c>
    </row>
    <row r="321">
      <c r="A321" t="inlineStr">
        <is>
          <t>SUP-0020</t>
        </is>
      </c>
      <c r="B321" t="inlineStr">
        <is>
          <t>Logistics Supplier 020</t>
        </is>
      </c>
      <c r="C321" t="inlineStr">
        <is>
          <t>Logistics</t>
        </is>
      </c>
      <c r="D321" t="n">
        <v>2024</v>
      </c>
      <c r="E321" t="n">
        <v>2020</v>
      </c>
      <c r="F321" t="n">
        <v>2035</v>
      </c>
      <c r="G321" t="n">
        <v>3896.7543</v>
      </c>
      <c r="H321" t="n">
        <v>571.8148</v>
      </c>
      <c r="I321" t="n">
        <v>731.9186</v>
      </c>
      <c r="J321" t="n">
        <v>2469.7873</v>
      </c>
      <c r="K321" t="n">
        <v>28872722.48</v>
      </c>
      <c r="L321" t="n">
        <v>176082919.37</v>
      </c>
      <c r="M321" t="n">
        <v>3896.7543</v>
      </c>
      <c r="N321" t="inlineStr">
        <is>
          <t>Provided Total Emissions</t>
        </is>
      </c>
      <c r="O321" t="b">
        <v>1</v>
      </c>
      <c r="P321" t="n">
        <v>0.002555</v>
      </c>
      <c r="Q321" t="n">
        <v>0.074235</v>
      </c>
      <c r="R321" t="n">
        <v>6452.7647</v>
      </c>
      <c r="S321" t="n">
        <v>84144.7447</v>
      </c>
      <c r="T321" t="n">
        <v>2556.0104</v>
      </c>
      <c r="U321" t="n">
        <v>80247.9904</v>
      </c>
      <c r="V321" t="n">
        <v>0.655933</v>
      </c>
      <c r="W321" t="n">
        <v>20.593546</v>
      </c>
      <c r="X321" t="inlineStr">
        <is>
          <t>High</t>
        </is>
      </c>
      <c r="Y321" t="inlineStr">
        <is>
          <t>None</t>
        </is>
      </c>
      <c r="Z321" t="inlineStr">
        <is>
          <t>Valid</t>
        </is>
      </c>
      <c r="AA321" t="n">
        <v>2040</v>
      </c>
      <c r="AB321" t="inlineStr">
        <is>
          <t>Supplier Target Pathway</t>
        </is>
      </c>
      <c r="AC321" t="n">
        <v>3133.1158</v>
      </c>
      <c r="AD321" t="n">
        <v>1040.1944</v>
      </c>
      <c r="AE321" t="n">
        <v>1040.1944</v>
      </c>
      <c r="AF321" t="n">
        <v>1040.1944</v>
      </c>
      <c r="AG321" t="n">
        <v>2092.9214</v>
      </c>
      <c r="AH321" t="n">
        <v>3.603e-05</v>
      </c>
      <c r="AI321" t="n">
        <v>0.668</v>
      </c>
      <c r="AJ321" t="n">
        <v>0</v>
      </c>
      <c r="AK321" t="n">
        <v>139.5281</v>
      </c>
      <c r="AL321" t="n">
        <v>-12875.0174</v>
      </c>
      <c r="AM321" t="n">
        <v>24317.1558</v>
      </c>
      <c r="AN321" t="n">
        <v>0.99</v>
      </c>
      <c r="AO321" t="inlineStr">
        <is>
          <t>Low</t>
        </is>
      </c>
      <c r="AP321" t="inlineStr">
        <is>
          <t>On Track</t>
        </is>
      </c>
    </row>
    <row r="322">
      <c r="A322" t="inlineStr">
        <is>
          <t>SUP-0021</t>
        </is>
      </c>
      <c r="B322" t="inlineStr">
        <is>
          <t>Textiles Supplier 021</t>
        </is>
      </c>
      <c r="C322" t="inlineStr">
        <is>
          <t>Textiles</t>
        </is>
      </c>
      <c r="D322" t="n">
        <v>2024</v>
      </c>
      <c r="E322" t="n">
        <v>2018</v>
      </c>
      <c r="F322" t="n">
        <v>2030</v>
      </c>
      <c r="G322" t="n">
        <v>1191.0759</v>
      </c>
      <c r="H322" t="n">
        <v>189.308</v>
      </c>
      <c r="I322" t="n">
        <v>165.6905</v>
      </c>
      <c r="J322" t="n">
        <v>876.3218000000001</v>
      </c>
      <c r="K322" t="n">
        <v>4926592.51</v>
      </c>
      <c r="L322" t="n">
        <v>36793939.37</v>
      </c>
      <c r="M322" t="n">
        <v>1191.0759</v>
      </c>
      <c r="N322" t="inlineStr">
        <is>
          <t>Provided Total Emissions</t>
        </is>
      </c>
      <c r="O322" t="b">
        <v>1</v>
      </c>
      <c r="P322" t="n">
        <v>-0.08688899999999999</v>
      </c>
      <c r="Q322" t="n">
        <v>-0.02852</v>
      </c>
      <c r="R322" t="n">
        <v>1439.5996</v>
      </c>
      <c r="S322" t="n">
        <v>6381.1729</v>
      </c>
      <c r="T322" t="n">
        <v>248.5237</v>
      </c>
      <c r="U322" t="n">
        <v>5190.097</v>
      </c>
      <c r="V322" t="n">
        <v>0.208655</v>
      </c>
      <c r="W322" t="n">
        <v>4.357486</v>
      </c>
      <c r="X322" t="inlineStr">
        <is>
          <t>High</t>
        </is>
      </c>
      <c r="Y322" t="inlineStr">
        <is>
          <t>None</t>
        </is>
      </c>
      <c r="Z322" t="inlineStr">
        <is>
          <t>Valid</t>
        </is>
      </c>
      <c r="AA322" t="n">
        <v>2025</v>
      </c>
      <c r="AB322" t="inlineStr">
        <is>
          <t>Supplier Target Pathway</t>
        </is>
      </c>
      <c r="AC322" t="n">
        <v>1637.445</v>
      </c>
      <c r="AD322" t="n">
        <v>847.3778</v>
      </c>
      <c r="AE322" t="n">
        <v>1176.5725</v>
      </c>
      <c r="AF322" t="n">
        <v>1176.5725</v>
      </c>
      <c r="AG322" t="n">
        <v>460.8725</v>
      </c>
      <c r="AH322" t="n">
        <v>0.00023882</v>
      </c>
      <c r="AI322" t="n">
        <v>0.281458</v>
      </c>
      <c r="AJ322" t="n">
        <v>329.1947</v>
      </c>
      <c r="AK322" t="n">
        <v>65.8389</v>
      </c>
      <c r="AL322" t="n">
        <v>3907.6943</v>
      </c>
      <c r="AM322" t="n">
        <v>1176.5725</v>
      </c>
      <c r="AN322" t="n">
        <v>0.99</v>
      </c>
      <c r="AO322" t="inlineStr">
        <is>
          <t>Critical</t>
        </is>
      </c>
      <c r="AP322" t="inlineStr">
        <is>
          <t>On Track to Glide Path</t>
        </is>
      </c>
    </row>
    <row r="323">
      <c r="A323" t="inlineStr">
        <is>
          <t>SUP-0021</t>
        </is>
      </c>
      <c r="B323" t="inlineStr">
        <is>
          <t>Textiles Supplier 021</t>
        </is>
      </c>
      <c r="C323" t="inlineStr">
        <is>
          <t>Textiles</t>
        </is>
      </c>
      <c r="D323" t="n">
        <v>2024</v>
      </c>
      <c r="E323" t="n">
        <v>2018</v>
      </c>
      <c r="F323" t="n">
        <v>2030</v>
      </c>
      <c r="G323" t="n">
        <v>1191.0759</v>
      </c>
      <c r="H323" t="n">
        <v>189.308</v>
      </c>
      <c r="I323" t="n">
        <v>165.6905</v>
      </c>
      <c r="J323" t="n">
        <v>876.3218000000001</v>
      </c>
      <c r="K323" t="n">
        <v>4926592.51</v>
      </c>
      <c r="L323" t="n">
        <v>36793939.37</v>
      </c>
      <c r="M323" t="n">
        <v>1191.0759</v>
      </c>
      <c r="N323" t="inlineStr">
        <is>
          <t>Provided Total Emissions</t>
        </is>
      </c>
      <c r="O323" t="b">
        <v>1</v>
      </c>
      <c r="P323" t="n">
        <v>-0.08688899999999999</v>
      </c>
      <c r="Q323" t="n">
        <v>-0.02852</v>
      </c>
      <c r="R323" t="n">
        <v>1439.5996</v>
      </c>
      <c r="S323" t="n">
        <v>6381.1729</v>
      </c>
      <c r="T323" t="n">
        <v>248.5237</v>
      </c>
      <c r="U323" t="n">
        <v>5190.097</v>
      </c>
      <c r="V323" t="n">
        <v>0.208655</v>
      </c>
      <c r="W323" t="n">
        <v>4.357486</v>
      </c>
      <c r="X323" t="inlineStr">
        <is>
          <t>High</t>
        </is>
      </c>
      <c r="Y323" t="inlineStr">
        <is>
          <t>None</t>
        </is>
      </c>
      <c r="Z323" t="inlineStr">
        <is>
          <t>Valid</t>
        </is>
      </c>
      <c r="AA323" t="n">
        <v>2026</v>
      </c>
      <c r="AB323" t="inlineStr">
        <is>
          <t>Supplier Target Pathway</t>
        </is>
      </c>
      <c r="AC323" t="n">
        <v>1637.445</v>
      </c>
      <c r="AD323" t="n">
        <v>847.3778</v>
      </c>
      <c r="AE323" t="n">
        <v>1110.7335</v>
      </c>
      <c r="AF323" t="n">
        <v>1110.7335</v>
      </c>
      <c r="AG323" t="n">
        <v>526.7115</v>
      </c>
      <c r="AH323" t="n">
        <v>0.00022546</v>
      </c>
      <c r="AI323" t="n">
        <v>0.321667</v>
      </c>
      <c r="AJ323" t="n">
        <v>263.3557</v>
      </c>
      <c r="AK323" t="n">
        <v>65.8389</v>
      </c>
      <c r="AL323" t="n">
        <v>2796.9608</v>
      </c>
      <c r="AM323" t="n">
        <v>2287.306</v>
      </c>
      <c r="AN323" t="n">
        <v>0.99</v>
      </c>
      <c r="AO323" t="inlineStr">
        <is>
          <t>High</t>
        </is>
      </c>
      <c r="AP323" t="inlineStr">
        <is>
          <t>On Track to Glide Path</t>
        </is>
      </c>
    </row>
    <row r="324">
      <c r="A324" t="inlineStr">
        <is>
          <t>SUP-0021</t>
        </is>
      </c>
      <c r="B324" t="inlineStr">
        <is>
          <t>Textiles Supplier 021</t>
        </is>
      </c>
      <c r="C324" t="inlineStr">
        <is>
          <t>Textiles</t>
        </is>
      </c>
      <c r="D324" t="n">
        <v>2024</v>
      </c>
      <c r="E324" t="n">
        <v>2018</v>
      </c>
      <c r="F324" t="n">
        <v>2030</v>
      </c>
      <c r="G324" t="n">
        <v>1191.0759</v>
      </c>
      <c r="H324" t="n">
        <v>189.308</v>
      </c>
      <c r="I324" t="n">
        <v>165.6905</v>
      </c>
      <c r="J324" t="n">
        <v>876.3218000000001</v>
      </c>
      <c r="K324" t="n">
        <v>4926592.51</v>
      </c>
      <c r="L324" t="n">
        <v>36793939.37</v>
      </c>
      <c r="M324" t="n">
        <v>1191.0759</v>
      </c>
      <c r="N324" t="inlineStr">
        <is>
          <t>Provided Total Emissions</t>
        </is>
      </c>
      <c r="O324" t="b">
        <v>1</v>
      </c>
      <c r="P324" t="n">
        <v>-0.08688899999999999</v>
      </c>
      <c r="Q324" t="n">
        <v>-0.02852</v>
      </c>
      <c r="R324" t="n">
        <v>1439.5996</v>
      </c>
      <c r="S324" t="n">
        <v>6381.1729</v>
      </c>
      <c r="T324" t="n">
        <v>248.5237</v>
      </c>
      <c r="U324" t="n">
        <v>5190.097</v>
      </c>
      <c r="V324" t="n">
        <v>0.208655</v>
      </c>
      <c r="W324" t="n">
        <v>4.357486</v>
      </c>
      <c r="X324" t="inlineStr">
        <is>
          <t>High</t>
        </is>
      </c>
      <c r="Y324" t="inlineStr">
        <is>
          <t>None</t>
        </is>
      </c>
      <c r="Z324" t="inlineStr">
        <is>
          <t>Valid</t>
        </is>
      </c>
      <c r="AA324" t="n">
        <v>2027</v>
      </c>
      <c r="AB324" t="inlineStr">
        <is>
          <t>Supplier Target Pathway</t>
        </is>
      </c>
      <c r="AC324" t="n">
        <v>1637.445</v>
      </c>
      <c r="AD324" t="n">
        <v>847.3778</v>
      </c>
      <c r="AE324" t="n">
        <v>1044.8946</v>
      </c>
      <c r="AF324" t="n">
        <v>1044.8946</v>
      </c>
      <c r="AG324" t="n">
        <v>592.5504</v>
      </c>
      <c r="AH324" t="n">
        <v>0.00021209</v>
      </c>
      <c r="AI324" t="n">
        <v>0.361875</v>
      </c>
      <c r="AJ324" t="n">
        <v>197.5168</v>
      </c>
      <c r="AK324" t="n">
        <v>65.8389</v>
      </c>
      <c r="AL324" t="n">
        <v>1752.0662</v>
      </c>
      <c r="AM324" t="n">
        <v>3332.2006</v>
      </c>
      <c r="AN324" t="n">
        <v>0.99</v>
      </c>
      <c r="AO324" t="inlineStr">
        <is>
          <t>High</t>
        </is>
      </c>
      <c r="AP324" t="inlineStr">
        <is>
          <t>On Track to Glide Path</t>
        </is>
      </c>
    </row>
    <row r="325">
      <c r="A325" t="inlineStr">
        <is>
          <t>SUP-0021</t>
        </is>
      </c>
      <c r="B325" t="inlineStr">
        <is>
          <t>Textiles Supplier 021</t>
        </is>
      </c>
      <c r="C325" t="inlineStr">
        <is>
          <t>Textiles</t>
        </is>
      </c>
      <c r="D325" t="n">
        <v>2024</v>
      </c>
      <c r="E325" t="n">
        <v>2018</v>
      </c>
      <c r="F325" t="n">
        <v>2030</v>
      </c>
      <c r="G325" t="n">
        <v>1191.0759</v>
      </c>
      <c r="H325" t="n">
        <v>189.308</v>
      </c>
      <c r="I325" t="n">
        <v>165.6905</v>
      </c>
      <c r="J325" t="n">
        <v>876.3218000000001</v>
      </c>
      <c r="K325" t="n">
        <v>4926592.51</v>
      </c>
      <c r="L325" t="n">
        <v>36793939.37</v>
      </c>
      <c r="M325" t="n">
        <v>1191.0759</v>
      </c>
      <c r="N325" t="inlineStr">
        <is>
          <t>Provided Total Emissions</t>
        </is>
      </c>
      <c r="O325" t="b">
        <v>1</v>
      </c>
      <c r="P325" t="n">
        <v>-0.08688899999999999</v>
      </c>
      <c r="Q325" t="n">
        <v>-0.02852</v>
      </c>
      <c r="R325" t="n">
        <v>1439.5996</v>
      </c>
      <c r="S325" t="n">
        <v>6381.1729</v>
      </c>
      <c r="T325" t="n">
        <v>248.5237</v>
      </c>
      <c r="U325" t="n">
        <v>5190.097</v>
      </c>
      <c r="V325" t="n">
        <v>0.208655</v>
      </c>
      <c r="W325" t="n">
        <v>4.357486</v>
      </c>
      <c r="X325" t="inlineStr">
        <is>
          <t>High</t>
        </is>
      </c>
      <c r="Y325" t="inlineStr">
        <is>
          <t>None</t>
        </is>
      </c>
      <c r="Z325" t="inlineStr">
        <is>
          <t>Valid</t>
        </is>
      </c>
      <c r="AA325" t="n">
        <v>2028</v>
      </c>
      <c r="AB325" t="inlineStr">
        <is>
          <t>Supplier Target Pathway</t>
        </is>
      </c>
      <c r="AC325" t="n">
        <v>1637.445</v>
      </c>
      <c r="AD325" t="n">
        <v>847.3778</v>
      </c>
      <c r="AE325" t="n">
        <v>979.0557</v>
      </c>
      <c r="AF325" t="n">
        <v>979.0557</v>
      </c>
      <c r="AG325" t="n">
        <v>658.3893</v>
      </c>
      <c r="AH325" t="n">
        <v>0.00019873</v>
      </c>
      <c r="AI325" t="n">
        <v>0.402083</v>
      </c>
      <c r="AJ325" t="n">
        <v>131.6779</v>
      </c>
      <c r="AK325" t="n">
        <v>65.8389</v>
      </c>
      <c r="AL325" t="n">
        <v>773.0105</v>
      </c>
      <c r="AM325" t="n">
        <v>4311.2563</v>
      </c>
      <c r="AN325" t="n">
        <v>0.99</v>
      </c>
      <c r="AO325" t="inlineStr">
        <is>
          <t>High</t>
        </is>
      </c>
      <c r="AP325" t="inlineStr">
        <is>
          <t>On Track to Glide Path</t>
        </is>
      </c>
    </row>
    <row r="326">
      <c r="A326" t="inlineStr">
        <is>
          <t>SUP-0021</t>
        </is>
      </c>
      <c r="B326" t="inlineStr">
        <is>
          <t>Textiles Supplier 021</t>
        </is>
      </c>
      <c r="C326" t="inlineStr">
        <is>
          <t>Textiles</t>
        </is>
      </c>
      <c r="D326" t="n">
        <v>2024</v>
      </c>
      <c r="E326" t="n">
        <v>2018</v>
      </c>
      <c r="F326" t="n">
        <v>2030</v>
      </c>
      <c r="G326" t="n">
        <v>1191.0759</v>
      </c>
      <c r="H326" t="n">
        <v>189.308</v>
      </c>
      <c r="I326" t="n">
        <v>165.6905</v>
      </c>
      <c r="J326" t="n">
        <v>876.3218000000001</v>
      </c>
      <c r="K326" t="n">
        <v>4926592.51</v>
      </c>
      <c r="L326" t="n">
        <v>36793939.37</v>
      </c>
      <c r="M326" t="n">
        <v>1191.0759</v>
      </c>
      <c r="N326" t="inlineStr">
        <is>
          <t>Provided Total Emissions</t>
        </is>
      </c>
      <c r="O326" t="b">
        <v>1</v>
      </c>
      <c r="P326" t="n">
        <v>-0.08688899999999999</v>
      </c>
      <c r="Q326" t="n">
        <v>-0.02852</v>
      </c>
      <c r="R326" t="n">
        <v>1439.5996</v>
      </c>
      <c r="S326" t="n">
        <v>6381.1729</v>
      </c>
      <c r="T326" t="n">
        <v>248.5237</v>
      </c>
      <c r="U326" t="n">
        <v>5190.097</v>
      </c>
      <c r="V326" t="n">
        <v>0.208655</v>
      </c>
      <c r="W326" t="n">
        <v>4.357486</v>
      </c>
      <c r="X326" t="inlineStr">
        <is>
          <t>High</t>
        </is>
      </c>
      <c r="Y326" t="inlineStr">
        <is>
          <t>None</t>
        </is>
      </c>
      <c r="Z326" t="inlineStr">
        <is>
          <t>Valid</t>
        </is>
      </c>
      <c r="AA326" t="n">
        <v>2029</v>
      </c>
      <c r="AB326" t="inlineStr">
        <is>
          <t>Supplier Target Pathway</t>
        </is>
      </c>
      <c r="AC326" t="n">
        <v>1637.445</v>
      </c>
      <c r="AD326" t="n">
        <v>847.3778</v>
      </c>
      <c r="AE326" t="n">
        <v>913.2166999999999</v>
      </c>
      <c r="AF326" t="n">
        <v>913.2166999999999</v>
      </c>
      <c r="AG326" t="n">
        <v>724.2283</v>
      </c>
      <c r="AH326" t="n">
        <v>0.00018536</v>
      </c>
      <c r="AI326" t="n">
        <v>0.442292</v>
      </c>
      <c r="AJ326" t="n">
        <v>65.8389</v>
      </c>
      <c r="AK326" t="n">
        <v>65.8389</v>
      </c>
      <c r="AL326" t="n">
        <v>-140.2062</v>
      </c>
      <c r="AM326" t="n">
        <v>5224.473</v>
      </c>
      <c r="AN326" t="n">
        <v>0.99</v>
      </c>
      <c r="AO326" t="inlineStr">
        <is>
          <t>Medium</t>
        </is>
      </c>
      <c r="AP326" t="inlineStr">
        <is>
          <t>On Track to Glide Path</t>
        </is>
      </c>
    </row>
    <row r="327">
      <c r="A327" t="inlineStr">
        <is>
          <t>SUP-0021</t>
        </is>
      </c>
      <c r="B327" t="inlineStr">
        <is>
          <t>Textiles Supplier 021</t>
        </is>
      </c>
      <c r="C327" t="inlineStr">
        <is>
          <t>Textiles</t>
        </is>
      </c>
      <c r="D327" t="n">
        <v>2024</v>
      </c>
      <c r="E327" t="n">
        <v>2018</v>
      </c>
      <c r="F327" t="n">
        <v>2030</v>
      </c>
      <c r="G327" t="n">
        <v>1191.0759</v>
      </c>
      <c r="H327" t="n">
        <v>189.308</v>
      </c>
      <c r="I327" t="n">
        <v>165.6905</v>
      </c>
      <c r="J327" t="n">
        <v>876.3218000000001</v>
      </c>
      <c r="K327" t="n">
        <v>4926592.51</v>
      </c>
      <c r="L327" t="n">
        <v>36793939.37</v>
      </c>
      <c r="M327" t="n">
        <v>1191.0759</v>
      </c>
      <c r="N327" t="inlineStr">
        <is>
          <t>Provided Total Emissions</t>
        </is>
      </c>
      <c r="O327" t="b">
        <v>1</v>
      </c>
      <c r="P327" t="n">
        <v>-0.08688899999999999</v>
      </c>
      <c r="Q327" t="n">
        <v>-0.02852</v>
      </c>
      <c r="R327" t="n">
        <v>1439.5996</v>
      </c>
      <c r="S327" t="n">
        <v>6381.1729</v>
      </c>
      <c r="T327" t="n">
        <v>248.5237</v>
      </c>
      <c r="U327" t="n">
        <v>5190.097</v>
      </c>
      <c r="V327" t="n">
        <v>0.208655</v>
      </c>
      <c r="W327" t="n">
        <v>4.357486</v>
      </c>
      <c r="X327" t="inlineStr">
        <is>
          <t>High</t>
        </is>
      </c>
      <c r="Y327" t="inlineStr">
        <is>
          <t>None</t>
        </is>
      </c>
      <c r="Z327" t="inlineStr">
        <is>
          <t>Valid</t>
        </is>
      </c>
      <c r="AA327" t="n">
        <v>2030</v>
      </c>
      <c r="AB327" t="inlineStr">
        <is>
          <t>Supplier Target Pathway</t>
        </is>
      </c>
      <c r="AC327" t="n">
        <v>1637.445</v>
      </c>
      <c r="AD327" t="n">
        <v>847.3778</v>
      </c>
      <c r="AE327" t="n">
        <v>847.3778</v>
      </c>
      <c r="AF327" t="n">
        <v>847.3778</v>
      </c>
      <c r="AG327" t="n">
        <v>790.0672</v>
      </c>
      <c r="AH327" t="n">
        <v>0.000172</v>
      </c>
      <c r="AI327" t="n">
        <v>0.4825</v>
      </c>
      <c r="AJ327" t="n">
        <v>0</v>
      </c>
      <c r="AK327" t="n">
        <v>65.8389</v>
      </c>
      <c r="AL327" t="n">
        <v>-987.5839999999999</v>
      </c>
      <c r="AM327" t="n">
        <v>6071.8508</v>
      </c>
      <c r="AN327" t="n">
        <v>0.99</v>
      </c>
      <c r="AO327" t="inlineStr">
        <is>
          <t>Low</t>
        </is>
      </c>
      <c r="AP327" t="inlineStr">
        <is>
          <t>On Track</t>
        </is>
      </c>
    </row>
    <row r="328">
      <c r="A328" t="inlineStr">
        <is>
          <t>SUP-0021</t>
        </is>
      </c>
      <c r="B328" t="inlineStr">
        <is>
          <t>Textiles Supplier 021</t>
        </is>
      </c>
      <c r="C328" t="inlineStr">
        <is>
          <t>Textiles</t>
        </is>
      </c>
      <c r="D328" t="n">
        <v>2024</v>
      </c>
      <c r="E328" t="n">
        <v>2018</v>
      </c>
      <c r="F328" t="n">
        <v>2030</v>
      </c>
      <c r="G328" t="n">
        <v>1191.0759</v>
      </c>
      <c r="H328" t="n">
        <v>189.308</v>
      </c>
      <c r="I328" t="n">
        <v>165.6905</v>
      </c>
      <c r="J328" t="n">
        <v>876.3218000000001</v>
      </c>
      <c r="K328" t="n">
        <v>4926592.51</v>
      </c>
      <c r="L328" t="n">
        <v>36793939.37</v>
      </c>
      <c r="M328" t="n">
        <v>1191.0759</v>
      </c>
      <c r="N328" t="inlineStr">
        <is>
          <t>Provided Total Emissions</t>
        </is>
      </c>
      <c r="O328" t="b">
        <v>1</v>
      </c>
      <c r="P328" t="n">
        <v>-0.08688899999999999</v>
      </c>
      <c r="Q328" t="n">
        <v>-0.02852</v>
      </c>
      <c r="R328" t="n">
        <v>1439.5996</v>
      </c>
      <c r="S328" t="n">
        <v>6381.1729</v>
      </c>
      <c r="T328" t="n">
        <v>248.5237</v>
      </c>
      <c r="U328" t="n">
        <v>5190.097</v>
      </c>
      <c r="V328" t="n">
        <v>0.208655</v>
      </c>
      <c r="W328" t="n">
        <v>4.357486</v>
      </c>
      <c r="X328" t="inlineStr">
        <is>
          <t>High</t>
        </is>
      </c>
      <c r="Y328" t="inlineStr">
        <is>
          <t>None</t>
        </is>
      </c>
      <c r="Z328" t="inlineStr">
        <is>
          <t>Valid</t>
        </is>
      </c>
      <c r="AA328" t="n">
        <v>2031</v>
      </c>
      <c r="AB328" t="inlineStr">
        <is>
          <t>Supplier Target Pathway</t>
        </is>
      </c>
      <c r="AC328" t="n">
        <v>1637.445</v>
      </c>
      <c r="AD328" t="n">
        <v>847.3778</v>
      </c>
      <c r="AE328" t="n">
        <v>847.3778</v>
      </c>
      <c r="AF328" t="n">
        <v>847.3778</v>
      </c>
      <c r="AG328" t="n">
        <v>790.0672</v>
      </c>
      <c r="AH328" t="n">
        <v>0.000172</v>
      </c>
      <c r="AI328" t="n">
        <v>0.4825</v>
      </c>
      <c r="AJ328" t="n">
        <v>0</v>
      </c>
      <c r="AK328" t="n">
        <v>65.8389</v>
      </c>
      <c r="AL328" t="n">
        <v>-1834.9618</v>
      </c>
      <c r="AM328" t="n">
        <v>6919.2286</v>
      </c>
      <c r="AN328" t="n">
        <v>0.99</v>
      </c>
      <c r="AO328" t="inlineStr">
        <is>
          <t>Low</t>
        </is>
      </c>
      <c r="AP328" t="inlineStr">
        <is>
          <t>On Track</t>
        </is>
      </c>
    </row>
    <row r="329">
      <c r="A329" t="inlineStr">
        <is>
          <t>SUP-0021</t>
        </is>
      </c>
      <c r="B329" t="inlineStr">
        <is>
          <t>Textiles Supplier 021</t>
        </is>
      </c>
      <c r="C329" t="inlineStr">
        <is>
          <t>Textiles</t>
        </is>
      </c>
      <c r="D329" t="n">
        <v>2024</v>
      </c>
      <c r="E329" t="n">
        <v>2018</v>
      </c>
      <c r="F329" t="n">
        <v>2030</v>
      </c>
      <c r="G329" t="n">
        <v>1191.0759</v>
      </c>
      <c r="H329" t="n">
        <v>189.308</v>
      </c>
      <c r="I329" t="n">
        <v>165.6905</v>
      </c>
      <c r="J329" t="n">
        <v>876.3218000000001</v>
      </c>
      <c r="K329" t="n">
        <v>4926592.51</v>
      </c>
      <c r="L329" t="n">
        <v>36793939.37</v>
      </c>
      <c r="M329" t="n">
        <v>1191.0759</v>
      </c>
      <c r="N329" t="inlineStr">
        <is>
          <t>Provided Total Emissions</t>
        </is>
      </c>
      <c r="O329" t="b">
        <v>1</v>
      </c>
      <c r="P329" t="n">
        <v>-0.08688899999999999</v>
      </c>
      <c r="Q329" t="n">
        <v>-0.02852</v>
      </c>
      <c r="R329" t="n">
        <v>1439.5996</v>
      </c>
      <c r="S329" t="n">
        <v>6381.1729</v>
      </c>
      <c r="T329" t="n">
        <v>248.5237</v>
      </c>
      <c r="U329" t="n">
        <v>5190.097</v>
      </c>
      <c r="V329" t="n">
        <v>0.208655</v>
      </c>
      <c r="W329" t="n">
        <v>4.357486</v>
      </c>
      <c r="X329" t="inlineStr">
        <is>
          <t>High</t>
        </is>
      </c>
      <c r="Y329" t="inlineStr">
        <is>
          <t>None</t>
        </is>
      </c>
      <c r="Z329" t="inlineStr">
        <is>
          <t>Valid</t>
        </is>
      </c>
      <c r="AA329" t="n">
        <v>2032</v>
      </c>
      <c r="AB329" t="inlineStr">
        <is>
          <t>Supplier Target Pathway</t>
        </is>
      </c>
      <c r="AC329" t="n">
        <v>1637.445</v>
      </c>
      <c r="AD329" t="n">
        <v>847.3778</v>
      </c>
      <c r="AE329" t="n">
        <v>847.3778</v>
      </c>
      <c r="AF329" t="n">
        <v>847.3778</v>
      </c>
      <c r="AG329" t="n">
        <v>790.0672</v>
      </c>
      <c r="AH329" t="n">
        <v>0.000172</v>
      </c>
      <c r="AI329" t="n">
        <v>0.4825</v>
      </c>
      <c r="AJ329" t="n">
        <v>0</v>
      </c>
      <c r="AK329" t="n">
        <v>65.8389</v>
      </c>
      <c r="AL329" t="n">
        <v>-2682.3396</v>
      </c>
      <c r="AM329" t="n">
        <v>7766.6064</v>
      </c>
      <c r="AN329" t="n">
        <v>0.99</v>
      </c>
      <c r="AO329" t="inlineStr">
        <is>
          <t>Low</t>
        </is>
      </c>
      <c r="AP329" t="inlineStr">
        <is>
          <t>On Track</t>
        </is>
      </c>
    </row>
    <row r="330">
      <c r="A330" t="inlineStr">
        <is>
          <t>SUP-0021</t>
        </is>
      </c>
      <c r="B330" t="inlineStr">
        <is>
          <t>Textiles Supplier 021</t>
        </is>
      </c>
      <c r="C330" t="inlineStr">
        <is>
          <t>Textiles</t>
        </is>
      </c>
      <c r="D330" t="n">
        <v>2024</v>
      </c>
      <c r="E330" t="n">
        <v>2018</v>
      </c>
      <c r="F330" t="n">
        <v>2030</v>
      </c>
      <c r="G330" t="n">
        <v>1191.0759</v>
      </c>
      <c r="H330" t="n">
        <v>189.308</v>
      </c>
      <c r="I330" t="n">
        <v>165.6905</v>
      </c>
      <c r="J330" t="n">
        <v>876.3218000000001</v>
      </c>
      <c r="K330" t="n">
        <v>4926592.51</v>
      </c>
      <c r="L330" t="n">
        <v>36793939.37</v>
      </c>
      <c r="M330" t="n">
        <v>1191.0759</v>
      </c>
      <c r="N330" t="inlineStr">
        <is>
          <t>Provided Total Emissions</t>
        </is>
      </c>
      <c r="O330" t="b">
        <v>1</v>
      </c>
      <c r="P330" t="n">
        <v>-0.08688899999999999</v>
      </c>
      <c r="Q330" t="n">
        <v>-0.02852</v>
      </c>
      <c r="R330" t="n">
        <v>1439.5996</v>
      </c>
      <c r="S330" t="n">
        <v>6381.1729</v>
      </c>
      <c r="T330" t="n">
        <v>248.5237</v>
      </c>
      <c r="U330" t="n">
        <v>5190.097</v>
      </c>
      <c r="V330" t="n">
        <v>0.208655</v>
      </c>
      <c r="W330" t="n">
        <v>4.357486</v>
      </c>
      <c r="X330" t="inlineStr">
        <is>
          <t>High</t>
        </is>
      </c>
      <c r="Y330" t="inlineStr">
        <is>
          <t>None</t>
        </is>
      </c>
      <c r="Z330" t="inlineStr">
        <is>
          <t>Valid</t>
        </is>
      </c>
      <c r="AA330" t="n">
        <v>2033</v>
      </c>
      <c r="AB330" t="inlineStr">
        <is>
          <t>Supplier Target Pathway</t>
        </is>
      </c>
      <c r="AC330" t="n">
        <v>1637.445</v>
      </c>
      <c r="AD330" t="n">
        <v>847.3778</v>
      </c>
      <c r="AE330" t="n">
        <v>847.3778</v>
      </c>
      <c r="AF330" t="n">
        <v>847.3778</v>
      </c>
      <c r="AG330" t="n">
        <v>790.0672</v>
      </c>
      <c r="AH330" t="n">
        <v>0.000172</v>
      </c>
      <c r="AI330" t="n">
        <v>0.4825</v>
      </c>
      <c r="AJ330" t="n">
        <v>0</v>
      </c>
      <c r="AK330" t="n">
        <v>65.8389</v>
      </c>
      <c r="AL330" t="n">
        <v>-3529.7174</v>
      </c>
      <c r="AM330" t="n">
        <v>8613.984200000001</v>
      </c>
      <c r="AN330" t="n">
        <v>0.99</v>
      </c>
      <c r="AO330" t="inlineStr">
        <is>
          <t>Low</t>
        </is>
      </c>
      <c r="AP330" t="inlineStr">
        <is>
          <t>On Track</t>
        </is>
      </c>
    </row>
    <row r="331">
      <c r="A331" t="inlineStr">
        <is>
          <t>SUP-0021</t>
        </is>
      </c>
      <c r="B331" t="inlineStr">
        <is>
          <t>Textiles Supplier 021</t>
        </is>
      </c>
      <c r="C331" t="inlineStr">
        <is>
          <t>Textiles</t>
        </is>
      </c>
      <c r="D331" t="n">
        <v>2024</v>
      </c>
      <c r="E331" t="n">
        <v>2018</v>
      </c>
      <c r="F331" t="n">
        <v>2030</v>
      </c>
      <c r="G331" t="n">
        <v>1191.0759</v>
      </c>
      <c r="H331" t="n">
        <v>189.308</v>
      </c>
      <c r="I331" t="n">
        <v>165.6905</v>
      </c>
      <c r="J331" t="n">
        <v>876.3218000000001</v>
      </c>
      <c r="K331" t="n">
        <v>4926592.51</v>
      </c>
      <c r="L331" t="n">
        <v>36793939.37</v>
      </c>
      <c r="M331" t="n">
        <v>1191.0759</v>
      </c>
      <c r="N331" t="inlineStr">
        <is>
          <t>Provided Total Emissions</t>
        </is>
      </c>
      <c r="O331" t="b">
        <v>1</v>
      </c>
      <c r="P331" t="n">
        <v>-0.08688899999999999</v>
      </c>
      <c r="Q331" t="n">
        <v>-0.02852</v>
      </c>
      <c r="R331" t="n">
        <v>1439.5996</v>
      </c>
      <c r="S331" t="n">
        <v>6381.1729</v>
      </c>
      <c r="T331" t="n">
        <v>248.5237</v>
      </c>
      <c r="U331" t="n">
        <v>5190.097</v>
      </c>
      <c r="V331" t="n">
        <v>0.208655</v>
      </c>
      <c r="W331" t="n">
        <v>4.357486</v>
      </c>
      <c r="X331" t="inlineStr">
        <is>
          <t>High</t>
        </is>
      </c>
      <c r="Y331" t="inlineStr">
        <is>
          <t>None</t>
        </is>
      </c>
      <c r="Z331" t="inlineStr">
        <is>
          <t>Valid</t>
        </is>
      </c>
      <c r="AA331" t="n">
        <v>2034</v>
      </c>
      <c r="AB331" t="inlineStr">
        <is>
          <t>Supplier Target Pathway</t>
        </is>
      </c>
      <c r="AC331" t="n">
        <v>1637.445</v>
      </c>
      <c r="AD331" t="n">
        <v>847.3778</v>
      </c>
      <c r="AE331" t="n">
        <v>847.3778</v>
      </c>
      <c r="AF331" t="n">
        <v>847.3778</v>
      </c>
      <c r="AG331" t="n">
        <v>790.0672</v>
      </c>
      <c r="AH331" t="n">
        <v>0.000172</v>
      </c>
      <c r="AI331" t="n">
        <v>0.4825</v>
      </c>
      <c r="AJ331" t="n">
        <v>0</v>
      </c>
      <c r="AK331" t="n">
        <v>65.8389</v>
      </c>
      <c r="AL331" t="n">
        <v>-4377.0952</v>
      </c>
      <c r="AM331" t="n">
        <v>9461.361999999999</v>
      </c>
      <c r="AN331" t="n">
        <v>0.99</v>
      </c>
      <c r="AO331" t="inlineStr">
        <is>
          <t>Low</t>
        </is>
      </c>
      <c r="AP331" t="inlineStr">
        <is>
          <t>On Track</t>
        </is>
      </c>
    </row>
    <row r="332">
      <c r="A332" t="inlineStr">
        <is>
          <t>SUP-0021</t>
        </is>
      </c>
      <c r="B332" t="inlineStr">
        <is>
          <t>Textiles Supplier 021</t>
        </is>
      </c>
      <c r="C332" t="inlineStr">
        <is>
          <t>Textiles</t>
        </is>
      </c>
      <c r="D332" t="n">
        <v>2024</v>
      </c>
      <c r="E332" t="n">
        <v>2018</v>
      </c>
      <c r="F332" t="n">
        <v>2030</v>
      </c>
      <c r="G332" t="n">
        <v>1191.0759</v>
      </c>
      <c r="H332" t="n">
        <v>189.308</v>
      </c>
      <c r="I332" t="n">
        <v>165.6905</v>
      </c>
      <c r="J332" t="n">
        <v>876.3218000000001</v>
      </c>
      <c r="K332" t="n">
        <v>4926592.51</v>
      </c>
      <c r="L332" t="n">
        <v>36793939.37</v>
      </c>
      <c r="M332" t="n">
        <v>1191.0759</v>
      </c>
      <c r="N332" t="inlineStr">
        <is>
          <t>Provided Total Emissions</t>
        </is>
      </c>
      <c r="O332" t="b">
        <v>1</v>
      </c>
      <c r="P332" t="n">
        <v>-0.08688899999999999</v>
      </c>
      <c r="Q332" t="n">
        <v>-0.02852</v>
      </c>
      <c r="R332" t="n">
        <v>1439.5996</v>
      </c>
      <c r="S332" t="n">
        <v>6381.1729</v>
      </c>
      <c r="T332" t="n">
        <v>248.5237</v>
      </c>
      <c r="U332" t="n">
        <v>5190.097</v>
      </c>
      <c r="V332" t="n">
        <v>0.208655</v>
      </c>
      <c r="W332" t="n">
        <v>4.357486</v>
      </c>
      <c r="X332" t="inlineStr">
        <is>
          <t>High</t>
        </is>
      </c>
      <c r="Y332" t="inlineStr">
        <is>
          <t>None</t>
        </is>
      </c>
      <c r="Z332" t="inlineStr">
        <is>
          <t>Valid</t>
        </is>
      </c>
      <c r="AA332" t="n">
        <v>2035</v>
      </c>
      <c r="AB332" t="inlineStr">
        <is>
          <t>Supplier Target Pathway</t>
        </is>
      </c>
      <c r="AC332" t="n">
        <v>1637.445</v>
      </c>
      <c r="AD332" t="n">
        <v>847.3778</v>
      </c>
      <c r="AE332" t="n">
        <v>847.3778</v>
      </c>
      <c r="AF332" t="n">
        <v>847.3778</v>
      </c>
      <c r="AG332" t="n">
        <v>790.0672</v>
      </c>
      <c r="AH332" t="n">
        <v>0.000172</v>
      </c>
      <c r="AI332" t="n">
        <v>0.4825</v>
      </c>
      <c r="AJ332" t="n">
        <v>0</v>
      </c>
      <c r="AK332" t="n">
        <v>65.8389</v>
      </c>
      <c r="AL332" t="n">
        <v>-5224.473</v>
      </c>
      <c r="AM332" t="n">
        <v>10308.7398</v>
      </c>
      <c r="AN332" t="n">
        <v>0.99</v>
      </c>
      <c r="AO332" t="inlineStr">
        <is>
          <t>Low</t>
        </is>
      </c>
      <c r="AP332" t="inlineStr">
        <is>
          <t>On Track</t>
        </is>
      </c>
    </row>
    <row r="333">
      <c r="A333" t="inlineStr">
        <is>
          <t>SUP-0021</t>
        </is>
      </c>
      <c r="B333" t="inlineStr">
        <is>
          <t>Textiles Supplier 021</t>
        </is>
      </c>
      <c r="C333" t="inlineStr">
        <is>
          <t>Textiles</t>
        </is>
      </c>
      <c r="D333" t="n">
        <v>2024</v>
      </c>
      <c r="E333" t="n">
        <v>2018</v>
      </c>
      <c r="F333" t="n">
        <v>2030</v>
      </c>
      <c r="G333" t="n">
        <v>1191.0759</v>
      </c>
      <c r="H333" t="n">
        <v>189.308</v>
      </c>
      <c r="I333" t="n">
        <v>165.6905</v>
      </c>
      <c r="J333" t="n">
        <v>876.3218000000001</v>
      </c>
      <c r="K333" t="n">
        <v>4926592.51</v>
      </c>
      <c r="L333" t="n">
        <v>36793939.37</v>
      </c>
      <c r="M333" t="n">
        <v>1191.0759</v>
      </c>
      <c r="N333" t="inlineStr">
        <is>
          <t>Provided Total Emissions</t>
        </is>
      </c>
      <c r="O333" t="b">
        <v>1</v>
      </c>
      <c r="P333" t="n">
        <v>-0.08688899999999999</v>
      </c>
      <c r="Q333" t="n">
        <v>-0.02852</v>
      </c>
      <c r="R333" t="n">
        <v>1439.5996</v>
      </c>
      <c r="S333" t="n">
        <v>6381.1729</v>
      </c>
      <c r="T333" t="n">
        <v>248.5237</v>
      </c>
      <c r="U333" t="n">
        <v>5190.097</v>
      </c>
      <c r="V333" t="n">
        <v>0.208655</v>
      </c>
      <c r="W333" t="n">
        <v>4.357486</v>
      </c>
      <c r="X333" t="inlineStr">
        <is>
          <t>High</t>
        </is>
      </c>
      <c r="Y333" t="inlineStr">
        <is>
          <t>None</t>
        </is>
      </c>
      <c r="Z333" t="inlineStr">
        <is>
          <t>Valid</t>
        </is>
      </c>
      <c r="AA333" t="n">
        <v>2036</v>
      </c>
      <c r="AB333" t="inlineStr">
        <is>
          <t>Supplier Target Pathway</t>
        </is>
      </c>
      <c r="AC333" t="n">
        <v>1637.445</v>
      </c>
      <c r="AD333" t="n">
        <v>847.3778</v>
      </c>
      <c r="AE333" t="n">
        <v>847.3778</v>
      </c>
      <c r="AF333" t="n">
        <v>847.3778</v>
      </c>
      <c r="AG333" t="n">
        <v>790.0672</v>
      </c>
      <c r="AH333" t="n">
        <v>0.000172</v>
      </c>
      <c r="AI333" t="n">
        <v>0.4825</v>
      </c>
      <c r="AJ333" t="n">
        <v>0</v>
      </c>
      <c r="AK333" t="n">
        <v>65.8389</v>
      </c>
      <c r="AL333" t="n">
        <v>-6071.8508</v>
      </c>
      <c r="AM333" t="n">
        <v>11156.1176</v>
      </c>
      <c r="AN333" t="n">
        <v>0.99</v>
      </c>
      <c r="AO333" t="inlineStr">
        <is>
          <t>Low</t>
        </is>
      </c>
      <c r="AP333" t="inlineStr">
        <is>
          <t>On Track</t>
        </is>
      </c>
    </row>
    <row r="334">
      <c r="A334" t="inlineStr">
        <is>
          <t>SUP-0021</t>
        </is>
      </c>
      <c r="B334" t="inlineStr">
        <is>
          <t>Textiles Supplier 021</t>
        </is>
      </c>
      <c r="C334" t="inlineStr">
        <is>
          <t>Textiles</t>
        </is>
      </c>
      <c r="D334" t="n">
        <v>2024</v>
      </c>
      <c r="E334" t="n">
        <v>2018</v>
      </c>
      <c r="F334" t="n">
        <v>2030</v>
      </c>
      <c r="G334" t="n">
        <v>1191.0759</v>
      </c>
      <c r="H334" t="n">
        <v>189.308</v>
      </c>
      <c r="I334" t="n">
        <v>165.6905</v>
      </c>
      <c r="J334" t="n">
        <v>876.3218000000001</v>
      </c>
      <c r="K334" t="n">
        <v>4926592.51</v>
      </c>
      <c r="L334" t="n">
        <v>36793939.37</v>
      </c>
      <c r="M334" t="n">
        <v>1191.0759</v>
      </c>
      <c r="N334" t="inlineStr">
        <is>
          <t>Provided Total Emissions</t>
        </is>
      </c>
      <c r="O334" t="b">
        <v>1</v>
      </c>
      <c r="P334" t="n">
        <v>-0.08688899999999999</v>
      </c>
      <c r="Q334" t="n">
        <v>-0.02852</v>
      </c>
      <c r="R334" t="n">
        <v>1439.5996</v>
      </c>
      <c r="S334" t="n">
        <v>6381.1729</v>
      </c>
      <c r="T334" t="n">
        <v>248.5237</v>
      </c>
      <c r="U334" t="n">
        <v>5190.097</v>
      </c>
      <c r="V334" t="n">
        <v>0.208655</v>
      </c>
      <c r="W334" t="n">
        <v>4.357486</v>
      </c>
      <c r="X334" t="inlineStr">
        <is>
          <t>High</t>
        </is>
      </c>
      <c r="Y334" t="inlineStr">
        <is>
          <t>None</t>
        </is>
      </c>
      <c r="Z334" t="inlineStr">
        <is>
          <t>Valid</t>
        </is>
      </c>
      <c r="AA334" t="n">
        <v>2037</v>
      </c>
      <c r="AB334" t="inlineStr">
        <is>
          <t>Supplier Target Pathway</t>
        </is>
      </c>
      <c r="AC334" t="n">
        <v>1637.445</v>
      </c>
      <c r="AD334" t="n">
        <v>847.3778</v>
      </c>
      <c r="AE334" t="n">
        <v>847.3778</v>
      </c>
      <c r="AF334" t="n">
        <v>847.3778</v>
      </c>
      <c r="AG334" t="n">
        <v>790.0672</v>
      </c>
      <c r="AH334" t="n">
        <v>0.000172</v>
      </c>
      <c r="AI334" t="n">
        <v>0.4825</v>
      </c>
      <c r="AJ334" t="n">
        <v>0</v>
      </c>
      <c r="AK334" t="n">
        <v>65.8389</v>
      </c>
      <c r="AL334" t="n">
        <v>-6919.2286</v>
      </c>
      <c r="AM334" t="n">
        <v>12003.4954</v>
      </c>
      <c r="AN334" t="n">
        <v>0.99</v>
      </c>
      <c r="AO334" t="inlineStr">
        <is>
          <t>Low</t>
        </is>
      </c>
      <c r="AP334" t="inlineStr">
        <is>
          <t>On Track</t>
        </is>
      </c>
    </row>
    <row r="335">
      <c r="A335" t="inlineStr">
        <is>
          <t>SUP-0021</t>
        </is>
      </c>
      <c r="B335" t="inlineStr">
        <is>
          <t>Textiles Supplier 021</t>
        </is>
      </c>
      <c r="C335" t="inlineStr">
        <is>
          <t>Textiles</t>
        </is>
      </c>
      <c r="D335" t="n">
        <v>2024</v>
      </c>
      <c r="E335" t="n">
        <v>2018</v>
      </c>
      <c r="F335" t="n">
        <v>2030</v>
      </c>
      <c r="G335" t="n">
        <v>1191.0759</v>
      </c>
      <c r="H335" t="n">
        <v>189.308</v>
      </c>
      <c r="I335" t="n">
        <v>165.6905</v>
      </c>
      <c r="J335" t="n">
        <v>876.3218000000001</v>
      </c>
      <c r="K335" t="n">
        <v>4926592.51</v>
      </c>
      <c r="L335" t="n">
        <v>36793939.37</v>
      </c>
      <c r="M335" t="n">
        <v>1191.0759</v>
      </c>
      <c r="N335" t="inlineStr">
        <is>
          <t>Provided Total Emissions</t>
        </is>
      </c>
      <c r="O335" t="b">
        <v>1</v>
      </c>
      <c r="P335" t="n">
        <v>-0.08688899999999999</v>
      </c>
      <c r="Q335" t="n">
        <v>-0.02852</v>
      </c>
      <c r="R335" t="n">
        <v>1439.5996</v>
      </c>
      <c r="S335" t="n">
        <v>6381.1729</v>
      </c>
      <c r="T335" t="n">
        <v>248.5237</v>
      </c>
      <c r="U335" t="n">
        <v>5190.097</v>
      </c>
      <c r="V335" t="n">
        <v>0.208655</v>
      </c>
      <c r="W335" t="n">
        <v>4.357486</v>
      </c>
      <c r="X335" t="inlineStr">
        <is>
          <t>High</t>
        </is>
      </c>
      <c r="Y335" t="inlineStr">
        <is>
          <t>None</t>
        </is>
      </c>
      <c r="Z335" t="inlineStr">
        <is>
          <t>Valid</t>
        </is>
      </c>
      <c r="AA335" t="n">
        <v>2038</v>
      </c>
      <c r="AB335" t="inlineStr">
        <is>
          <t>Supplier Target Pathway</t>
        </is>
      </c>
      <c r="AC335" t="n">
        <v>1637.445</v>
      </c>
      <c r="AD335" t="n">
        <v>847.3778</v>
      </c>
      <c r="AE335" t="n">
        <v>847.3778</v>
      </c>
      <c r="AF335" t="n">
        <v>847.3778</v>
      </c>
      <c r="AG335" t="n">
        <v>790.0672</v>
      </c>
      <c r="AH335" t="n">
        <v>0.000172</v>
      </c>
      <c r="AI335" t="n">
        <v>0.4825</v>
      </c>
      <c r="AJ335" t="n">
        <v>0</v>
      </c>
      <c r="AK335" t="n">
        <v>65.8389</v>
      </c>
      <c r="AL335" t="n">
        <v>-7766.6064</v>
      </c>
      <c r="AM335" t="n">
        <v>12850.8732</v>
      </c>
      <c r="AN335" t="n">
        <v>0.99</v>
      </c>
      <c r="AO335" t="inlineStr">
        <is>
          <t>Low</t>
        </is>
      </c>
      <c r="AP335" t="inlineStr">
        <is>
          <t>On Track</t>
        </is>
      </c>
    </row>
    <row r="336">
      <c r="A336" t="inlineStr">
        <is>
          <t>SUP-0021</t>
        </is>
      </c>
      <c r="B336" t="inlineStr">
        <is>
          <t>Textiles Supplier 021</t>
        </is>
      </c>
      <c r="C336" t="inlineStr">
        <is>
          <t>Textiles</t>
        </is>
      </c>
      <c r="D336" t="n">
        <v>2024</v>
      </c>
      <c r="E336" t="n">
        <v>2018</v>
      </c>
      <c r="F336" t="n">
        <v>2030</v>
      </c>
      <c r="G336" t="n">
        <v>1191.0759</v>
      </c>
      <c r="H336" t="n">
        <v>189.308</v>
      </c>
      <c r="I336" t="n">
        <v>165.6905</v>
      </c>
      <c r="J336" t="n">
        <v>876.3218000000001</v>
      </c>
      <c r="K336" t="n">
        <v>4926592.51</v>
      </c>
      <c r="L336" t="n">
        <v>36793939.37</v>
      </c>
      <c r="M336" t="n">
        <v>1191.0759</v>
      </c>
      <c r="N336" t="inlineStr">
        <is>
          <t>Provided Total Emissions</t>
        </is>
      </c>
      <c r="O336" t="b">
        <v>1</v>
      </c>
      <c r="P336" t="n">
        <v>-0.08688899999999999</v>
      </c>
      <c r="Q336" t="n">
        <v>-0.02852</v>
      </c>
      <c r="R336" t="n">
        <v>1439.5996</v>
      </c>
      <c r="S336" t="n">
        <v>6381.1729</v>
      </c>
      <c r="T336" t="n">
        <v>248.5237</v>
      </c>
      <c r="U336" t="n">
        <v>5190.097</v>
      </c>
      <c r="V336" t="n">
        <v>0.208655</v>
      </c>
      <c r="W336" t="n">
        <v>4.357486</v>
      </c>
      <c r="X336" t="inlineStr">
        <is>
          <t>High</t>
        </is>
      </c>
      <c r="Y336" t="inlineStr">
        <is>
          <t>None</t>
        </is>
      </c>
      <c r="Z336" t="inlineStr">
        <is>
          <t>Valid</t>
        </is>
      </c>
      <c r="AA336" t="n">
        <v>2039</v>
      </c>
      <c r="AB336" t="inlineStr">
        <is>
          <t>Supplier Target Pathway</t>
        </is>
      </c>
      <c r="AC336" t="n">
        <v>1637.445</v>
      </c>
      <c r="AD336" t="n">
        <v>847.3778</v>
      </c>
      <c r="AE336" t="n">
        <v>847.3778</v>
      </c>
      <c r="AF336" t="n">
        <v>847.3778</v>
      </c>
      <c r="AG336" t="n">
        <v>790.0672</v>
      </c>
      <c r="AH336" t="n">
        <v>0.000172</v>
      </c>
      <c r="AI336" t="n">
        <v>0.4825</v>
      </c>
      <c r="AJ336" t="n">
        <v>0</v>
      </c>
      <c r="AK336" t="n">
        <v>65.8389</v>
      </c>
      <c r="AL336" t="n">
        <v>-8613.984200000001</v>
      </c>
      <c r="AM336" t="n">
        <v>13698.251</v>
      </c>
      <c r="AN336" t="n">
        <v>0.99</v>
      </c>
      <c r="AO336" t="inlineStr">
        <is>
          <t>Low</t>
        </is>
      </c>
      <c r="AP336" t="inlineStr">
        <is>
          <t>On Track</t>
        </is>
      </c>
    </row>
    <row r="337">
      <c r="A337" t="inlineStr">
        <is>
          <t>SUP-0021</t>
        </is>
      </c>
      <c r="B337" t="inlineStr">
        <is>
          <t>Textiles Supplier 021</t>
        </is>
      </c>
      <c r="C337" t="inlineStr">
        <is>
          <t>Textiles</t>
        </is>
      </c>
      <c r="D337" t="n">
        <v>2024</v>
      </c>
      <c r="E337" t="n">
        <v>2018</v>
      </c>
      <c r="F337" t="n">
        <v>2030</v>
      </c>
      <c r="G337" t="n">
        <v>1191.0759</v>
      </c>
      <c r="H337" t="n">
        <v>189.308</v>
      </c>
      <c r="I337" t="n">
        <v>165.6905</v>
      </c>
      <c r="J337" t="n">
        <v>876.3218000000001</v>
      </c>
      <c r="K337" t="n">
        <v>4926592.51</v>
      </c>
      <c r="L337" t="n">
        <v>36793939.37</v>
      </c>
      <c r="M337" t="n">
        <v>1191.0759</v>
      </c>
      <c r="N337" t="inlineStr">
        <is>
          <t>Provided Total Emissions</t>
        </is>
      </c>
      <c r="O337" t="b">
        <v>1</v>
      </c>
      <c r="P337" t="n">
        <v>-0.08688899999999999</v>
      </c>
      <c r="Q337" t="n">
        <v>-0.02852</v>
      </c>
      <c r="R337" t="n">
        <v>1439.5996</v>
      </c>
      <c r="S337" t="n">
        <v>6381.1729</v>
      </c>
      <c r="T337" t="n">
        <v>248.5237</v>
      </c>
      <c r="U337" t="n">
        <v>5190.097</v>
      </c>
      <c r="V337" t="n">
        <v>0.208655</v>
      </c>
      <c r="W337" t="n">
        <v>4.357486</v>
      </c>
      <c r="X337" t="inlineStr">
        <is>
          <t>High</t>
        </is>
      </c>
      <c r="Y337" t="inlineStr">
        <is>
          <t>None</t>
        </is>
      </c>
      <c r="Z337" t="inlineStr">
        <is>
          <t>Valid</t>
        </is>
      </c>
      <c r="AA337" t="n">
        <v>2040</v>
      </c>
      <c r="AB337" t="inlineStr">
        <is>
          <t>Supplier Target Pathway</t>
        </is>
      </c>
      <c r="AC337" t="n">
        <v>1637.445</v>
      </c>
      <c r="AD337" t="n">
        <v>847.3778</v>
      </c>
      <c r="AE337" t="n">
        <v>847.3778</v>
      </c>
      <c r="AF337" t="n">
        <v>847.3778</v>
      </c>
      <c r="AG337" t="n">
        <v>790.0672</v>
      </c>
      <c r="AH337" t="n">
        <v>0.000172</v>
      </c>
      <c r="AI337" t="n">
        <v>0.4825</v>
      </c>
      <c r="AJ337" t="n">
        <v>0</v>
      </c>
      <c r="AK337" t="n">
        <v>65.8389</v>
      </c>
      <c r="AL337" t="n">
        <v>-9461.361999999999</v>
      </c>
      <c r="AM337" t="n">
        <v>14545.6288</v>
      </c>
      <c r="AN337" t="n">
        <v>0.99</v>
      </c>
      <c r="AO337" t="inlineStr">
        <is>
          <t>Low</t>
        </is>
      </c>
      <c r="AP337" t="inlineStr">
        <is>
          <t>On Track</t>
        </is>
      </c>
    </row>
    <row r="338">
      <c r="A338" t="inlineStr">
        <is>
          <t>SUP-0022</t>
        </is>
      </c>
      <c r="B338" t="inlineStr">
        <is>
          <t>Chemicals Supplier 022</t>
        </is>
      </c>
      <c r="C338" t="inlineStr">
        <is>
          <t>Chemicals</t>
        </is>
      </c>
      <c r="D338" t="n">
        <v>2024</v>
      </c>
      <c r="E338" t="n">
        <v>2015</v>
      </c>
      <c r="F338" t="n">
        <v>2035</v>
      </c>
      <c r="G338" t="n">
        <v>20122.7364</v>
      </c>
      <c r="H338" t="n">
        <v>2114.3888</v>
      </c>
      <c r="I338" t="n">
        <v>1174.6508</v>
      </c>
      <c r="J338" t="n">
        <v>15427.4638</v>
      </c>
      <c r="K338" t="n">
        <v>20030017.08</v>
      </c>
      <c r="L338" t="n">
        <v>88354497.29000001</v>
      </c>
      <c r="M338" t="n">
        <v>20122.7364</v>
      </c>
      <c r="N338" t="inlineStr">
        <is>
          <t>Provided Total Emissions</t>
        </is>
      </c>
      <c r="O338" t="b">
        <v>1</v>
      </c>
      <c r="P338" t="n">
        <v>-0.012047</v>
      </c>
      <c r="Q338" t="n">
        <v>0.0162</v>
      </c>
      <c r="R338" t="n">
        <v>20059.8618</v>
      </c>
      <c r="S338" t="n">
        <v>41636.1733</v>
      </c>
      <c r="T338" t="n">
        <v>-62.8746</v>
      </c>
      <c r="U338" t="n">
        <v>21513.4369</v>
      </c>
      <c r="V338" t="n">
        <v>-0.003125</v>
      </c>
      <c r="W338" t="n">
        <v>1.069111</v>
      </c>
      <c r="X338" t="inlineStr">
        <is>
          <t>High</t>
        </is>
      </c>
      <c r="Y338" t="inlineStr">
        <is>
          <t>None</t>
        </is>
      </c>
      <c r="Z338" t="inlineStr">
        <is>
          <t>Valid</t>
        </is>
      </c>
      <c r="AA338" t="n">
        <v>2025</v>
      </c>
      <c r="AB338" t="inlineStr">
        <is>
          <t>Industry Haircut Pathway</t>
        </is>
      </c>
      <c r="AC338" t="n">
        <v>22441.9259</v>
      </c>
      <c r="AD338" t="n">
        <v>10707.0428</v>
      </c>
      <c r="AE338" t="n">
        <v>16574.4844</v>
      </c>
      <c r="AF338" t="n">
        <v>16574.4844</v>
      </c>
      <c r="AG338" t="n">
        <v>5867.4415</v>
      </c>
      <c r="AH338" t="n">
        <v>0.00082748</v>
      </c>
      <c r="AI338" t="n">
        <v>0.26145</v>
      </c>
      <c r="AJ338" t="n">
        <v>5867.4415</v>
      </c>
      <c r="AK338" t="n">
        <v>586.7442</v>
      </c>
      <c r="AL338" t="n">
        <v>101202.9864</v>
      </c>
      <c r="AM338" t="n">
        <v>16574.4844</v>
      </c>
      <c r="AN338" t="n">
        <v>0.95</v>
      </c>
      <c r="AO338" t="inlineStr">
        <is>
          <t>Critical</t>
        </is>
      </c>
      <c r="AP338" t="inlineStr">
        <is>
          <t>On Track to Glide Path</t>
        </is>
      </c>
    </row>
    <row r="339">
      <c r="A339" t="inlineStr">
        <is>
          <t>SUP-0022</t>
        </is>
      </c>
      <c r="B339" t="inlineStr">
        <is>
          <t>Chemicals Supplier 022</t>
        </is>
      </c>
      <c r="C339" t="inlineStr">
        <is>
          <t>Chemicals</t>
        </is>
      </c>
      <c r="D339" t="n">
        <v>2024</v>
      </c>
      <c r="E339" t="n">
        <v>2015</v>
      </c>
      <c r="F339" t="n">
        <v>2035</v>
      </c>
      <c r="G339" t="n">
        <v>20122.7364</v>
      </c>
      <c r="H339" t="n">
        <v>2114.3888</v>
      </c>
      <c r="I339" t="n">
        <v>1174.6508</v>
      </c>
      <c r="J339" t="n">
        <v>15427.4638</v>
      </c>
      <c r="K339" t="n">
        <v>20030017.08</v>
      </c>
      <c r="L339" t="n">
        <v>88354497.29000001</v>
      </c>
      <c r="M339" t="n">
        <v>20122.7364</v>
      </c>
      <c r="N339" t="inlineStr">
        <is>
          <t>Provided Total Emissions</t>
        </is>
      </c>
      <c r="O339" t="b">
        <v>1</v>
      </c>
      <c r="P339" t="n">
        <v>-0.012047</v>
      </c>
      <c r="Q339" t="n">
        <v>0.0162</v>
      </c>
      <c r="R339" t="n">
        <v>20059.8618</v>
      </c>
      <c r="S339" t="n">
        <v>41636.1733</v>
      </c>
      <c r="T339" t="n">
        <v>-62.8746</v>
      </c>
      <c r="U339" t="n">
        <v>21513.4369</v>
      </c>
      <c r="V339" t="n">
        <v>-0.003125</v>
      </c>
      <c r="W339" t="n">
        <v>1.069111</v>
      </c>
      <c r="X339" t="inlineStr">
        <is>
          <t>High</t>
        </is>
      </c>
      <c r="Y339" t="inlineStr">
        <is>
          <t>None</t>
        </is>
      </c>
      <c r="Z339" t="inlineStr">
        <is>
          <t>Valid</t>
        </is>
      </c>
      <c r="AA339" t="n">
        <v>2026</v>
      </c>
      <c r="AB339" t="inlineStr">
        <is>
          <t>Industry Haircut Pathway</t>
        </is>
      </c>
      <c r="AC339" t="n">
        <v>22441.9259</v>
      </c>
      <c r="AD339" t="n">
        <v>10707.0428</v>
      </c>
      <c r="AE339" t="n">
        <v>15987.7402</v>
      </c>
      <c r="AF339" t="n">
        <v>15987.7402</v>
      </c>
      <c r="AG339" t="n">
        <v>6454.1857</v>
      </c>
      <c r="AH339" t="n">
        <v>0.0007981900000000001</v>
      </c>
      <c r="AI339" t="n">
        <v>0.287595</v>
      </c>
      <c r="AJ339" t="n">
        <v>5280.6974</v>
      </c>
      <c r="AK339" t="n">
        <v>586.7442</v>
      </c>
      <c r="AL339" t="n">
        <v>85215.24619999999</v>
      </c>
      <c r="AM339" t="n">
        <v>32562.2246</v>
      </c>
      <c r="AN339" t="n">
        <v>0.95</v>
      </c>
      <c r="AO339" t="inlineStr">
        <is>
          <t>Critical</t>
        </is>
      </c>
      <c r="AP339" t="inlineStr">
        <is>
          <t>On Track to Glide Path</t>
        </is>
      </c>
    </row>
    <row r="340">
      <c r="A340" t="inlineStr">
        <is>
          <t>SUP-0022</t>
        </is>
      </c>
      <c r="B340" t="inlineStr">
        <is>
          <t>Chemicals Supplier 022</t>
        </is>
      </c>
      <c r="C340" t="inlineStr">
        <is>
          <t>Chemicals</t>
        </is>
      </c>
      <c r="D340" t="n">
        <v>2024</v>
      </c>
      <c r="E340" t="n">
        <v>2015</v>
      </c>
      <c r="F340" t="n">
        <v>2035</v>
      </c>
      <c r="G340" t="n">
        <v>20122.7364</v>
      </c>
      <c r="H340" t="n">
        <v>2114.3888</v>
      </c>
      <c r="I340" t="n">
        <v>1174.6508</v>
      </c>
      <c r="J340" t="n">
        <v>15427.4638</v>
      </c>
      <c r="K340" t="n">
        <v>20030017.08</v>
      </c>
      <c r="L340" t="n">
        <v>88354497.29000001</v>
      </c>
      <c r="M340" t="n">
        <v>20122.7364</v>
      </c>
      <c r="N340" t="inlineStr">
        <is>
          <t>Provided Total Emissions</t>
        </is>
      </c>
      <c r="O340" t="b">
        <v>1</v>
      </c>
      <c r="P340" t="n">
        <v>-0.012047</v>
      </c>
      <c r="Q340" t="n">
        <v>0.0162</v>
      </c>
      <c r="R340" t="n">
        <v>20059.8618</v>
      </c>
      <c r="S340" t="n">
        <v>41636.1733</v>
      </c>
      <c r="T340" t="n">
        <v>-62.8746</v>
      </c>
      <c r="U340" t="n">
        <v>21513.4369</v>
      </c>
      <c r="V340" t="n">
        <v>-0.003125</v>
      </c>
      <c r="W340" t="n">
        <v>1.069111</v>
      </c>
      <c r="X340" t="inlineStr">
        <is>
          <t>High</t>
        </is>
      </c>
      <c r="Y340" t="inlineStr">
        <is>
          <t>None</t>
        </is>
      </c>
      <c r="Z340" t="inlineStr">
        <is>
          <t>Valid</t>
        </is>
      </c>
      <c r="AA340" t="n">
        <v>2027</v>
      </c>
      <c r="AB340" t="inlineStr">
        <is>
          <t>Industry Haircut Pathway</t>
        </is>
      </c>
      <c r="AC340" t="n">
        <v>22441.9259</v>
      </c>
      <c r="AD340" t="n">
        <v>10707.0428</v>
      </c>
      <c r="AE340" t="n">
        <v>15400.9961</v>
      </c>
      <c r="AF340" t="n">
        <v>15400.9961</v>
      </c>
      <c r="AG340" t="n">
        <v>7040.9298</v>
      </c>
      <c r="AH340" t="n">
        <v>0.0007689</v>
      </c>
      <c r="AI340" t="n">
        <v>0.31374</v>
      </c>
      <c r="AJ340" t="n">
        <v>4693.9532</v>
      </c>
      <c r="AK340" t="n">
        <v>586.7442</v>
      </c>
      <c r="AL340" t="n">
        <v>69814.2501</v>
      </c>
      <c r="AM340" t="n">
        <v>47963.2207</v>
      </c>
      <c r="AN340" t="n">
        <v>0.95</v>
      </c>
      <c r="AO340" t="inlineStr">
        <is>
          <t>Critical</t>
        </is>
      </c>
      <c r="AP340" t="inlineStr">
        <is>
          <t>On Track to Glide Path</t>
        </is>
      </c>
    </row>
    <row r="341">
      <c r="A341" t="inlineStr">
        <is>
          <t>SUP-0022</t>
        </is>
      </c>
      <c r="B341" t="inlineStr">
        <is>
          <t>Chemicals Supplier 022</t>
        </is>
      </c>
      <c r="C341" t="inlineStr">
        <is>
          <t>Chemicals</t>
        </is>
      </c>
      <c r="D341" t="n">
        <v>2024</v>
      </c>
      <c r="E341" t="n">
        <v>2015</v>
      </c>
      <c r="F341" t="n">
        <v>2035</v>
      </c>
      <c r="G341" t="n">
        <v>20122.7364</v>
      </c>
      <c r="H341" t="n">
        <v>2114.3888</v>
      </c>
      <c r="I341" t="n">
        <v>1174.6508</v>
      </c>
      <c r="J341" t="n">
        <v>15427.4638</v>
      </c>
      <c r="K341" t="n">
        <v>20030017.08</v>
      </c>
      <c r="L341" t="n">
        <v>88354497.29000001</v>
      </c>
      <c r="M341" t="n">
        <v>20122.7364</v>
      </c>
      <c r="N341" t="inlineStr">
        <is>
          <t>Provided Total Emissions</t>
        </is>
      </c>
      <c r="O341" t="b">
        <v>1</v>
      </c>
      <c r="P341" t="n">
        <v>-0.012047</v>
      </c>
      <c r="Q341" t="n">
        <v>0.0162</v>
      </c>
      <c r="R341" t="n">
        <v>20059.8618</v>
      </c>
      <c r="S341" t="n">
        <v>41636.1733</v>
      </c>
      <c r="T341" t="n">
        <v>-62.8746</v>
      </c>
      <c r="U341" t="n">
        <v>21513.4369</v>
      </c>
      <c r="V341" t="n">
        <v>-0.003125</v>
      </c>
      <c r="W341" t="n">
        <v>1.069111</v>
      </c>
      <c r="X341" t="inlineStr">
        <is>
          <t>High</t>
        </is>
      </c>
      <c r="Y341" t="inlineStr">
        <is>
          <t>None</t>
        </is>
      </c>
      <c r="Z341" t="inlineStr">
        <is>
          <t>Valid</t>
        </is>
      </c>
      <c r="AA341" t="n">
        <v>2028</v>
      </c>
      <c r="AB341" t="inlineStr">
        <is>
          <t>Industry Haircut Pathway</t>
        </is>
      </c>
      <c r="AC341" t="n">
        <v>22441.9259</v>
      </c>
      <c r="AD341" t="n">
        <v>10707.0428</v>
      </c>
      <c r="AE341" t="n">
        <v>14814.2519</v>
      </c>
      <c r="AF341" t="n">
        <v>14814.2519</v>
      </c>
      <c r="AG341" t="n">
        <v>7627.674</v>
      </c>
      <c r="AH341" t="n">
        <v>0.0007396</v>
      </c>
      <c r="AI341" t="n">
        <v>0.339885</v>
      </c>
      <c r="AJ341" t="n">
        <v>4107.2091</v>
      </c>
      <c r="AK341" t="n">
        <v>586.7442</v>
      </c>
      <c r="AL341" t="n">
        <v>54999.9982</v>
      </c>
      <c r="AM341" t="n">
        <v>62777.4726</v>
      </c>
      <c r="AN341" t="n">
        <v>0.95</v>
      </c>
      <c r="AO341" t="inlineStr">
        <is>
          <t>Critical</t>
        </is>
      </c>
      <c r="AP341" t="inlineStr">
        <is>
          <t>On Track to Glide Path</t>
        </is>
      </c>
    </row>
    <row r="342">
      <c r="A342" t="inlineStr">
        <is>
          <t>SUP-0022</t>
        </is>
      </c>
      <c r="B342" t="inlineStr">
        <is>
          <t>Chemicals Supplier 022</t>
        </is>
      </c>
      <c r="C342" t="inlineStr">
        <is>
          <t>Chemicals</t>
        </is>
      </c>
      <c r="D342" t="n">
        <v>2024</v>
      </c>
      <c r="E342" t="n">
        <v>2015</v>
      </c>
      <c r="F342" t="n">
        <v>2035</v>
      </c>
      <c r="G342" t="n">
        <v>20122.7364</v>
      </c>
      <c r="H342" t="n">
        <v>2114.3888</v>
      </c>
      <c r="I342" t="n">
        <v>1174.6508</v>
      </c>
      <c r="J342" t="n">
        <v>15427.4638</v>
      </c>
      <c r="K342" t="n">
        <v>20030017.08</v>
      </c>
      <c r="L342" t="n">
        <v>88354497.29000001</v>
      </c>
      <c r="M342" t="n">
        <v>20122.7364</v>
      </c>
      <c r="N342" t="inlineStr">
        <is>
          <t>Provided Total Emissions</t>
        </is>
      </c>
      <c r="O342" t="b">
        <v>1</v>
      </c>
      <c r="P342" t="n">
        <v>-0.012047</v>
      </c>
      <c r="Q342" t="n">
        <v>0.0162</v>
      </c>
      <c r="R342" t="n">
        <v>20059.8618</v>
      </c>
      <c r="S342" t="n">
        <v>41636.1733</v>
      </c>
      <c r="T342" t="n">
        <v>-62.8746</v>
      </c>
      <c r="U342" t="n">
        <v>21513.4369</v>
      </c>
      <c r="V342" t="n">
        <v>-0.003125</v>
      </c>
      <c r="W342" t="n">
        <v>1.069111</v>
      </c>
      <c r="X342" t="inlineStr">
        <is>
          <t>High</t>
        </is>
      </c>
      <c r="Y342" t="inlineStr">
        <is>
          <t>None</t>
        </is>
      </c>
      <c r="Z342" t="inlineStr">
        <is>
          <t>Valid</t>
        </is>
      </c>
      <c r="AA342" t="n">
        <v>2029</v>
      </c>
      <c r="AB342" t="inlineStr">
        <is>
          <t>Industry Haircut Pathway</t>
        </is>
      </c>
      <c r="AC342" t="n">
        <v>22441.9259</v>
      </c>
      <c r="AD342" t="n">
        <v>10707.0428</v>
      </c>
      <c r="AE342" t="n">
        <v>14227.5078</v>
      </c>
      <c r="AF342" t="n">
        <v>14227.5078</v>
      </c>
      <c r="AG342" t="n">
        <v>8214.418100000001</v>
      </c>
      <c r="AH342" t="n">
        <v>0.00071031</v>
      </c>
      <c r="AI342" t="n">
        <v>0.36603</v>
      </c>
      <c r="AJ342" t="n">
        <v>3520.4649</v>
      </c>
      <c r="AK342" t="n">
        <v>586.7442</v>
      </c>
      <c r="AL342" t="n">
        <v>40772.4904</v>
      </c>
      <c r="AM342" t="n">
        <v>77004.9804</v>
      </c>
      <c r="AN342" t="n">
        <v>0.95</v>
      </c>
      <c r="AO342" t="inlineStr">
        <is>
          <t>High</t>
        </is>
      </c>
      <c r="AP342" t="inlineStr">
        <is>
          <t>On Track to Glide Path</t>
        </is>
      </c>
    </row>
    <row r="343">
      <c r="A343" t="inlineStr">
        <is>
          <t>SUP-0022</t>
        </is>
      </c>
      <c r="B343" t="inlineStr">
        <is>
          <t>Chemicals Supplier 022</t>
        </is>
      </c>
      <c r="C343" t="inlineStr">
        <is>
          <t>Chemicals</t>
        </is>
      </c>
      <c r="D343" t="n">
        <v>2024</v>
      </c>
      <c r="E343" t="n">
        <v>2015</v>
      </c>
      <c r="F343" t="n">
        <v>2035</v>
      </c>
      <c r="G343" t="n">
        <v>20122.7364</v>
      </c>
      <c r="H343" t="n">
        <v>2114.3888</v>
      </c>
      <c r="I343" t="n">
        <v>1174.6508</v>
      </c>
      <c r="J343" t="n">
        <v>15427.4638</v>
      </c>
      <c r="K343" t="n">
        <v>20030017.08</v>
      </c>
      <c r="L343" t="n">
        <v>88354497.29000001</v>
      </c>
      <c r="M343" t="n">
        <v>20122.7364</v>
      </c>
      <c r="N343" t="inlineStr">
        <is>
          <t>Provided Total Emissions</t>
        </is>
      </c>
      <c r="O343" t="b">
        <v>1</v>
      </c>
      <c r="P343" t="n">
        <v>-0.012047</v>
      </c>
      <c r="Q343" t="n">
        <v>0.0162</v>
      </c>
      <c r="R343" t="n">
        <v>20059.8618</v>
      </c>
      <c r="S343" t="n">
        <v>41636.1733</v>
      </c>
      <c r="T343" t="n">
        <v>-62.8746</v>
      </c>
      <c r="U343" t="n">
        <v>21513.4369</v>
      </c>
      <c r="V343" t="n">
        <v>-0.003125</v>
      </c>
      <c r="W343" t="n">
        <v>1.069111</v>
      </c>
      <c r="X343" t="inlineStr">
        <is>
          <t>High</t>
        </is>
      </c>
      <c r="Y343" t="inlineStr">
        <is>
          <t>None</t>
        </is>
      </c>
      <c r="Z343" t="inlineStr">
        <is>
          <t>Valid</t>
        </is>
      </c>
      <c r="AA343" t="n">
        <v>2030</v>
      </c>
      <c r="AB343" t="inlineStr">
        <is>
          <t>Industry Haircut Pathway</t>
        </is>
      </c>
      <c r="AC343" t="n">
        <v>22441.9259</v>
      </c>
      <c r="AD343" t="n">
        <v>10707.0428</v>
      </c>
      <c r="AE343" t="n">
        <v>13640.7636</v>
      </c>
      <c r="AF343" t="n">
        <v>13640.7636</v>
      </c>
      <c r="AG343" t="n">
        <v>8801.1623</v>
      </c>
      <c r="AH343" t="n">
        <v>0.00068102</v>
      </c>
      <c r="AI343" t="n">
        <v>0.392175</v>
      </c>
      <c r="AJ343" t="n">
        <v>2933.7208</v>
      </c>
      <c r="AK343" t="n">
        <v>586.7442</v>
      </c>
      <c r="AL343" t="n">
        <v>27131.7268</v>
      </c>
      <c r="AM343" t="n">
        <v>90645.74400000001</v>
      </c>
      <c r="AN343" t="n">
        <v>0.95</v>
      </c>
      <c r="AO343" t="inlineStr">
        <is>
          <t>High</t>
        </is>
      </c>
      <c r="AP343" t="inlineStr">
        <is>
          <t>On Track to Glide Path</t>
        </is>
      </c>
    </row>
    <row r="344">
      <c r="A344" t="inlineStr">
        <is>
          <t>SUP-0022</t>
        </is>
      </c>
      <c r="B344" t="inlineStr">
        <is>
          <t>Chemicals Supplier 022</t>
        </is>
      </c>
      <c r="C344" t="inlineStr">
        <is>
          <t>Chemicals</t>
        </is>
      </c>
      <c r="D344" t="n">
        <v>2024</v>
      </c>
      <c r="E344" t="n">
        <v>2015</v>
      </c>
      <c r="F344" t="n">
        <v>2035</v>
      </c>
      <c r="G344" t="n">
        <v>20122.7364</v>
      </c>
      <c r="H344" t="n">
        <v>2114.3888</v>
      </c>
      <c r="I344" t="n">
        <v>1174.6508</v>
      </c>
      <c r="J344" t="n">
        <v>15427.4638</v>
      </c>
      <c r="K344" t="n">
        <v>20030017.08</v>
      </c>
      <c r="L344" t="n">
        <v>88354497.29000001</v>
      </c>
      <c r="M344" t="n">
        <v>20122.7364</v>
      </c>
      <c r="N344" t="inlineStr">
        <is>
          <t>Provided Total Emissions</t>
        </is>
      </c>
      <c r="O344" t="b">
        <v>1</v>
      </c>
      <c r="P344" t="n">
        <v>-0.012047</v>
      </c>
      <c r="Q344" t="n">
        <v>0.0162</v>
      </c>
      <c r="R344" t="n">
        <v>20059.8618</v>
      </c>
      <c r="S344" t="n">
        <v>41636.1733</v>
      </c>
      <c r="T344" t="n">
        <v>-62.8746</v>
      </c>
      <c r="U344" t="n">
        <v>21513.4369</v>
      </c>
      <c r="V344" t="n">
        <v>-0.003125</v>
      </c>
      <c r="W344" t="n">
        <v>1.069111</v>
      </c>
      <c r="X344" t="inlineStr">
        <is>
          <t>High</t>
        </is>
      </c>
      <c r="Y344" t="inlineStr">
        <is>
          <t>None</t>
        </is>
      </c>
      <c r="Z344" t="inlineStr">
        <is>
          <t>Valid</t>
        </is>
      </c>
      <c r="AA344" t="n">
        <v>2031</v>
      </c>
      <c r="AB344" t="inlineStr">
        <is>
          <t>Industry Haircut Pathway</t>
        </is>
      </c>
      <c r="AC344" t="n">
        <v>22441.9259</v>
      </c>
      <c r="AD344" t="n">
        <v>10707.0428</v>
      </c>
      <c r="AE344" t="n">
        <v>13054.0195</v>
      </c>
      <c r="AF344" t="n">
        <v>13054.0195</v>
      </c>
      <c r="AG344" t="n">
        <v>9387.9064</v>
      </c>
      <c r="AH344" t="n">
        <v>0.0006517199999999999</v>
      </c>
      <c r="AI344" t="n">
        <v>0.41832</v>
      </c>
      <c r="AJ344" t="n">
        <v>2346.9766</v>
      </c>
      <c r="AK344" t="n">
        <v>586.7442</v>
      </c>
      <c r="AL344" t="n">
        <v>14077.7073</v>
      </c>
      <c r="AM344" t="n">
        <v>103699.7635</v>
      </c>
      <c r="AN344" t="n">
        <v>0.95</v>
      </c>
      <c r="AO344" t="inlineStr">
        <is>
          <t>High</t>
        </is>
      </c>
      <c r="AP344" t="inlineStr">
        <is>
          <t>On Track to Glide Path</t>
        </is>
      </c>
    </row>
    <row r="345">
      <c r="A345" t="inlineStr">
        <is>
          <t>SUP-0022</t>
        </is>
      </c>
      <c r="B345" t="inlineStr">
        <is>
          <t>Chemicals Supplier 022</t>
        </is>
      </c>
      <c r="C345" t="inlineStr">
        <is>
          <t>Chemicals</t>
        </is>
      </c>
      <c r="D345" t="n">
        <v>2024</v>
      </c>
      <c r="E345" t="n">
        <v>2015</v>
      </c>
      <c r="F345" t="n">
        <v>2035</v>
      </c>
      <c r="G345" t="n">
        <v>20122.7364</v>
      </c>
      <c r="H345" t="n">
        <v>2114.3888</v>
      </c>
      <c r="I345" t="n">
        <v>1174.6508</v>
      </c>
      <c r="J345" t="n">
        <v>15427.4638</v>
      </c>
      <c r="K345" t="n">
        <v>20030017.08</v>
      </c>
      <c r="L345" t="n">
        <v>88354497.29000001</v>
      </c>
      <c r="M345" t="n">
        <v>20122.7364</v>
      </c>
      <c r="N345" t="inlineStr">
        <is>
          <t>Provided Total Emissions</t>
        </is>
      </c>
      <c r="O345" t="b">
        <v>1</v>
      </c>
      <c r="P345" t="n">
        <v>-0.012047</v>
      </c>
      <c r="Q345" t="n">
        <v>0.0162</v>
      </c>
      <c r="R345" t="n">
        <v>20059.8618</v>
      </c>
      <c r="S345" t="n">
        <v>41636.1733</v>
      </c>
      <c r="T345" t="n">
        <v>-62.8746</v>
      </c>
      <c r="U345" t="n">
        <v>21513.4369</v>
      </c>
      <c r="V345" t="n">
        <v>-0.003125</v>
      </c>
      <c r="W345" t="n">
        <v>1.069111</v>
      </c>
      <c r="X345" t="inlineStr">
        <is>
          <t>High</t>
        </is>
      </c>
      <c r="Y345" t="inlineStr">
        <is>
          <t>None</t>
        </is>
      </c>
      <c r="Z345" t="inlineStr">
        <is>
          <t>Valid</t>
        </is>
      </c>
      <c r="AA345" t="n">
        <v>2032</v>
      </c>
      <c r="AB345" t="inlineStr">
        <is>
          <t>Industry Haircut Pathway</t>
        </is>
      </c>
      <c r="AC345" t="n">
        <v>22441.9259</v>
      </c>
      <c r="AD345" t="n">
        <v>10707.0428</v>
      </c>
      <c r="AE345" t="n">
        <v>12467.2753</v>
      </c>
      <c r="AF345" t="n">
        <v>12467.2753</v>
      </c>
      <c r="AG345" t="n">
        <v>9974.650600000001</v>
      </c>
      <c r="AH345" t="n">
        <v>0.00062243</v>
      </c>
      <c r="AI345" t="n">
        <v>0.444465</v>
      </c>
      <c r="AJ345" t="n">
        <v>1760.2325</v>
      </c>
      <c r="AK345" t="n">
        <v>586.7442</v>
      </c>
      <c r="AL345" t="n">
        <v>1610.432</v>
      </c>
      <c r="AM345" t="n">
        <v>116167.0388</v>
      </c>
      <c r="AN345" t="n">
        <v>0.95</v>
      </c>
      <c r="AO345" t="inlineStr">
        <is>
          <t>High</t>
        </is>
      </c>
      <c r="AP345" t="inlineStr">
        <is>
          <t>On Track to Glide Path</t>
        </is>
      </c>
    </row>
    <row r="346">
      <c r="A346" t="inlineStr">
        <is>
          <t>SUP-0022</t>
        </is>
      </c>
      <c r="B346" t="inlineStr">
        <is>
          <t>Chemicals Supplier 022</t>
        </is>
      </c>
      <c r="C346" t="inlineStr">
        <is>
          <t>Chemicals</t>
        </is>
      </c>
      <c r="D346" t="n">
        <v>2024</v>
      </c>
      <c r="E346" t="n">
        <v>2015</v>
      </c>
      <c r="F346" t="n">
        <v>2035</v>
      </c>
      <c r="G346" t="n">
        <v>20122.7364</v>
      </c>
      <c r="H346" t="n">
        <v>2114.3888</v>
      </c>
      <c r="I346" t="n">
        <v>1174.6508</v>
      </c>
      <c r="J346" t="n">
        <v>15427.4638</v>
      </c>
      <c r="K346" t="n">
        <v>20030017.08</v>
      </c>
      <c r="L346" t="n">
        <v>88354497.29000001</v>
      </c>
      <c r="M346" t="n">
        <v>20122.7364</v>
      </c>
      <c r="N346" t="inlineStr">
        <is>
          <t>Provided Total Emissions</t>
        </is>
      </c>
      <c r="O346" t="b">
        <v>1</v>
      </c>
      <c r="P346" t="n">
        <v>-0.012047</v>
      </c>
      <c r="Q346" t="n">
        <v>0.0162</v>
      </c>
      <c r="R346" t="n">
        <v>20059.8618</v>
      </c>
      <c r="S346" t="n">
        <v>41636.1733</v>
      </c>
      <c r="T346" t="n">
        <v>-62.8746</v>
      </c>
      <c r="U346" t="n">
        <v>21513.4369</v>
      </c>
      <c r="V346" t="n">
        <v>-0.003125</v>
      </c>
      <c r="W346" t="n">
        <v>1.069111</v>
      </c>
      <c r="X346" t="inlineStr">
        <is>
          <t>High</t>
        </is>
      </c>
      <c r="Y346" t="inlineStr">
        <is>
          <t>None</t>
        </is>
      </c>
      <c r="Z346" t="inlineStr">
        <is>
          <t>Valid</t>
        </is>
      </c>
      <c r="AA346" t="n">
        <v>2033</v>
      </c>
      <c r="AB346" t="inlineStr">
        <is>
          <t>Industry Haircut Pathway</t>
        </is>
      </c>
      <c r="AC346" t="n">
        <v>22441.9259</v>
      </c>
      <c r="AD346" t="n">
        <v>10707.0428</v>
      </c>
      <c r="AE346" t="n">
        <v>11880.5312</v>
      </c>
      <c r="AF346" t="n">
        <v>11880.5312</v>
      </c>
      <c r="AG346" t="n">
        <v>10561.3947</v>
      </c>
      <c r="AH346" t="n">
        <v>0.00059314</v>
      </c>
      <c r="AI346" t="n">
        <v>0.47061</v>
      </c>
      <c r="AJ346" t="n">
        <v>1173.4883</v>
      </c>
      <c r="AK346" t="n">
        <v>586.7442</v>
      </c>
      <c r="AL346" t="n">
        <v>-10270.0992</v>
      </c>
      <c r="AM346" t="n">
        <v>128047.57</v>
      </c>
      <c r="AN346" t="n">
        <v>0.95</v>
      </c>
      <c r="AO346" t="inlineStr">
        <is>
          <t>Medium</t>
        </is>
      </c>
      <c r="AP346" t="inlineStr">
        <is>
          <t>On Track to Glide Path</t>
        </is>
      </c>
    </row>
    <row r="347">
      <c r="A347" t="inlineStr">
        <is>
          <t>SUP-0022</t>
        </is>
      </c>
      <c r="B347" t="inlineStr">
        <is>
          <t>Chemicals Supplier 022</t>
        </is>
      </c>
      <c r="C347" t="inlineStr">
        <is>
          <t>Chemicals</t>
        </is>
      </c>
      <c r="D347" t="n">
        <v>2024</v>
      </c>
      <c r="E347" t="n">
        <v>2015</v>
      </c>
      <c r="F347" t="n">
        <v>2035</v>
      </c>
      <c r="G347" t="n">
        <v>20122.7364</v>
      </c>
      <c r="H347" t="n">
        <v>2114.3888</v>
      </c>
      <c r="I347" t="n">
        <v>1174.6508</v>
      </c>
      <c r="J347" t="n">
        <v>15427.4638</v>
      </c>
      <c r="K347" t="n">
        <v>20030017.08</v>
      </c>
      <c r="L347" t="n">
        <v>88354497.29000001</v>
      </c>
      <c r="M347" t="n">
        <v>20122.7364</v>
      </c>
      <c r="N347" t="inlineStr">
        <is>
          <t>Provided Total Emissions</t>
        </is>
      </c>
      <c r="O347" t="b">
        <v>1</v>
      </c>
      <c r="P347" t="n">
        <v>-0.012047</v>
      </c>
      <c r="Q347" t="n">
        <v>0.0162</v>
      </c>
      <c r="R347" t="n">
        <v>20059.8618</v>
      </c>
      <c r="S347" t="n">
        <v>41636.1733</v>
      </c>
      <c r="T347" t="n">
        <v>-62.8746</v>
      </c>
      <c r="U347" t="n">
        <v>21513.4369</v>
      </c>
      <c r="V347" t="n">
        <v>-0.003125</v>
      </c>
      <c r="W347" t="n">
        <v>1.069111</v>
      </c>
      <c r="X347" t="inlineStr">
        <is>
          <t>High</t>
        </is>
      </c>
      <c r="Y347" t="inlineStr">
        <is>
          <t>None</t>
        </is>
      </c>
      <c r="Z347" t="inlineStr">
        <is>
          <t>Valid</t>
        </is>
      </c>
      <c r="AA347" t="n">
        <v>2034</v>
      </c>
      <c r="AB347" t="inlineStr">
        <is>
          <t>Industry Haircut Pathway</t>
        </is>
      </c>
      <c r="AC347" t="n">
        <v>22441.9259</v>
      </c>
      <c r="AD347" t="n">
        <v>10707.0428</v>
      </c>
      <c r="AE347" t="n">
        <v>11293.787</v>
      </c>
      <c r="AF347" t="n">
        <v>11293.787</v>
      </c>
      <c r="AG347" t="n">
        <v>11148.1389</v>
      </c>
      <c r="AH347" t="n">
        <v>0.00056384</v>
      </c>
      <c r="AI347" t="n">
        <v>0.496755</v>
      </c>
      <c r="AJ347" t="n">
        <v>586.7442</v>
      </c>
      <c r="AK347" t="n">
        <v>586.7442</v>
      </c>
      <c r="AL347" t="n">
        <v>-21563.8862</v>
      </c>
      <c r="AM347" t="n">
        <v>139341.357</v>
      </c>
      <c r="AN347" t="n">
        <v>0.95</v>
      </c>
      <c r="AO347" t="inlineStr">
        <is>
          <t>Medium</t>
        </is>
      </c>
      <c r="AP347" t="inlineStr">
        <is>
          <t>On Track to Glide Path</t>
        </is>
      </c>
    </row>
    <row r="348">
      <c r="A348" t="inlineStr">
        <is>
          <t>SUP-0022</t>
        </is>
      </c>
      <c r="B348" t="inlineStr">
        <is>
          <t>Chemicals Supplier 022</t>
        </is>
      </c>
      <c r="C348" t="inlineStr">
        <is>
          <t>Chemicals</t>
        </is>
      </c>
      <c r="D348" t="n">
        <v>2024</v>
      </c>
      <c r="E348" t="n">
        <v>2015</v>
      </c>
      <c r="F348" t="n">
        <v>2035</v>
      </c>
      <c r="G348" t="n">
        <v>20122.7364</v>
      </c>
      <c r="H348" t="n">
        <v>2114.3888</v>
      </c>
      <c r="I348" t="n">
        <v>1174.6508</v>
      </c>
      <c r="J348" t="n">
        <v>15427.4638</v>
      </c>
      <c r="K348" t="n">
        <v>20030017.08</v>
      </c>
      <c r="L348" t="n">
        <v>88354497.29000001</v>
      </c>
      <c r="M348" t="n">
        <v>20122.7364</v>
      </c>
      <c r="N348" t="inlineStr">
        <is>
          <t>Provided Total Emissions</t>
        </is>
      </c>
      <c r="O348" t="b">
        <v>1</v>
      </c>
      <c r="P348" t="n">
        <v>-0.012047</v>
      </c>
      <c r="Q348" t="n">
        <v>0.0162</v>
      </c>
      <c r="R348" t="n">
        <v>20059.8618</v>
      </c>
      <c r="S348" t="n">
        <v>41636.1733</v>
      </c>
      <c r="T348" t="n">
        <v>-62.8746</v>
      </c>
      <c r="U348" t="n">
        <v>21513.4369</v>
      </c>
      <c r="V348" t="n">
        <v>-0.003125</v>
      </c>
      <c r="W348" t="n">
        <v>1.069111</v>
      </c>
      <c r="X348" t="inlineStr">
        <is>
          <t>High</t>
        </is>
      </c>
      <c r="Y348" t="inlineStr">
        <is>
          <t>None</t>
        </is>
      </c>
      <c r="Z348" t="inlineStr">
        <is>
          <t>Valid</t>
        </is>
      </c>
      <c r="AA348" t="n">
        <v>2035</v>
      </c>
      <c r="AB348" t="inlineStr">
        <is>
          <t>Industry Haircut Pathway</t>
        </is>
      </c>
      <c r="AC348" t="n">
        <v>22441.9259</v>
      </c>
      <c r="AD348" t="n">
        <v>10707.0428</v>
      </c>
      <c r="AE348" t="n">
        <v>10707.0428</v>
      </c>
      <c r="AF348" t="n">
        <v>10707.0428</v>
      </c>
      <c r="AG348" t="n">
        <v>11734.8831</v>
      </c>
      <c r="AH348" t="n">
        <v>0.00053455</v>
      </c>
      <c r="AI348" t="n">
        <v>0.5229</v>
      </c>
      <c r="AJ348" t="n">
        <v>0</v>
      </c>
      <c r="AK348" t="n">
        <v>586.7442</v>
      </c>
      <c r="AL348" t="n">
        <v>-32270.929</v>
      </c>
      <c r="AM348" t="n">
        <v>150048.3998</v>
      </c>
      <c r="AN348" t="n">
        <v>0.95</v>
      </c>
      <c r="AO348" t="inlineStr">
        <is>
          <t>Low</t>
        </is>
      </c>
      <c r="AP348" t="inlineStr">
        <is>
          <t>On Track</t>
        </is>
      </c>
    </row>
    <row r="349">
      <c r="A349" t="inlineStr">
        <is>
          <t>SUP-0022</t>
        </is>
      </c>
      <c r="B349" t="inlineStr">
        <is>
          <t>Chemicals Supplier 022</t>
        </is>
      </c>
      <c r="C349" t="inlineStr">
        <is>
          <t>Chemicals</t>
        </is>
      </c>
      <c r="D349" t="n">
        <v>2024</v>
      </c>
      <c r="E349" t="n">
        <v>2015</v>
      </c>
      <c r="F349" t="n">
        <v>2035</v>
      </c>
      <c r="G349" t="n">
        <v>20122.7364</v>
      </c>
      <c r="H349" t="n">
        <v>2114.3888</v>
      </c>
      <c r="I349" t="n">
        <v>1174.6508</v>
      </c>
      <c r="J349" t="n">
        <v>15427.4638</v>
      </c>
      <c r="K349" t="n">
        <v>20030017.08</v>
      </c>
      <c r="L349" t="n">
        <v>88354497.29000001</v>
      </c>
      <c r="M349" t="n">
        <v>20122.7364</v>
      </c>
      <c r="N349" t="inlineStr">
        <is>
          <t>Provided Total Emissions</t>
        </is>
      </c>
      <c r="O349" t="b">
        <v>1</v>
      </c>
      <c r="P349" t="n">
        <v>-0.012047</v>
      </c>
      <c r="Q349" t="n">
        <v>0.0162</v>
      </c>
      <c r="R349" t="n">
        <v>20059.8618</v>
      </c>
      <c r="S349" t="n">
        <v>41636.1733</v>
      </c>
      <c r="T349" t="n">
        <v>-62.8746</v>
      </c>
      <c r="U349" t="n">
        <v>21513.4369</v>
      </c>
      <c r="V349" t="n">
        <v>-0.003125</v>
      </c>
      <c r="W349" t="n">
        <v>1.069111</v>
      </c>
      <c r="X349" t="inlineStr">
        <is>
          <t>High</t>
        </is>
      </c>
      <c r="Y349" t="inlineStr">
        <is>
          <t>None</t>
        </is>
      </c>
      <c r="Z349" t="inlineStr">
        <is>
          <t>Valid</t>
        </is>
      </c>
      <c r="AA349" t="n">
        <v>2036</v>
      </c>
      <c r="AB349" t="inlineStr">
        <is>
          <t>Industry Haircut Pathway</t>
        </is>
      </c>
      <c r="AC349" t="n">
        <v>22441.9259</v>
      </c>
      <c r="AD349" t="n">
        <v>10707.0428</v>
      </c>
      <c r="AE349" t="n">
        <v>10707.0428</v>
      </c>
      <c r="AF349" t="n">
        <v>10707.0428</v>
      </c>
      <c r="AG349" t="n">
        <v>11734.8831</v>
      </c>
      <c r="AH349" t="n">
        <v>0.00053455</v>
      </c>
      <c r="AI349" t="n">
        <v>0.5229</v>
      </c>
      <c r="AJ349" t="n">
        <v>0</v>
      </c>
      <c r="AK349" t="n">
        <v>586.7442</v>
      </c>
      <c r="AL349" t="n">
        <v>-42977.9718</v>
      </c>
      <c r="AM349" t="n">
        <v>160755.4426</v>
      </c>
      <c r="AN349" t="n">
        <v>0.95</v>
      </c>
      <c r="AO349" t="inlineStr">
        <is>
          <t>Low</t>
        </is>
      </c>
      <c r="AP349" t="inlineStr">
        <is>
          <t>On Track</t>
        </is>
      </c>
    </row>
    <row r="350">
      <c r="A350" t="inlineStr">
        <is>
          <t>SUP-0022</t>
        </is>
      </c>
      <c r="B350" t="inlineStr">
        <is>
          <t>Chemicals Supplier 022</t>
        </is>
      </c>
      <c r="C350" t="inlineStr">
        <is>
          <t>Chemicals</t>
        </is>
      </c>
      <c r="D350" t="n">
        <v>2024</v>
      </c>
      <c r="E350" t="n">
        <v>2015</v>
      </c>
      <c r="F350" t="n">
        <v>2035</v>
      </c>
      <c r="G350" t="n">
        <v>20122.7364</v>
      </c>
      <c r="H350" t="n">
        <v>2114.3888</v>
      </c>
      <c r="I350" t="n">
        <v>1174.6508</v>
      </c>
      <c r="J350" t="n">
        <v>15427.4638</v>
      </c>
      <c r="K350" t="n">
        <v>20030017.08</v>
      </c>
      <c r="L350" t="n">
        <v>88354497.29000001</v>
      </c>
      <c r="M350" t="n">
        <v>20122.7364</v>
      </c>
      <c r="N350" t="inlineStr">
        <is>
          <t>Provided Total Emissions</t>
        </is>
      </c>
      <c r="O350" t="b">
        <v>1</v>
      </c>
      <c r="P350" t="n">
        <v>-0.012047</v>
      </c>
      <c r="Q350" t="n">
        <v>0.0162</v>
      </c>
      <c r="R350" t="n">
        <v>20059.8618</v>
      </c>
      <c r="S350" t="n">
        <v>41636.1733</v>
      </c>
      <c r="T350" t="n">
        <v>-62.8746</v>
      </c>
      <c r="U350" t="n">
        <v>21513.4369</v>
      </c>
      <c r="V350" t="n">
        <v>-0.003125</v>
      </c>
      <c r="W350" t="n">
        <v>1.069111</v>
      </c>
      <c r="X350" t="inlineStr">
        <is>
          <t>High</t>
        </is>
      </c>
      <c r="Y350" t="inlineStr">
        <is>
          <t>None</t>
        </is>
      </c>
      <c r="Z350" t="inlineStr">
        <is>
          <t>Valid</t>
        </is>
      </c>
      <c r="AA350" t="n">
        <v>2037</v>
      </c>
      <c r="AB350" t="inlineStr">
        <is>
          <t>Industry Haircut Pathway</t>
        </is>
      </c>
      <c r="AC350" t="n">
        <v>22441.9259</v>
      </c>
      <c r="AD350" t="n">
        <v>10707.0428</v>
      </c>
      <c r="AE350" t="n">
        <v>10707.0428</v>
      </c>
      <c r="AF350" t="n">
        <v>10707.0428</v>
      </c>
      <c r="AG350" t="n">
        <v>11734.8831</v>
      </c>
      <c r="AH350" t="n">
        <v>0.00053455</v>
      </c>
      <c r="AI350" t="n">
        <v>0.5229</v>
      </c>
      <c r="AJ350" t="n">
        <v>0</v>
      </c>
      <c r="AK350" t="n">
        <v>586.7442</v>
      </c>
      <c r="AL350" t="n">
        <v>-53685.0146</v>
      </c>
      <c r="AM350" t="n">
        <v>171462.4854</v>
      </c>
      <c r="AN350" t="n">
        <v>0.95</v>
      </c>
      <c r="AO350" t="inlineStr">
        <is>
          <t>Low</t>
        </is>
      </c>
      <c r="AP350" t="inlineStr">
        <is>
          <t>On Track</t>
        </is>
      </c>
    </row>
    <row r="351">
      <c r="A351" t="inlineStr">
        <is>
          <t>SUP-0022</t>
        </is>
      </c>
      <c r="B351" t="inlineStr">
        <is>
          <t>Chemicals Supplier 022</t>
        </is>
      </c>
      <c r="C351" t="inlineStr">
        <is>
          <t>Chemicals</t>
        </is>
      </c>
      <c r="D351" t="n">
        <v>2024</v>
      </c>
      <c r="E351" t="n">
        <v>2015</v>
      </c>
      <c r="F351" t="n">
        <v>2035</v>
      </c>
      <c r="G351" t="n">
        <v>20122.7364</v>
      </c>
      <c r="H351" t="n">
        <v>2114.3888</v>
      </c>
      <c r="I351" t="n">
        <v>1174.6508</v>
      </c>
      <c r="J351" t="n">
        <v>15427.4638</v>
      </c>
      <c r="K351" t="n">
        <v>20030017.08</v>
      </c>
      <c r="L351" t="n">
        <v>88354497.29000001</v>
      </c>
      <c r="M351" t="n">
        <v>20122.7364</v>
      </c>
      <c r="N351" t="inlineStr">
        <is>
          <t>Provided Total Emissions</t>
        </is>
      </c>
      <c r="O351" t="b">
        <v>1</v>
      </c>
      <c r="P351" t="n">
        <v>-0.012047</v>
      </c>
      <c r="Q351" t="n">
        <v>0.0162</v>
      </c>
      <c r="R351" t="n">
        <v>20059.8618</v>
      </c>
      <c r="S351" t="n">
        <v>41636.1733</v>
      </c>
      <c r="T351" t="n">
        <v>-62.8746</v>
      </c>
      <c r="U351" t="n">
        <v>21513.4369</v>
      </c>
      <c r="V351" t="n">
        <v>-0.003125</v>
      </c>
      <c r="W351" t="n">
        <v>1.069111</v>
      </c>
      <c r="X351" t="inlineStr">
        <is>
          <t>High</t>
        </is>
      </c>
      <c r="Y351" t="inlineStr">
        <is>
          <t>None</t>
        </is>
      </c>
      <c r="Z351" t="inlineStr">
        <is>
          <t>Valid</t>
        </is>
      </c>
      <c r="AA351" t="n">
        <v>2038</v>
      </c>
      <c r="AB351" t="inlineStr">
        <is>
          <t>Industry Haircut Pathway</t>
        </is>
      </c>
      <c r="AC351" t="n">
        <v>22441.9259</v>
      </c>
      <c r="AD351" t="n">
        <v>10707.0428</v>
      </c>
      <c r="AE351" t="n">
        <v>10707.0428</v>
      </c>
      <c r="AF351" t="n">
        <v>10707.0428</v>
      </c>
      <c r="AG351" t="n">
        <v>11734.8831</v>
      </c>
      <c r="AH351" t="n">
        <v>0.00053455</v>
      </c>
      <c r="AI351" t="n">
        <v>0.5229</v>
      </c>
      <c r="AJ351" t="n">
        <v>0</v>
      </c>
      <c r="AK351" t="n">
        <v>586.7442</v>
      </c>
      <c r="AL351" t="n">
        <v>-64392.0574</v>
      </c>
      <c r="AM351" t="n">
        <v>182169.5282</v>
      </c>
      <c r="AN351" t="n">
        <v>0.95</v>
      </c>
      <c r="AO351" t="inlineStr">
        <is>
          <t>Low</t>
        </is>
      </c>
      <c r="AP351" t="inlineStr">
        <is>
          <t>On Track</t>
        </is>
      </c>
    </row>
    <row r="352">
      <c r="A352" t="inlineStr">
        <is>
          <t>SUP-0022</t>
        </is>
      </c>
      <c r="B352" t="inlineStr">
        <is>
          <t>Chemicals Supplier 022</t>
        </is>
      </c>
      <c r="C352" t="inlineStr">
        <is>
          <t>Chemicals</t>
        </is>
      </c>
      <c r="D352" t="n">
        <v>2024</v>
      </c>
      <c r="E352" t="n">
        <v>2015</v>
      </c>
      <c r="F352" t="n">
        <v>2035</v>
      </c>
      <c r="G352" t="n">
        <v>20122.7364</v>
      </c>
      <c r="H352" t="n">
        <v>2114.3888</v>
      </c>
      <c r="I352" t="n">
        <v>1174.6508</v>
      </c>
      <c r="J352" t="n">
        <v>15427.4638</v>
      </c>
      <c r="K352" t="n">
        <v>20030017.08</v>
      </c>
      <c r="L352" t="n">
        <v>88354497.29000001</v>
      </c>
      <c r="M352" t="n">
        <v>20122.7364</v>
      </c>
      <c r="N352" t="inlineStr">
        <is>
          <t>Provided Total Emissions</t>
        </is>
      </c>
      <c r="O352" t="b">
        <v>1</v>
      </c>
      <c r="P352" t="n">
        <v>-0.012047</v>
      </c>
      <c r="Q352" t="n">
        <v>0.0162</v>
      </c>
      <c r="R352" t="n">
        <v>20059.8618</v>
      </c>
      <c r="S352" t="n">
        <v>41636.1733</v>
      </c>
      <c r="T352" t="n">
        <v>-62.8746</v>
      </c>
      <c r="U352" t="n">
        <v>21513.4369</v>
      </c>
      <c r="V352" t="n">
        <v>-0.003125</v>
      </c>
      <c r="W352" t="n">
        <v>1.069111</v>
      </c>
      <c r="X352" t="inlineStr">
        <is>
          <t>High</t>
        </is>
      </c>
      <c r="Y352" t="inlineStr">
        <is>
          <t>None</t>
        </is>
      </c>
      <c r="Z352" t="inlineStr">
        <is>
          <t>Valid</t>
        </is>
      </c>
      <c r="AA352" t="n">
        <v>2039</v>
      </c>
      <c r="AB352" t="inlineStr">
        <is>
          <t>Industry Haircut Pathway</t>
        </is>
      </c>
      <c r="AC352" t="n">
        <v>22441.9259</v>
      </c>
      <c r="AD352" t="n">
        <v>10707.0428</v>
      </c>
      <c r="AE352" t="n">
        <v>10707.0428</v>
      </c>
      <c r="AF352" t="n">
        <v>10707.0428</v>
      </c>
      <c r="AG352" t="n">
        <v>11734.8831</v>
      </c>
      <c r="AH352" t="n">
        <v>0.00053455</v>
      </c>
      <c r="AI352" t="n">
        <v>0.5229</v>
      </c>
      <c r="AJ352" t="n">
        <v>0</v>
      </c>
      <c r="AK352" t="n">
        <v>586.7442</v>
      </c>
      <c r="AL352" t="n">
        <v>-75099.1002</v>
      </c>
      <c r="AM352" t="n">
        <v>192876.571</v>
      </c>
      <c r="AN352" t="n">
        <v>0.95</v>
      </c>
      <c r="AO352" t="inlineStr">
        <is>
          <t>Low</t>
        </is>
      </c>
      <c r="AP352" t="inlineStr">
        <is>
          <t>On Track</t>
        </is>
      </c>
    </row>
    <row r="353">
      <c r="A353" t="inlineStr">
        <is>
          <t>SUP-0022</t>
        </is>
      </c>
      <c r="B353" t="inlineStr">
        <is>
          <t>Chemicals Supplier 022</t>
        </is>
      </c>
      <c r="C353" t="inlineStr">
        <is>
          <t>Chemicals</t>
        </is>
      </c>
      <c r="D353" t="n">
        <v>2024</v>
      </c>
      <c r="E353" t="n">
        <v>2015</v>
      </c>
      <c r="F353" t="n">
        <v>2035</v>
      </c>
      <c r="G353" t="n">
        <v>20122.7364</v>
      </c>
      <c r="H353" t="n">
        <v>2114.3888</v>
      </c>
      <c r="I353" t="n">
        <v>1174.6508</v>
      </c>
      <c r="J353" t="n">
        <v>15427.4638</v>
      </c>
      <c r="K353" t="n">
        <v>20030017.08</v>
      </c>
      <c r="L353" t="n">
        <v>88354497.29000001</v>
      </c>
      <c r="M353" t="n">
        <v>20122.7364</v>
      </c>
      <c r="N353" t="inlineStr">
        <is>
          <t>Provided Total Emissions</t>
        </is>
      </c>
      <c r="O353" t="b">
        <v>1</v>
      </c>
      <c r="P353" t="n">
        <v>-0.012047</v>
      </c>
      <c r="Q353" t="n">
        <v>0.0162</v>
      </c>
      <c r="R353" t="n">
        <v>20059.8618</v>
      </c>
      <c r="S353" t="n">
        <v>41636.1733</v>
      </c>
      <c r="T353" t="n">
        <v>-62.8746</v>
      </c>
      <c r="U353" t="n">
        <v>21513.4369</v>
      </c>
      <c r="V353" t="n">
        <v>-0.003125</v>
      </c>
      <c r="W353" t="n">
        <v>1.069111</v>
      </c>
      <c r="X353" t="inlineStr">
        <is>
          <t>High</t>
        </is>
      </c>
      <c r="Y353" t="inlineStr">
        <is>
          <t>None</t>
        </is>
      </c>
      <c r="Z353" t="inlineStr">
        <is>
          <t>Valid</t>
        </is>
      </c>
      <c r="AA353" t="n">
        <v>2040</v>
      </c>
      <c r="AB353" t="inlineStr">
        <is>
          <t>Industry Haircut Pathway</t>
        </is>
      </c>
      <c r="AC353" t="n">
        <v>22441.9259</v>
      </c>
      <c r="AD353" t="n">
        <v>10707.0428</v>
      </c>
      <c r="AE353" t="n">
        <v>10707.0428</v>
      </c>
      <c r="AF353" t="n">
        <v>10707.0428</v>
      </c>
      <c r="AG353" t="n">
        <v>11734.8831</v>
      </c>
      <c r="AH353" t="n">
        <v>0.00053455</v>
      </c>
      <c r="AI353" t="n">
        <v>0.5229</v>
      </c>
      <c r="AJ353" t="n">
        <v>0</v>
      </c>
      <c r="AK353" t="n">
        <v>586.7442</v>
      </c>
      <c r="AL353" t="n">
        <v>-85806.143</v>
      </c>
      <c r="AM353" t="n">
        <v>203583.6138</v>
      </c>
      <c r="AN353" t="n">
        <v>0.95</v>
      </c>
      <c r="AO353" t="inlineStr">
        <is>
          <t>Low</t>
        </is>
      </c>
      <c r="AP353" t="inlineStr">
        <is>
          <t>On Track</t>
        </is>
      </c>
    </row>
    <row r="354">
      <c r="A354" t="inlineStr">
        <is>
          <t>SUP-0023</t>
        </is>
      </c>
      <c r="B354" t="inlineStr">
        <is>
          <t>Agriculture Supplier 023</t>
        </is>
      </c>
      <c r="C354" t="inlineStr">
        <is>
          <t>Agriculture</t>
        </is>
      </c>
      <c r="D354" t="n">
        <v>2024</v>
      </c>
      <c r="E354" t="n">
        <v>2018</v>
      </c>
      <c r="F354" t="n">
        <v>2040</v>
      </c>
      <c r="G354" t="n">
        <v>4720.6843</v>
      </c>
      <c r="H354" t="n">
        <v>691.2297</v>
      </c>
      <c r="I354" t="n">
        <v>578.6541999999999</v>
      </c>
      <c r="J354" t="n">
        <v>3491.0896</v>
      </c>
      <c r="K354" t="n">
        <v>7127955</v>
      </c>
      <c r="L354" t="n">
        <v>50228809.36</v>
      </c>
      <c r="M354" t="n">
        <v>4720.6843</v>
      </c>
      <c r="N354" t="inlineStr">
        <is>
          <t>Provided Total Emissions</t>
        </is>
      </c>
      <c r="O354" t="b">
        <v>1</v>
      </c>
      <c r="P354" t="n">
        <v>-0.0189</v>
      </c>
      <c r="Q354" t="n">
        <v>0.014547</v>
      </c>
      <c r="R354" t="n">
        <v>6515.8775</v>
      </c>
      <c r="S354" t="n">
        <v>48678.246</v>
      </c>
      <c r="T354" t="n">
        <v>1795.1932</v>
      </c>
      <c r="U354" t="n">
        <v>43957.5617</v>
      </c>
      <c r="V354" t="n">
        <v>0.380282</v>
      </c>
      <c r="W354" t="n">
        <v>9.311693</v>
      </c>
      <c r="X354" t="inlineStr">
        <is>
          <t>High</t>
        </is>
      </c>
      <c r="Y354" t="inlineStr">
        <is>
          <t>None</t>
        </is>
      </c>
      <c r="Z354" t="inlineStr">
        <is>
          <t>Valid</t>
        </is>
      </c>
      <c r="AA354" t="n">
        <v>2025</v>
      </c>
      <c r="AB354" t="inlineStr">
        <is>
          <t>Supplier Target Pathway</t>
        </is>
      </c>
      <c r="AC354" t="n">
        <v>3860.3046</v>
      </c>
      <c r="AD354" t="n">
        <v>2551.6613</v>
      </c>
      <c r="AE354" t="n">
        <v>3443.9181</v>
      </c>
      <c r="AF354" t="n">
        <v>3443.9181</v>
      </c>
      <c r="AG354" t="n">
        <v>416.3865</v>
      </c>
      <c r="AH354" t="n">
        <v>0.00048316</v>
      </c>
      <c r="AI354" t="n">
        <v>0.107864</v>
      </c>
      <c r="AJ354" t="n">
        <v>892.2568</v>
      </c>
      <c r="AK354" t="n">
        <v>59.4838</v>
      </c>
      <c r="AL354" t="n">
        <v>37382.6627</v>
      </c>
      <c r="AM354" t="n">
        <v>3443.9181</v>
      </c>
      <c r="AN354" t="n">
        <v>0.99</v>
      </c>
      <c r="AO354" t="inlineStr">
        <is>
          <t>High</t>
        </is>
      </c>
      <c r="AP354" t="inlineStr">
        <is>
          <t>On Track to Glide Path</t>
        </is>
      </c>
    </row>
    <row r="355">
      <c r="A355" t="inlineStr">
        <is>
          <t>SUP-0023</t>
        </is>
      </c>
      <c r="B355" t="inlineStr">
        <is>
          <t>Agriculture Supplier 023</t>
        </is>
      </c>
      <c r="C355" t="inlineStr">
        <is>
          <t>Agriculture</t>
        </is>
      </c>
      <c r="D355" t="n">
        <v>2024</v>
      </c>
      <c r="E355" t="n">
        <v>2018</v>
      </c>
      <c r="F355" t="n">
        <v>2040</v>
      </c>
      <c r="G355" t="n">
        <v>4720.6843</v>
      </c>
      <c r="H355" t="n">
        <v>691.2297</v>
      </c>
      <c r="I355" t="n">
        <v>578.6541999999999</v>
      </c>
      <c r="J355" t="n">
        <v>3491.0896</v>
      </c>
      <c r="K355" t="n">
        <v>7127955</v>
      </c>
      <c r="L355" t="n">
        <v>50228809.36</v>
      </c>
      <c r="M355" t="n">
        <v>4720.6843</v>
      </c>
      <c r="N355" t="inlineStr">
        <is>
          <t>Provided Total Emissions</t>
        </is>
      </c>
      <c r="O355" t="b">
        <v>1</v>
      </c>
      <c r="P355" t="n">
        <v>-0.0189</v>
      </c>
      <c r="Q355" t="n">
        <v>0.014547</v>
      </c>
      <c r="R355" t="n">
        <v>6515.8775</v>
      </c>
      <c r="S355" t="n">
        <v>48678.246</v>
      </c>
      <c r="T355" t="n">
        <v>1795.1932</v>
      </c>
      <c r="U355" t="n">
        <v>43957.5617</v>
      </c>
      <c r="V355" t="n">
        <v>0.380282</v>
      </c>
      <c r="W355" t="n">
        <v>9.311693</v>
      </c>
      <c r="X355" t="inlineStr">
        <is>
          <t>High</t>
        </is>
      </c>
      <c r="Y355" t="inlineStr">
        <is>
          <t>None</t>
        </is>
      </c>
      <c r="Z355" t="inlineStr">
        <is>
          <t>Valid</t>
        </is>
      </c>
      <c r="AA355" t="n">
        <v>2026</v>
      </c>
      <c r="AB355" t="inlineStr">
        <is>
          <t>Supplier Target Pathway</t>
        </is>
      </c>
      <c r="AC355" t="n">
        <v>3860.3046</v>
      </c>
      <c r="AD355" t="n">
        <v>2551.6613</v>
      </c>
      <c r="AE355" t="n">
        <v>3384.4343</v>
      </c>
      <c r="AF355" t="n">
        <v>3384.4343</v>
      </c>
      <c r="AG355" t="n">
        <v>475.8703</v>
      </c>
      <c r="AH355" t="n">
        <v>0.00047481</v>
      </c>
      <c r="AI355" t="n">
        <v>0.123273</v>
      </c>
      <c r="AJ355" t="n">
        <v>832.773</v>
      </c>
      <c r="AK355" t="n">
        <v>59.4838</v>
      </c>
      <c r="AL355" t="n">
        <v>33998.2284</v>
      </c>
      <c r="AM355" t="n">
        <v>6828.3524</v>
      </c>
      <c r="AN355" t="n">
        <v>0.99</v>
      </c>
      <c r="AO355" t="inlineStr">
        <is>
          <t>High</t>
        </is>
      </c>
      <c r="AP355" t="inlineStr">
        <is>
          <t>On Track to Glide Path</t>
        </is>
      </c>
    </row>
    <row r="356">
      <c r="A356" t="inlineStr">
        <is>
          <t>SUP-0023</t>
        </is>
      </c>
      <c r="B356" t="inlineStr">
        <is>
          <t>Agriculture Supplier 023</t>
        </is>
      </c>
      <c r="C356" t="inlineStr">
        <is>
          <t>Agriculture</t>
        </is>
      </c>
      <c r="D356" t="n">
        <v>2024</v>
      </c>
      <c r="E356" t="n">
        <v>2018</v>
      </c>
      <c r="F356" t="n">
        <v>2040</v>
      </c>
      <c r="G356" t="n">
        <v>4720.6843</v>
      </c>
      <c r="H356" t="n">
        <v>691.2297</v>
      </c>
      <c r="I356" t="n">
        <v>578.6541999999999</v>
      </c>
      <c r="J356" t="n">
        <v>3491.0896</v>
      </c>
      <c r="K356" t="n">
        <v>7127955</v>
      </c>
      <c r="L356" t="n">
        <v>50228809.36</v>
      </c>
      <c r="M356" t="n">
        <v>4720.6843</v>
      </c>
      <c r="N356" t="inlineStr">
        <is>
          <t>Provided Total Emissions</t>
        </is>
      </c>
      <c r="O356" t="b">
        <v>1</v>
      </c>
      <c r="P356" t="n">
        <v>-0.0189</v>
      </c>
      <c r="Q356" t="n">
        <v>0.014547</v>
      </c>
      <c r="R356" t="n">
        <v>6515.8775</v>
      </c>
      <c r="S356" t="n">
        <v>48678.246</v>
      </c>
      <c r="T356" t="n">
        <v>1795.1932</v>
      </c>
      <c r="U356" t="n">
        <v>43957.5617</v>
      </c>
      <c r="V356" t="n">
        <v>0.380282</v>
      </c>
      <c r="W356" t="n">
        <v>9.311693</v>
      </c>
      <c r="X356" t="inlineStr">
        <is>
          <t>High</t>
        </is>
      </c>
      <c r="Y356" t="inlineStr">
        <is>
          <t>None</t>
        </is>
      </c>
      <c r="Z356" t="inlineStr">
        <is>
          <t>Valid</t>
        </is>
      </c>
      <c r="AA356" t="n">
        <v>2027</v>
      </c>
      <c r="AB356" t="inlineStr">
        <is>
          <t>Supplier Target Pathway</t>
        </is>
      </c>
      <c r="AC356" t="n">
        <v>3860.3046</v>
      </c>
      <c r="AD356" t="n">
        <v>2551.6613</v>
      </c>
      <c r="AE356" t="n">
        <v>3324.9505</v>
      </c>
      <c r="AF356" t="n">
        <v>3324.9505</v>
      </c>
      <c r="AG356" t="n">
        <v>535.3541</v>
      </c>
      <c r="AH356" t="n">
        <v>0.00046647</v>
      </c>
      <c r="AI356" t="n">
        <v>0.138682</v>
      </c>
      <c r="AJ356" t="n">
        <v>773.2892000000001</v>
      </c>
      <c r="AK356" t="n">
        <v>59.4838</v>
      </c>
      <c r="AL356" t="n">
        <v>30673.2779</v>
      </c>
      <c r="AM356" t="n">
        <v>10153.3029</v>
      </c>
      <c r="AN356" t="n">
        <v>0.99</v>
      </c>
      <c r="AO356" t="inlineStr">
        <is>
          <t>High</t>
        </is>
      </c>
      <c r="AP356" t="inlineStr">
        <is>
          <t>On Track to Glide Path</t>
        </is>
      </c>
    </row>
    <row r="357">
      <c r="A357" t="inlineStr">
        <is>
          <t>SUP-0023</t>
        </is>
      </c>
      <c r="B357" t="inlineStr">
        <is>
          <t>Agriculture Supplier 023</t>
        </is>
      </c>
      <c r="C357" t="inlineStr">
        <is>
          <t>Agriculture</t>
        </is>
      </c>
      <c r="D357" t="n">
        <v>2024</v>
      </c>
      <c r="E357" t="n">
        <v>2018</v>
      </c>
      <c r="F357" t="n">
        <v>2040</v>
      </c>
      <c r="G357" t="n">
        <v>4720.6843</v>
      </c>
      <c r="H357" t="n">
        <v>691.2297</v>
      </c>
      <c r="I357" t="n">
        <v>578.6541999999999</v>
      </c>
      <c r="J357" t="n">
        <v>3491.0896</v>
      </c>
      <c r="K357" t="n">
        <v>7127955</v>
      </c>
      <c r="L357" t="n">
        <v>50228809.36</v>
      </c>
      <c r="M357" t="n">
        <v>4720.6843</v>
      </c>
      <c r="N357" t="inlineStr">
        <is>
          <t>Provided Total Emissions</t>
        </is>
      </c>
      <c r="O357" t="b">
        <v>1</v>
      </c>
      <c r="P357" t="n">
        <v>-0.0189</v>
      </c>
      <c r="Q357" t="n">
        <v>0.014547</v>
      </c>
      <c r="R357" t="n">
        <v>6515.8775</v>
      </c>
      <c r="S357" t="n">
        <v>48678.246</v>
      </c>
      <c r="T357" t="n">
        <v>1795.1932</v>
      </c>
      <c r="U357" t="n">
        <v>43957.5617</v>
      </c>
      <c r="V357" t="n">
        <v>0.380282</v>
      </c>
      <c r="W357" t="n">
        <v>9.311693</v>
      </c>
      <c r="X357" t="inlineStr">
        <is>
          <t>High</t>
        </is>
      </c>
      <c r="Y357" t="inlineStr">
        <is>
          <t>None</t>
        </is>
      </c>
      <c r="Z357" t="inlineStr">
        <is>
          <t>Valid</t>
        </is>
      </c>
      <c r="AA357" t="n">
        <v>2028</v>
      </c>
      <c r="AB357" t="inlineStr">
        <is>
          <t>Supplier Target Pathway</t>
        </is>
      </c>
      <c r="AC357" t="n">
        <v>3860.3046</v>
      </c>
      <c r="AD357" t="n">
        <v>2551.6613</v>
      </c>
      <c r="AE357" t="n">
        <v>3265.4668</v>
      </c>
      <c r="AF357" t="n">
        <v>3265.4668</v>
      </c>
      <c r="AG357" t="n">
        <v>594.8378</v>
      </c>
      <c r="AH357" t="n">
        <v>0.00045812</v>
      </c>
      <c r="AI357" t="n">
        <v>0.154091</v>
      </c>
      <c r="AJ357" t="n">
        <v>713.8054</v>
      </c>
      <c r="AK357" t="n">
        <v>59.4838</v>
      </c>
      <c r="AL357" t="n">
        <v>27407.8111</v>
      </c>
      <c r="AM357" t="n">
        <v>13418.7697</v>
      </c>
      <c r="AN357" t="n">
        <v>0.99</v>
      </c>
      <c r="AO357" t="inlineStr">
        <is>
          <t>High</t>
        </is>
      </c>
      <c r="AP357" t="inlineStr">
        <is>
          <t>On Track to Glide Path</t>
        </is>
      </c>
    </row>
    <row r="358">
      <c r="A358" t="inlineStr">
        <is>
          <t>SUP-0023</t>
        </is>
      </c>
      <c r="B358" t="inlineStr">
        <is>
          <t>Agriculture Supplier 023</t>
        </is>
      </c>
      <c r="C358" t="inlineStr">
        <is>
          <t>Agriculture</t>
        </is>
      </c>
      <c r="D358" t="n">
        <v>2024</v>
      </c>
      <c r="E358" t="n">
        <v>2018</v>
      </c>
      <c r="F358" t="n">
        <v>2040</v>
      </c>
      <c r="G358" t="n">
        <v>4720.6843</v>
      </c>
      <c r="H358" t="n">
        <v>691.2297</v>
      </c>
      <c r="I358" t="n">
        <v>578.6541999999999</v>
      </c>
      <c r="J358" t="n">
        <v>3491.0896</v>
      </c>
      <c r="K358" t="n">
        <v>7127955</v>
      </c>
      <c r="L358" t="n">
        <v>50228809.36</v>
      </c>
      <c r="M358" t="n">
        <v>4720.6843</v>
      </c>
      <c r="N358" t="inlineStr">
        <is>
          <t>Provided Total Emissions</t>
        </is>
      </c>
      <c r="O358" t="b">
        <v>1</v>
      </c>
      <c r="P358" t="n">
        <v>-0.0189</v>
      </c>
      <c r="Q358" t="n">
        <v>0.014547</v>
      </c>
      <c r="R358" t="n">
        <v>6515.8775</v>
      </c>
      <c r="S358" t="n">
        <v>48678.246</v>
      </c>
      <c r="T358" t="n">
        <v>1795.1932</v>
      </c>
      <c r="U358" t="n">
        <v>43957.5617</v>
      </c>
      <c r="V358" t="n">
        <v>0.380282</v>
      </c>
      <c r="W358" t="n">
        <v>9.311693</v>
      </c>
      <c r="X358" t="inlineStr">
        <is>
          <t>High</t>
        </is>
      </c>
      <c r="Y358" t="inlineStr">
        <is>
          <t>None</t>
        </is>
      </c>
      <c r="Z358" t="inlineStr">
        <is>
          <t>Valid</t>
        </is>
      </c>
      <c r="AA358" t="n">
        <v>2029</v>
      </c>
      <c r="AB358" t="inlineStr">
        <is>
          <t>Supplier Target Pathway</t>
        </is>
      </c>
      <c r="AC358" t="n">
        <v>3860.3046</v>
      </c>
      <c r="AD358" t="n">
        <v>2551.6613</v>
      </c>
      <c r="AE358" t="n">
        <v>3205.983</v>
      </c>
      <c r="AF358" t="n">
        <v>3205.983</v>
      </c>
      <c r="AG358" t="n">
        <v>654.3216</v>
      </c>
      <c r="AH358" t="n">
        <v>0.00044978</v>
      </c>
      <c r="AI358" t="n">
        <v>0.1695</v>
      </c>
      <c r="AJ358" t="n">
        <v>654.3216</v>
      </c>
      <c r="AK358" t="n">
        <v>59.4838</v>
      </c>
      <c r="AL358" t="n">
        <v>24201.8281</v>
      </c>
      <c r="AM358" t="n">
        <v>16624.7527</v>
      </c>
      <c r="AN358" t="n">
        <v>0.99</v>
      </c>
      <c r="AO358" t="inlineStr">
        <is>
          <t>High</t>
        </is>
      </c>
      <c r="AP358" t="inlineStr">
        <is>
          <t>On Track to Glide Path</t>
        </is>
      </c>
    </row>
    <row r="359">
      <c r="A359" t="inlineStr">
        <is>
          <t>SUP-0023</t>
        </is>
      </c>
      <c r="B359" t="inlineStr">
        <is>
          <t>Agriculture Supplier 023</t>
        </is>
      </c>
      <c r="C359" t="inlineStr">
        <is>
          <t>Agriculture</t>
        </is>
      </c>
      <c r="D359" t="n">
        <v>2024</v>
      </c>
      <c r="E359" t="n">
        <v>2018</v>
      </c>
      <c r="F359" t="n">
        <v>2040</v>
      </c>
      <c r="G359" t="n">
        <v>4720.6843</v>
      </c>
      <c r="H359" t="n">
        <v>691.2297</v>
      </c>
      <c r="I359" t="n">
        <v>578.6541999999999</v>
      </c>
      <c r="J359" t="n">
        <v>3491.0896</v>
      </c>
      <c r="K359" t="n">
        <v>7127955</v>
      </c>
      <c r="L359" t="n">
        <v>50228809.36</v>
      </c>
      <c r="M359" t="n">
        <v>4720.6843</v>
      </c>
      <c r="N359" t="inlineStr">
        <is>
          <t>Provided Total Emissions</t>
        </is>
      </c>
      <c r="O359" t="b">
        <v>1</v>
      </c>
      <c r="P359" t="n">
        <v>-0.0189</v>
      </c>
      <c r="Q359" t="n">
        <v>0.014547</v>
      </c>
      <c r="R359" t="n">
        <v>6515.8775</v>
      </c>
      <c r="S359" t="n">
        <v>48678.246</v>
      </c>
      <c r="T359" t="n">
        <v>1795.1932</v>
      </c>
      <c r="U359" t="n">
        <v>43957.5617</v>
      </c>
      <c r="V359" t="n">
        <v>0.380282</v>
      </c>
      <c r="W359" t="n">
        <v>9.311693</v>
      </c>
      <c r="X359" t="inlineStr">
        <is>
          <t>High</t>
        </is>
      </c>
      <c r="Y359" t="inlineStr">
        <is>
          <t>None</t>
        </is>
      </c>
      <c r="Z359" t="inlineStr">
        <is>
          <t>Valid</t>
        </is>
      </c>
      <c r="AA359" t="n">
        <v>2030</v>
      </c>
      <c r="AB359" t="inlineStr">
        <is>
          <t>Supplier Target Pathway</t>
        </is>
      </c>
      <c r="AC359" t="n">
        <v>3860.3046</v>
      </c>
      <c r="AD359" t="n">
        <v>2551.6613</v>
      </c>
      <c r="AE359" t="n">
        <v>3146.4992</v>
      </c>
      <c r="AF359" t="n">
        <v>3146.4992</v>
      </c>
      <c r="AG359" t="n">
        <v>713.8054</v>
      </c>
      <c r="AH359" t="n">
        <v>0.00044143</v>
      </c>
      <c r="AI359" t="n">
        <v>0.184909</v>
      </c>
      <c r="AJ359" t="n">
        <v>594.8378</v>
      </c>
      <c r="AK359" t="n">
        <v>59.4838</v>
      </c>
      <c r="AL359" t="n">
        <v>21055.3289</v>
      </c>
      <c r="AM359" t="n">
        <v>19771.2519</v>
      </c>
      <c r="AN359" t="n">
        <v>0.99</v>
      </c>
      <c r="AO359" t="inlineStr">
        <is>
          <t>High</t>
        </is>
      </c>
      <c r="AP359" t="inlineStr">
        <is>
          <t>On Track to Glide Path</t>
        </is>
      </c>
    </row>
    <row r="360">
      <c r="A360" t="inlineStr">
        <is>
          <t>SUP-0023</t>
        </is>
      </c>
      <c r="B360" t="inlineStr">
        <is>
          <t>Agriculture Supplier 023</t>
        </is>
      </c>
      <c r="C360" t="inlineStr">
        <is>
          <t>Agriculture</t>
        </is>
      </c>
      <c r="D360" t="n">
        <v>2024</v>
      </c>
      <c r="E360" t="n">
        <v>2018</v>
      </c>
      <c r="F360" t="n">
        <v>2040</v>
      </c>
      <c r="G360" t="n">
        <v>4720.6843</v>
      </c>
      <c r="H360" t="n">
        <v>691.2297</v>
      </c>
      <c r="I360" t="n">
        <v>578.6541999999999</v>
      </c>
      <c r="J360" t="n">
        <v>3491.0896</v>
      </c>
      <c r="K360" t="n">
        <v>7127955</v>
      </c>
      <c r="L360" t="n">
        <v>50228809.36</v>
      </c>
      <c r="M360" t="n">
        <v>4720.6843</v>
      </c>
      <c r="N360" t="inlineStr">
        <is>
          <t>Provided Total Emissions</t>
        </is>
      </c>
      <c r="O360" t="b">
        <v>1</v>
      </c>
      <c r="P360" t="n">
        <v>-0.0189</v>
      </c>
      <c r="Q360" t="n">
        <v>0.014547</v>
      </c>
      <c r="R360" t="n">
        <v>6515.8775</v>
      </c>
      <c r="S360" t="n">
        <v>48678.246</v>
      </c>
      <c r="T360" t="n">
        <v>1795.1932</v>
      </c>
      <c r="U360" t="n">
        <v>43957.5617</v>
      </c>
      <c r="V360" t="n">
        <v>0.380282</v>
      </c>
      <c r="W360" t="n">
        <v>9.311693</v>
      </c>
      <c r="X360" t="inlineStr">
        <is>
          <t>High</t>
        </is>
      </c>
      <c r="Y360" t="inlineStr">
        <is>
          <t>None</t>
        </is>
      </c>
      <c r="Z360" t="inlineStr">
        <is>
          <t>Valid</t>
        </is>
      </c>
      <c r="AA360" t="n">
        <v>2031</v>
      </c>
      <c r="AB360" t="inlineStr">
        <is>
          <t>Supplier Target Pathway</t>
        </is>
      </c>
      <c r="AC360" t="n">
        <v>3860.3046</v>
      </c>
      <c r="AD360" t="n">
        <v>2551.6613</v>
      </c>
      <c r="AE360" t="n">
        <v>3087.0154</v>
      </c>
      <c r="AF360" t="n">
        <v>3087.0154</v>
      </c>
      <c r="AG360" t="n">
        <v>773.2892000000001</v>
      </c>
      <c r="AH360" t="n">
        <v>0.00043309</v>
      </c>
      <c r="AI360" t="n">
        <v>0.200318</v>
      </c>
      <c r="AJ360" t="n">
        <v>535.3541</v>
      </c>
      <c r="AK360" t="n">
        <v>59.4838</v>
      </c>
      <c r="AL360" t="n">
        <v>17968.3135</v>
      </c>
      <c r="AM360" t="n">
        <v>22858.2673</v>
      </c>
      <c r="AN360" t="n">
        <v>0.99</v>
      </c>
      <c r="AO360" t="inlineStr">
        <is>
          <t>High</t>
        </is>
      </c>
      <c r="AP360" t="inlineStr">
        <is>
          <t>On Track to Glide Path</t>
        </is>
      </c>
    </row>
    <row r="361">
      <c r="A361" t="inlineStr">
        <is>
          <t>SUP-0023</t>
        </is>
      </c>
      <c r="B361" t="inlineStr">
        <is>
          <t>Agriculture Supplier 023</t>
        </is>
      </c>
      <c r="C361" t="inlineStr">
        <is>
          <t>Agriculture</t>
        </is>
      </c>
      <c r="D361" t="n">
        <v>2024</v>
      </c>
      <c r="E361" t="n">
        <v>2018</v>
      </c>
      <c r="F361" t="n">
        <v>2040</v>
      </c>
      <c r="G361" t="n">
        <v>4720.6843</v>
      </c>
      <c r="H361" t="n">
        <v>691.2297</v>
      </c>
      <c r="I361" t="n">
        <v>578.6541999999999</v>
      </c>
      <c r="J361" t="n">
        <v>3491.0896</v>
      </c>
      <c r="K361" t="n">
        <v>7127955</v>
      </c>
      <c r="L361" t="n">
        <v>50228809.36</v>
      </c>
      <c r="M361" t="n">
        <v>4720.6843</v>
      </c>
      <c r="N361" t="inlineStr">
        <is>
          <t>Provided Total Emissions</t>
        </is>
      </c>
      <c r="O361" t="b">
        <v>1</v>
      </c>
      <c r="P361" t="n">
        <v>-0.0189</v>
      </c>
      <c r="Q361" t="n">
        <v>0.014547</v>
      </c>
      <c r="R361" t="n">
        <v>6515.8775</v>
      </c>
      <c r="S361" t="n">
        <v>48678.246</v>
      </c>
      <c r="T361" t="n">
        <v>1795.1932</v>
      </c>
      <c r="U361" t="n">
        <v>43957.5617</v>
      </c>
      <c r="V361" t="n">
        <v>0.380282</v>
      </c>
      <c r="W361" t="n">
        <v>9.311693</v>
      </c>
      <c r="X361" t="inlineStr">
        <is>
          <t>High</t>
        </is>
      </c>
      <c r="Y361" t="inlineStr">
        <is>
          <t>None</t>
        </is>
      </c>
      <c r="Z361" t="inlineStr">
        <is>
          <t>Valid</t>
        </is>
      </c>
      <c r="AA361" t="n">
        <v>2032</v>
      </c>
      <c r="AB361" t="inlineStr">
        <is>
          <t>Supplier Target Pathway</t>
        </is>
      </c>
      <c r="AC361" t="n">
        <v>3860.3046</v>
      </c>
      <c r="AD361" t="n">
        <v>2551.6613</v>
      </c>
      <c r="AE361" t="n">
        <v>3027.5316</v>
      </c>
      <c r="AF361" t="n">
        <v>3027.5316</v>
      </c>
      <c r="AG361" t="n">
        <v>832.773</v>
      </c>
      <c r="AH361" t="n">
        <v>0.00042474</v>
      </c>
      <c r="AI361" t="n">
        <v>0.215727</v>
      </c>
      <c r="AJ361" t="n">
        <v>475.8703</v>
      </c>
      <c r="AK361" t="n">
        <v>59.4838</v>
      </c>
      <c r="AL361" t="n">
        <v>14940.7819</v>
      </c>
      <c r="AM361" t="n">
        <v>25885.7989</v>
      </c>
      <c r="AN361" t="n">
        <v>0.99</v>
      </c>
      <c r="AO361" t="inlineStr">
        <is>
          <t>High</t>
        </is>
      </c>
      <c r="AP361" t="inlineStr">
        <is>
          <t>On Track to Glide Path</t>
        </is>
      </c>
    </row>
    <row r="362">
      <c r="A362" t="inlineStr">
        <is>
          <t>SUP-0023</t>
        </is>
      </c>
      <c r="B362" t="inlineStr">
        <is>
          <t>Agriculture Supplier 023</t>
        </is>
      </c>
      <c r="C362" t="inlineStr">
        <is>
          <t>Agriculture</t>
        </is>
      </c>
      <c r="D362" t="n">
        <v>2024</v>
      </c>
      <c r="E362" t="n">
        <v>2018</v>
      </c>
      <c r="F362" t="n">
        <v>2040</v>
      </c>
      <c r="G362" t="n">
        <v>4720.6843</v>
      </c>
      <c r="H362" t="n">
        <v>691.2297</v>
      </c>
      <c r="I362" t="n">
        <v>578.6541999999999</v>
      </c>
      <c r="J362" t="n">
        <v>3491.0896</v>
      </c>
      <c r="K362" t="n">
        <v>7127955</v>
      </c>
      <c r="L362" t="n">
        <v>50228809.36</v>
      </c>
      <c r="M362" t="n">
        <v>4720.6843</v>
      </c>
      <c r="N362" t="inlineStr">
        <is>
          <t>Provided Total Emissions</t>
        </is>
      </c>
      <c r="O362" t="b">
        <v>1</v>
      </c>
      <c r="P362" t="n">
        <v>-0.0189</v>
      </c>
      <c r="Q362" t="n">
        <v>0.014547</v>
      </c>
      <c r="R362" t="n">
        <v>6515.8775</v>
      </c>
      <c r="S362" t="n">
        <v>48678.246</v>
      </c>
      <c r="T362" t="n">
        <v>1795.1932</v>
      </c>
      <c r="U362" t="n">
        <v>43957.5617</v>
      </c>
      <c r="V362" t="n">
        <v>0.380282</v>
      </c>
      <c r="W362" t="n">
        <v>9.311693</v>
      </c>
      <c r="X362" t="inlineStr">
        <is>
          <t>High</t>
        </is>
      </c>
      <c r="Y362" t="inlineStr">
        <is>
          <t>None</t>
        </is>
      </c>
      <c r="Z362" t="inlineStr">
        <is>
          <t>Valid</t>
        </is>
      </c>
      <c r="AA362" t="n">
        <v>2033</v>
      </c>
      <c r="AB362" t="inlineStr">
        <is>
          <t>Supplier Target Pathway</t>
        </is>
      </c>
      <c r="AC362" t="n">
        <v>3860.3046</v>
      </c>
      <c r="AD362" t="n">
        <v>2551.6613</v>
      </c>
      <c r="AE362" t="n">
        <v>2968.0478</v>
      </c>
      <c r="AF362" t="n">
        <v>2968.0478</v>
      </c>
      <c r="AG362" t="n">
        <v>892.2568</v>
      </c>
      <c r="AH362" t="n">
        <v>0.0004164</v>
      </c>
      <c r="AI362" t="n">
        <v>0.231136</v>
      </c>
      <c r="AJ362" t="n">
        <v>416.3865</v>
      </c>
      <c r="AK362" t="n">
        <v>59.4838</v>
      </c>
      <c r="AL362" t="n">
        <v>11972.7341</v>
      </c>
      <c r="AM362" t="n">
        <v>28853.8467</v>
      </c>
      <c r="AN362" t="n">
        <v>0.99</v>
      </c>
      <c r="AO362" t="inlineStr">
        <is>
          <t>High</t>
        </is>
      </c>
      <c r="AP362" t="inlineStr">
        <is>
          <t>On Track to Glide Path</t>
        </is>
      </c>
    </row>
    <row r="363">
      <c r="A363" t="inlineStr">
        <is>
          <t>SUP-0023</t>
        </is>
      </c>
      <c r="B363" t="inlineStr">
        <is>
          <t>Agriculture Supplier 023</t>
        </is>
      </c>
      <c r="C363" t="inlineStr">
        <is>
          <t>Agriculture</t>
        </is>
      </c>
      <c r="D363" t="n">
        <v>2024</v>
      </c>
      <c r="E363" t="n">
        <v>2018</v>
      </c>
      <c r="F363" t="n">
        <v>2040</v>
      </c>
      <c r="G363" t="n">
        <v>4720.6843</v>
      </c>
      <c r="H363" t="n">
        <v>691.2297</v>
      </c>
      <c r="I363" t="n">
        <v>578.6541999999999</v>
      </c>
      <c r="J363" t="n">
        <v>3491.0896</v>
      </c>
      <c r="K363" t="n">
        <v>7127955</v>
      </c>
      <c r="L363" t="n">
        <v>50228809.36</v>
      </c>
      <c r="M363" t="n">
        <v>4720.6843</v>
      </c>
      <c r="N363" t="inlineStr">
        <is>
          <t>Provided Total Emissions</t>
        </is>
      </c>
      <c r="O363" t="b">
        <v>1</v>
      </c>
      <c r="P363" t="n">
        <v>-0.0189</v>
      </c>
      <c r="Q363" t="n">
        <v>0.014547</v>
      </c>
      <c r="R363" t="n">
        <v>6515.8775</v>
      </c>
      <c r="S363" t="n">
        <v>48678.246</v>
      </c>
      <c r="T363" t="n">
        <v>1795.1932</v>
      </c>
      <c r="U363" t="n">
        <v>43957.5617</v>
      </c>
      <c r="V363" t="n">
        <v>0.380282</v>
      </c>
      <c r="W363" t="n">
        <v>9.311693</v>
      </c>
      <c r="X363" t="inlineStr">
        <is>
          <t>High</t>
        </is>
      </c>
      <c r="Y363" t="inlineStr">
        <is>
          <t>None</t>
        </is>
      </c>
      <c r="Z363" t="inlineStr">
        <is>
          <t>Valid</t>
        </is>
      </c>
      <c r="AA363" t="n">
        <v>2034</v>
      </c>
      <c r="AB363" t="inlineStr">
        <is>
          <t>Supplier Target Pathway</t>
        </is>
      </c>
      <c r="AC363" t="n">
        <v>3860.3046</v>
      </c>
      <c r="AD363" t="n">
        <v>2551.6613</v>
      </c>
      <c r="AE363" t="n">
        <v>2908.564</v>
      </c>
      <c r="AF363" t="n">
        <v>2908.564</v>
      </c>
      <c r="AG363" t="n">
        <v>951.7406</v>
      </c>
      <c r="AH363" t="n">
        <v>0.00040805</v>
      </c>
      <c r="AI363" t="n">
        <v>0.246545</v>
      </c>
      <c r="AJ363" t="n">
        <v>356.9027</v>
      </c>
      <c r="AK363" t="n">
        <v>59.4838</v>
      </c>
      <c r="AL363" t="n">
        <v>9064.170099999999</v>
      </c>
      <c r="AM363" t="n">
        <v>31762.4107</v>
      </c>
      <c r="AN363" t="n">
        <v>0.99</v>
      </c>
      <c r="AO363" t="inlineStr">
        <is>
          <t>Medium</t>
        </is>
      </c>
      <c r="AP363" t="inlineStr">
        <is>
          <t>On Track to Glide Path</t>
        </is>
      </c>
    </row>
    <row r="364">
      <c r="A364" t="inlineStr">
        <is>
          <t>SUP-0023</t>
        </is>
      </c>
      <c r="B364" t="inlineStr">
        <is>
          <t>Agriculture Supplier 023</t>
        </is>
      </c>
      <c r="C364" t="inlineStr">
        <is>
          <t>Agriculture</t>
        </is>
      </c>
      <c r="D364" t="n">
        <v>2024</v>
      </c>
      <c r="E364" t="n">
        <v>2018</v>
      </c>
      <c r="F364" t="n">
        <v>2040</v>
      </c>
      <c r="G364" t="n">
        <v>4720.6843</v>
      </c>
      <c r="H364" t="n">
        <v>691.2297</v>
      </c>
      <c r="I364" t="n">
        <v>578.6541999999999</v>
      </c>
      <c r="J364" t="n">
        <v>3491.0896</v>
      </c>
      <c r="K364" t="n">
        <v>7127955</v>
      </c>
      <c r="L364" t="n">
        <v>50228809.36</v>
      </c>
      <c r="M364" t="n">
        <v>4720.6843</v>
      </c>
      <c r="N364" t="inlineStr">
        <is>
          <t>Provided Total Emissions</t>
        </is>
      </c>
      <c r="O364" t="b">
        <v>1</v>
      </c>
      <c r="P364" t="n">
        <v>-0.0189</v>
      </c>
      <c r="Q364" t="n">
        <v>0.014547</v>
      </c>
      <c r="R364" t="n">
        <v>6515.8775</v>
      </c>
      <c r="S364" t="n">
        <v>48678.246</v>
      </c>
      <c r="T364" t="n">
        <v>1795.1932</v>
      </c>
      <c r="U364" t="n">
        <v>43957.5617</v>
      </c>
      <c r="V364" t="n">
        <v>0.380282</v>
      </c>
      <c r="W364" t="n">
        <v>9.311693</v>
      </c>
      <c r="X364" t="inlineStr">
        <is>
          <t>High</t>
        </is>
      </c>
      <c r="Y364" t="inlineStr">
        <is>
          <t>None</t>
        </is>
      </c>
      <c r="Z364" t="inlineStr">
        <is>
          <t>Valid</t>
        </is>
      </c>
      <c r="AA364" t="n">
        <v>2035</v>
      </c>
      <c r="AB364" t="inlineStr">
        <is>
          <t>Supplier Target Pathway</t>
        </is>
      </c>
      <c r="AC364" t="n">
        <v>3860.3046</v>
      </c>
      <c r="AD364" t="n">
        <v>2551.6613</v>
      </c>
      <c r="AE364" t="n">
        <v>2849.0803</v>
      </c>
      <c r="AF364" t="n">
        <v>2849.0803</v>
      </c>
      <c r="AG364" t="n">
        <v>1011.2243</v>
      </c>
      <c r="AH364" t="n">
        <v>0.00039971</v>
      </c>
      <c r="AI364" t="n">
        <v>0.261955</v>
      </c>
      <c r="AJ364" t="n">
        <v>297.4189</v>
      </c>
      <c r="AK364" t="n">
        <v>59.4838</v>
      </c>
      <c r="AL364" t="n">
        <v>6215.0898</v>
      </c>
      <c r="AM364" t="n">
        <v>34611.491</v>
      </c>
      <c r="AN364" t="n">
        <v>0.99</v>
      </c>
      <c r="AO364" t="inlineStr">
        <is>
          <t>Medium</t>
        </is>
      </c>
      <c r="AP364" t="inlineStr">
        <is>
          <t>On Track to Glide Path</t>
        </is>
      </c>
    </row>
    <row r="365">
      <c r="A365" t="inlineStr">
        <is>
          <t>SUP-0023</t>
        </is>
      </c>
      <c r="B365" t="inlineStr">
        <is>
          <t>Agriculture Supplier 023</t>
        </is>
      </c>
      <c r="C365" t="inlineStr">
        <is>
          <t>Agriculture</t>
        </is>
      </c>
      <c r="D365" t="n">
        <v>2024</v>
      </c>
      <c r="E365" t="n">
        <v>2018</v>
      </c>
      <c r="F365" t="n">
        <v>2040</v>
      </c>
      <c r="G365" t="n">
        <v>4720.6843</v>
      </c>
      <c r="H365" t="n">
        <v>691.2297</v>
      </c>
      <c r="I365" t="n">
        <v>578.6541999999999</v>
      </c>
      <c r="J365" t="n">
        <v>3491.0896</v>
      </c>
      <c r="K365" t="n">
        <v>7127955</v>
      </c>
      <c r="L365" t="n">
        <v>50228809.36</v>
      </c>
      <c r="M365" t="n">
        <v>4720.6843</v>
      </c>
      <c r="N365" t="inlineStr">
        <is>
          <t>Provided Total Emissions</t>
        </is>
      </c>
      <c r="O365" t="b">
        <v>1</v>
      </c>
      <c r="P365" t="n">
        <v>-0.0189</v>
      </c>
      <c r="Q365" t="n">
        <v>0.014547</v>
      </c>
      <c r="R365" t="n">
        <v>6515.8775</v>
      </c>
      <c r="S365" t="n">
        <v>48678.246</v>
      </c>
      <c r="T365" t="n">
        <v>1795.1932</v>
      </c>
      <c r="U365" t="n">
        <v>43957.5617</v>
      </c>
      <c r="V365" t="n">
        <v>0.380282</v>
      </c>
      <c r="W365" t="n">
        <v>9.311693</v>
      </c>
      <c r="X365" t="inlineStr">
        <is>
          <t>High</t>
        </is>
      </c>
      <c r="Y365" t="inlineStr">
        <is>
          <t>None</t>
        </is>
      </c>
      <c r="Z365" t="inlineStr">
        <is>
          <t>Valid</t>
        </is>
      </c>
      <c r="AA365" t="n">
        <v>2036</v>
      </c>
      <c r="AB365" t="inlineStr">
        <is>
          <t>Supplier Target Pathway</t>
        </is>
      </c>
      <c r="AC365" t="n">
        <v>3860.3046</v>
      </c>
      <c r="AD365" t="n">
        <v>2551.6613</v>
      </c>
      <c r="AE365" t="n">
        <v>2789.5965</v>
      </c>
      <c r="AF365" t="n">
        <v>2789.5965</v>
      </c>
      <c r="AG365" t="n">
        <v>1070.7081</v>
      </c>
      <c r="AH365" t="n">
        <v>0.00039136</v>
      </c>
      <c r="AI365" t="n">
        <v>0.277364</v>
      </c>
      <c r="AJ365" t="n">
        <v>237.9351</v>
      </c>
      <c r="AK365" t="n">
        <v>59.4838</v>
      </c>
      <c r="AL365" t="n">
        <v>3425.4933</v>
      </c>
      <c r="AM365" t="n">
        <v>37401.0875</v>
      </c>
      <c r="AN365" t="n">
        <v>0.99</v>
      </c>
      <c r="AO365" t="inlineStr">
        <is>
          <t>Medium</t>
        </is>
      </c>
      <c r="AP365" t="inlineStr">
        <is>
          <t>On Track to Glide Path</t>
        </is>
      </c>
    </row>
    <row r="366">
      <c r="A366" t="inlineStr">
        <is>
          <t>SUP-0023</t>
        </is>
      </c>
      <c r="B366" t="inlineStr">
        <is>
          <t>Agriculture Supplier 023</t>
        </is>
      </c>
      <c r="C366" t="inlineStr">
        <is>
          <t>Agriculture</t>
        </is>
      </c>
      <c r="D366" t="n">
        <v>2024</v>
      </c>
      <c r="E366" t="n">
        <v>2018</v>
      </c>
      <c r="F366" t="n">
        <v>2040</v>
      </c>
      <c r="G366" t="n">
        <v>4720.6843</v>
      </c>
      <c r="H366" t="n">
        <v>691.2297</v>
      </c>
      <c r="I366" t="n">
        <v>578.6541999999999</v>
      </c>
      <c r="J366" t="n">
        <v>3491.0896</v>
      </c>
      <c r="K366" t="n">
        <v>7127955</v>
      </c>
      <c r="L366" t="n">
        <v>50228809.36</v>
      </c>
      <c r="M366" t="n">
        <v>4720.6843</v>
      </c>
      <c r="N366" t="inlineStr">
        <is>
          <t>Provided Total Emissions</t>
        </is>
      </c>
      <c r="O366" t="b">
        <v>1</v>
      </c>
      <c r="P366" t="n">
        <v>-0.0189</v>
      </c>
      <c r="Q366" t="n">
        <v>0.014547</v>
      </c>
      <c r="R366" t="n">
        <v>6515.8775</v>
      </c>
      <c r="S366" t="n">
        <v>48678.246</v>
      </c>
      <c r="T366" t="n">
        <v>1795.1932</v>
      </c>
      <c r="U366" t="n">
        <v>43957.5617</v>
      </c>
      <c r="V366" t="n">
        <v>0.380282</v>
      </c>
      <c r="W366" t="n">
        <v>9.311693</v>
      </c>
      <c r="X366" t="inlineStr">
        <is>
          <t>High</t>
        </is>
      </c>
      <c r="Y366" t="inlineStr">
        <is>
          <t>None</t>
        </is>
      </c>
      <c r="Z366" t="inlineStr">
        <is>
          <t>Valid</t>
        </is>
      </c>
      <c r="AA366" t="n">
        <v>2037</v>
      </c>
      <c r="AB366" t="inlineStr">
        <is>
          <t>Supplier Target Pathway</t>
        </is>
      </c>
      <c r="AC366" t="n">
        <v>3860.3046</v>
      </c>
      <c r="AD366" t="n">
        <v>2551.6613</v>
      </c>
      <c r="AE366" t="n">
        <v>2730.1127</v>
      </c>
      <c r="AF366" t="n">
        <v>2730.1127</v>
      </c>
      <c r="AG366" t="n">
        <v>1130.1919</v>
      </c>
      <c r="AH366" t="n">
        <v>0.00038301</v>
      </c>
      <c r="AI366" t="n">
        <v>0.292773</v>
      </c>
      <c r="AJ366" t="n">
        <v>178.4514</v>
      </c>
      <c r="AK366" t="n">
        <v>59.4838</v>
      </c>
      <c r="AL366" t="n">
        <v>695.3806</v>
      </c>
      <c r="AM366" t="n">
        <v>40131.2002</v>
      </c>
      <c r="AN366" t="n">
        <v>0.99</v>
      </c>
      <c r="AO366" t="inlineStr">
        <is>
          <t>Medium</t>
        </is>
      </c>
      <c r="AP366" t="inlineStr">
        <is>
          <t>On Track to Glide Path</t>
        </is>
      </c>
    </row>
    <row r="367">
      <c r="A367" t="inlineStr">
        <is>
          <t>SUP-0023</t>
        </is>
      </c>
      <c r="B367" t="inlineStr">
        <is>
          <t>Agriculture Supplier 023</t>
        </is>
      </c>
      <c r="C367" t="inlineStr">
        <is>
          <t>Agriculture</t>
        </is>
      </c>
      <c r="D367" t="n">
        <v>2024</v>
      </c>
      <c r="E367" t="n">
        <v>2018</v>
      </c>
      <c r="F367" t="n">
        <v>2040</v>
      </c>
      <c r="G367" t="n">
        <v>4720.6843</v>
      </c>
      <c r="H367" t="n">
        <v>691.2297</v>
      </c>
      <c r="I367" t="n">
        <v>578.6541999999999</v>
      </c>
      <c r="J367" t="n">
        <v>3491.0896</v>
      </c>
      <c r="K367" t="n">
        <v>7127955</v>
      </c>
      <c r="L367" t="n">
        <v>50228809.36</v>
      </c>
      <c r="M367" t="n">
        <v>4720.6843</v>
      </c>
      <c r="N367" t="inlineStr">
        <is>
          <t>Provided Total Emissions</t>
        </is>
      </c>
      <c r="O367" t="b">
        <v>1</v>
      </c>
      <c r="P367" t="n">
        <v>-0.0189</v>
      </c>
      <c r="Q367" t="n">
        <v>0.014547</v>
      </c>
      <c r="R367" t="n">
        <v>6515.8775</v>
      </c>
      <c r="S367" t="n">
        <v>48678.246</v>
      </c>
      <c r="T367" t="n">
        <v>1795.1932</v>
      </c>
      <c r="U367" t="n">
        <v>43957.5617</v>
      </c>
      <c r="V367" t="n">
        <v>0.380282</v>
      </c>
      <c r="W367" t="n">
        <v>9.311693</v>
      </c>
      <c r="X367" t="inlineStr">
        <is>
          <t>High</t>
        </is>
      </c>
      <c r="Y367" t="inlineStr">
        <is>
          <t>None</t>
        </is>
      </c>
      <c r="Z367" t="inlineStr">
        <is>
          <t>Valid</t>
        </is>
      </c>
      <c r="AA367" t="n">
        <v>2038</v>
      </c>
      <c r="AB367" t="inlineStr">
        <is>
          <t>Supplier Target Pathway</t>
        </is>
      </c>
      <c r="AC367" t="n">
        <v>3860.3046</v>
      </c>
      <c r="AD367" t="n">
        <v>2551.6613</v>
      </c>
      <c r="AE367" t="n">
        <v>2670.6289</v>
      </c>
      <c r="AF367" t="n">
        <v>2670.6289</v>
      </c>
      <c r="AG367" t="n">
        <v>1189.6757</v>
      </c>
      <c r="AH367" t="n">
        <v>0.00037467</v>
      </c>
      <c r="AI367" t="n">
        <v>0.308182</v>
      </c>
      <c r="AJ367" t="n">
        <v>118.9676</v>
      </c>
      <c r="AK367" t="n">
        <v>59.4838</v>
      </c>
      <c r="AL367" t="n">
        <v>-1975.2483</v>
      </c>
      <c r="AM367" t="n">
        <v>42801.8291</v>
      </c>
      <c r="AN367" t="n">
        <v>0.99</v>
      </c>
      <c r="AO367" t="inlineStr">
        <is>
          <t>Medium</t>
        </is>
      </c>
      <c r="AP367" t="inlineStr">
        <is>
          <t>On Track to Glide Path</t>
        </is>
      </c>
    </row>
    <row r="368">
      <c r="A368" t="inlineStr">
        <is>
          <t>SUP-0023</t>
        </is>
      </c>
      <c r="B368" t="inlineStr">
        <is>
          <t>Agriculture Supplier 023</t>
        </is>
      </c>
      <c r="C368" t="inlineStr">
        <is>
          <t>Agriculture</t>
        </is>
      </c>
      <c r="D368" t="n">
        <v>2024</v>
      </c>
      <c r="E368" t="n">
        <v>2018</v>
      </c>
      <c r="F368" t="n">
        <v>2040</v>
      </c>
      <c r="G368" t="n">
        <v>4720.6843</v>
      </c>
      <c r="H368" t="n">
        <v>691.2297</v>
      </c>
      <c r="I368" t="n">
        <v>578.6541999999999</v>
      </c>
      <c r="J368" t="n">
        <v>3491.0896</v>
      </c>
      <c r="K368" t="n">
        <v>7127955</v>
      </c>
      <c r="L368" t="n">
        <v>50228809.36</v>
      </c>
      <c r="M368" t="n">
        <v>4720.6843</v>
      </c>
      <c r="N368" t="inlineStr">
        <is>
          <t>Provided Total Emissions</t>
        </is>
      </c>
      <c r="O368" t="b">
        <v>1</v>
      </c>
      <c r="P368" t="n">
        <v>-0.0189</v>
      </c>
      <c r="Q368" t="n">
        <v>0.014547</v>
      </c>
      <c r="R368" t="n">
        <v>6515.8775</v>
      </c>
      <c r="S368" t="n">
        <v>48678.246</v>
      </c>
      <c r="T368" t="n">
        <v>1795.1932</v>
      </c>
      <c r="U368" t="n">
        <v>43957.5617</v>
      </c>
      <c r="V368" t="n">
        <v>0.380282</v>
      </c>
      <c r="W368" t="n">
        <v>9.311693</v>
      </c>
      <c r="X368" t="inlineStr">
        <is>
          <t>High</t>
        </is>
      </c>
      <c r="Y368" t="inlineStr">
        <is>
          <t>None</t>
        </is>
      </c>
      <c r="Z368" t="inlineStr">
        <is>
          <t>Valid</t>
        </is>
      </c>
      <c r="AA368" t="n">
        <v>2039</v>
      </c>
      <c r="AB368" t="inlineStr">
        <is>
          <t>Supplier Target Pathway</t>
        </is>
      </c>
      <c r="AC368" t="n">
        <v>3860.3046</v>
      </c>
      <c r="AD368" t="n">
        <v>2551.6613</v>
      </c>
      <c r="AE368" t="n">
        <v>2611.1451</v>
      </c>
      <c r="AF368" t="n">
        <v>2611.1451</v>
      </c>
      <c r="AG368" t="n">
        <v>1249.1595</v>
      </c>
      <c r="AH368" t="n">
        <v>0.00036632</v>
      </c>
      <c r="AI368" t="n">
        <v>0.323591</v>
      </c>
      <c r="AJ368" t="n">
        <v>59.4838</v>
      </c>
      <c r="AK368" t="n">
        <v>59.4838</v>
      </c>
      <c r="AL368" t="n">
        <v>-4586.3934</v>
      </c>
      <c r="AM368" t="n">
        <v>45412.9742</v>
      </c>
      <c r="AN368" t="n">
        <v>0.99</v>
      </c>
      <c r="AO368" t="inlineStr">
        <is>
          <t>Medium</t>
        </is>
      </c>
      <c r="AP368" t="inlineStr">
        <is>
          <t>On Track to Glide Path</t>
        </is>
      </c>
    </row>
    <row r="369">
      <c r="A369" t="inlineStr">
        <is>
          <t>SUP-0023</t>
        </is>
      </c>
      <c r="B369" t="inlineStr">
        <is>
          <t>Agriculture Supplier 023</t>
        </is>
      </c>
      <c r="C369" t="inlineStr">
        <is>
          <t>Agriculture</t>
        </is>
      </c>
      <c r="D369" t="n">
        <v>2024</v>
      </c>
      <c r="E369" t="n">
        <v>2018</v>
      </c>
      <c r="F369" t="n">
        <v>2040</v>
      </c>
      <c r="G369" t="n">
        <v>4720.6843</v>
      </c>
      <c r="H369" t="n">
        <v>691.2297</v>
      </c>
      <c r="I369" t="n">
        <v>578.6541999999999</v>
      </c>
      <c r="J369" t="n">
        <v>3491.0896</v>
      </c>
      <c r="K369" t="n">
        <v>7127955</v>
      </c>
      <c r="L369" t="n">
        <v>50228809.36</v>
      </c>
      <c r="M369" t="n">
        <v>4720.6843</v>
      </c>
      <c r="N369" t="inlineStr">
        <is>
          <t>Provided Total Emissions</t>
        </is>
      </c>
      <c r="O369" t="b">
        <v>1</v>
      </c>
      <c r="P369" t="n">
        <v>-0.0189</v>
      </c>
      <c r="Q369" t="n">
        <v>0.014547</v>
      </c>
      <c r="R369" t="n">
        <v>6515.8775</v>
      </c>
      <c r="S369" t="n">
        <v>48678.246</v>
      </c>
      <c r="T369" t="n">
        <v>1795.1932</v>
      </c>
      <c r="U369" t="n">
        <v>43957.5617</v>
      </c>
      <c r="V369" t="n">
        <v>0.380282</v>
      </c>
      <c r="W369" t="n">
        <v>9.311693</v>
      </c>
      <c r="X369" t="inlineStr">
        <is>
          <t>High</t>
        </is>
      </c>
      <c r="Y369" t="inlineStr">
        <is>
          <t>None</t>
        </is>
      </c>
      <c r="Z369" t="inlineStr">
        <is>
          <t>Valid</t>
        </is>
      </c>
      <c r="AA369" t="n">
        <v>2040</v>
      </c>
      <c r="AB369" t="inlineStr">
        <is>
          <t>Supplier Target Pathway</t>
        </is>
      </c>
      <c r="AC369" t="n">
        <v>3860.3046</v>
      </c>
      <c r="AD369" t="n">
        <v>2551.6613</v>
      </c>
      <c r="AE369" t="n">
        <v>2551.6613</v>
      </c>
      <c r="AF369" t="n">
        <v>2551.6613</v>
      </c>
      <c r="AG369" t="n">
        <v>1308.6433</v>
      </c>
      <c r="AH369" t="n">
        <v>0.00035798</v>
      </c>
      <c r="AI369" t="n">
        <v>0.339</v>
      </c>
      <c r="AJ369" t="n">
        <v>0</v>
      </c>
      <c r="AK369" t="n">
        <v>59.4838</v>
      </c>
      <c r="AL369" t="n">
        <v>-7138.0547</v>
      </c>
      <c r="AM369" t="n">
        <v>47964.6355</v>
      </c>
      <c r="AN369" t="n">
        <v>0.99</v>
      </c>
      <c r="AO369" t="inlineStr">
        <is>
          <t>Low</t>
        </is>
      </c>
      <c r="AP369" t="inlineStr">
        <is>
          <t>On Track</t>
        </is>
      </c>
    </row>
    <row r="370">
      <c r="A370" t="inlineStr">
        <is>
          <t>SUP-0024</t>
        </is>
      </c>
      <c r="B370" t="inlineStr">
        <is>
          <t>Agriculture Supplier 024</t>
        </is>
      </c>
      <c r="C370" t="inlineStr">
        <is>
          <t>Agriculture</t>
        </is>
      </c>
      <c r="D370" t="n">
        <v>2024</v>
      </c>
      <c r="E370" t="n">
        <v>2015</v>
      </c>
      <c r="F370" t="n">
        <v>2040</v>
      </c>
      <c r="G370" t="n">
        <v>560.3584</v>
      </c>
      <c r="H370" t="n">
        <v>168.2989</v>
      </c>
      <c r="I370" t="n">
        <v>97.5733</v>
      </c>
      <c r="J370" t="n">
        <v>308.0436</v>
      </c>
      <c r="K370" t="n">
        <v>853888.01</v>
      </c>
      <c r="L370" t="n">
        <v>10047334.03</v>
      </c>
      <c r="M370" t="n">
        <v>560.3584</v>
      </c>
      <c r="N370" t="inlineStr">
        <is>
          <t>Provided Total Emissions</t>
        </is>
      </c>
      <c r="O370" t="b">
        <v>1</v>
      </c>
      <c r="P370" t="n">
        <v>-0.027391</v>
      </c>
      <c r="Q370" t="n">
        <v>0.053652</v>
      </c>
      <c r="R370" t="n">
        <v>780.5646</v>
      </c>
      <c r="S370" t="n">
        <v>9737.1728</v>
      </c>
      <c r="T370" t="n">
        <v>220.2062</v>
      </c>
      <c r="U370" t="n">
        <v>9176.814399999999</v>
      </c>
      <c r="V370" t="n">
        <v>0.392974</v>
      </c>
      <c r="W370" t="n">
        <v>16.376688</v>
      </c>
      <c r="X370" t="inlineStr">
        <is>
          <t>High</t>
        </is>
      </c>
      <c r="Y370" t="inlineStr">
        <is>
          <t>None</t>
        </is>
      </c>
      <c r="Z370" t="inlineStr">
        <is>
          <t>Valid</t>
        </is>
      </c>
      <c r="AA370" t="n">
        <v>2025</v>
      </c>
      <c r="AB370" t="inlineStr">
        <is>
          <t>Historical Trend Pathway</t>
        </is>
      </c>
      <c r="AC370" t="n">
        <v>719.4856</v>
      </c>
      <c r="AD370" t="n">
        <v>522.4113</v>
      </c>
      <c r="AE370" t="n">
        <v>560.9041999999999</v>
      </c>
      <c r="AF370" t="n">
        <v>640.6559</v>
      </c>
      <c r="AG370" t="n">
        <v>158.5814</v>
      </c>
      <c r="AH370" t="n">
        <v>0.00065688</v>
      </c>
      <c r="AI370" t="n">
        <v>0.220409</v>
      </c>
      <c r="AJ370" t="n">
        <v>38.4929</v>
      </c>
      <c r="AK370" t="n">
        <v>7.883</v>
      </c>
      <c r="AL370" t="n">
        <v>7797.6766</v>
      </c>
      <c r="AM370" t="n">
        <v>560.9041999999999</v>
      </c>
      <c r="AN370" t="n">
        <v>0.88</v>
      </c>
      <c r="AO370" t="inlineStr">
        <is>
          <t>Medium</t>
        </is>
      </c>
      <c r="AP370" t="inlineStr">
        <is>
          <t>On Track to Glide Path</t>
        </is>
      </c>
    </row>
    <row r="371">
      <c r="A371" t="inlineStr">
        <is>
          <t>SUP-0024</t>
        </is>
      </c>
      <c r="B371" t="inlineStr">
        <is>
          <t>Agriculture Supplier 024</t>
        </is>
      </c>
      <c r="C371" t="inlineStr">
        <is>
          <t>Agriculture</t>
        </is>
      </c>
      <c r="D371" t="n">
        <v>2024</v>
      </c>
      <c r="E371" t="n">
        <v>2015</v>
      </c>
      <c r="F371" t="n">
        <v>2040</v>
      </c>
      <c r="G371" t="n">
        <v>560.3584</v>
      </c>
      <c r="H371" t="n">
        <v>168.2989</v>
      </c>
      <c r="I371" t="n">
        <v>97.5733</v>
      </c>
      <c r="J371" t="n">
        <v>308.0436</v>
      </c>
      <c r="K371" t="n">
        <v>853888.01</v>
      </c>
      <c r="L371" t="n">
        <v>10047334.03</v>
      </c>
      <c r="M371" t="n">
        <v>560.3584</v>
      </c>
      <c r="N371" t="inlineStr">
        <is>
          <t>Provided Total Emissions</t>
        </is>
      </c>
      <c r="O371" t="b">
        <v>1</v>
      </c>
      <c r="P371" t="n">
        <v>-0.027391</v>
      </c>
      <c r="Q371" t="n">
        <v>0.053652</v>
      </c>
      <c r="R371" t="n">
        <v>780.5646</v>
      </c>
      <c r="S371" t="n">
        <v>9737.1728</v>
      </c>
      <c r="T371" t="n">
        <v>220.2062</v>
      </c>
      <c r="U371" t="n">
        <v>9176.814399999999</v>
      </c>
      <c r="V371" t="n">
        <v>0.392974</v>
      </c>
      <c r="W371" t="n">
        <v>16.376688</v>
      </c>
      <c r="X371" t="inlineStr">
        <is>
          <t>High</t>
        </is>
      </c>
      <c r="Y371" t="inlineStr">
        <is>
          <t>None</t>
        </is>
      </c>
      <c r="Z371" t="inlineStr">
        <is>
          <t>Valid</t>
        </is>
      </c>
      <c r="AA371" t="n">
        <v>2026</v>
      </c>
      <c r="AB371" t="inlineStr">
        <is>
          <t>Historical Trend Pathway</t>
        </is>
      </c>
      <c r="AC371" t="n">
        <v>719.4856</v>
      </c>
      <c r="AD371" t="n">
        <v>522.4113</v>
      </c>
      <c r="AE371" t="n">
        <v>561.4506</v>
      </c>
      <c r="AF371" t="n">
        <v>632.7729</v>
      </c>
      <c r="AG371" t="n">
        <v>158.035</v>
      </c>
      <c r="AH371" t="n">
        <v>0.00065752</v>
      </c>
      <c r="AI371" t="n">
        <v>0.21965</v>
      </c>
      <c r="AJ371" t="n">
        <v>39.0393</v>
      </c>
      <c r="AK371" t="n">
        <v>7.883</v>
      </c>
      <c r="AL371" t="n">
        <v>7236.226</v>
      </c>
      <c r="AM371" t="n">
        <v>1122.3548</v>
      </c>
      <c r="AN371" t="n">
        <v>0.88</v>
      </c>
      <c r="AO371" t="inlineStr">
        <is>
          <t>Medium</t>
        </is>
      </c>
      <c r="AP371" t="inlineStr">
        <is>
          <t>On Track to Glide Path</t>
        </is>
      </c>
    </row>
    <row r="372">
      <c r="A372" t="inlineStr">
        <is>
          <t>SUP-0024</t>
        </is>
      </c>
      <c r="B372" t="inlineStr">
        <is>
          <t>Agriculture Supplier 024</t>
        </is>
      </c>
      <c r="C372" t="inlineStr">
        <is>
          <t>Agriculture</t>
        </is>
      </c>
      <c r="D372" t="n">
        <v>2024</v>
      </c>
      <c r="E372" t="n">
        <v>2015</v>
      </c>
      <c r="F372" t="n">
        <v>2040</v>
      </c>
      <c r="G372" t="n">
        <v>560.3584</v>
      </c>
      <c r="H372" t="n">
        <v>168.2989</v>
      </c>
      <c r="I372" t="n">
        <v>97.5733</v>
      </c>
      <c r="J372" t="n">
        <v>308.0436</v>
      </c>
      <c r="K372" t="n">
        <v>853888.01</v>
      </c>
      <c r="L372" t="n">
        <v>10047334.03</v>
      </c>
      <c r="M372" t="n">
        <v>560.3584</v>
      </c>
      <c r="N372" t="inlineStr">
        <is>
          <t>Provided Total Emissions</t>
        </is>
      </c>
      <c r="O372" t="b">
        <v>1</v>
      </c>
      <c r="P372" t="n">
        <v>-0.027391</v>
      </c>
      <c r="Q372" t="n">
        <v>0.053652</v>
      </c>
      <c r="R372" t="n">
        <v>780.5646</v>
      </c>
      <c r="S372" t="n">
        <v>9737.1728</v>
      </c>
      <c r="T372" t="n">
        <v>220.2062</v>
      </c>
      <c r="U372" t="n">
        <v>9176.814399999999</v>
      </c>
      <c r="V372" t="n">
        <v>0.392974</v>
      </c>
      <c r="W372" t="n">
        <v>16.376688</v>
      </c>
      <c r="X372" t="inlineStr">
        <is>
          <t>High</t>
        </is>
      </c>
      <c r="Y372" t="inlineStr">
        <is>
          <t>None</t>
        </is>
      </c>
      <c r="Z372" t="inlineStr">
        <is>
          <t>Valid</t>
        </is>
      </c>
      <c r="AA372" t="n">
        <v>2027</v>
      </c>
      <c r="AB372" t="inlineStr">
        <is>
          <t>Historical Trend Pathway</t>
        </is>
      </c>
      <c r="AC372" t="n">
        <v>719.4856</v>
      </c>
      <c r="AD372" t="n">
        <v>522.4113</v>
      </c>
      <c r="AE372" t="n">
        <v>561.9974</v>
      </c>
      <c r="AF372" t="n">
        <v>624.8899</v>
      </c>
      <c r="AG372" t="n">
        <v>157.4882</v>
      </c>
      <c r="AH372" t="n">
        <v>0.00065816</v>
      </c>
      <c r="AI372" t="n">
        <v>0.21889</v>
      </c>
      <c r="AJ372" t="n">
        <v>39.5861</v>
      </c>
      <c r="AK372" t="n">
        <v>7.883</v>
      </c>
      <c r="AL372" t="n">
        <v>6674.2286</v>
      </c>
      <c r="AM372" t="n">
        <v>1684.3522</v>
      </c>
      <c r="AN372" t="n">
        <v>0.88</v>
      </c>
      <c r="AO372" t="inlineStr">
        <is>
          <t>Medium</t>
        </is>
      </c>
      <c r="AP372" t="inlineStr">
        <is>
          <t>On Track to Glide Path</t>
        </is>
      </c>
    </row>
    <row r="373">
      <c r="A373" t="inlineStr">
        <is>
          <t>SUP-0024</t>
        </is>
      </c>
      <c r="B373" t="inlineStr">
        <is>
          <t>Agriculture Supplier 024</t>
        </is>
      </c>
      <c r="C373" t="inlineStr">
        <is>
          <t>Agriculture</t>
        </is>
      </c>
      <c r="D373" t="n">
        <v>2024</v>
      </c>
      <c r="E373" t="n">
        <v>2015</v>
      </c>
      <c r="F373" t="n">
        <v>2040</v>
      </c>
      <c r="G373" t="n">
        <v>560.3584</v>
      </c>
      <c r="H373" t="n">
        <v>168.2989</v>
      </c>
      <c r="I373" t="n">
        <v>97.5733</v>
      </c>
      <c r="J373" t="n">
        <v>308.0436</v>
      </c>
      <c r="K373" t="n">
        <v>853888.01</v>
      </c>
      <c r="L373" t="n">
        <v>10047334.03</v>
      </c>
      <c r="M373" t="n">
        <v>560.3584</v>
      </c>
      <c r="N373" t="inlineStr">
        <is>
          <t>Provided Total Emissions</t>
        </is>
      </c>
      <c r="O373" t="b">
        <v>1</v>
      </c>
      <c r="P373" t="n">
        <v>-0.027391</v>
      </c>
      <c r="Q373" t="n">
        <v>0.053652</v>
      </c>
      <c r="R373" t="n">
        <v>780.5646</v>
      </c>
      <c r="S373" t="n">
        <v>9737.1728</v>
      </c>
      <c r="T373" t="n">
        <v>220.2062</v>
      </c>
      <c r="U373" t="n">
        <v>9176.814399999999</v>
      </c>
      <c r="V373" t="n">
        <v>0.392974</v>
      </c>
      <c r="W373" t="n">
        <v>16.376688</v>
      </c>
      <c r="X373" t="inlineStr">
        <is>
          <t>High</t>
        </is>
      </c>
      <c r="Y373" t="inlineStr">
        <is>
          <t>None</t>
        </is>
      </c>
      <c r="Z373" t="inlineStr">
        <is>
          <t>Valid</t>
        </is>
      </c>
      <c r="AA373" t="n">
        <v>2028</v>
      </c>
      <c r="AB373" t="inlineStr">
        <is>
          <t>Historical Trend Pathway</t>
        </is>
      </c>
      <c r="AC373" t="n">
        <v>719.4856</v>
      </c>
      <c r="AD373" t="n">
        <v>522.4113</v>
      </c>
      <c r="AE373" t="n">
        <v>562.5449</v>
      </c>
      <c r="AF373" t="n">
        <v>617.0069999999999</v>
      </c>
      <c r="AG373" t="n">
        <v>156.9407</v>
      </c>
      <c r="AH373" t="n">
        <v>0.0006588</v>
      </c>
      <c r="AI373" t="n">
        <v>0.218129</v>
      </c>
      <c r="AJ373" t="n">
        <v>40.1336</v>
      </c>
      <c r="AK373" t="n">
        <v>7.883</v>
      </c>
      <c r="AL373" t="n">
        <v>6111.6837</v>
      </c>
      <c r="AM373" t="n">
        <v>2246.8971</v>
      </c>
      <c r="AN373" t="n">
        <v>0.88</v>
      </c>
      <c r="AO373" t="inlineStr">
        <is>
          <t>Medium</t>
        </is>
      </c>
      <c r="AP373" t="inlineStr">
        <is>
          <t>On Track to Glide Path</t>
        </is>
      </c>
    </row>
    <row r="374">
      <c r="A374" t="inlineStr">
        <is>
          <t>SUP-0024</t>
        </is>
      </c>
      <c r="B374" t="inlineStr">
        <is>
          <t>Agriculture Supplier 024</t>
        </is>
      </c>
      <c r="C374" t="inlineStr">
        <is>
          <t>Agriculture</t>
        </is>
      </c>
      <c r="D374" t="n">
        <v>2024</v>
      </c>
      <c r="E374" t="n">
        <v>2015</v>
      </c>
      <c r="F374" t="n">
        <v>2040</v>
      </c>
      <c r="G374" t="n">
        <v>560.3584</v>
      </c>
      <c r="H374" t="n">
        <v>168.2989</v>
      </c>
      <c r="I374" t="n">
        <v>97.5733</v>
      </c>
      <c r="J374" t="n">
        <v>308.0436</v>
      </c>
      <c r="K374" t="n">
        <v>853888.01</v>
      </c>
      <c r="L374" t="n">
        <v>10047334.03</v>
      </c>
      <c r="M374" t="n">
        <v>560.3584</v>
      </c>
      <c r="N374" t="inlineStr">
        <is>
          <t>Provided Total Emissions</t>
        </is>
      </c>
      <c r="O374" t="b">
        <v>1</v>
      </c>
      <c r="P374" t="n">
        <v>-0.027391</v>
      </c>
      <c r="Q374" t="n">
        <v>0.053652</v>
      </c>
      <c r="R374" t="n">
        <v>780.5646</v>
      </c>
      <c r="S374" t="n">
        <v>9737.1728</v>
      </c>
      <c r="T374" t="n">
        <v>220.2062</v>
      </c>
      <c r="U374" t="n">
        <v>9176.814399999999</v>
      </c>
      <c r="V374" t="n">
        <v>0.392974</v>
      </c>
      <c r="W374" t="n">
        <v>16.376688</v>
      </c>
      <c r="X374" t="inlineStr">
        <is>
          <t>High</t>
        </is>
      </c>
      <c r="Y374" t="inlineStr">
        <is>
          <t>None</t>
        </is>
      </c>
      <c r="Z374" t="inlineStr">
        <is>
          <t>Valid</t>
        </is>
      </c>
      <c r="AA374" t="n">
        <v>2029</v>
      </c>
      <c r="AB374" t="inlineStr">
        <is>
          <t>Historical Trend Pathway</t>
        </is>
      </c>
      <c r="AC374" t="n">
        <v>719.4856</v>
      </c>
      <c r="AD374" t="n">
        <v>522.4113</v>
      </c>
      <c r="AE374" t="n">
        <v>563.0928</v>
      </c>
      <c r="AF374" t="n">
        <v>609.124</v>
      </c>
      <c r="AG374" t="n">
        <v>156.3928</v>
      </c>
      <c r="AH374" t="n">
        <v>0.00065945</v>
      </c>
      <c r="AI374" t="n">
        <v>0.217368</v>
      </c>
      <c r="AJ374" t="n">
        <v>40.6815</v>
      </c>
      <c r="AK374" t="n">
        <v>7.883</v>
      </c>
      <c r="AL374" t="n">
        <v>5548.5909</v>
      </c>
      <c r="AM374" t="n">
        <v>2809.9899</v>
      </c>
      <c r="AN374" t="n">
        <v>0.88</v>
      </c>
      <c r="AO374" t="inlineStr">
        <is>
          <t>Medium</t>
        </is>
      </c>
      <c r="AP374" t="inlineStr">
        <is>
          <t>On Track to Glide Path</t>
        </is>
      </c>
    </row>
    <row r="375">
      <c r="A375" t="inlineStr">
        <is>
          <t>SUP-0024</t>
        </is>
      </c>
      <c r="B375" t="inlineStr">
        <is>
          <t>Agriculture Supplier 024</t>
        </is>
      </c>
      <c r="C375" t="inlineStr">
        <is>
          <t>Agriculture</t>
        </is>
      </c>
      <c r="D375" t="n">
        <v>2024</v>
      </c>
      <c r="E375" t="n">
        <v>2015</v>
      </c>
      <c r="F375" t="n">
        <v>2040</v>
      </c>
      <c r="G375" t="n">
        <v>560.3584</v>
      </c>
      <c r="H375" t="n">
        <v>168.2989</v>
      </c>
      <c r="I375" t="n">
        <v>97.5733</v>
      </c>
      <c r="J375" t="n">
        <v>308.0436</v>
      </c>
      <c r="K375" t="n">
        <v>853888.01</v>
      </c>
      <c r="L375" t="n">
        <v>10047334.03</v>
      </c>
      <c r="M375" t="n">
        <v>560.3584</v>
      </c>
      <c r="N375" t="inlineStr">
        <is>
          <t>Provided Total Emissions</t>
        </is>
      </c>
      <c r="O375" t="b">
        <v>1</v>
      </c>
      <c r="P375" t="n">
        <v>-0.027391</v>
      </c>
      <c r="Q375" t="n">
        <v>0.053652</v>
      </c>
      <c r="R375" t="n">
        <v>780.5646</v>
      </c>
      <c r="S375" t="n">
        <v>9737.1728</v>
      </c>
      <c r="T375" t="n">
        <v>220.2062</v>
      </c>
      <c r="U375" t="n">
        <v>9176.814399999999</v>
      </c>
      <c r="V375" t="n">
        <v>0.392974</v>
      </c>
      <c r="W375" t="n">
        <v>16.376688</v>
      </c>
      <c r="X375" t="inlineStr">
        <is>
          <t>High</t>
        </is>
      </c>
      <c r="Y375" t="inlineStr">
        <is>
          <t>None</t>
        </is>
      </c>
      <c r="Z375" t="inlineStr">
        <is>
          <t>Valid</t>
        </is>
      </c>
      <c r="AA375" t="n">
        <v>2030</v>
      </c>
      <c r="AB375" t="inlineStr">
        <is>
          <t>Historical Trend Pathway</t>
        </is>
      </c>
      <c r="AC375" t="n">
        <v>719.4856</v>
      </c>
      <c r="AD375" t="n">
        <v>522.4113</v>
      </c>
      <c r="AE375" t="n">
        <v>563.6413</v>
      </c>
      <c r="AF375" t="n">
        <v>601.241</v>
      </c>
      <c r="AG375" t="n">
        <v>155.8443</v>
      </c>
      <c r="AH375" t="n">
        <v>0.00066009</v>
      </c>
      <c r="AI375" t="n">
        <v>0.216605</v>
      </c>
      <c r="AJ375" t="n">
        <v>41.23</v>
      </c>
      <c r="AK375" t="n">
        <v>7.883</v>
      </c>
      <c r="AL375" t="n">
        <v>4984.9496</v>
      </c>
      <c r="AM375" t="n">
        <v>3373.6312</v>
      </c>
      <c r="AN375" t="n">
        <v>0.88</v>
      </c>
      <c r="AO375" t="inlineStr">
        <is>
          <t>Medium</t>
        </is>
      </c>
      <c r="AP375" t="inlineStr">
        <is>
          <t>On Track to Glide Path</t>
        </is>
      </c>
    </row>
    <row r="376">
      <c r="A376" t="inlineStr">
        <is>
          <t>SUP-0024</t>
        </is>
      </c>
      <c r="B376" t="inlineStr">
        <is>
          <t>Agriculture Supplier 024</t>
        </is>
      </c>
      <c r="C376" t="inlineStr">
        <is>
          <t>Agriculture</t>
        </is>
      </c>
      <c r="D376" t="n">
        <v>2024</v>
      </c>
      <c r="E376" t="n">
        <v>2015</v>
      </c>
      <c r="F376" t="n">
        <v>2040</v>
      </c>
      <c r="G376" t="n">
        <v>560.3584</v>
      </c>
      <c r="H376" t="n">
        <v>168.2989</v>
      </c>
      <c r="I376" t="n">
        <v>97.5733</v>
      </c>
      <c r="J376" t="n">
        <v>308.0436</v>
      </c>
      <c r="K376" t="n">
        <v>853888.01</v>
      </c>
      <c r="L376" t="n">
        <v>10047334.03</v>
      </c>
      <c r="M376" t="n">
        <v>560.3584</v>
      </c>
      <c r="N376" t="inlineStr">
        <is>
          <t>Provided Total Emissions</t>
        </is>
      </c>
      <c r="O376" t="b">
        <v>1</v>
      </c>
      <c r="P376" t="n">
        <v>-0.027391</v>
      </c>
      <c r="Q376" t="n">
        <v>0.053652</v>
      </c>
      <c r="R376" t="n">
        <v>780.5646</v>
      </c>
      <c r="S376" t="n">
        <v>9737.1728</v>
      </c>
      <c r="T376" t="n">
        <v>220.2062</v>
      </c>
      <c r="U376" t="n">
        <v>9176.814399999999</v>
      </c>
      <c r="V376" t="n">
        <v>0.392974</v>
      </c>
      <c r="W376" t="n">
        <v>16.376688</v>
      </c>
      <c r="X376" t="inlineStr">
        <is>
          <t>High</t>
        </is>
      </c>
      <c r="Y376" t="inlineStr">
        <is>
          <t>None</t>
        </is>
      </c>
      <c r="Z376" t="inlineStr">
        <is>
          <t>Valid</t>
        </is>
      </c>
      <c r="AA376" t="n">
        <v>2031</v>
      </c>
      <c r="AB376" t="inlineStr">
        <is>
          <t>Historical Trend Pathway</t>
        </is>
      </c>
      <c r="AC376" t="n">
        <v>719.4856</v>
      </c>
      <c r="AD376" t="n">
        <v>522.4113</v>
      </c>
      <c r="AE376" t="n">
        <v>564.1903</v>
      </c>
      <c r="AF376" t="n">
        <v>593.3579999999999</v>
      </c>
      <c r="AG376" t="n">
        <v>155.2953</v>
      </c>
      <c r="AH376" t="n">
        <v>0.00066073</v>
      </c>
      <c r="AI376" t="n">
        <v>0.215842</v>
      </c>
      <c r="AJ376" t="n">
        <v>41.779</v>
      </c>
      <c r="AK376" t="n">
        <v>7.883</v>
      </c>
      <c r="AL376" t="n">
        <v>4420.7593</v>
      </c>
      <c r="AM376" t="n">
        <v>3937.8215</v>
      </c>
      <c r="AN376" t="n">
        <v>0.88</v>
      </c>
      <c r="AO376" t="inlineStr">
        <is>
          <t>Medium</t>
        </is>
      </c>
      <c r="AP376" t="inlineStr">
        <is>
          <t>On Track to Glide Path</t>
        </is>
      </c>
    </row>
    <row r="377">
      <c r="A377" t="inlineStr">
        <is>
          <t>SUP-0024</t>
        </is>
      </c>
      <c r="B377" t="inlineStr">
        <is>
          <t>Agriculture Supplier 024</t>
        </is>
      </c>
      <c r="C377" t="inlineStr">
        <is>
          <t>Agriculture</t>
        </is>
      </c>
      <c r="D377" t="n">
        <v>2024</v>
      </c>
      <c r="E377" t="n">
        <v>2015</v>
      </c>
      <c r="F377" t="n">
        <v>2040</v>
      </c>
      <c r="G377" t="n">
        <v>560.3584</v>
      </c>
      <c r="H377" t="n">
        <v>168.2989</v>
      </c>
      <c r="I377" t="n">
        <v>97.5733</v>
      </c>
      <c r="J377" t="n">
        <v>308.0436</v>
      </c>
      <c r="K377" t="n">
        <v>853888.01</v>
      </c>
      <c r="L377" t="n">
        <v>10047334.03</v>
      </c>
      <c r="M377" t="n">
        <v>560.3584</v>
      </c>
      <c r="N377" t="inlineStr">
        <is>
          <t>Provided Total Emissions</t>
        </is>
      </c>
      <c r="O377" t="b">
        <v>1</v>
      </c>
      <c r="P377" t="n">
        <v>-0.027391</v>
      </c>
      <c r="Q377" t="n">
        <v>0.053652</v>
      </c>
      <c r="R377" t="n">
        <v>780.5646</v>
      </c>
      <c r="S377" t="n">
        <v>9737.1728</v>
      </c>
      <c r="T377" t="n">
        <v>220.2062</v>
      </c>
      <c r="U377" t="n">
        <v>9176.814399999999</v>
      </c>
      <c r="V377" t="n">
        <v>0.392974</v>
      </c>
      <c r="W377" t="n">
        <v>16.376688</v>
      </c>
      <c r="X377" t="inlineStr">
        <is>
          <t>High</t>
        </is>
      </c>
      <c r="Y377" t="inlineStr">
        <is>
          <t>None</t>
        </is>
      </c>
      <c r="Z377" t="inlineStr">
        <is>
          <t>Valid</t>
        </is>
      </c>
      <c r="AA377" t="n">
        <v>2032</v>
      </c>
      <c r="AB377" t="inlineStr">
        <is>
          <t>Historical Trend Pathway</t>
        </is>
      </c>
      <c r="AC377" t="n">
        <v>719.4856</v>
      </c>
      <c r="AD377" t="n">
        <v>522.4113</v>
      </c>
      <c r="AE377" t="n">
        <v>564.7399</v>
      </c>
      <c r="AF377" t="n">
        <v>585.4751</v>
      </c>
      <c r="AG377" t="n">
        <v>154.7457</v>
      </c>
      <c r="AH377" t="n">
        <v>0.00066137</v>
      </c>
      <c r="AI377" t="n">
        <v>0.215078</v>
      </c>
      <c r="AJ377" t="n">
        <v>42.3286</v>
      </c>
      <c r="AK377" t="n">
        <v>7.883</v>
      </c>
      <c r="AL377" t="n">
        <v>3856.0194</v>
      </c>
      <c r="AM377" t="n">
        <v>4502.5614</v>
      </c>
      <c r="AN377" t="n">
        <v>0.88</v>
      </c>
      <c r="AO377" t="inlineStr">
        <is>
          <t>Medium</t>
        </is>
      </c>
      <c r="AP377" t="inlineStr">
        <is>
          <t>On Track to Glide Path</t>
        </is>
      </c>
    </row>
    <row r="378">
      <c r="A378" t="inlineStr">
        <is>
          <t>SUP-0024</t>
        </is>
      </c>
      <c r="B378" t="inlineStr">
        <is>
          <t>Agriculture Supplier 024</t>
        </is>
      </c>
      <c r="C378" t="inlineStr">
        <is>
          <t>Agriculture</t>
        </is>
      </c>
      <c r="D378" t="n">
        <v>2024</v>
      </c>
      <c r="E378" t="n">
        <v>2015</v>
      </c>
      <c r="F378" t="n">
        <v>2040</v>
      </c>
      <c r="G378" t="n">
        <v>560.3584</v>
      </c>
      <c r="H378" t="n">
        <v>168.2989</v>
      </c>
      <c r="I378" t="n">
        <v>97.5733</v>
      </c>
      <c r="J378" t="n">
        <v>308.0436</v>
      </c>
      <c r="K378" t="n">
        <v>853888.01</v>
      </c>
      <c r="L378" t="n">
        <v>10047334.03</v>
      </c>
      <c r="M378" t="n">
        <v>560.3584</v>
      </c>
      <c r="N378" t="inlineStr">
        <is>
          <t>Provided Total Emissions</t>
        </is>
      </c>
      <c r="O378" t="b">
        <v>1</v>
      </c>
      <c r="P378" t="n">
        <v>-0.027391</v>
      </c>
      <c r="Q378" t="n">
        <v>0.053652</v>
      </c>
      <c r="R378" t="n">
        <v>780.5646</v>
      </c>
      <c r="S378" t="n">
        <v>9737.1728</v>
      </c>
      <c r="T378" t="n">
        <v>220.2062</v>
      </c>
      <c r="U378" t="n">
        <v>9176.814399999999</v>
      </c>
      <c r="V378" t="n">
        <v>0.392974</v>
      </c>
      <c r="W378" t="n">
        <v>16.376688</v>
      </c>
      <c r="X378" t="inlineStr">
        <is>
          <t>High</t>
        </is>
      </c>
      <c r="Y378" t="inlineStr">
        <is>
          <t>None</t>
        </is>
      </c>
      <c r="Z378" t="inlineStr">
        <is>
          <t>Valid</t>
        </is>
      </c>
      <c r="AA378" t="n">
        <v>2033</v>
      </c>
      <c r="AB378" t="inlineStr">
        <is>
          <t>Historical Trend Pathway</t>
        </is>
      </c>
      <c r="AC378" t="n">
        <v>719.4856</v>
      </c>
      <c r="AD378" t="n">
        <v>522.4113</v>
      </c>
      <c r="AE378" t="n">
        <v>565.2899</v>
      </c>
      <c r="AF378" t="n">
        <v>577.5921</v>
      </c>
      <c r="AG378" t="n">
        <v>154.1957</v>
      </c>
      <c r="AH378" t="n">
        <v>0.00066202</v>
      </c>
      <c r="AI378" t="n">
        <v>0.214314</v>
      </c>
      <c r="AJ378" t="n">
        <v>42.8786</v>
      </c>
      <c r="AK378" t="n">
        <v>7.883</v>
      </c>
      <c r="AL378" t="n">
        <v>3290.7295</v>
      </c>
      <c r="AM378" t="n">
        <v>5067.8513</v>
      </c>
      <c r="AN378" t="n">
        <v>0.88</v>
      </c>
      <c r="AO378" t="inlineStr">
        <is>
          <t>Medium</t>
        </is>
      </c>
      <c r="AP378" t="inlineStr">
        <is>
          <t>On Track to Glide Path</t>
        </is>
      </c>
    </row>
    <row r="379">
      <c r="A379" t="inlineStr">
        <is>
          <t>SUP-0024</t>
        </is>
      </c>
      <c r="B379" t="inlineStr">
        <is>
          <t>Agriculture Supplier 024</t>
        </is>
      </c>
      <c r="C379" t="inlineStr">
        <is>
          <t>Agriculture</t>
        </is>
      </c>
      <c r="D379" t="n">
        <v>2024</v>
      </c>
      <c r="E379" t="n">
        <v>2015</v>
      </c>
      <c r="F379" t="n">
        <v>2040</v>
      </c>
      <c r="G379" t="n">
        <v>560.3584</v>
      </c>
      <c r="H379" t="n">
        <v>168.2989</v>
      </c>
      <c r="I379" t="n">
        <v>97.5733</v>
      </c>
      <c r="J379" t="n">
        <v>308.0436</v>
      </c>
      <c r="K379" t="n">
        <v>853888.01</v>
      </c>
      <c r="L379" t="n">
        <v>10047334.03</v>
      </c>
      <c r="M379" t="n">
        <v>560.3584</v>
      </c>
      <c r="N379" t="inlineStr">
        <is>
          <t>Provided Total Emissions</t>
        </is>
      </c>
      <c r="O379" t="b">
        <v>1</v>
      </c>
      <c r="P379" t="n">
        <v>-0.027391</v>
      </c>
      <c r="Q379" t="n">
        <v>0.053652</v>
      </c>
      <c r="R379" t="n">
        <v>780.5646</v>
      </c>
      <c r="S379" t="n">
        <v>9737.1728</v>
      </c>
      <c r="T379" t="n">
        <v>220.2062</v>
      </c>
      <c r="U379" t="n">
        <v>9176.814399999999</v>
      </c>
      <c r="V379" t="n">
        <v>0.392974</v>
      </c>
      <c r="W379" t="n">
        <v>16.376688</v>
      </c>
      <c r="X379" t="inlineStr">
        <is>
          <t>High</t>
        </is>
      </c>
      <c r="Y379" t="inlineStr">
        <is>
          <t>None</t>
        </is>
      </c>
      <c r="Z379" t="inlineStr">
        <is>
          <t>Valid</t>
        </is>
      </c>
      <c r="AA379" t="n">
        <v>2034</v>
      </c>
      <c r="AB379" t="inlineStr">
        <is>
          <t>Historical Trend Pathway</t>
        </is>
      </c>
      <c r="AC379" t="n">
        <v>719.4856</v>
      </c>
      <c r="AD379" t="n">
        <v>522.4113</v>
      </c>
      <c r="AE379" t="n">
        <v>565.8406</v>
      </c>
      <c r="AF379" t="n">
        <v>569.7091</v>
      </c>
      <c r="AG379" t="n">
        <v>153.645</v>
      </c>
      <c r="AH379" t="n">
        <v>0.00066266</v>
      </c>
      <c r="AI379" t="n">
        <v>0.213548</v>
      </c>
      <c r="AJ379" t="n">
        <v>43.4293</v>
      </c>
      <c r="AK379" t="n">
        <v>7.883</v>
      </c>
      <c r="AL379" t="n">
        <v>2724.8889</v>
      </c>
      <c r="AM379" t="n">
        <v>5633.6919</v>
      </c>
      <c r="AN379" t="n">
        <v>0.88</v>
      </c>
      <c r="AO379" t="inlineStr">
        <is>
          <t>Medium</t>
        </is>
      </c>
      <c r="AP379" t="inlineStr">
        <is>
          <t>On Track to Glide Path</t>
        </is>
      </c>
    </row>
    <row r="380">
      <c r="A380" t="inlineStr">
        <is>
          <t>SUP-0024</t>
        </is>
      </c>
      <c r="B380" t="inlineStr">
        <is>
          <t>Agriculture Supplier 024</t>
        </is>
      </c>
      <c r="C380" t="inlineStr">
        <is>
          <t>Agriculture</t>
        </is>
      </c>
      <c r="D380" t="n">
        <v>2024</v>
      </c>
      <c r="E380" t="n">
        <v>2015</v>
      </c>
      <c r="F380" t="n">
        <v>2040</v>
      </c>
      <c r="G380" t="n">
        <v>560.3584</v>
      </c>
      <c r="H380" t="n">
        <v>168.2989</v>
      </c>
      <c r="I380" t="n">
        <v>97.5733</v>
      </c>
      <c r="J380" t="n">
        <v>308.0436</v>
      </c>
      <c r="K380" t="n">
        <v>853888.01</v>
      </c>
      <c r="L380" t="n">
        <v>10047334.03</v>
      </c>
      <c r="M380" t="n">
        <v>560.3584</v>
      </c>
      <c r="N380" t="inlineStr">
        <is>
          <t>Provided Total Emissions</t>
        </is>
      </c>
      <c r="O380" t="b">
        <v>1</v>
      </c>
      <c r="P380" t="n">
        <v>-0.027391</v>
      </c>
      <c r="Q380" t="n">
        <v>0.053652</v>
      </c>
      <c r="R380" t="n">
        <v>780.5646</v>
      </c>
      <c r="S380" t="n">
        <v>9737.1728</v>
      </c>
      <c r="T380" t="n">
        <v>220.2062</v>
      </c>
      <c r="U380" t="n">
        <v>9176.814399999999</v>
      </c>
      <c r="V380" t="n">
        <v>0.392974</v>
      </c>
      <c r="W380" t="n">
        <v>16.376688</v>
      </c>
      <c r="X380" t="inlineStr">
        <is>
          <t>High</t>
        </is>
      </c>
      <c r="Y380" t="inlineStr">
        <is>
          <t>None</t>
        </is>
      </c>
      <c r="Z380" t="inlineStr">
        <is>
          <t>Valid</t>
        </is>
      </c>
      <c r="AA380" t="n">
        <v>2035</v>
      </c>
      <c r="AB380" t="inlineStr">
        <is>
          <t>Historical Trend Pathway</t>
        </is>
      </c>
      <c r="AC380" t="n">
        <v>719.4856</v>
      </c>
      <c r="AD380" t="n">
        <v>522.4113</v>
      </c>
      <c r="AE380" t="n">
        <v>566.3917</v>
      </c>
      <c r="AF380" t="n">
        <v>561.8262</v>
      </c>
      <c r="AG380" t="n">
        <v>153.0939</v>
      </c>
      <c r="AH380" t="n">
        <v>0.00066331</v>
      </c>
      <c r="AI380" t="n">
        <v>0.212782</v>
      </c>
      <c r="AJ380" t="n">
        <v>43.9804</v>
      </c>
      <c r="AK380" t="n">
        <v>7.883</v>
      </c>
      <c r="AL380" t="n">
        <v>2158.4972</v>
      </c>
      <c r="AM380" t="n">
        <v>6200.0836</v>
      </c>
      <c r="AN380" t="n">
        <v>0.88</v>
      </c>
      <c r="AO380" t="inlineStr">
        <is>
          <t>Medium</t>
        </is>
      </c>
      <c r="AP380" t="inlineStr">
        <is>
          <t>Off Track</t>
        </is>
      </c>
    </row>
    <row r="381">
      <c r="A381" t="inlineStr">
        <is>
          <t>SUP-0024</t>
        </is>
      </c>
      <c r="B381" t="inlineStr">
        <is>
          <t>Agriculture Supplier 024</t>
        </is>
      </c>
      <c r="C381" t="inlineStr">
        <is>
          <t>Agriculture</t>
        </is>
      </c>
      <c r="D381" t="n">
        <v>2024</v>
      </c>
      <c r="E381" t="n">
        <v>2015</v>
      </c>
      <c r="F381" t="n">
        <v>2040</v>
      </c>
      <c r="G381" t="n">
        <v>560.3584</v>
      </c>
      <c r="H381" t="n">
        <v>168.2989</v>
      </c>
      <c r="I381" t="n">
        <v>97.5733</v>
      </c>
      <c r="J381" t="n">
        <v>308.0436</v>
      </c>
      <c r="K381" t="n">
        <v>853888.01</v>
      </c>
      <c r="L381" t="n">
        <v>10047334.03</v>
      </c>
      <c r="M381" t="n">
        <v>560.3584</v>
      </c>
      <c r="N381" t="inlineStr">
        <is>
          <t>Provided Total Emissions</t>
        </is>
      </c>
      <c r="O381" t="b">
        <v>1</v>
      </c>
      <c r="P381" t="n">
        <v>-0.027391</v>
      </c>
      <c r="Q381" t="n">
        <v>0.053652</v>
      </c>
      <c r="R381" t="n">
        <v>780.5646</v>
      </c>
      <c r="S381" t="n">
        <v>9737.1728</v>
      </c>
      <c r="T381" t="n">
        <v>220.2062</v>
      </c>
      <c r="U381" t="n">
        <v>9176.814399999999</v>
      </c>
      <c r="V381" t="n">
        <v>0.392974</v>
      </c>
      <c r="W381" t="n">
        <v>16.376688</v>
      </c>
      <c r="X381" t="inlineStr">
        <is>
          <t>High</t>
        </is>
      </c>
      <c r="Y381" t="inlineStr">
        <is>
          <t>None</t>
        </is>
      </c>
      <c r="Z381" t="inlineStr">
        <is>
          <t>Valid</t>
        </is>
      </c>
      <c r="AA381" t="n">
        <v>2036</v>
      </c>
      <c r="AB381" t="inlineStr">
        <is>
          <t>Historical Trend Pathway</t>
        </is>
      </c>
      <c r="AC381" t="n">
        <v>719.4856</v>
      </c>
      <c r="AD381" t="n">
        <v>522.4113</v>
      </c>
      <c r="AE381" t="n">
        <v>566.9434</v>
      </c>
      <c r="AF381" t="n">
        <v>553.9432</v>
      </c>
      <c r="AG381" t="n">
        <v>152.5422</v>
      </c>
      <c r="AH381" t="n">
        <v>0.00066396</v>
      </c>
      <c r="AI381" t="n">
        <v>0.212016</v>
      </c>
      <c r="AJ381" t="n">
        <v>44.5321</v>
      </c>
      <c r="AK381" t="n">
        <v>7.883</v>
      </c>
      <c r="AL381" t="n">
        <v>1591.5538</v>
      </c>
      <c r="AM381" t="n">
        <v>6767.027</v>
      </c>
      <c r="AN381" t="n">
        <v>0.88</v>
      </c>
      <c r="AO381" t="inlineStr">
        <is>
          <t>Medium</t>
        </is>
      </c>
      <c r="AP381" t="inlineStr">
        <is>
          <t>Off Track</t>
        </is>
      </c>
    </row>
    <row r="382">
      <c r="A382" t="inlineStr">
        <is>
          <t>SUP-0024</t>
        </is>
      </c>
      <c r="B382" t="inlineStr">
        <is>
          <t>Agriculture Supplier 024</t>
        </is>
      </c>
      <c r="C382" t="inlineStr">
        <is>
          <t>Agriculture</t>
        </is>
      </c>
      <c r="D382" t="n">
        <v>2024</v>
      </c>
      <c r="E382" t="n">
        <v>2015</v>
      </c>
      <c r="F382" t="n">
        <v>2040</v>
      </c>
      <c r="G382" t="n">
        <v>560.3584</v>
      </c>
      <c r="H382" t="n">
        <v>168.2989</v>
      </c>
      <c r="I382" t="n">
        <v>97.5733</v>
      </c>
      <c r="J382" t="n">
        <v>308.0436</v>
      </c>
      <c r="K382" t="n">
        <v>853888.01</v>
      </c>
      <c r="L382" t="n">
        <v>10047334.03</v>
      </c>
      <c r="M382" t="n">
        <v>560.3584</v>
      </c>
      <c r="N382" t="inlineStr">
        <is>
          <t>Provided Total Emissions</t>
        </is>
      </c>
      <c r="O382" t="b">
        <v>1</v>
      </c>
      <c r="P382" t="n">
        <v>-0.027391</v>
      </c>
      <c r="Q382" t="n">
        <v>0.053652</v>
      </c>
      <c r="R382" t="n">
        <v>780.5646</v>
      </c>
      <c r="S382" t="n">
        <v>9737.1728</v>
      </c>
      <c r="T382" t="n">
        <v>220.2062</v>
      </c>
      <c r="U382" t="n">
        <v>9176.814399999999</v>
      </c>
      <c r="V382" t="n">
        <v>0.392974</v>
      </c>
      <c r="W382" t="n">
        <v>16.376688</v>
      </c>
      <c r="X382" t="inlineStr">
        <is>
          <t>High</t>
        </is>
      </c>
      <c r="Y382" t="inlineStr">
        <is>
          <t>None</t>
        </is>
      </c>
      <c r="Z382" t="inlineStr">
        <is>
          <t>Valid</t>
        </is>
      </c>
      <c r="AA382" t="n">
        <v>2037</v>
      </c>
      <c r="AB382" t="inlineStr">
        <is>
          <t>Historical Trend Pathway</t>
        </is>
      </c>
      <c r="AC382" t="n">
        <v>719.4856</v>
      </c>
      <c r="AD382" t="n">
        <v>522.4113</v>
      </c>
      <c r="AE382" t="n">
        <v>567.4956</v>
      </c>
      <c r="AF382" t="n">
        <v>546.0602</v>
      </c>
      <c r="AG382" t="n">
        <v>151.99</v>
      </c>
      <c r="AH382" t="n">
        <v>0.0006646</v>
      </c>
      <c r="AI382" t="n">
        <v>0.211248</v>
      </c>
      <c r="AJ382" t="n">
        <v>45.0843</v>
      </c>
      <c r="AK382" t="n">
        <v>7.883</v>
      </c>
      <c r="AL382" t="n">
        <v>1024.0582</v>
      </c>
      <c r="AM382" t="n">
        <v>7334.5226</v>
      </c>
      <c r="AN382" t="n">
        <v>0.88</v>
      </c>
      <c r="AO382" t="inlineStr">
        <is>
          <t>Medium</t>
        </is>
      </c>
      <c r="AP382" t="inlineStr">
        <is>
          <t>Off Track</t>
        </is>
      </c>
    </row>
    <row r="383">
      <c r="A383" t="inlineStr">
        <is>
          <t>SUP-0024</t>
        </is>
      </c>
      <c r="B383" t="inlineStr">
        <is>
          <t>Agriculture Supplier 024</t>
        </is>
      </c>
      <c r="C383" t="inlineStr">
        <is>
          <t>Agriculture</t>
        </is>
      </c>
      <c r="D383" t="n">
        <v>2024</v>
      </c>
      <c r="E383" t="n">
        <v>2015</v>
      </c>
      <c r="F383" t="n">
        <v>2040</v>
      </c>
      <c r="G383" t="n">
        <v>560.3584</v>
      </c>
      <c r="H383" t="n">
        <v>168.2989</v>
      </c>
      <c r="I383" t="n">
        <v>97.5733</v>
      </c>
      <c r="J383" t="n">
        <v>308.0436</v>
      </c>
      <c r="K383" t="n">
        <v>853888.01</v>
      </c>
      <c r="L383" t="n">
        <v>10047334.03</v>
      </c>
      <c r="M383" t="n">
        <v>560.3584</v>
      </c>
      <c r="N383" t="inlineStr">
        <is>
          <t>Provided Total Emissions</t>
        </is>
      </c>
      <c r="O383" t="b">
        <v>1</v>
      </c>
      <c r="P383" t="n">
        <v>-0.027391</v>
      </c>
      <c r="Q383" t="n">
        <v>0.053652</v>
      </c>
      <c r="R383" t="n">
        <v>780.5646</v>
      </c>
      <c r="S383" t="n">
        <v>9737.1728</v>
      </c>
      <c r="T383" t="n">
        <v>220.2062</v>
      </c>
      <c r="U383" t="n">
        <v>9176.814399999999</v>
      </c>
      <c r="V383" t="n">
        <v>0.392974</v>
      </c>
      <c r="W383" t="n">
        <v>16.376688</v>
      </c>
      <c r="X383" t="inlineStr">
        <is>
          <t>High</t>
        </is>
      </c>
      <c r="Y383" t="inlineStr">
        <is>
          <t>None</t>
        </is>
      </c>
      <c r="Z383" t="inlineStr">
        <is>
          <t>Valid</t>
        </is>
      </c>
      <c r="AA383" t="n">
        <v>2038</v>
      </c>
      <c r="AB383" t="inlineStr">
        <is>
          <t>Historical Trend Pathway</t>
        </is>
      </c>
      <c r="AC383" t="n">
        <v>719.4856</v>
      </c>
      <c r="AD383" t="n">
        <v>522.4113</v>
      </c>
      <c r="AE383" t="n">
        <v>568.0484</v>
      </c>
      <c r="AF383" t="n">
        <v>538.1772</v>
      </c>
      <c r="AG383" t="n">
        <v>151.4372</v>
      </c>
      <c r="AH383" t="n">
        <v>0.00066525</v>
      </c>
      <c r="AI383" t="n">
        <v>0.21048</v>
      </c>
      <c r="AJ383" t="n">
        <v>45.6371</v>
      </c>
      <c r="AK383" t="n">
        <v>7.883</v>
      </c>
      <c r="AL383" t="n">
        <v>456.0098</v>
      </c>
      <c r="AM383" t="n">
        <v>7902.571</v>
      </c>
      <c r="AN383" t="n">
        <v>0.88</v>
      </c>
      <c r="AO383" t="inlineStr">
        <is>
          <t>Medium</t>
        </is>
      </c>
      <c r="AP383" t="inlineStr">
        <is>
          <t>Off Track</t>
        </is>
      </c>
    </row>
    <row r="384">
      <c r="A384" t="inlineStr">
        <is>
          <t>SUP-0024</t>
        </is>
      </c>
      <c r="B384" t="inlineStr">
        <is>
          <t>Agriculture Supplier 024</t>
        </is>
      </c>
      <c r="C384" t="inlineStr">
        <is>
          <t>Agriculture</t>
        </is>
      </c>
      <c r="D384" t="n">
        <v>2024</v>
      </c>
      <c r="E384" t="n">
        <v>2015</v>
      </c>
      <c r="F384" t="n">
        <v>2040</v>
      </c>
      <c r="G384" t="n">
        <v>560.3584</v>
      </c>
      <c r="H384" t="n">
        <v>168.2989</v>
      </c>
      <c r="I384" t="n">
        <v>97.5733</v>
      </c>
      <c r="J384" t="n">
        <v>308.0436</v>
      </c>
      <c r="K384" t="n">
        <v>853888.01</v>
      </c>
      <c r="L384" t="n">
        <v>10047334.03</v>
      </c>
      <c r="M384" t="n">
        <v>560.3584</v>
      </c>
      <c r="N384" t="inlineStr">
        <is>
          <t>Provided Total Emissions</t>
        </is>
      </c>
      <c r="O384" t="b">
        <v>1</v>
      </c>
      <c r="P384" t="n">
        <v>-0.027391</v>
      </c>
      <c r="Q384" t="n">
        <v>0.053652</v>
      </c>
      <c r="R384" t="n">
        <v>780.5646</v>
      </c>
      <c r="S384" t="n">
        <v>9737.1728</v>
      </c>
      <c r="T384" t="n">
        <v>220.2062</v>
      </c>
      <c r="U384" t="n">
        <v>9176.814399999999</v>
      </c>
      <c r="V384" t="n">
        <v>0.392974</v>
      </c>
      <c r="W384" t="n">
        <v>16.376688</v>
      </c>
      <c r="X384" t="inlineStr">
        <is>
          <t>High</t>
        </is>
      </c>
      <c r="Y384" t="inlineStr">
        <is>
          <t>None</t>
        </is>
      </c>
      <c r="Z384" t="inlineStr">
        <is>
          <t>Valid</t>
        </is>
      </c>
      <c r="AA384" t="n">
        <v>2039</v>
      </c>
      <c r="AB384" t="inlineStr">
        <is>
          <t>Historical Trend Pathway</t>
        </is>
      </c>
      <c r="AC384" t="n">
        <v>719.4856</v>
      </c>
      <c r="AD384" t="n">
        <v>522.4113</v>
      </c>
      <c r="AE384" t="n">
        <v>568.6017000000001</v>
      </c>
      <c r="AF384" t="n">
        <v>530.2943</v>
      </c>
      <c r="AG384" t="n">
        <v>150.8839</v>
      </c>
      <c r="AH384" t="n">
        <v>0.0006659</v>
      </c>
      <c r="AI384" t="n">
        <v>0.209711</v>
      </c>
      <c r="AJ384" t="n">
        <v>46.1904</v>
      </c>
      <c r="AK384" t="n">
        <v>7.883</v>
      </c>
      <c r="AL384" t="n">
        <v>-112.5919</v>
      </c>
      <c r="AM384" t="n">
        <v>8471.172699999999</v>
      </c>
      <c r="AN384" t="n">
        <v>0.88</v>
      </c>
      <c r="AO384" t="inlineStr">
        <is>
          <t>Medium</t>
        </is>
      </c>
      <c r="AP384" t="inlineStr">
        <is>
          <t>Off Track</t>
        </is>
      </c>
    </row>
    <row r="385">
      <c r="A385" t="inlineStr">
        <is>
          <t>SUP-0024</t>
        </is>
      </c>
      <c r="B385" t="inlineStr">
        <is>
          <t>Agriculture Supplier 024</t>
        </is>
      </c>
      <c r="C385" t="inlineStr">
        <is>
          <t>Agriculture</t>
        </is>
      </c>
      <c r="D385" t="n">
        <v>2024</v>
      </c>
      <c r="E385" t="n">
        <v>2015</v>
      </c>
      <c r="F385" t="n">
        <v>2040</v>
      </c>
      <c r="G385" t="n">
        <v>560.3584</v>
      </c>
      <c r="H385" t="n">
        <v>168.2989</v>
      </c>
      <c r="I385" t="n">
        <v>97.5733</v>
      </c>
      <c r="J385" t="n">
        <v>308.0436</v>
      </c>
      <c r="K385" t="n">
        <v>853888.01</v>
      </c>
      <c r="L385" t="n">
        <v>10047334.03</v>
      </c>
      <c r="M385" t="n">
        <v>560.3584</v>
      </c>
      <c r="N385" t="inlineStr">
        <is>
          <t>Provided Total Emissions</t>
        </is>
      </c>
      <c r="O385" t="b">
        <v>1</v>
      </c>
      <c r="P385" t="n">
        <v>-0.027391</v>
      </c>
      <c r="Q385" t="n">
        <v>0.053652</v>
      </c>
      <c r="R385" t="n">
        <v>780.5646</v>
      </c>
      <c r="S385" t="n">
        <v>9737.1728</v>
      </c>
      <c r="T385" t="n">
        <v>220.2062</v>
      </c>
      <c r="U385" t="n">
        <v>9176.814399999999</v>
      </c>
      <c r="V385" t="n">
        <v>0.392974</v>
      </c>
      <c r="W385" t="n">
        <v>16.376688</v>
      </c>
      <c r="X385" t="inlineStr">
        <is>
          <t>High</t>
        </is>
      </c>
      <c r="Y385" t="inlineStr">
        <is>
          <t>None</t>
        </is>
      </c>
      <c r="Z385" t="inlineStr">
        <is>
          <t>Valid</t>
        </is>
      </c>
      <c r="AA385" t="n">
        <v>2040</v>
      </c>
      <c r="AB385" t="inlineStr">
        <is>
          <t>Historical Trend Pathway</t>
        </is>
      </c>
      <c r="AC385" t="n">
        <v>719.4856</v>
      </c>
      <c r="AD385" t="n">
        <v>522.4113</v>
      </c>
      <c r="AE385" t="n">
        <v>569.1556</v>
      </c>
      <c r="AF385" t="n">
        <v>522.4113</v>
      </c>
      <c r="AG385" t="n">
        <v>150.33</v>
      </c>
      <c r="AH385" t="n">
        <v>0.00066655</v>
      </c>
      <c r="AI385" t="n">
        <v>0.208941</v>
      </c>
      <c r="AJ385" t="n">
        <v>46.7443</v>
      </c>
      <c r="AK385" t="n">
        <v>7.883</v>
      </c>
      <c r="AL385" t="n">
        <v>-681.7474999999999</v>
      </c>
      <c r="AM385" t="n">
        <v>9040.328299999999</v>
      </c>
      <c r="AN385" t="n">
        <v>0.88</v>
      </c>
      <c r="AO385" t="inlineStr">
        <is>
          <t>Medium</t>
        </is>
      </c>
      <c r="AP385" t="inlineStr">
        <is>
          <t>Off Track</t>
        </is>
      </c>
    </row>
    <row r="386">
      <c r="A386" t="inlineStr">
        <is>
          <t>SUP-0025</t>
        </is>
      </c>
      <c r="B386" t="inlineStr">
        <is>
          <t>Metals Supplier 025</t>
        </is>
      </c>
      <c r="C386" t="inlineStr">
        <is>
          <t>Metals</t>
        </is>
      </c>
      <c r="D386" t="n">
        <v>2024</v>
      </c>
      <c r="E386" t="n">
        <v>2020</v>
      </c>
      <c r="F386" t="n">
        <v>2030</v>
      </c>
      <c r="G386" t="n">
        <v>10805.0329</v>
      </c>
      <c r="H386" t="n">
        <v>2648.121</v>
      </c>
      <c r="I386" t="n">
        <v>1554.6211</v>
      </c>
      <c r="J386" t="n">
        <v>6865.0615</v>
      </c>
      <c r="K386" t="n">
        <v>28051545.88</v>
      </c>
      <c r="L386" t="n">
        <v>98370436.7</v>
      </c>
      <c r="M386" t="n">
        <v>10805.0329</v>
      </c>
      <c r="N386" t="inlineStr">
        <is>
          <t>Provided Total Emissions</t>
        </is>
      </c>
      <c r="O386" t="b">
        <v>1</v>
      </c>
      <c r="P386" t="n">
        <v>-0.018726</v>
      </c>
      <c r="Q386" t="n">
        <v>0.041527</v>
      </c>
      <c r="R386" t="n">
        <v>28246.5041</v>
      </c>
      <c r="S386" t="n">
        <v>63948.6535</v>
      </c>
      <c r="T386" t="n">
        <v>17441.4712</v>
      </c>
      <c r="U386" t="n">
        <v>53143.6206</v>
      </c>
      <c r="V386" t="n">
        <v>1.614199</v>
      </c>
      <c r="W386" t="n">
        <v>4.918414</v>
      </c>
      <c r="X386" t="inlineStr">
        <is>
          <t>High</t>
        </is>
      </c>
      <c r="Y386" t="inlineStr">
        <is>
          <t>None</t>
        </is>
      </c>
      <c r="Z386" t="inlineStr">
        <is>
          <t>Valid</t>
        </is>
      </c>
      <c r="AA386" t="n">
        <v>2025</v>
      </c>
      <c r="AB386" t="inlineStr">
        <is>
          <t>Supplier Target Pathway</t>
        </is>
      </c>
      <c r="AC386" t="n">
        <v>11635.6166</v>
      </c>
      <c r="AD386" t="n">
        <v>7175.6848</v>
      </c>
      <c r="AE386" t="n">
        <v>9405.6507</v>
      </c>
      <c r="AF386" t="n">
        <v>9405.6507</v>
      </c>
      <c r="AG386" t="n">
        <v>2229.9659</v>
      </c>
      <c r="AH386" t="n">
        <v>0.0003353</v>
      </c>
      <c r="AI386" t="n">
        <v>0.19165</v>
      </c>
      <c r="AJ386" t="n">
        <v>2229.9659</v>
      </c>
      <c r="AK386" t="n">
        <v>445.9932</v>
      </c>
      <c r="AL386" t="n">
        <v>33648.4581</v>
      </c>
      <c r="AM386" t="n">
        <v>9405.6507</v>
      </c>
      <c r="AN386" t="n">
        <v>0.99</v>
      </c>
      <c r="AO386" t="inlineStr">
        <is>
          <t>High</t>
        </is>
      </c>
      <c r="AP386" t="inlineStr">
        <is>
          <t>On Track to Glide Path</t>
        </is>
      </c>
    </row>
    <row r="387">
      <c r="A387" t="inlineStr">
        <is>
          <t>SUP-0025</t>
        </is>
      </c>
      <c r="B387" t="inlineStr">
        <is>
          <t>Metals Supplier 025</t>
        </is>
      </c>
      <c r="C387" t="inlineStr">
        <is>
          <t>Metals</t>
        </is>
      </c>
      <c r="D387" t="n">
        <v>2024</v>
      </c>
      <c r="E387" t="n">
        <v>2020</v>
      </c>
      <c r="F387" t="n">
        <v>2030</v>
      </c>
      <c r="G387" t="n">
        <v>10805.0329</v>
      </c>
      <c r="H387" t="n">
        <v>2648.121</v>
      </c>
      <c r="I387" t="n">
        <v>1554.6211</v>
      </c>
      <c r="J387" t="n">
        <v>6865.0615</v>
      </c>
      <c r="K387" t="n">
        <v>28051545.88</v>
      </c>
      <c r="L387" t="n">
        <v>98370436.7</v>
      </c>
      <c r="M387" t="n">
        <v>10805.0329</v>
      </c>
      <c r="N387" t="inlineStr">
        <is>
          <t>Provided Total Emissions</t>
        </is>
      </c>
      <c r="O387" t="b">
        <v>1</v>
      </c>
      <c r="P387" t="n">
        <v>-0.018726</v>
      </c>
      <c r="Q387" t="n">
        <v>0.041527</v>
      </c>
      <c r="R387" t="n">
        <v>28246.5041</v>
      </c>
      <c r="S387" t="n">
        <v>63948.6535</v>
      </c>
      <c r="T387" t="n">
        <v>17441.4712</v>
      </c>
      <c r="U387" t="n">
        <v>53143.6206</v>
      </c>
      <c r="V387" t="n">
        <v>1.614199</v>
      </c>
      <c r="W387" t="n">
        <v>4.918414</v>
      </c>
      <c r="X387" t="inlineStr">
        <is>
          <t>High</t>
        </is>
      </c>
      <c r="Y387" t="inlineStr">
        <is>
          <t>None</t>
        </is>
      </c>
      <c r="Z387" t="inlineStr">
        <is>
          <t>Valid</t>
        </is>
      </c>
      <c r="AA387" t="n">
        <v>2026</v>
      </c>
      <c r="AB387" t="inlineStr">
        <is>
          <t>Supplier Target Pathway</t>
        </is>
      </c>
      <c r="AC387" t="n">
        <v>11635.6166</v>
      </c>
      <c r="AD387" t="n">
        <v>7175.6848</v>
      </c>
      <c r="AE387" t="n">
        <v>8959.657499999999</v>
      </c>
      <c r="AF387" t="n">
        <v>8959.657499999999</v>
      </c>
      <c r="AG387" t="n">
        <v>2675.9591</v>
      </c>
      <c r="AH387" t="n">
        <v>0.0003194</v>
      </c>
      <c r="AI387" t="n">
        <v>0.22998</v>
      </c>
      <c r="AJ387" t="n">
        <v>1783.9727</v>
      </c>
      <c r="AK387" t="n">
        <v>445.9932</v>
      </c>
      <c r="AL387" t="n">
        <v>24688.8006</v>
      </c>
      <c r="AM387" t="n">
        <v>18365.3082</v>
      </c>
      <c r="AN387" t="n">
        <v>0.99</v>
      </c>
      <c r="AO387" t="inlineStr">
        <is>
          <t>High</t>
        </is>
      </c>
      <c r="AP387" t="inlineStr">
        <is>
          <t>On Track to Glide Path</t>
        </is>
      </c>
    </row>
    <row r="388">
      <c r="A388" t="inlineStr">
        <is>
          <t>SUP-0025</t>
        </is>
      </c>
      <c r="B388" t="inlineStr">
        <is>
          <t>Metals Supplier 025</t>
        </is>
      </c>
      <c r="C388" t="inlineStr">
        <is>
          <t>Metals</t>
        </is>
      </c>
      <c r="D388" t="n">
        <v>2024</v>
      </c>
      <c r="E388" t="n">
        <v>2020</v>
      </c>
      <c r="F388" t="n">
        <v>2030</v>
      </c>
      <c r="G388" t="n">
        <v>10805.0329</v>
      </c>
      <c r="H388" t="n">
        <v>2648.121</v>
      </c>
      <c r="I388" t="n">
        <v>1554.6211</v>
      </c>
      <c r="J388" t="n">
        <v>6865.0615</v>
      </c>
      <c r="K388" t="n">
        <v>28051545.88</v>
      </c>
      <c r="L388" t="n">
        <v>98370436.7</v>
      </c>
      <c r="M388" t="n">
        <v>10805.0329</v>
      </c>
      <c r="N388" t="inlineStr">
        <is>
          <t>Provided Total Emissions</t>
        </is>
      </c>
      <c r="O388" t="b">
        <v>1</v>
      </c>
      <c r="P388" t="n">
        <v>-0.018726</v>
      </c>
      <c r="Q388" t="n">
        <v>0.041527</v>
      </c>
      <c r="R388" t="n">
        <v>28246.5041</v>
      </c>
      <c r="S388" t="n">
        <v>63948.6535</v>
      </c>
      <c r="T388" t="n">
        <v>17441.4712</v>
      </c>
      <c r="U388" t="n">
        <v>53143.6206</v>
      </c>
      <c r="V388" t="n">
        <v>1.614199</v>
      </c>
      <c r="W388" t="n">
        <v>4.918414</v>
      </c>
      <c r="X388" t="inlineStr">
        <is>
          <t>High</t>
        </is>
      </c>
      <c r="Y388" t="inlineStr">
        <is>
          <t>None</t>
        </is>
      </c>
      <c r="Z388" t="inlineStr">
        <is>
          <t>Valid</t>
        </is>
      </c>
      <c r="AA388" t="n">
        <v>2027</v>
      </c>
      <c r="AB388" t="inlineStr">
        <is>
          <t>Supplier Target Pathway</t>
        </is>
      </c>
      <c r="AC388" t="n">
        <v>11635.6166</v>
      </c>
      <c r="AD388" t="n">
        <v>7175.6848</v>
      </c>
      <c r="AE388" t="n">
        <v>8513.6643</v>
      </c>
      <c r="AF388" t="n">
        <v>8513.6643</v>
      </c>
      <c r="AG388" t="n">
        <v>3121.9523</v>
      </c>
      <c r="AH388" t="n">
        <v>0.0003035</v>
      </c>
      <c r="AI388" t="n">
        <v>0.26831</v>
      </c>
      <c r="AJ388" t="n">
        <v>1337.9796</v>
      </c>
      <c r="AK388" t="n">
        <v>445.9932</v>
      </c>
      <c r="AL388" t="n">
        <v>16175.1363</v>
      </c>
      <c r="AM388" t="n">
        <v>26878.9725</v>
      </c>
      <c r="AN388" t="n">
        <v>0.99</v>
      </c>
      <c r="AO388" t="inlineStr">
        <is>
          <t>High</t>
        </is>
      </c>
      <c r="AP388" t="inlineStr">
        <is>
          <t>On Track to Glide Path</t>
        </is>
      </c>
    </row>
    <row r="389">
      <c r="A389" t="inlineStr">
        <is>
          <t>SUP-0025</t>
        </is>
      </c>
      <c r="B389" t="inlineStr">
        <is>
          <t>Metals Supplier 025</t>
        </is>
      </c>
      <c r="C389" t="inlineStr">
        <is>
          <t>Metals</t>
        </is>
      </c>
      <c r="D389" t="n">
        <v>2024</v>
      </c>
      <c r="E389" t="n">
        <v>2020</v>
      </c>
      <c r="F389" t="n">
        <v>2030</v>
      </c>
      <c r="G389" t="n">
        <v>10805.0329</v>
      </c>
      <c r="H389" t="n">
        <v>2648.121</v>
      </c>
      <c r="I389" t="n">
        <v>1554.6211</v>
      </c>
      <c r="J389" t="n">
        <v>6865.0615</v>
      </c>
      <c r="K389" t="n">
        <v>28051545.88</v>
      </c>
      <c r="L389" t="n">
        <v>98370436.7</v>
      </c>
      <c r="M389" t="n">
        <v>10805.0329</v>
      </c>
      <c r="N389" t="inlineStr">
        <is>
          <t>Provided Total Emissions</t>
        </is>
      </c>
      <c r="O389" t="b">
        <v>1</v>
      </c>
      <c r="P389" t="n">
        <v>-0.018726</v>
      </c>
      <c r="Q389" t="n">
        <v>0.041527</v>
      </c>
      <c r="R389" t="n">
        <v>28246.5041</v>
      </c>
      <c r="S389" t="n">
        <v>63948.6535</v>
      </c>
      <c r="T389" t="n">
        <v>17441.4712</v>
      </c>
      <c r="U389" t="n">
        <v>53143.6206</v>
      </c>
      <c r="V389" t="n">
        <v>1.614199</v>
      </c>
      <c r="W389" t="n">
        <v>4.918414</v>
      </c>
      <c r="X389" t="inlineStr">
        <is>
          <t>High</t>
        </is>
      </c>
      <c r="Y389" t="inlineStr">
        <is>
          <t>None</t>
        </is>
      </c>
      <c r="Z389" t="inlineStr">
        <is>
          <t>Valid</t>
        </is>
      </c>
      <c r="AA389" t="n">
        <v>2028</v>
      </c>
      <c r="AB389" t="inlineStr">
        <is>
          <t>Supplier Target Pathway</t>
        </is>
      </c>
      <c r="AC389" t="n">
        <v>11635.6166</v>
      </c>
      <c r="AD389" t="n">
        <v>7175.6848</v>
      </c>
      <c r="AE389" t="n">
        <v>8067.6711</v>
      </c>
      <c r="AF389" t="n">
        <v>8067.6711</v>
      </c>
      <c r="AG389" t="n">
        <v>3567.9455</v>
      </c>
      <c r="AH389" t="n">
        <v>0.0002876</v>
      </c>
      <c r="AI389" t="n">
        <v>0.30664</v>
      </c>
      <c r="AJ389" t="n">
        <v>891.9864</v>
      </c>
      <c r="AK389" t="n">
        <v>445.9932</v>
      </c>
      <c r="AL389" t="n">
        <v>8107.4652</v>
      </c>
      <c r="AM389" t="n">
        <v>34946.6436</v>
      </c>
      <c r="AN389" t="n">
        <v>0.99</v>
      </c>
      <c r="AO389" t="inlineStr">
        <is>
          <t>Medium</t>
        </is>
      </c>
      <c r="AP389" t="inlineStr">
        <is>
          <t>On Track to Glide Path</t>
        </is>
      </c>
    </row>
    <row r="390">
      <c r="A390" t="inlineStr">
        <is>
          <t>SUP-0025</t>
        </is>
      </c>
      <c r="B390" t="inlineStr">
        <is>
          <t>Metals Supplier 025</t>
        </is>
      </c>
      <c r="C390" t="inlineStr">
        <is>
          <t>Metals</t>
        </is>
      </c>
      <c r="D390" t="n">
        <v>2024</v>
      </c>
      <c r="E390" t="n">
        <v>2020</v>
      </c>
      <c r="F390" t="n">
        <v>2030</v>
      </c>
      <c r="G390" t="n">
        <v>10805.0329</v>
      </c>
      <c r="H390" t="n">
        <v>2648.121</v>
      </c>
      <c r="I390" t="n">
        <v>1554.6211</v>
      </c>
      <c r="J390" t="n">
        <v>6865.0615</v>
      </c>
      <c r="K390" t="n">
        <v>28051545.88</v>
      </c>
      <c r="L390" t="n">
        <v>98370436.7</v>
      </c>
      <c r="M390" t="n">
        <v>10805.0329</v>
      </c>
      <c r="N390" t="inlineStr">
        <is>
          <t>Provided Total Emissions</t>
        </is>
      </c>
      <c r="O390" t="b">
        <v>1</v>
      </c>
      <c r="P390" t="n">
        <v>-0.018726</v>
      </c>
      <c r="Q390" t="n">
        <v>0.041527</v>
      </c>
      <c r="R390" t="n">
        <v>28246.5041</v>
      </c>
      <c r="S390" t="n">
        <v>63948.6535</v>
      </c>
      <c r="T390" t="n">
        <v>17441.4712</v>
      </c>
      <c r="U390" t="n">
        <v>53143.6206</v>
      </c>
      <c r="V390" t="n">
        <v>1.614199</v>
      </c>
      <c r="W390" t="n">
        <v>4.918414</v>
      </c>
      <c r="X390" t="inlineStr">
        <is>
          <t>High</t>
        </is>
      </c>
      <c r="Y390" t="inlineStr">
        <is>
          <t>None</t>
        </is>
      </c>
      <c r="Z390" t="inlineStr">
        <is>
          <t>Valid</t>
        </is>
      </c>
      <c r="AA390" t="n">
        <v>2029</v>
      </c>
      <c r="AB390" t="inlineStr">
        <is>
          <t>Supplier Target Pathway</t>
        </is>
      </c>
      <c r="AC390" t="n">
        <v>11635.6166</v>
      </c>
      <c r="AD390" t="n">
        <v>7175.6848</v>
      </c>
      <c r="AE390" t="n">
        <v>7621.6779</v>
      </c>
      <c r="AF390" t="n">
        <v>7621.6779</v>
      </c>
      <c r="AG390" t="n">
        <v>4013.9387</v>
      </c>
      <c r="AH390" t="n">
        <v>0.0002717</v>
      </c>
      <c r="AI390" t="n">
        <v>0.34497</v>
      </c>
      <c r="AJ390" t="n">
        <v>445.9932</v>
      </c>
      <c r="AK390" t="n">
        <v>445.9932</v>
      </c>
      <c r="AL390" t="n">
        <v>485.7873</v>
      </c>
      <c r="AM390" t="n">
        <v>42568.3215</v>
      </c>
      <c r="AN390" t="n">
        <v>0.99</v>
      </c>
      <c r="AO390" t="inlineStr">
        <is>
          <t>Medium</t>
        </is>
      </c>
      <c r="AP390" t="inlineStr">
        <is>
          <t>On Track to Glide Path</t>
        </is>
      </c>
    </row>
    <row r="391">
      <c r="A391" t="inlineStr">
        <is>
          <t>SUP-0025</t>
        </is>
      </c>
      <c r="B391" t="inlineStr">
        <is>
          <t>Metals Supplier 025</t>
        </is>
      </c>
      <c r="C391" t="inlineStr">
        <is>
          <t>Metals</t>
        </is>
      </c>
      <c r="D391" t="n">
        <v>2024</v>
      </c>
      <c r="E391" t="n">
        <v>2020</v>
      </c>
      <c r="F391" t="n">
        <v>2030</v>
      </c>
      <c r="G391" t="n">
        <v>10805.0329</v>
      </c>
      <c r="H391" t="n">
        <v>2648.121</v>
      </c>
      <c r="I391" t="n">
        <v>1554.6211</v>
      </c>
      <c r="J391" t="n">
        <v>6865.0615</v>
      </c>
      <c r="K391" t="n">
        <v>28051545.88</v>
      </c>
      <c r="L391" t="n">
        <v>98370436.7</v>
      </c>
      <c r="M391" t="n">
        <v>10805.0329</v>
      </c>
      <c r="N391" t="inlineStr">
        <is>
          <t>Provided Total Emissions</t>
        </is>
      </c>
      <c r="O391" t="b">
        <v>1</v>
      </c>
      <c r="P391" t="n">
        <v>-0.018726</v>
      </c>
      <c r="Q391" t="n">
        <v>0.041527</v>
      </c>
      <c r="R391" t="n">
        <v>28246.5041</v>
      </c>
      <c r="S391" t="n">
        <v>63948.6535</v>
      </c>
      <c r="T391" t="n">
        <v>17441.4712</v>
      </c>
      <c r="U391" t="n">
        <v>53143.6206</v>
      </c>
      <c r="V391" t="n">
        <v>1.614199</v>
      </c>
      <c r="W391" t="n">
        <v>4.918414</v>
      </c>
      <c r="X391" t="inlineStr">
        <is>
          <t>High</t>
        </is>
      </c>
      <c r="Y391" t="inlineStr">
        <is>
          <t>None</t>
        </is>
      </c>
      <c r="Z391" t="inlineStr">
        <is>
          <t>Valid</t>
        </is>
      </c>
      <c r="AA391" t="n">
        <v>2030</v>
      </c>
      <c r="AB391" t="inlineStr">
        <is>
          <t>Supplier Target Pathway</t>
        </is>
      </c>
      <c r="AC391" t="n">
        <v>11635.6166</v>
      </c>
      <c r="AD391" t="n">
        <v>7175.6848</v>
      </c>
      <c r="AE391" t="n">
        <v>7175.6848</v>
      </c>
      <c r="AF391" t="n">
        <v>7175.6848</v>
      </c>
      <c r="AG391" t="n">
        <v>4459.9318</v>
      </c>
      <c r="AH391" t="n">
        <v>0.0002558</v>
      </c>
      <c r="AI391" t="n">
        <v>0.3833</v>
      </c>
      <c r="AJ391" t="n">
        <v>0</v>
      </c>
      <c r="AK391" t="n">
        <v>445.9932</v>
      </c>
      <c r="AL391" t="n">
        <v>-6689.8975</v>
      </c>
      <c r="AM391" t="n">
        <v>49744.0063</v>
      </c>
      <c r="AN391" t="n">
        <v>0.99</v>
      </c>
      <c r="AO391" t="inlineStr">
        <is>
          <t>Low</t>
        </is>
      </c>
      <c r="AP391" t="inlineStr">
        <is>
          <t>On Track</t>
        </is>
      </c>
    </row>
    <row r="392">
      <c r="A392" t="inlineStr">
        <is>
          <t>SUP-0025</t>
        </is>
      </c>
      <c r="B392" t="inlineStr">
        <is>
          <t>Metals Supplier 025</t>
        </is>
      </c>
      <c r="C392" t="inlineStr">
        <is>
          <t>Metals</t>
        </is>
      </c>
      <c r="D392" t="n">
        <v>2024</v>
      </c>
      <c r="E392" t="n">
        <v>2020</v>
      </c>
      <c r="F392" t="n">
        <v>2030</v>
      </c>
      <c r="G392" t="n">
        <v>10805.0329</v>
      </c>
      <c r="H392" t="n">
        <v>2648.121</v>
      </c>
      <c r="I392" t="n">
        <v>1554.6211</v>
      </c>
      <c r="J392" t="n">
        <v>6865.0615</v>
      </c>
      <c r="K392" t="n">
        <v>28051545.88</v>
      </c>
      <c r="L392" t="n">
        <v>98370436.7</v>
      </c>
      <c r="M392" t="n">
        <v>10805.0329</v>
      </c>
      <c r="N392" t="inlineStr">
        <is>
          <t>Provided Total Emissions</t>
        </is>
      </c>
      <c r="O392" t="b">
        <v>1</v>
      </c>
      <c r="P392" t="n">
        <v>-0.018726</v>
      </c>
      <c r="Q392" t="n">
        <v>0.041527</v>
      </c>
      <c r="R392" t="n">
        <v>28246.5041</v>
      </c>
      <c r="S392" t="n">
        <v>63948.6535</v>
      </c>
      <c r="T392" t="n">
        <v>17441.4712</v>
      </c>
      <c r="U392" t="n">
        <v>53143.6206</v>
      </c>
      <c r="V392" t="n">
        <v>1.614199</v>
      </c>
      <c r="W392" t="n">
        <v>4.918414</v>
      </c>
      <c r="X392" t="inlineStr">
        <is>
          <t>High</t>
        </is>
      </c>
      <c r="Y392" t="inlineStr">
        <is>
          <t>None</t>
        </is>
      </c>
      <c r="Z392" t="inlineStr">
        <is>
          <t>Valid</t>
        </is>
      </c>
      <c r="AA392" t="n">
        <v>2031</v>
      </c>
      <c r="AB392" t="inlineStr">
        <is>
          <t>Supplier Target Pathway</t>
        </is>
      </c>
      <c r="AC392" t="n">
        <v>11635.6166</v>
      </c>
      <c r="AD392" t="n">
        <v>7175.6848</v>
      </c>
      <c r="AE392" t="n">
        <v>7175.6848</v>
      </c>
      <c r="AF392" t="n">
        <v>7175.6848</v>
      </c>
      <c r="AG392" t="n">
        <v>4459.9318</v>
      </c>
      <c r="AH392" t="n">
        <v>0.0002558</v>
      </c>
      <c r="AI392" t="n">
        <v>0.3833</v>
      </c>
      <c r="AJ392" t="n">
        <v>0</v>
      </c>
      <c r="AK392" t="n">
        <v>445.9932</v>
      </c>
      <c r="AL392" t="n">
        <v>-13865.5823</v>
      </c>
      <c r="AM392" t="n">
        <v>56919.6911</v>
      </c>
      <c r="AN392" t="n">
        <v>0.99</v>
      </c>
      <c r="AO392" t="inlineStr">
        <is>
          <t>Low</t>
        </is>
      </c>
      <c r="AP392" t="inlineStr">
        <is>
          <t>On Track</t>
        </is>
      </c>
    </row>
    <row r="393">
      <c r="A393" t="inlineStr">
        <is>
          <t>SUP-0025</t>
        </is>
      </c>
      <c r="B393" t="inlineStr">
        <is>
          <t>Metals Supplier 025</t>
        </is>
      </c>
      <c r="C393" t="inlineStr">
        <is>
          <t>Metals</t>
        </is>
      </c>
      <c r="D393" t="n">
        <v>2024</v>
      </c>
      <c r="E393" t="n">
        <v>2020</v>
      </c>
      <c r="F393" t="n">
        <v>2030</v>
      </c>
      <c r="G393" t="n">
        <v>10805.0329</v>
      </c>
      <c r="H393" t="n">
        <v>2648.121</v>
      </c>
      <c r="I393" t="n">
        <v>1554.6211</v>
      </c>
      <c r="J393" t="n">
        <v>6865.0615</v>
      </c>
      <c r="K393" t="n">
        <v>28051545.88</v>
      </c>
      <c r="L393" t="n">
        <v>98370436.7</v>
      </c>
      <c r="M393" t="n">
        <v>10805.0329</v>
      </c>
      <c r="N393" t="inlineStr">
        <is>
          <t>Provided Total Emissions</t>
        </is>
      </c>
      <c r="O393" t="b">
        <v>1</v>
      </c>
      <c r="P393" t="n">
        <v>-0.018726</v>
      </c>
      <c r="Q393" t="n">
        <v>0.041527</v>
      </c>
      <c r="R393" t="n">
        <v>28246.5041</v>
      </c>
      <c r="S393" t="n">
        <v>63948.6535</v>
      </c>
      <c r="T393" t="n">
        <v>17441.4712</v>
      </c>
      <c r="U393" t="n">
        <v>53143.6206</v>
      </c>
      <c r="V393" t="n">
        <v>1.614199</v>
      </c>
      <c r="W393" t="n">
        <v>4.918414</v>
      </c>
      <c r="X393" t="inlineStr">
        <is>
          <t>High</t>
        </is>
      </c>
      <c r="Y393" t="inlineStr">
        <is>
          <t>None</t>
        </is>
      </c>
      <c r="Z393" t="inlineStr">
        <is>
          <t>Valid</t>
        </is>
      </c>
      <c r="AA393" t="n">
        <v>2032</v>
      </c>
      <c r="AB393" t="inlineStr">
        <is>
          <t>Supplier Target Pathway</t>
        </is>
      </c>
      <c r="AC393" t="n">
        <v>11635.6166</v>
      </c>
      <c r="AD393" t="n">
        <v>7175.6848</v>
      </c>
      <c r="AE393" t="n">
        <v>7175.6848</v>
      </c>
      <c r="AF393" t="n">
        <v>7175.6848</v>
      </c>
      <c r="AG393" t="n">
        <v>4459.9318</v>
      </c>
      <c r="AH393" t="n">
        <v>0.0002558</v>
      </c>
      <c r="AI393" t="n">
        <v>0.3833</v>
      </c>
      <c r="AJ393" t="n">
        <v>0</v>
      </c>
      <c r="AK393" t="n">
        <v>445.9932</v>
      </c>
      <c r="AL393" t="n">
        <v>-21041.2671</v>
      </c>
      <c r="AM393" t="n">
        <v>64095.3759</v>
      </c>
      <c r="AN393" t="n">
        <v>0.99</v>
      </c>
      <c r="AO393" t="inlineStr">
        <is>
          <t>Low</t>
        </is>
      </c>
      <c r="AP393" t="inlineStr">
        <is>
          <t>On Track</t>
        </is>
      </c>
    </row>
    <row r="394">
      <c r="A394" t="inlineStr">
        <is>
          <t>SUP-0025</t>
        </is>
      </c>
      <c r="B394" t="inlineStr">
        <is>
          <t>Metals Supplier 025</t>
        </is>
      </c>
      <c r="C394" t="inlineStr">
        <is>
          <t>Metals</t>
        </is>
      </c>
      <c r="D394" t="n">
        <v>2024</v>
      </c>
      <c r="E394" t="n">
        <v>2020</v>
      </c>
      <c r="F394" t="n">
        <v>2030</v>
      </c>
      <c r="G394" t="n">
        <v>10805.0329</v>
      </c>
      <c r="H394" t="n">
        <v>2648.121</v>
      </c>
      <c r="I394" t="n">
        <v>1554.6211</v>
      </c>
      <c r="J394" t="n">
        <v>6865.0615</v>
      </c>
      <c r="K394" t="n">
        <v>28051545.88</v>
      </c>
      <c r="L394" t="n">
        <v>98370436.7</v>
      </c>
      <c r="M394" t="n">
        <v>10805.0329</v>
      </c>
      <c r="N394" t="inlineStr">
        <is>
          <t>Provided Total Emissions</t>
        </is>
      </c>
      <c r="O394" t="b">
        <v>1</v>
      </c>
      <c r="P394" t="n">
        <v>-0.018726</v>
      </c>
      <c r="Q394" t="n">
        <v>0.041527</v>
      </c>
      <c r="R394" t="n">
        <v>28246.5041</v>
      </c>
      <c r="S394" t="n">
        <v>63948.6535</v>
      </c>
      <c r="T394" t="n">
        <v>17441.4712</v>
      </c>
      <c r="U394" t="n">
        <v>53143.6206</v>
      </c>
      <c r="V394" t="n">
        <v>1.614199</v>
      </c>
      <c r="W394" t="n">
        <v>4.918414</v>
      </c>
      <c r="X394" t="inlineStr">
        <is>
          <t>High</t>
        </is>
      </c>
      <c r="Y394" t="inlineStr">
        <is>
          <t>None</t>
        </is>
      </c>
      <c r="Z394" t="inlineStr">
        <is>
          <t>Valid</t>
        </is>
      </c>
      <c r="AA394" t="n">
        <v>2033</v>
      </c>
      <c r="AB394" t="inlineStr">
        <is>
          <t>Supplier Target Pathway</t>
        </is>
      </c>
      <c r="AC394" t="n">
        <v>11635.6166</v>
      </c>
      <c r="AD394" t="n">
        <v>7175.6848</v>
      </c>
      <c r="AE394" t="n">
        <v>7175.6848</v>
      </c>
      <c r="AF394" t="n">
        <v>7175.6848</v>
      </c>
      <c r="AG394" t="n">
        <v>4459.9318</v>
      </c>
      <c r="AH394" t="n">
        <v>0.0002558</v>
      </c>
      <c r="AI394" t="n">
        <v>0.3833</v>
      </c>
      <c r="AJ394" t="n">
        <v>0</v>
      </c>
      <c r="AK394" t="n">
        <v>445.9932</v>
      </c>
      <c r="AL394" t="n">
        <v>-28216.9519</v>
      </c>
      <c r="AM394" t="n">
        <v>71271.0607</v>
      </c>
      <c r="AN394" t="n">
        <v>0.99</v>
      </c>
      <c r="AO394" t="inlineStr">
        <is>
          <t>Low</t>
        </is>
      </c>
      <c r="AP394" t="inlineStr">
        <is>
          <t>On Track</t>
        </is>
      </c>
    </row>
    <row r="395">
      <c r="A395" t="inlineStr">
        <is>
          <t>SUP-0025</t>
        </is>
      </c>
      <c r="B395" t="inlineStr">
        <is>
          <t>Metals Supplier 025</t>
        </is>
      </c>
      <c r="C395" t="inlineStr">
        <is>
          <t>Metals</t>
        </is>
      </c>
      <c r="D395" t="n">
        <v>2024</v>
      </c>
      <c r="E395" t="n">
        <v>2020</v>
      </c>
      <c r="F395" t="n">
        <v>2030</v>
      </c>
      <c r="G395" t="n">
        <v>10805.0329</v>
      </c>
      <c r="H395" t="n">
        <v>2648.121</v>
      </c>
      <c r="I395" t="n">
        <v>1554.6211</v>
      </c>
      <c r="J395" t="n">
        <v>6865.0615</v>
      </c>
      <c r="K395" t="n">
        <v>28051545.88</v>
      </c>
      <c r="L395" t="n">
        <v>98370436.7</v>
      </c>
      <c r="M395" t="n">
        <v>10805.0329</v>
      </c>
      <c r="N395" t="inlineStr">
        <is>
          <t>Provided Total Emissions</t>
        </is>
      </c>
      <c r="O395" t="b">
        <v>1</v>
      </c>
      <c r="P395" t="n">
        <v>-0.018726</v>
      </c>
      <c r="Q395" t="n">
        <v>0.041527</v>
      </c>
      <c r="R395" t="n">
        <v>28246.5041</v>
      </c>
      <c r="S395" t="n">
        <v>63948.6535</v>
      </c>
      <c r="T395" t="n">
        <v>17441.4712</v>
      </c>
      <c r="U395" t="n">
        <v>53143.6206</v>
      </c>
      <c r="V395" t="n">
        <v>1.614199</v>
      </c>
      <c r="W395" t="n">
        <v>4.918414</v>
      </c>
      <c r="X395" t="inlineStr">
        <is>
          <t>High</t>
        </is>
      </c>
      <c r="Y395" t="inlineStr">
        <is>
          <t>None</t>
        </is>
      </c>
      <c r="Z395" t="inlineStr">
        <is>
          <t>Valid</t>
        </is>
      </c>
      <c r="AA395" t="n">
        <v>2034</v>
      </c>
      <c r="AB395" t="inlineStr">
        <is>
          <t>Supplier Target Pathway</t>
        </is>
      </c>
      <c r="AC395" t="n">
        <v>11635.6166</v>
      </c>
      <c r="AD395" t="n">
        <v>7175.6848</v>
      </c>
      <c r="AE395" t="n">
        <v>7175.6848</v>
      </c>
      <c r="AF395" t="n">
        <v>7175.6848</v>
      </c>
      <c r="AG395" t="n">
        <v>4459.9318</v>
      </c>
      <c r="AH395" t="n">
        <v>0.0002558</v>
      </c>
      <c r="AI395" t="n">
        <v>0.3833</v>
      </c>
      <c r="AJ395" t="n">
        <v>0</v>
      </c>
      <c r="AK395" t="n">
        <v>445.9932</v>
      </c>
      <c r="AL395" t="n">
        <v>-35392.6367</v>
      </c>
      <c r="AM395" t="n">
        <v>78446.7455</v>
      </c>
      <c r="AN395" t="n">
        <v>0.99</v>
      </c>
      <c r="AO395" t="inlineStr">
        <is>
          <t>Low</t>
        </is>
      </c>
      <c r="AP395" t="inlineStr">
        <is>
          <t>On Track</t>
        </is>
      </c>
    </row>
    <row r="396">
      <c r="A396" t="inlineStr">
        <is>
          <t>SUP-0025</t>
        </is>
      </c>
      <c r="B396" t="inlineStr">
        <is>
          <t>Metals Supplier 025</t>
        </is>
      </c>
      <c r="C396" t="inlineStr">
        <is>
          <t>Metals</t>
        </is>
      </c>
      <c r="D396" t="n">
        <v>2024</v>
      </c>
      <c r="E396" t="n">
        <v>2020</v>
      </c>
      <c r="F396" t="n">
        <v>2030</v>
      </c>
      <c r="G396" t="n">
        <v>10805.0329</v>
      </c>
      <c r="H396" t="n">
        <v>2648.121</v>
      </c>
      <c r="I396" t="n">
        <v>1554.6211</v>
      </c>
      <c r="J396" t="n">
        <v>6865.0615</v>
      </c>
      <c r="K396" t="n">
        <v>28051545.88</v>
      </c>
      <c r="L396" t="n">
        <v>98370436.7</v>
      </c>
      <c r="M396" t="n">
        <v>10805.0329</v>
      </c>
      <c r="N396" t="inlineStr">
        <is>
          <t>Provided Total Emissions</t>
        </is>
      </c>
      <c r="O396" t="b">
        <v>1</v>
      </c>
      <c r="P396" t="n">
        <v>-0.018726</v>
      </c>
      <c r="Q396" t="n">
        <v>0.041527</v>
      </c>
      <c r="R396" t="n">
        <v>28246.5041</v>
      </c>
      <c r="S396" t="n">
        <v>63948.6535</v>
      </c>
      <c r="T396" t="n">
        <v>17441.4712</v>
      </c>
      <c r="U396" t="n">
        <v>53143.6206</v>
      </c>
      <c r="V396" t="n">
        <v>1.614199</v>
      </c>
      <c r="W396" t="n">
        <v>4.918414</v>
      </c>
      <c r="X396" t="inlineStr">
        <is>
          <t>High</t>
        </is>
      </c>
      <c r="Y396" t="inlineStr">
        <is>
          <t>None</t>
        </is>
      </c>
      <c r="Z396" t="inlineStr">
        <is>
          <t>Valid</t>
        </is>
      </c>
      <c r="AA396" t="n">
        <v>2035</v>
      </c>
      <c r="AB396" t="inlineStr">
        <is>
          <t>Supplier Target Pathway</t>
        </is>
      </c>
      <c r="AC396" t="n">
        <v>11635.6166</v>
      </c>
      <c r="AD396" t="n">
        <v>7175.6848</v>
      </c>
      <c r="AE396" t="n">
        <v>7175.6848</v>
      </c>
      <c r="AF396" t="n">
        <v>7175.6848</v>
      </c>
      <c r="AG396" t="n">
        <v>4459.9318</v>
      </c>
      <c r="AH396" t="n">
        <v>0.0002558</v>
      </c>
      <c r="AI396" t="n">
        <v>0.3833</v>
      </c>
      <c r="AJ396" t="n">
        <v>0</v>
      </c>
      <c r="AK396" t="n">
        <v>445.9932</v>
      </c>
      <c r="AL396" t="n">
        <v>-42568.3215</v>
      </c>
      <c r="AM396" t="n">
        <v>85622.43030000001</v>
      </c>
      <c r="AN396" t="n">
        <v>0.99</v>
      </c>
      <c r="AO396" t="inlineStr">
        <is>
          <t>Low</t>
        </is>
      </c>
      <c r="AP396" t="inlineStr">
        <is>
          <t>On Track</t>
        </is>
      </c>
    </row>
    <row r="397">
      <c r="A397" t="inlineStr">
        <is>
          <t>SUP-0025</t>
        </is>
      </c>
      <c r="B397" t="inlineStr">
        <is>
          <t>Metals Supplier 025</t>
        </is>
      </c>
      <c r="C397" t="inlineStr">
        <is>
          <t>Metals</t>
        </is>
      </c>
      <c r="D397" t="n">
        <v>2024</v>
      </c>
      <c r="E397" t="n">
        <v>2020</v>
      </c>
      <c r="F397" t="n">
        <v>2030</v>
      </c>
      <c r="G397" t="n">
        <v>10805.0329</v>
      </c>
      <c r="H397" t="n">
        <v>2648.121</v>
      </c>
      <c r="I397" t="n">
        <v>1554.6211</v>
      </c>
      <c r="J397" t="n">
        <v>6865.0615</v>
      </c>
      <c r="K397" t="n">
        <v>28051545.88</v>
      </c>
      <c r="L397" t="n">
        <v>98370436.7</v>
      </c>
      <c r="M397" t="n">
        <v>10805.0329</v>
      </c>
      <c r="N397" t="inlineStr">
        <is>
          <t>Provided Total Emissions</t>
        </is>
      </c>
      <c r="O397" t="b">
        <v>1</v>
      </c>
      <c r="P397" t="n">
        <v>-0.018726</v>
      </c>
      <c r="Q397" t="n">
        <v>0.041527</v>
      </c>
      <c r="R397" t="n">
        <v>28246.5041</v>
      </c>
      <c r="S397" t="n">
        <v>63948.6535</v>
      </c>
      <c r="T397" t="n">
        <v>17441.4712</v>
      </c>
      <c r="U397" t="n">
        <v>53143.6206</v>
      </c>
      <c r="V397" t="n">
        <v>1.614199</v>
      </c>
      <c r="W397" t="n">
        <v>4.918414</v>
      </c>
      <c r="X397" t="inlineStr">
        <is>
          <t>High</t>
        </is>
      </c>
      <c r="Y397" t="inlineStr">
        <is>
          <t>None</t>
        </is>
      </c>
      <c r="Z397" t="inlineStr">
        <is>
          <t>Valid</t>
        </is>
      </c>
      <c r="AA397" t="n">
        <v>2036</v>
      </c>
      <c r="AB397" t="inlineStr">
        <is>
          <t>Supplier Target Pathway</t>
        </is>
      </c>
      <c r="AC397" t="n">
        <v>11635.6166</v>
      </c>
      <c r="AD397" t="n">
        <v>7175.6848</v>
      </c>
      <c r="AE397" t="n">
        <v>7175.6848</v>
      </c>
      <c r="AF397" t="n">
        <v>7175.6848</v>
      </c>
      <c r="AG397" t="n">
        <v>4459.9318</v>
      </c>
      <c r="AH397" t="n">
        <v>0.0002558</v>
      </c>
      <c r="AI397" t="n">
        <v>0.3833</v>
      </c>
      <c r="AJ397" t="n">
        <v>0</v>
      </c>
      <c r="AK397" t="n">
        <v>445.9932</v>
      </c>
      <c r="AL397" t="n">
        <v>-49744.0063</v>
      </c>
      <c r="AM397" t="n">
        <v>92798.1151</v>
      </c>
      <c r="AN397" t="n">
        <v>0.99</v>
      </c>
      <c r="AO397" t="inlineStr">
        <is>
          <t>Low</t>
        </is>
      </c>
      <c r="AP397" t="inlineStr">
        <is>
          <t>On Track</t>
        </is>
      </c>
    </row>
    <row r="398">
      <c r="A398" t="inlineStr">
        <is>
          <t>SUP-0025</t>
        </is>
      </c>
      <c r="B398" t="inlineStr">
        <is>
          <t>Metals Supplier 025</t>
        </is>
      </c>
      <c r="C398" t="inlineStr">
        <is>
          <t>Metals</t>
        </is>
      </c>
      <c r="D398" t="n">
        <v>2024</v>
      </c>
      <c r="E398" t="n">
        <v>2020</v>
      </c>
      <c r="F398" t="n">
        <v>2030</v>
      </c>
      <c r="G398" t="n">
        <v>10805.0329</v>
      </c>
      <c r="H398" t="n">
        <v>2648.121</v>
      </c>
      <c r="I398" t="n">
        <v>1554.6211</v>
      </c>
      <c r="J398" t="n">
        <v>6865.0615</v>
      </c>
      <c r="K398" t="n">
        <v>28051545.88</v>
      </c>
      <c r="L398" t="n">
        <v>98370436.7</v>
      </c>
      <c r="M398" t="n">
        <v>10805.0329</v>
      </c>
      <c r="N398" t="inlineStr">
        <is>
          <t>Provided Total Emissions</t>
        </is>
      </c>
      <c r="O398" t="b">
        <v>1</v>
      </c>
      <c r="P398" t="n">
        <v>-0.018726</v>
      </c>
      <c r="Q398" t="n">
        <v>0.041527</v>
      </c>
      <c r="R398" t="n">
        <v>28246.5041</v>
      </c>
      <c r="S398" t="n">
        <v>63948.6535</v>
      </c>
      <c r="T398" t="n">
        <v>17441.4712</v>
      </c>
      <c r="U398" t="n">
        <v>53143.6206</v>
      </c>
      <c r="V398" t="n">
        <v>1.614199</v>
      </c>
      <c r="W398" t="n">
        <v>4.918414</v>
      </c>
      <c r="X398" t="inlineStr">
        <is>
          <t>High</t>
        </is>
      </c>
      <c r="Y398" t="inlineStr">
        <is>
          <t>None</t>
        </is>
      </c>
      <c r="Z398" t="inlineStr">
        <is>
          <t>Valid</t>
        </is>
      </c>
      <c r="AA398" t="n">
        <v>2037</v>
      </c>
      <c r="AB398" t="inlineStr">
        <is>
          <t>Supplier Target Pathway</t>
        </is>
      </c>
      <c r="AC398" t="n">
        <v>11635.6166</v>
      </c>
      <c r="AD398" t="n">
        <v>7175.6848</v>
      </c>
      <c r="AE398" t="n">
        <v>7175.6848</v>
      </c>
      <c r="AF398" t="n">
        <v>7175.6848</v>
      </c>
      <c r="AG398" t="n">
        <v>4459.9318</v>
      </c>
      <c r="AH398" t="n">
        <v>0.0002558</v>
      </c>
      <c r="AI398" t="n">
        <v>0.3833</v>
      </c>
      <c r="AJ398" t="n">
        <v>0</v>
      </c>
      <c r="AK398" t="n">
        <v>445.9932</v>
      </c>
      <c r="AL398" t="n">
        <v>-56919.6911</v>
      </c>
      <c r="AM398" t="n">
        <v>99973.7999</v>
      </c>
      <c r="AN398" t="n">
        <v>0.99</v>
      </c>
      <c r="AO398" t="inlineStr">
        <is>
          <t>Low</t>
        </is>
      </c>
      <c r="AP398" t="inlineStr">
        <is>
          <t>On Track</t>
        </is>
      </c>
    </row>
    <row r="399">
      <c r="A399" t="inlineStr">
        <is>
          <t>SUP-0025</t>
        </is>
      </c>
      <c r="B399" t="inlineStr">
        <is>
          <t>Metals Supplier 025</t>
        </is>
      </c>
      <c r="C399" t="inlineStr">
        <is>
          <t>Metals</t>
        </is>
      </c>
      <c r="D399" t="n">
        <v>2024</v>
      </c>
      <c r="E399" t="n">
        <v>2020</v>
      </c>
      <c r="F399" t="n">
        <v>2030</v>
      </c>
      <c r="G399" t="n">
        <v>10805.0329</v>
      </c>
      <c r="H399" t="n">
        <v>2648.121</v>
      </c>
      <c r="I399" t="n">
        <v>1554.6211</v>
      </c>
      <c r="J399" t="n">
        <v>6865.0615</v>
      </c>
      <c r="K399" t="n">
        <v>28051545.88</v>
      </c>
      <c r="L399" t="n">
        <v>98370436.7</v>
      </c>
      <c r="M399" t="n">
        <v>10805.0329</v>
      </c>
      <c r="N399" t="inlineStr">
        <is>
          <t>Provided Total Emissions</t>
        </is>
      </c>
      <c r="O399" t="b">
        <v>1</v>
      </c>
      <c r="P399" t="n">
        <v>-0.018726</v>
      </c>
      <c r="Q399" t="n">
        <v>0.041527</v>
      </c>
      <c r="R399" t="n">
        <v>28246.5041</v>
      </c>
      <c r="S399" t="n">
        <v>63948.6535</v>
      </c>
      <c r="T399" t="n">
        <v>17441.4712</v>
      </c>
      <c r="U399" t="n">
        <v>53143.6206</v>
      </c>
      <c r="V399" t="n">
        <v>1.614199</v>
      </c>
      <c r="W399" t="n">
        <v>4.918414</v>
      </c>
      <c r="X399" t="inlineStr">
        <is>
          <t>High</t>
        </is>
      </c>
      <c r="Y399" t="inlineStr">
        <is>
          <t>None</t>
        </is>
      </c>
      <c r="Z399" t="inlineStr">
        <is>
          <t>Valid</t>
        </is>
      </c>
      <c r="AA399" t="n">
        <v>2038</v>
      </c>
      <c r="AB399" t="inlineStr">
        <is>
          <t>Supplier Target Pathway</t>
        </is>
      </c>
      <c r="AC399" t="n">
        <v>11635.6166</v>
      </c>
      <c r="AD399" t="n">
        <v>7175.6848</v>
      </c>
      <c r="AE399" t="n">
        <v>7175.6848</v>
      </c>
      <c r="AF399" t="n">
        <v>7175.6848</v>
      </c>
      <c r="AG399" t="n">
        <v>4459.9318</v>
      </c>
      <c r="AH399" t="n">
        <v>0.0002558</v>
      </c>
      <c r="AI399" t="n">
        <v>0.3833</v>
      </c>
      <c r="AJ399" t="n">
        <v>0</v>
      </c>
      <c r="AK399" t="n">
        <v>445.9932</v>
      </c>
      <c r="AL399" t="n">
        <v>-64095.3759</v>
      </c>
      <c r="AM399" t="n">
        <v>107149.4847</v>
      </c>
      <c r="AN399" t="n">
        <v>0.99</v>
      </c>
      <c r="AO399" t="inlineStr">
        <is>
          <t>Low</t>
        </is>
      </c>
      <c r="AP399" t="inlineStr">
        <is>
          <t>On Track</t>
        </is>
      </c>
    </row>
    <row r="400">
      <c r="A400" t="inlineStr">
        <is>
          <t>SUP-0025</t>
        </is>
      </c>
      <c r="B400" t="inlineStr">
        <is>
          <t>Metals Supplier 025</t>
        </is>
      </c>
      <c r="C400" t="inlineStr">
        <is>
          <t>Metals</t>
        </is>
      </c>
      <c r="D400" t="n">
        <v>2024</v>
      </c>
      <c r="E400" t="n">
        <v>2020</v>
      </c>
      <c r="F400" t="n">
        <v>2030</v>
      </c>
      <c r="G400" t="n">
        <v>10805.0329</v>
      </c>
      <c r="H400" t="n">
        <v>2648.121</v>
      </c>
      <c r="I400" t="n">
        <v>1554.6211</v>
      </c>
      <c r="J400" t="n">
        <v>6865.0615</v>
      </c>
      <c r="K400" t="n">
        <v>28051545.88</v>
      </c>
      <c r="L400" t="n">
        <v>98370436.7</v>
      </c>
      <c r="M400" t="n">
        <v>10805.0329</v>
      </c>
      <c r="N400" t="inlineStr">
        <is>
          <t>Provided Total Emissions</t>
        </is>
      </c>
      <c r="O400" t="b">
        <v>1</v>
      </c>
      <c r="P400" t="n">
        <v>-0.018726</v>
      </c>
      <c r="Q400" t="n">
        <v>0.041527</v>
      </c>
      <c r="R400" t="n">
        <v>28246.5041</v>
      </c>
      <c r="S400" t="n">
        <v>63948.6535</v>
      </c>
      <c r="T400" t="n">
        <v>17441.4712</v>
      </c>
      <c r="U400" t="n">
        <v>53143.6206</v>
      </c>
      <c r="V400" t="n">
        <v>1.614199</v>
      </c>
      <c r="W400" t="n">
        <v>4.918414</v>
      </c>
      <c r="X400" t="inlineStr">
        <is>
          <t>High</t>
        </is>
      </c>
      <c r="Y400" t="inlineStr">
        <is>
          <t>None</t>
        </is>
      </c>
      <c r="Z400" t="inlineStr">
        <is>
          <t>Valid</t>
        </is>
      </c>
      <c r="AA400" t="n">
        <v>2039</v>
      </c>
      <c r="AB400" t="inlineStr">
        <is>
          <t>Supplier Target Pathway</t>
        </is>
      </c>
      <c r="AC400" t="n">
        <v>11635.6166</v>
      </c>
      <c r="AD400" t="n">
        <v>7175.6848</v>
      </c>
      <c r="AE400" t="n">
        <v>7175.6848</v>
      </c>
      <c r="AF400" t="n">
        <v>7175.6848</v>
      </c>
      <c r="AG400" t="n">
        <v>4459.9318</v>
      </c>
      <c r="AH400" t="n">
        <v>0.0002558</v>
      </c>
      <c r="AI400" t="n">
        <v>0.3833</v>
      </c>
      <c r="AJ400" t="n">
        <v>0</v>
      </c>
      <c r="AK400" t="n">
        <v>445.9932</v>
      </c>
      <c r="AL400" t="n">
        <v>-71271.0607</v>
      </c>
      <c r="AM400" t="n">
        <v>114325.1695</v>
      </c>
      <c r="AN400" t="n">
        <v>0.99</v>
      </c>
      <c r="AO400" t="inlineStr">
        <is>
          <t>Low</t>
        </is>
      </c>
      <c r="AP400" t="inlineStr">
        <is>
          <t>On Track</t>
        </is>
      </c>
    </row>
    <row r="401">
      <c r="A401" t="inlineStr">
        <is>
          <t>SUP-0025</t>
        </is>
      </c>
      <c r="B401" t="inlineStr">
        <is>
          <t>Metals Supplier 025</t>
        </is>
      </c>
      <c r="C401" t="inlineStr">
        <is>
          <t>Metals</t>
        </is>
      </c>
      <c r="D401" t="n">
        <v>2024</v>
      </c>
      <c r="E401" t="n">
        <v>2020</v>
      </c>
      <c r="F401" t="n">
        <v>2030</v>
      </c>
      <c r="G401" t="n">
        <v>10805.0329</v>
      </c>
      <c r="H401" t="n">
        <v>2648.121</v>
      </c>
      <c r="I401" t="n">
        <v>1554.6211</v>
      </c>
      <c r="J401" t="n">
        <v>6865.0615</v>
      </c>
      <c r="K401" t="n">
        <v>28051545.88</v>
      </c>
      <c r="L401" t="n">
        <v>98370436.7</v>
      </c>
      <c r="M401" t="n">
        <v>10805.0329</v>
      </c>
      <c r="N401" t="inlineStr">
        <is>
          <t>Provided Total Emissions</t>
        </is>
      </c>
      <c r="O401" t="b">
        <v>1</v>
      </c>
      <c r="P401" t="n">
        <v>-0.018726</v>
      </c>
      <c r="Q401" t="n">
        <v>0.041527</v>
      </c>
      <c r="R401" t="n">
        <v>28246.5041</v>
      </c>
      <c r="S401" t="n">
        <v>63948.6535</v>
      </c>
      <c r="T401" t="n">
        <v>17441.4712</v>
      </c>
      <c r="U401" t="n">
        <v>53143.6206</v>
      </c>
      <c r="V401" t="n">
        <v>1.614199</v>
      </c>
      <c r="W401" t="n">
        <v>4.918414</v>
      </c>
      <c r="X401" t="inlineStr">
        <is>
          <t>High</t>
        </is>
      </c>
      <c r="Y401" t="inlineStr">
        <is>
          <t>None</t>
        </is>
      </c>
      <c r="Z401" t="inlineStr">
        <is>
          <t>Valid</t>
        </is>
      </c>
      <c r="AA401" t="n">
        <v>2040</v>
      </c>
      <c r="AB401" t="inlineStr">
        <is>
          <t>Supplier Target Pathway</t>
        </is>
      </c>
      <c r="AC401" t="n">
        <v>11635.6166</v>
      </c>
      <c r="AD401" t="n">
        <v>7175.6848</v>
      </c>
      <c r="AE401" t="n">
        <v>7175.6848</v>
      </c>
      <c r="AF401" t="n">
        <v>7175.6848</v>
      </c>
      <c r="AG401" t="n">
        <v>4459.9318</v>
      </c>
      <c r="AH401" t="n">
        <v>0.0002558</v>
      </c>
      <c r="AI401" t="n">
        <v>0.3833</v>
      </c>
      <c r="AJ401" t="n">
        <v>0</v>
      </c>
      <c r="AK401" t="n">
        <v>445.9932</v>
      </c>
      <c r="AL401" t="n">
        <v>-78446.7455</v>
      </c>
      <c r="AM401" t="n">
        <v>121500.8543</v>
      </c>
      <c r="AN401" t="n">
        <v>0.99</v>
      </c>
      <c r="AO401" t="inlineStr">
        <is>
          <t>Low</t>
        </is>
      </c>
      <c r="AP401" t="inlineStr">
        <is>
          <t>On Track</t>
        </is>
      </c>
    </row>
    <row r="402">
      <c r="A402" t="inlineStr">
        <is>
          <t>SUP-0026</t>
        </is>
      </c>
      <c r="B402" t="inlineStr">
        <is>
          <t>Professional Supplier 026</t>
        </is>
      </c>
      <c r="C402" t="inlineStr">
        <is>
          <t>Professional Services</t>
        </is>
      </c>
      <c r="D402" t="n">
        <v>2024</v>
      </c>
      <c r="E402" t="n">
        <v>2019</v>
      </c>
      <c r="F402" t="n">
        <v>2040</v>
      </c>
      <c r="G402" t="n">
        <v>93.60899999999999</v>
      </c>
      <c r="H402" t="n">
        <v>25.8028</v>
      </c>
      <c r="I402" t="n">
        <v>13.8137</v>
      </c>
      <c r="J402" t="n">
        <v>55.2833</v>
      </c>
      <c r="K402" t="n">
        <v>993339.67</v>
      </c>
      <c r="L402" t="n">
        <v>4530875.75</v>
      </c>
      <c r="M402" t="n">
        <v>93.60899999999999</v>
      </c>
      <c r="N402" t="inlineStr">
        <is>
          <t>Provided Total Emissions</t>
        </is>
      </c>
      <c r="O402" t="b">
        <v>1</v>
      </c>
      <c r="P402" t="n">
        <v>-0.023134</v>
      </c>
      <c r="Q402" t="n">
        <v>-0.005162</v>
      </c>
      <c r="R402" t="n">
        <v>128.2004</v>
      </c>
      <c r="S402" t="n">
        <v>890.6796000000001</v>
      </c>
      <c r="T402" t="n">
        <v>34.5914</v>
      </c>
      <c r="U402" t="n">
        <v>797.0706</v>
      </c>
      <c r="V402" t="n">
        <v>0.369531</v>
      </c>
      <c r="W402" t="n">
        <v>8.514892</v>
      </c>
      <c r="X402" t="inlineStr">
        <is>
          <t>High</t>
        </is>
      </c>
      <c r="Y402" t="inlineStr">
        <is>
          <t>None</t>
        </is>
      </c>
      <c r="Z402" t="inlineStr">
        <is>
          <t>Valid</t>
        </is>
      </c>
      <c r="AA402" t="n">
        <v>2025</v>
      </c>
      <c r="AB402" t="inlineStr">
        <is>
          <t>Supplier Target Pathway</t>
        </is>
      </c>
      <c r="AC402" t="n">
        <v>67.1713</v>
      </c>
      <c r="AD402" t="n">
        <v>34.0155</v>
      </c>
      <c r="AE402" t="n">
        <v>57.6982</v>
      </c>
      <c r="AF402" t="n">
        <v>57.6982</v>
      </c>
      <c r="AG402" t="n">
        <v>9.473100000000001</v>
      </c>
      <c r="AH402" t="n">
        <v>5.809e-05</v>
      </c>
      <c r="AI402" t="n">
        <v>0.141029</v>
      </c>
      <c r="AJ402" t="n">
        <v>23.6827</v>
      </c>
      <c r="AK402" t="n">
        <v>1.5788</v>
      </c>
      <c r="AL402" t="n">
        <v>486.5498</v>
      </c>
      <c r="AM402" t="n">
        <v>57.6982</v>
      </c>
      <c r="AN402" t="n">
        <v>0.99</v>
      </c>
      <c r="AO402" t="inlineStr">
        <is>
          <t>Critical</t>
        </is>
      </c>
      <c r="AP402" t="inlineStr">
        <is>
          <t>On Track to Glide Path</t>
        </is>
      </c>
    </row>
    <row r="403">
      <c r="A403" t="inlineStr">
        <is>
          <t>SUP-0026</t>
        </is>
      </c>
      <c r="B403" t="inlineStr">
        <is>
          <t>Professional Supplier 026</t>
        </is>
      </c>
      <c r="C403" t="inlineStr">
        <is>
          <t>Professional Services</t>
        </is>
      </c>
      <c r="D403" t="n">
        <v>2024</v>
      </c>
      <c r="E403" t="n">
        <v>2019</v>
      </c>
      <c r="F403" t="n">
        <v>2040</v>
      </c>
      <c r="G403" t="n">
        <v>93.60899999999999</v>
      </c>
      <c r="H403" t="n">
        <v>25.8028</v>
      </c>
      <c r="I403" t="n">
        <v>13.8137</v>
      </c>
      <c r="J403" t="n">
        <v>55.2833</v>
      </c>
      <c r="K403" t="n">
        <v>993339.67</v>
      </c>
      <c r="L403" t="n">
        <v>4530875.75</v>
      </c>
      <c r="M403" t="n">
        <v>93.60899999999999</v>
      </c>
      <c r="N403" t="inlineStr">
        <is>
          <t>Provided Total Emissions</t>
        </is>
      </c>
      <c r="O403" t="b">
        <v>1</v>
      </c>
      <c r="P403" t="n">
        <v>-0.023134</v>
      </c>
      <c r="Q403" t="n">
        <v>-0.005162</v>
      </c>
      <c r="R403" t="n">
        <v>128.2004</v>
      </c>
      <c r="S403" t="n">
        <v>890.6796000000001</v>
      </c>
      <c r="T403" t="n">
        <v>34.5914</v>
      </c>
      <c r="U403" t="n">
        <v>797.0706</v>
      </c>
      <c r="V403" t="n">
        <v>0.369531</v>
      </c>
      <c r="W403" t="n">
        <v>8.514892</v>
      </c>
      <c r="X403" t="inlineStr">
        <is>
          <t>High</t>
        </is>
      </c>
      <c r="Y403" t="inlineStr">
        <is>
          <t>None</t>
        </is>
      </c>
      <c r="Z403" t="inlineStr">
        <is>
          <t>Valid</t>
        </is>
      </c>
      <c r="AA403" t="n">
        <v>2026</v>
      </c>
      <c r="AB403" t="inlineStr">
        <is>
          <t>Supplier Target Pathway</t>
        </is>
      </c>
      <c r="AC403" t="n">
        <v>67.1713</v>
      </c>
      <c r="AD403" t="n">
        <v>34.0155</v>
      </c>
      <c r="AE403" t="n">
        <v>56.1194</v>
      </c>
      <c r="AF403" t="n">
        <v>56.1194</v>
      </c>
      <c r="AG403" t="n">
        <v>11.0519</v>
      </c>
      <c r="AH403" t="n">
        <v>5.65e-05</v>
      </c>
      <c r="AI403" t="n">
        <v>0.164533</v>
      </c>
      <c r="AJ403" t="n">
        <v>22.1038</v>
      </c>
      <c r="AK403" t="n">
        <v>1.5788</v>
      </c>
      <c r="AL403" t="n">
        <v>430.4304</v>
      </c>
      <c r="AM403" t="n">
        <v>113.8176</v>
      </c>
      <c r="AN403" t="n">
        <v>0.99</v>
      </c>
      <c r="AO403" t="inlineStr">
        <is>
          <t>Critical</t>
        </is>
      </c>
      <c r="AP403" t="inlineStr">
        <is>
          <t>On Track to Glide Path</t>
        </is>
      </c>
    </row>
    <row r="404">
      <c r="A404" t="inlineStr">
        <is>
          <t>SUP-0026</t>
        </is>
      </c>
      <c r="B404" t="inlineStr">
        <is>
          <t>Professional Supplier 026</t>
        </is>
      </c>
      <c r="C404" t="inlineStr">
        <is>
          <t>Professional Services</t>
        </is>
      </c>
      <c r="D404" t="n">
        <v>2024</v>
      </c>
      <c r="E404" t="n">
        <v>2019</v>
      </c>
      <c r="F404" t="n">
        <v>2040</v>
      </c>
      <c r="G404" t="n">
        <v>93.60899999999999</v>
      </c>
      <c r="H404" t="n">
        <v>25.8028</v>
      </c>
      <c r="I404" t="n">
        <v>13.8137</v>
      </c>
      <c r="J404" t="n">
        <v>55.2833</v>
      </c>
      <c r="K404" t="n">
        <v>993339.67</v>
      </c>
      <c r="L404" t="n">
        <v>4530875.75</v>
      </c>
      <c r="M404" t="n">
        <v>93.60899999999999</v>
      </c>
      <c r="N404" t="inlineStr">
        <is>
          <t>Provided Total Emissions</t>
        </is>
      </c>
      <c r="O404" t="b">
        <v>1</v>
      </c>
      <c r="P404" t="n">
        <v>-0.023134</v>
      </c>
      <c r="Q404" t="n">
        <v>-0.005162</v>
      </c>
      <c r="R404" t="n">
        <v>128.2004</v>
      </c>
      <c r="S404" t="n">
        <v>890.6796000000001</v>
      </c>
      <c r="T404" t="n">
        <v>34.5914</v>
      </c>
      <c r="U404" t="n">
        <v>797.0706</v>
      </c>
      <c r="V404" t="n">
        <v>0.369531</v>
      </c>
      <c r="W404" t="n">
        <v>8.514892</v>
      </c>
      <c r="X404" t="inlineStr">
        <is>
          <t>High</t>
        </is>
      </c>
      <c r="Y404" t="inlineStr">
        <is>
          <t>None</t>
        </is>
      </c>
      <c r="Z404" t="inlineStr">
        <is>
          <t>Valid</t>
        </is>
      </c>
      <c r="AA404" t="n">
        <v>2027</v>
      </c>
      <c r="AB404" t="inlineStr">
        <is>
          <t>Supplier Target Pathway</t>
        </is>
      </c>
      <c r="AC404" t="n">
        <v>67.1713</v>
      </c>
      <c r="AD404" t="n">
        <v>34.0155</v>
      </c>
      <c r="AE404" t="n">
        <v>54.5405</v>
      </c>
      <c r="AF404" t="n">
        <v>54.5405</v>
      </c>
      <c r="AG404" t="n">
        <v>12.6308</v>
      </c>
      <c r="AH404" t="n">
        <v>5.491e-05</v>
      </c>
      <c r="AI404" t="n">
        <v>0.188038</v>
      </c>
      <c r="AJ404" t="n">
        <v>20.525</v>
      </c>
      <c r="AK404" t="n">
        <v>1.5788</v>
      </c>
      <c r="AL404" t="n">
        <v>375.8899</v>
      </c>
      <c r="AM404" t="n">
        <v>168.3581</v>
      </c>
      <c r="AN404" t="n">
        <v>0.99</v>
      </c>
      <c r="AO404" t="inlineStr">
        <is>
          <t>Critical</t>
        </is>
      </c>
      <c r="AP404" t="inlineStr">
        <is>
          <t>On Track to Glide Path</t>
        </is>
      </c>
    </row>
    <row r="405">
      <c r="A405" t="inlineStr">
        <is>
          <t>SUP-0026</t>
        </is>
      </c>
      <c r="B405" t="inlineStr">
        <is>
          <t>Professional Supplier 026</t>
        </is>
      </c>
      <c r="C405" t="inlineStr">
        <is>
          <t>Professional Services</t>
        </is>
      </c>
      <c r="D405" t="n">
        <v>2024</v>
      </c>
      <c r="E405" t="n">
        <v>2019</v>
      </c>
      <c r="F405" t="n">
        <v>2040</v>
      </c>
      <c r="G405" t="n">
        <v>93.60899999999999</v>
      </c>
      <c r="H405" t="n">
        <v>25.8028</v>
      </c>
      <c r="I405" t="n">
        <v>13.8137</v>
      </c>
      <c r="J405" t="n">
        <v>55.2833</v>
      </c>
      <c r="K405" t="n">
        <v>993339.67</v>
      </c>
      <c r="L405" t="n">
        <v>4530875.75</v>
      </c>
      <c r="M405" t="n">
        <v>93.60899999999999</v>
      </c>
      <c r="N405" t="inlineStr">
        <is>
          <t>Provided Total Emissions</t>
        </is>
      </c>
      <c r="O405" t="b">
        <v>1</v>
      </c>
      <c r="P405" t="n">
        <v>-0.023134</v>
      </c>
      <c r="Q405" t="n">
        <v>-0.005162</v>
      </c>
      <c r="R405" t="n">
        <v>128.2004</v>
      </c>
      <c r="S405" t="n">
        <v>890.6796000000001</v>
      </c>
      <c r="T405" t="n">
        <v>34.5914</v>
      </c>
      <c r="U405" t="n">
        <v>797.0706</v>
      </c>
      <c r="V405" t="n">
        <v>0.369531</v>
      </c>
      <c r="W405" t="n">
        <v>8.514892</v>
      </c>
      <c r="X405" t="inlineStr">
        <is>
          <t>High</t>
        </is>
      </c>
      <c r="Y405" t="inlineStr">
        <is>
          <t>None</t>
        </is>
      </c>
      <c r="Z405" t="inlineStr">
        <is>
          <t>Valid</t>
        </is>
      </c>
      <c r="AA405" t="n">
        <v>2028</v>
      </c>
      <c r="AB405" t="inlineStr">
        <is>
          <t>Supplier Target Pathway</t>
        </is>
      </c>
      <c r="AC405" t="n">
        <v>67.1713</v>
      </c>
      <c r="AD405" t="n">
        <v>34.0155</v>
      </c>
      <c r="AE405" t="n">
        <v>52.9617</v>
      </c>
      <c r="AF405" t="n">
        <v>52.9617</v>
      </c>
      <c r="AG405" t="n">
        <v>14.2096</v>
      </c>
      <c r="AH405" t="n">
        <v>5.332e-05</v>
      </c>
      <c r="AI405" t="n">
        <v>0.211543</v>
      </c>
      <c r="AJ405" t="n">
        <v>18.9461</v>
      </c>
      <c r="AK405" t="n">
        <v>1.5788</v>
      </c>
      <c r="AL405" t="n">
        <v>322.9282</v>
      </c>
      <c r="AM405" t="n">
        <v>221.3198</v>
      </c>
      <c r="AN405" t="n">
        <v>0.99</v>
      </c>
      <c r="AO405" t="inlineStr">
        <is>
          <t>Critical</t>
        </is>
      </c>
      <c r="AP405" t="inlineStr">
        <is>
          <t>On Track to Glide Path</t>
        </is>
      </c>
    </row>
    <row r="406">
      <c r="A406" t="inlineStr">
        <is>
          <t>SUP-0026</t>
        </is>
      </c>
      <c r="B406" t="inlineStr">
        <is>
          <t>Professional Supplier 026</t>
        </is>
      </c>
      <c r="C406" t="inlineStr">
        <is>
          <t>Professional Services</t>
        </is>
      </c>
      <c r="D406" t="n">
        <v>2024</v>
      </c>
      <c r="E406" t="n">
        <v>2019</v>
      </c>
      <c r="F406" t="n">
        <v>2040</v>
      </c>
      <c r="G406" t="n">
        <v>93.60899999999999</v>
      </c>
      <c r="H406" t="n">
        <v>25.8028</v>
      </c>
      <c r="I406" t="n">
        <v>13.8137</v>
      </c>
      <c r="J406" t="n">
        <v>55.2833</v>
      </c>
      <c r="K406" t="n">
        <v>993339.67</v>
      </c>
      <c r="L406" t="n">
        <v>4530875.75</v>
      </c>
      <c r="M406" t="n">
        <v>93.60899999999999</v>
      </c>
      <c r="N406" t="inlineStr">
        <is>
          <t>Provided Total Emissions</t>
        </is>
      </c>
      <c r="O406" t="b">
        <v>1</v>
      </c>
      <c r="P406" t="n">
        <v>-0.023134</v>
      </c>
      <c r="Q406" t="n">
        <v>-0.005162</v>
      </c>
      <c r="R406" t="n">
        <v>128.2004</v>
      </c>
      <c r="S406" t="n">
        <v>890.6796000000001</v>
      </c>
      <c r="T406" t="n">
        <v>34.5914</v>
      </c>
      <c r="U406" t="n">
        <v>797.0706</v>
      </c>
      <c r="V406" t="n">
        <v>0.369531</v>
      </c>
      <c r="W406" t="n">
        <v>8.514892</v>
      </c>
      <c r="X406" t="inlineStr">
        <is>
          <t>High</t>
        </is>
      </c>
      <c r="Y406" t="inlineStr">
        <is>
          <t>None</t>
        </is>
      </c>
      <c r="Z406" t="inlineStr">
        <is>
          <t>Valid</t>
        </is>
      </c>
      <c r="AA406" t="n">
        <v>2029</v>
      </c>
      <c r="AB406" t="inlineStr">
        <is>
          <t>Supplier Target Pathway</t>
        </is>
      </c>
      <c r="AC406" t="n">
        <v>67.1713</v>
      </c>
      <c r="AD406" t="n">
        <v>34.0155</v>
      </c>
      <c r="AE406" t="n">
        <v>51.3828</v>
      </c>
      <c r="AF406" t="n">
        <v>51.3828</v>
      </c>
      <c r="AG406" t="n">
        <v>15.7885</v>
      </c>
      <c r="AH406" t="n">
        <v>5.173e-05</v>
      </c>
      <c r="AI406" t="n">
        <v>0.235048</v>
      </c>
      <c r="AJ406" t="n">
        <v>17.3673</v>
      </c>
      <c r="AK406" t="n">
        <v>1.5788</v>
      </c>
      <c r="AL406" t="n">
        <v>271.5454</v>
      </c>
      <c r="AM406" t="n">
        <v>272.7026</v>
      </c>
      <c r="AN406" t="n">
        <v>0.99</v>
      </c>
      <c r="AO406" t="inlineStr">
        <is>
          <t>Critical</t>
        </is>
      </c>
      <c r="AP406" t="inlineStr">
        <is>
          <t>On Track to Glide Path</t>
        </is>
      </c>
    </row>
    <row r="407">
      <c r="A407" t="inlineStr">
        <is>
          <t>SUP-0026</t>
        </is>
      </c>
      <c r="B407" t="inlineStr">
        <is>
          <t>Professional Supplier 026</t>
        </is>
      </c>
      <c r="C407" t="inlineStr">
        <is>
          <t>Professional Services</t>
        </is>
      </c>
      <c r="D407" t="n">
        <v>2024</v>
      </c>
      <c r="E407" t="n">
        <v>2019</v>
      </c>
      <c r="F407" t="n">
        <v>2040</v>
      </c>
      <c r="G407" t="n">
        <v>93.60899999999999</v>
      </c>
      <c r="H407" t="n">
        <v>25.8028</v>
      </c>
      <c r="I407" t="n">
        <v>13.8137</v>
      </c>
      <c r="J407" t="n">
        <v>55.2833</v>
      </c>
      <c r="K407" t="n">
        <v>993339.67</v>
      </c>
      <c r="L407" t="n">
        <v>4530875.75</v>
      </c>
      <c r="M407" t="n">
        <v>93.60899999999999</v>
      </c>
      <c r="N407" t="inlineStr">
        <is>
          <t>Provided Total Emissions</t>
        </is>
      </c>
      <c r="O407" t="b">
        <v>1</v>
      </c>
      <c r="P407" t="n">
        <v>-0.023134</v>
      </c>
      <c r="Q407" t="n">
        <v>-0.005162</v>
      </c>
      <c r="R407" t="n">
        <v>128.2004</v>
      </c>
      <c r="S407" t="n">
        <v>890.6796000000001</v>
      </c>
      <c r="T407" t="n">
        <v>34.5914</v>
      </c>
      <c r="U407" t="n">
        <v>797.0706</v>
      </c>
      <c r="V407" t="n">
        <v>0.369531</v>
      </c>
      <c r="W407" t="n">
        <v>8.514892</v>
      </c>
      <c r="X407" t="inlineStr">
        <is>
          <t>High</t>
        </is>
      </c>
      <c r="Y407" t="inlineStr">
        <is>
          <t>None</t>
        </is>
      </c>
      <c r="Z407" t="inlineStr">
        <is>
          <t>Valid</t>
        </is>
      </c>
      <c r="AA407" t="n">
        <v>2030</v>
      </c>
      <c r="AB407" t="inlineStr">
        <is>
          <t>Supplier Target Pathway</t>
        </is>
      </c>
      <c r="AC407" t="n">
        <v>67.1713</v>
      </c>
      <c r="AD407" t="n">
        <v>34.0155</v>
      </c>
      <c r="AE407" t="n">
        <v>49.804</v>
      </c>
      <c r="AF407" t="n">
        <v>49.804</v>
      </c>
      <c r="AG407" t="n">
        <v>17.3673</v>
      </c>
      <c r="AH407" t="n">
        <v>5.014e-05</v>
      </c>
      <c r="AI407" t="n">
        <v>0.258552</v>
      </c>
      <c r="AJ407" t="n">
        <v>15.7885</v>
      </c>
      <c r="AK407" t="n">
        <v>1.5788</v>
      </c>
      <c r="AL407" t="n">
        <v>221.7414</v>
      </c>
      <c r="AM407" t="n">
        <v>322.5066</v>
      </c>
      <c r="AN407" t="n">
        <v>0.99</v>
      </c>
      <c r="AO407" t="inlineStr">
        <is>
          <t>Critical</t>
        </is>
      </c>
      <c r="AP407" t="inlineStr">
        <is>
          <t>On Track to Glide Path</t>
        </is>
      </c>
    </row>
    <row r="408">
      <c r="A408" t="inlineStr">
        <is>
          <t>SUP-0026</t>
        </is>
      </c>
      <c r="B408" t="inlineStr">
        <is>
          <t>Professional Supplier 026</t>
        </is>
      </c>
      <c r="C408" t="inlineStr">
        <is>
          <t>Professional Services</t>
        </is>
      </c>
      <c r="D408" t="n">
        <v>2024</v>
      </c>
      <c r="E408" t="n">
        <v>2019</v>
      </c>
      <c r="F408" t="n">
        <v>2040</v>
      </c>
      <c r="G408" t="n">
        <v>93.60899999999999</v>
      </c>
      <c r="H408" t="n">
        <v>25.8028</v>
      </c>
      <c r="I408" t="n">
        <v>13.8137</v>
      </c>
      <c r="J408" t="n">
        <v>55.2833</v>
      </c>
      <c r="K408" t="n">
        <v>993339.67</v>
      </c>
      <c r="L408" t="n">
        <v>4530875.75</v>
      </c>
      <c r="M408" t="n">
        <v>93.60899999999999</v>
      </c>
      <c r="N408" t="inlineStr">
        <is>
          <t>Provided Total Emissions</t>
        </is>
      </c>
      <c r="O408" t="b">
        <v>1</v>
      </c>
      <c r="P408" t="n">
        <v>-0.023134</v>
      </c>
      <c r="Q408" t="n">
        <v>-0.005162</v>
      </c>
      <c r="R408" t="n">
        <v>128.2004</v>
      </c>
      <c r="S408" t="n">
        <v>890.6796000000001</v>
      </c>
      <c r="T408" t="n">
        <v>34.5914</v>
      </c>
      <c r="U408" t="n">
        <v>797.0706</v>
      </c>
      <c r="V408" t="n">
        <v>0.369531</v>
      </c>
      <c r="W408" t="n">
        <v>8.514892</v>
      </c>
      <c r="X408" t="inlineStr">
        <is>
          <t>High</t>
        </is>
      </c>
      <c r="Y408" t="inlineStr">
        <is>
          <t>None</t>
        </is>
      </c>
      <c r="Z408" t="inlineStr">
        <is>
          <t>Valid</t>
        </is>
      </c>
      <c r="AA408" t="n">
        <v>2031</v>
      </c>
      <c r="AB408" t="inlineStr">
        <is>
          <t>Supplier Target Pathway</t>
        </is>
      </c>
      <c r="AC408" t="n">
        <v>67.1713</v>
      </c>
      <c r="AD408" t="n">
        <v>34.0155</v>
      </c>
      <c r="AE408" t="n">
        <v>48.2252</v>
      </c>
      <c r="AF408" t="n">
        <v>48.2252</v>
      </c>
      <c r="AG408" t="n">
        <v>18.9461</v>
      </c>
      <c r="AH408" t="n">
        <v>4.855e-05</v>
      </c>
      <c r="AI408" t="n">
        <v>0.282057</v>
      </c>
      <c r="AJ408" t="n">
        <v>14.2096</v>
      </c>
      <c r="AK408" t="n">
        <v>1.5788</v>
      </c>
      <c r="AL408" t="n">
        <v>173.5162</v>
      </c>
      <c r="AM408" t="n">
        <v>370.7318</v>
      </c>
      <c r="AN408" t="n">
        <v>0.99</v>
      </c>
      <c r="AO408" t="inlineStr">
        <is>
          <t>Critical</t>
        </is>
      </c>
      <c r="AP408" t="inlineStr">
        <is>
          <t>On Track to Glide Path</t>
        </is>
      </c>
    </row>
    <row r="409">
      <c r="A409" t="inlineStr">
        <is>
          <t>SUP-0026</t>
        </is>
      </c>
      <c r="B409" t="inlineStr">
        <is>
          <t>Professional Supplier 026</t>
        </is>
      </c>
      <c r="C409" t="inlineStr">
        <is>
          <t>Professional Services</t>
        </is>
      </c>
      <c r="D409" t="n">
        <v>2024</v>
      </c>
      <c r="E409" t="n">
        <v>2019</v>
      </c>
      <c r="F409" t="n">
        <v>2040</v>
      </c>
      <c r="G409" t="n">
        <v>93.60899999999999</v>
      </c>
      <c r="H409" t="n">
        <v>25.8028</v>
      </c>
      <c r="I409" t="n">
        <v>13.8137</v>
      </c>
      <c r="J409" t="n">
        <v>55.2833</v>
      </c>
      <c r="K409" t="n">
        <v>993339.67</v>
      </c>
      <c r="L409" t="n">
        <v>4530875.75</v>
      </c>
      <c r="M409" t="n">
        <v>93.60899999999999</v>
      </c>
      <c r="N409" t="inlineStr">
        <is>
          <t>Provided Total Emissions</t>
        </is>
      </c>
      <c r="O409" t="b">
        <v>1</v>
      </c>
      <c r="P409" t="n">
        <v>-0.023134</v>
      </c>
      <c r="Q409" t="n">
        <v>-0.005162</v>
      </c>
      <c r="R409" t="n">
        <v>128.2004</v>
      </c>
      <c r="S409" t="n">
        <v>890.6796000000001</v>
      </c>
      <c r="T409" t="n">
        <v>34.5914</v>
      </c>
      <c r="U409" t="n">
        <v>797.0706</v>
      </c>
      <c r="V409" t="n">
        <v>0.369531</v>
      </c>
      <c r="W409" t="n">
        <v>8.514892</v>
      </c>
      <c r="X409" t="inlineStr">
        <is>
          <t>High</t>
        </is>
      </c>
      <c r="Y409" t="inlineStr">
        <is>
          <t>None</t>
        </is>
      </c>
      <c r="Z409" t="inlineStr">
        <is>
          <t>Valid</t>
        </is>
      </c>
      <c r="AA409" t="n">
        <v>2032</v>
      </c>
      <c r="AB409" t="inlineStr">
        <is>
          <t>Supplier Target Pathway</t>
        </is>
      </c>
      <c r="AC409" t="n">
        <v>67.1713</v>
      </c>
      <c r="AD409" t="n">
        <v>34.0155</v>
      </c>
      <c r="AE409" t="n">
        <v>46.6463</v>
      </c>
      <c r="AF409" t="n">
        <v>46.6463</v>
      </c>
      <c r="AG409" t="n">
        <v>20.525</v>
      </c>
      <c r="AH409" t="n">
        <v>4.696e-05</v>
      </c>
      <c r="AI409" t="n">
        <v>0.305562</v>
      </c>
      <c r="AJ409" t="n">
        <v>12.6308</v>
      </c>
      <c r="AK409" t="n">
        <v>1.5788</v>
      </c>
      <c r="AL409" t="n">
        <v>126.8699</v>
      </c>
      <c r="AM409" t="n">
        <v>417.3781</v>
      </c>
      <c r="AN409" t="n">
        <v>0.99</v>
      </c>
      <c r="AO409" t="inlineStr">
        <is>
          <t>Critical</t>
        </is>
      </c>
      <c r="AP409" t="inlineStr">
        <is>
          <t>On Track to Glide Path</t>
        </is>
      </c>
    </row>
    <row r="410">
      <c r="A410" t="inlineStr">
        <is>
          <t>SUP-0026</t>
        </is>
      </c>
      <c r="B410" t="inlineStr">
        <is>
          <t>Professional Supplier 026</t>
        </is>
      </c>
      <c r="C410" t="inlineStr">
        <is>
          <t>Professional Services</t>
        </is>
      </c>
      <c r="D410" t="n">
        <v>2024</v>
      </c>
      <c r="E410" t="n">
        <v>2019</v>
      </c>
      <c r="F410" t="n">
        <v>2040</v>
      </c>
      <c r="G410" t="n">
        <v>93.60899999999999</v>
      </c>
      <c r="H410" t="n">
        <v>25.8028</v>
      </c>
      <c r="I410" t="n">
        <v>13.8137</v>
      </c>
      <c r="J410" t="n">
        <v>55.2833</v>
      </c>
      <c r="K410" t="n">
        <v>993339.67</v>
      </c>
      <c r="L410" t="n">
        <v>4530875.75</v>
      </c>
      <c r="M410" t="n">
        <v>93.60899999999999</v>
      </c>
      <c r="N410" t="inlineStr">
        <is>
          <t>Provided Total Emissions</t>
        </is>
      </c>
      <c r="O410" t="b">
        <v>1</v>
      </c>
      <c r="P410" t="n">
        <v>-0.023134</v>
      </c>
      <c r="Q410" t="n">
        <v>-0.005162</v>
      </c>
      <c r="R410" t="n">
        <v>128.2004</v>
      </c>
      <c r="S410" t="n">
        <v>890.6796000000001</v>
      </c>
      <c r="T410" t="n">
        <v>34.5914</v>
      </c>
      <c r="U410" t="n">
        <v>797.0706</v>
      </c>
      <c r="V410" t="n">
        <v>0.369531</v>
      </c>
      <c r="W410" t="n">
        <v>8.514892</v>
      </c>
      <c r="X410" t="inlineStr">
        <is>
          <t>High</t>
        </is>
      </c>
      <c r="Y410" t="inlineStr">
        <is>
          <t>None</t>
        </is>
      </c>
      <c r="Z410" t="inlineStr">
        <is>
          <t>Valid</t>
        </is>
      </c>
      <c r="AA410" t="n">
        <v>2033</v>
      </c>
      <c r="AB410" t="inlineStr">
        <is>
          <t>Supplier Target Pathway</t>
        </is>
      </c>
      <c r="AC410" t="n">
        <v>67.1713</v>
      </c>
      <c r="AD410" t="n">
        <v>34.0155</v>
      </c>
      <c r="AE410" t="n">
        <v>45.0675</v>
      </c>
      <c r="AF410" t="n">
        <v>45.0675</v>
      </c>
      <c r="AG410" t="n">
        <v>22.1038</v>
      </c>
      <c r="AH410" t="n">
        <v>4.537e-05</v>
      </c>
      <c r="AI410" t="n">
        <v>0.329067</v>
      </c>
      <c r="AJ410" t="n">
        <v>11.0519</v>
      </c>
      <c r="AK410" t="n">
        <v>1.5788</v>
      </c>
      <c r="AL410" t="n">
        <v>81.80240000000001</v>
      </c>
      <c r="AM410" t="n">
        <v>462.4456</v>
      </c>
      <c r="AN410" t="n">
        <v>0.99</v>
      </c>
      <c r="AO410" t="inlineStr">
        <is>
          <t>High</t>
        </is>
      </c>
      <c r="AP410" t="inlineStr">
        <is>
          <t>On Track to Glide Path</t>
        </is>
      </c>
    </row>
    <row r="411">
      <c r="A411" t="inlineStr">
        <is>
          <t>SUP-0026</t>
        </is>
      </c>
      <c r="B411" t="inlineStr">
        <is>
          <t>Professional Supplier 026</t>
        </is>
      </c>
      <c r="C411" t="inlineStr">
        <is>
          <t>Professional Services</t>
        </is>
      </c>
      <c r="D411" t="n">
        <v>2024</v>
      </c>
      <c r="E411" t="n">
        <v>2019</v>
      </c>
      <c r="F411" t="n">
        <v>2040</v>
      </c>
      <c r="G411" t="n">
        <v>93.60899999999999</v>
      </c>
      <c r="H411" t="n">
        <v>25.8028</v>
      </c>
      <c r="I411" t="n">
        <v>13.8137</v>
      </c>
      <c r="J411" t="n">
        <v>55.2833</v>
      </c>
      <c r="K411" t="n">
        <v>993339.67</v>
      </c>
      <c r="L411" t="n">
        <v>4530875.75</v>
      </c>
      <c r="M411" t="n">
        <v>93.60899999999999</v>
      </c>
      <c r="N411" t="inlineStr">
        <is>
          <t>Provided Total Emissions</t>
        </is>
      </c>
      <c r="O411" t="b">
        <v>1</v>
      </c>
      <c r="P411" t="n">
        <v>-0.023134</v>
      </c>
      <c r="Q411" t="n">
        <v>-0.005162</v>
      </c>
      <c r="R411" t="n">
        <v>128.2004</v>
      </c>
      <c r="S411" t="n">
        <v>890.6796000000001</v>
      </c>
      <c r="T411" t="n">
        <v>34.5914</v>
      </c>
      <c r="U411" t="n">
        <v>797.0706</v>
      </c>
      <c r="V411" t="n">
        <v>0.369531</v>
      </c>
      <c r="W411" t="n">
        <v>8.514892</v>
      </c>
      <c r="X411" t="inlineStr">
        <is>
          <t>High</t>
        </is>
      </c>
      <c r="Y411" t="inlineStr">
        <is>
          <t>None</t>
        </is>
      </c>
      <c r="Z411" t="inlineStr">
        <is>
          <t>Valid</t>
        </is>
      </c>
      <c r="AA411" t="n">
        <v>2034</v>
      </c>
      <c r="AB411" t="inlineStr">
        <is>
          <t>Supplier Target Pathway</t>
        </is>
      </c>
      <c r="AC411" t="n">
        <v>67.1713</v>
      </c>
      <c r="AD411" t="n">
        <v>34.0155</v>
      </c>
      <c r="AE411" t="n">
        <v>43.4886</v>
      </c>
      <c r="AF411" t="n">
        <v>43.4886</v>
      </c>
      <c r="AG411" t="n">
        <v>23.6827</v>
      </c>
      <c r="AH411" t="n">
        <v>4.378e-05</v>
      </c>
      <c r="AI411" t="n">
        <v>0.352571</v>
      </c>
      <c r="AJ411" t="n">
        <v>9.473100000000001</v>
      </c>
      <c r="AK411" t="n">
        <v>1.5788</v>
      </c>
      <c r="AL411" t="n">
        <v>38.3138</v>
      </c>
      <c r="AM411" t="n">
        <v>505.9342</v>
      </c>
      <c r="AN411" t="n">
        <v>0.99</v>
      </c>
      <c r="AO411" t="inlineStr">
        <is>
          <t>High</t>
        </is>
      </c>
      <c r="AP411" t="inlineStr">
        <is>
          <t>On Track to Glide Path</t>
        </is>
      </c>
    </row>
    <row r="412">
      <c r="A412" t="inlineStr">
        <is>
          <t>SUP-0026</t>
        </is>
      </c>
      <c r="B412" t="inlineStr">
        <is>
          <t>Professional Supplier 026</t>
        </is>
      </c>
      <c r="C412" t="inlineStr">
        <is>
          <t>Professional Services</t>
        </is>
      </c>
      <c r="D412" t="n">
        <v>2024</v>
      </c>
      <c r="E412" t="n">
        <v>2019</v>
      </c>
      <c r="F412" t="n">
        <v>2040</v>
      </c>
      <c r="G412" t="n">
        <v>93.60899999999999</v>
      </c>
      <c r="H412" t="n">
        <v>25.8028</v>
      </c>
      <c r="I412" t="n">
        <v>13.8137</v>
      </c>
      <c r="J412" t="n">
        <v>55.2833</v>
      </c>
      <c r="K412" t="n">
        <v>993339.67</v>
      </c>
      <c r="L412" t="n">
        <v>4530875.75</v>
      </c>
      <c r="M412" t="n">
        <v>93.60899999999999</v>
      </c>
      <c r="N412" t="inlineStr">
        <is>
          <t>Provided Total Emissions</t>
        </is>
      </c>
      <c r="O412" t="b">
        <v>1</v>
      </c>
      <c r="P412" t="n">
        <v>-0.023134</v>
      </c>
      <c r="Q412" t="n">
        <v>-0.005162</v>
      </c>
      <c r="R412" t="n">
        <v>128.2004</v>
      </c>
      <c r="S412" t="n">
        <v>890.6796000000001</v>
      </c>
      <c r="T412" t="n">
        <v>34.5914</v>
      </c>
      <c r="U412" t="n">
        <v>797.0706</v>
      </c>
      <c r="V412" t="n">
        <v>0.369531</v>
      </c>
      <c r="W412" t="n">
        <v>8.514892</v>
      </c>
      <c r="X412" t="inlineStr">
        <is>
          <t>High</t>
        </is>
      </c>
      <c r="Y412" t="inlineStr">
        <is>
          <t>None</t>
        </is>
      </c>
      <c r="Z412" t="inlineStr">
        <is>
          <t>Valid</t>
        </is>
      </c>
      <c r="AA412" t="n">
        <v>2035</v>
      </c>
      <c r="AB412" t="inlineStr">
        <is>
          <t>Supplier Target Pathway</t>
        </is>
      </c>
      <c r="AC412" t="n">
        <v>67.1713</v>
      </c>
      <c r="AD412" t="n">
        <v>34.0155</v>
      </c>
      <c r="AE412" t="n">
        <v>41.9098</v>
      </c>
      <c r="AF412" t="n">
        <v>41.9098</v>
      </c>
      <c r="AG412" t="n">
        <v>25.2615</v>
      </c>
      <c r="AH412" t="n">
        <v>4.219e-05</v>
      </c>
      <c r="AI412" t="n">
        <v>0.376076</v>
      </c>
      <c r="AJ412" t="n">
        <v>7.8942</v>
      </c>
      <c r="AK412" t="n">
        <v>1.5788</v>
      </c>
      <c r="AL412" t="n">
        <v>-3.596</v>
      </c>
      <c r="AM412" t="n">
        <v>547.8440000000001</v>
      </c>
      <c r="AN412" t="n">
        <v>0.99</v>
      </c>
      <c r="AO412" t="inlineStr">
        <is>
          <t>High</t>
        </is>
      </c>
      <c r="AP412" t="inlineStr">
        <is>
          <t>On Track to Glide Path</t>
        </is>
      </c>
    </row>
    <row r="413">
      <c r="A413" t="inlineStr">
        <is>
          <t>SUP-0026</t>
        </is>
      </c>
      <c r="B413" t="inlineStr">
        <is>
          <t>Professional Supplier 026</t>
        </is>
      </c>
      <c r="C413" t="inlineStr">
        <is>
          <t>Professional Services</t>
        </is>
      </c>
      <c r="D413" t="n">
        <v>2024</v>
      </c>
      <c r="E413" t="n">
        <v>2019</v>
      </c>
      <c r="F413" t="n">
        <v>2040</v>
      </c>
      <c r="G413" t="n">
        <v>93.60899999999999</v>
      </c>
      <c r="H413" t="n">
        <v>25.8028</v>
      </c>
      <c r="I413" t="n">
        <v>13.8137</v>
      </c>
      <c r="J413" t="n">
        <v>55.2833</v>
      </c>
      <c r="K413" t="n">
        <v>993339.67</v>
      </c>
      <c r="L413" t="n">
        <v>4530875.75</v>
      </c>
      <c r="M413" t="n">
        <v>93.60899999999999</v>
      </c>
      <c r="N413" t="inlineStr">
        <is>
          <t>Provided Total Emissions</t>
        </is>
      </c>
      <c r="O413" t="b">
        <v>1</v>
      </c>
      <c r="P413" t="n">
        <v>-0.023134</v>
      </c>
      <c r="Q413" t="n">
        <v>-0.005162</v>
      </c>
      <c r="R413" t="n">
        <v>128.2004</v>
      </c>
      <c r="S413" t="n">
        <v>890.6796000000001</v>
      </c>
      <c r="T413" t="n">
        <v>34.5914</v>
      </c>
      <c r="U413" t="n">
        <v>797.0706</v>
      </c>
      <c r="V413" t="n">
        <v>0.369531</v>
      </c>
      <c r="W413" t="n">
        <v>8.514892</v>
      </c>
      <c r="X413" t="inlineStr">
        <is>
          <t>High</t>
        </is>
      </c>
      <c r="Y413" t="inlineStr">
        <is>
          <t>None</t>
        </is>
      </c>
      <c r="Z413" t="inlineStr">
        <is>
          <t>Valid</t>
        </is>
      </c>
      <c r="AA413" t="n">
        <v>2036</v>
      </c>
      <c r="AB413" t="inlineStr">
        <is>
          <t>Supplier Target Pathway</t>
        </is>
      </c>
      <c r="AC413" t="n">
        <v>67.1713</v>
      </c>
      <c r="AD413" t="n">
        <v>34.0155</v>
      </c>
      <c r="AE413" t="n">
        <v>40.3309</v>
      </c>
      <c r="AF413" t="n">
        <v>40.3309</v>
      </c>
      <c r="AG413" t="n">
        <v>26.8404</v>
      </c>
      <c r="AH413" t="n">
        <v>4.06e-05</v>
      </c>
      <c r="AI413" t="n">
        <v>0.399581</v>
      </c>
      <c r="AJ413" t="n">
        <v>6.3154</v>
      </c>
      <c r="AK413" t="n">
        <v>1.5788</v>
      </c>
      <c r="AL413" t="n">
        <v>-43.9269</v>
      </c>
      <c r="AM413" t="n">
        <v>588.1749</v>
      </c>
      <c r="AN413" t="n">
        <v>0.99</v>
      </c>
      <c r="AO413" t="inlineStr">
        <is>
          <t>High</t>
        </is>
      </c>
      <c r="AP413" t="inlineStr">
        <is>
          <t>On Track to Glide Path</t>
        </is>
      </c>
    </row>
    <row r="414">
      <c r="A414" t="inlineStr">
        <is>
          <t>SUP-0026</t>
        </is>
      </c>
      <c r="B414" t="inlineStr">
        <is>
          <t>Professional Supplier 026</t>
        </is>
      </c>
      <c r="C414" t="inlineStr">
        <is>
          <t>Professional Services</t>
        </is>
      </c>
      <c r="D414" t="n">
        <v>2024</v>
      </c>
      <c r="E414" t="n">
        <v>2019</v>
      </c>
      <c r="F414" t="n">
        <v>2040</v>
      </c>
      <c r="G414" t="n">
        <v>93.60899999999999</v>
      </c>
      <c r="H414" t="n">
        <v>25.8028</v>
      </c>
      <c r="I414" t="n">
        <v>13.8137</v>
      </c>
      <c r="J414" t="n">
        <v>55.2833</v>
      </c>
      <c r="K414" t="n">
        <v>993339.67</v>
      </c>
      <c r="L414" t="n">
        <v>4530875.75</v>
      </c>
      <c r="M414" t="n">
        <v>93.60899999999999</v>
      </c>
      <c r="N414" t="inlineStr">
        <is>
          <t>Provided Total Emissions</t>
        </is>
      </c>
      <c r="O414" t="b">
        <v>1</v>
      </c>
      <c r="P414" t="n">
        <v>-0.023134</v>
      </c>
      <c r="Q414" t="n">
        <v>-0.005162</v>
      </c>
      <c r="R414" t="n">
        <v>128.2004</v>
      </c>
      <c r="S414" t="n">
        <v>890.6796000000001</v>
      </c>
      <c r="T414" t="n">
        <v>34.5914</v>
      </c>
      <c r="U414" t="n">
        <v>797.0706</v>
      </c>
      <c r="V414" t="n">
        <v>0.369531</v>
      </c>
      <c r="W414" t="n">
        <v>8.514892</v>
      </c>
      <c r="X414" t="inlineStr">
        <is>
          <t>High</t>
        </is>
      </c>
      <c r="Y414" t="inlineStr">
        <is>
          <t>None</t>
        </is>
      </c>
      <c r="Z414" t="inlineStr">
        <is>
          <t>Valid</t>
        </is>
      </c>
      <c r="AA414" t="n">
        <v>2037</v>
      </c>
      <c r="AB414" t="inlineStr">
        <is>
          <t>Supplier Target Pathway</t>
        </is>
      </c>
      <c r="AC414" t="n">
        <v>67.1713</v>
      </c>
      <c r="AD414" t="n">
        <v>34.0155</v>
      </c>
      <c r="AE414" t="n">
        <v>38.7521</v>
      </c>
      <c r="AF414" t="n">
        <v>38.7521</v>
      </c>
      <c r="AG414" t="n">
        <v>28.4192</v>
      </c>
      <c r="AH414" t="n">
        <v>3.901e-05</v>
      </c>
      <c r="AI414" t="n">
        <v>0.423086</v>
      </c>
      <c r="AJ414" t="n">
        <v>4.7365</v>
      </c>
      <c r="AK414" t="n">
        <v>1.5788</v>
      </c>
      <c r="AL414" t="n">
        <v>-82.679</v>
      </c>
      <c r="AM414" t="n">
        <v>626.927</v>
      </c>
      <c r="AN414" t="n">
        <v>0.99</v>
      </c>
      <c r="AO414" t="inlineStr">
        <is>
          <t>Medium</t>
        </is>
      </c>
      <c r="AP414" t="inlineStr">
        <is>
          <t>On Track to Glide Path</t>
        </is>
      </c>
    </row>
    <row r="415">
      <c r="A415" t="inlineStr">
        <is>
          <t>SUP-0026</t>
        </is>
      </c>
      <c r="B415" t="inlineStr">
        <is>
          <t>Professional Supplier 026</t>
        </is>
      </c>
      <c r="C415" t="inlineStr">
        <is>
          <t>Professional Services</t>
        </is>
      </c>
      <c r="D415" t="n">
        <v>2024</v>
      </c>
      <c r="E415" t="n">
        <v>2019</v>
      </c>
      <c r="F415" t="n">
        <v>2040</v>
      </c>
      <c r="G415" t="n">
        <v>93.60899999999999</v>
      </c>
      <c r="H415" t="n">
        <v>25.8028</v>
      </c>
      <c r="I415" t="n">
        <v>13.8137</v>
      </c>
      <c r="J415" t="n">
        <v>55.2833</v>
      </c>
      <c r="K415" t="n">
        <v>993339.67</v>
      </c>
      <c r="L415" t="n">
        <v>4530875.75</v>
      </c>
      <c r="M415" t="n">
        <v>93.60899999999999</v>
      </c>
      <c r="N415" t="inlineStr">
        <is>
          <t>Provided Total Emissions</t>
        </is>
      </c>
      <c r="O415" t="b">
        <v>1</v>
      </c>
      <c r="P415" t="n">
        <v>-0.023134</v>
      </c>
      <c r="Q415" t="n">
        <v>-0.005162</v>
      </c>
      <c r="R415" t="n">
        <v>128.2004</v>
      </c>
      <c r="S415" t="n">
        <v>890.6796000000001</v>
      </c>
      <c r="T415" t="n">
        <v>34.5914</v>
      </c>
      <c r="U415" t="n">
        <v>797.0706</v>
      </c>
      <c r="V415" t="n">
        <v>0.369531</v>
      </c>
      <c r="W415" t="n">
        <v>8.514892</v>
      </c>
      <c r="X415" t="inlineStr">
        <is>
          <t>High</t>
        </is>
      </c>
      <c r="Y415" t="inlineStr">
        <is>
          <t>None</t>
        </is>
      </c>
      <c r="Z415" t="inlineStr">
        <is>
          <t>Valid</t>
        </is>
      </c>
      <c r="AA415" t="n">
        <v>2038</v>
      </c>
      <c r="AB415" t="inlineStr">
        <is>
          <t>Supplier Target Pathway</t>
        </is>
      </c>
      <c r="AC415" t="n">
        <v>67.1713</v>
      </c>
      <c r="AD415" t="n">
        <v>34.0155</v>
      </c>
      <c r="AE415" t="n">
        <v>37.1732</v>
      </c>
      <c r="AF415" t="n">
        <v>37.1732</v>
      </c>
      <c r="AG415" t="n">
        <v>29.9981</v>
      </c>
      <c r="AH415" t="n">
        <v>3.742e-05</v>
      </c>
      <c r="AI415" t="n">
        <v>0.44659</v>
      </c>
      <c r="AJ415" t="n">
        <v>3.1577</v>
      </c>
      <c r="AK415" t="n">
        <v>1.5788</v>
      </c>
      <c r="AL415" t="n">
        <v>-119.8522</v>
      </c>
      <c r="AM415" t="n">
        <v>664.1002</v>
      </c>
      <c r="AN415" t="n">
        <v>0.99</v>
      </c>
      <c r="AO415" t="inlineStr">
        <is>
          <t>Medium</t>
        </is>
      </c>
      <c r="AP415" t="inlineStr">
        <is>
          <t>On Track to Glide Path</t>
        </is>
      </c>
    </row>
    <row r="416">
      <c r="A416" t="inlineStr">
        <is>
          <t>SUP-0026</t>
        </is>
      </c>
      <c r="B416" t="inlineStr">
        <is>
          <t>Professional Supplier 026</t>
        </is>
      </c>
      <c r="C416" t="inlineStr">
        <is>
          <t>Professional Services</t>
        </is>
      </c>
      <c r="D416" t="n">
        <v>2024</v>
      </c>
      <c r="E416" t="n">
        <v>2019</v>
      </c>
      <c r="F416" t="n">
        <v>2040</v>
      </c>
      <c r="G416" t="n">
        <v>93.60899999999999</v>
      </c>
      <c r="H416" t="n">
        <v>25.8028</v>
      </c>
      <c r="I416" t="n">
        <v>13.8137</v>
      </c>
      <c r="J416" t="n">
        <v>55.2833</v>
      </c>
      <c r="K416" t="n">
        <v>993339.67</v>
      </c>
      <c r="L416" t="n">
        <v>4530875.75</v>
      </c>
      <c r="M416" t="n">
        <v>93.60899999999999</v>
      </c>
      <c r="N416" t="inlineStr">
        <is>
          <t>Provided Total Emissions</t>
        </is>
      </c>
      <c r="O416" t="b">
        <v>1</v>
      </c>
      <c r="P416" t="n">
        <v>-0.023134</v>
      </c>
      <c r="Q416" t="n">
        <v>-0.005162</v>
      </c>
      <c r="R416" t="n">
        <v>128.2004</v>
      </c>
      <c r="S416" t="n">
        <v>890.6796000000001</v>
      </c>
      <c r="T416" t="n">
        <v>34.5914</v>
      </c>
      <c r="U416" t="n">
        <v>797.0706</v>
      </c>
      <c r="V416" t="n">
        <v>0.369531</v>
      </c>
      <c r="W416" t="n">
        <v>8.514892</v>
      </c>
      <c r="X416" t="inlineStr">
        <is>
          <t>High</t>
        </is>
      </c>
      <c r="Y416" t="inlineStr">
        <is>
          <t>None</t>
        </is>
      </c>
      <c r="Z416" t="inlineStr">
        <is>
          <t>Valid</t>
        </is>
      </c>
      <c r="AA416" t="n">
        <v>2039</v>
      </c>
      <c r="AB416" t="inlineStr">
        <is>
          <t>Supplier Target Pathway</t>
        </is>
      </c>
      <c r="AC416" t="n">
        <v>67.1713</v>
      </c>
      <c r="AD416" t="n">
        <v>34.0155</v>
      </c>
      <c r="AE416" t="n">
        <v>35.5944</v>
      </c>
      <c r="AF416" t="n">
        <v>35.5944</v>
      </c>
      <c r="AG416" t="n">
        <v>31.5769</v>
      </c>
      <c r="AH416" t="n">
        <v>3.583e-05</v>
      </c>
      <c r="AI416" t="n">
        <v>0.470095</v>
      </c>
      <c r="AJ416" t="n">
        <v>1.5788</v>
      </c>
      <c r="AK416" t="n">
        <v>1.5788</v>
      </c>
      <c r="AL416" t="n">
        <v>-155.4466</v>
      </c>
      <c r="AM416" t="n">
        <v>699.6946</v>
      </c>
      <c r="AN416" t="n">
        <v>0.99</v>
      </c>
      <c r="AO416" t="inlineStr">
        <is>
          <t>Medium</t>
        </is>
      </c>
      <c r="AP416" t="inlineStr">
        <is>
          <t>On Track to Glide Path</t>
        </is>
      </c>
    </row>
    <row r="417">
      <c r="A417" t="inlineStr">
        <is>
          <t>SUP-0026</t>
        </is>
      </c>
      <c r="B417" t="inlineStr">
        <is>
          <t>Professional Supplier 026</t>
        </is>
      </c>
      <c r="C417" t="inlineStr">
        <is>
          <t>Professional Services</t>
        </is>
      </c>
      <c r="D417" t="n">
        <v>2024</v>
      </c>
      <c r="E417" t="n">
        <v>2019</v>
      </c>
      <c r="F417" t="n">
        <v>2040</v>
      </c>
      <c r="G417" t="n">
        <v>93.60899999999999</v>
      </c>
      <c r="H417" t="n">
        <v>25.8028</v>
      </c>
      <c r="I417" t="n">
        <v>13.8137</v>
      </c>
      <c r="J417" t="n">
        <v>55.2833</v>
      </c>
      <c r="K417" t="n">
        <v>993339.67</v>
      </c>
      <c r="L417" t="n">
        <v>4530875.75</v>
      </c>
      <c r="M417" t="n">
        <v>93.60899999999999</v>
      </c>
      <c r="N417" t="inlineStr">
        <is>
          <t>Provided Total Emissions</t>
        </is>
      </c>
      <c r="O417" t="b">
        <v>1</v>
      </c>
      <c r="P417" t="n">
        <v>-0.023134</v>
      </c>
      <c r="Q417" t="n">
        <v>-0.005162</v>
      </c>
      <c r="R417" t="n">
        <v>128.2004</v>
      </c>
      <c r="S417" t="n">
        <v>890.6796000000001</v>
      </c>
      <c r="T417" t="n">
        <v>34.5914</v>
      </c>
      <c r="U417" t="n">
        <v>797.0706</v>
      </c>
      <c r="V417" t="n">
        <v>0.369531</v>
      </c>
      <c r="W417" t="n">
        <v>8.514892</v>
      </c>
      <c r="X417" t="inlineStr">
        <is>
          <t>High</t>
        </is>
      </c>
      <c r="Y417" t="inlineStr">
        <is>
          <t>None</t>
        </is>
      </c>
      <c r="Z417" t="inlineStr">
        <is>
          <t>Valid</t>
        </is>
      </c>
      <c r="AA417" t="n">
        <v>2040</v>
      </c>
      <c r="AB417" t="inlineStr">
        <is>
          <t>Supplier Target Pathway</t>
        </is>
      </c>
      <c r="AC417" t="n">
        <v>67.1713</v>
      </c>
      <c r="AD417" t="n">
        <v>34.0155</v>
      </c>
      <c r="AE417" t="n">
        <v>34.0155</v>
      </c>
      <c r="AF417" t="n">
        <v>34.0155</v>
      </c>
      <c r="AG417" t="n">
        <v>33.1558</v>
      </c>
      <c r="AH417" t="n">
        <v>3.424e-05</v>
      </c>
      <c r="AI417" t="n">
        <v>0.4936</v>
      </c>
      <c r="AJ417" t="n">
        <v>0</v>
      </c>
      <c r="AK417" t="n">
        <v>1.5788</v>
      </c>
      <c r="AL417" t="n">
        <v>-189.4621</v>
      </c>
      <c r="AM417" t="n">
        <v>733.7101</v>
      </c>
      <c r="AN417" t="n">
        <v>0.99</v>
      </c>
      <c r="AO417" t="inlineStr">
        <is>
          <t>Low</t>
        </is>
      </c>
      <c r="AP417" t="inlineStr">
        <is>
          <t>On Track</t>
        </is>
      </c>
    </row>
    <row r="418">
      <c r="A418" t="inlineStr">
        <is>
          <t>SUP-0027</t>
        </is>
      </c>
      <c r="B418" t="inlineStr">
        <is>
          <t>Metals Supplier 027</t>
        </is>
      </c>
      <c r="C418" t="inlineStr">
        <is>
          <t>Metals</t>
        </is>
      </c>
      <c r="D418" t="n">
        <v>2024</v>
      </c>
      <c r="E418" t="n">
        <v>2019</v>
      </c>
      <c r="F418" t="n">
        <v>2030</v>
      </c>
      <c r="G418" t="n">
        <v>9386.202600000001</v>
      </c>
      <c r="H418" t="n">
        <v>2360.709</v>
      </c>
      <c r="I418" t="n">
        <v>1459.5858</v>
      </c>
      <c r="J418" t="n">
        <v>5351.0363</v>
      </c>
      <c r="K418" t="n">
        <v>20111235.02</v>
      </c>
      <c r="L418" t="n">
        <v>65477013.16</v>
      </c>
      <c r="M418" t="n">
        <v>9386.202600000001</v>
      </c>
      <c r="N418" t="inlineStr">
        <is>
          <t>Provided Total Emissions</t>
        </is>
      </c>
      <c r="O418" t="b">
        <v>1</v>
      </c>
      <c r="P418" t="n">
        <v>0.006359</v>
      </c>
      <c r="Q418" t="n">
        <v>0.075193</v>
      </c>
      <c r="R418" t="n">
        <v>20251.0081</v>
      </c>
      <c r="S418" t="n">
        <v>42565.2967</v>
      </c>
      <c r="T418" t="n">
        <v>10864.8055</v>
      </c>
      <c r="U418" t="n">
        <v>33179.0941</v>
      </c>
      <c r="V418" t="n">
        <v>1.157529</v>
      </c>
      <c r="W418" t="n">
        <v>3.534879</v>
      </c>
      <c r="X418" t="inlineStr">
        <is>
          <t>High</t>
        </is>
      </c>
      <c r="Y418" t="inlineStr">
        <is>
          <t>None</t>
        </is>
      </c>
      <c r="Z418" t="inlineStr">
        <is>
          <t>Valid</t>
        </is>
      </c>
      <c r="AA418" t="n">
        <v>2025</v>
      </c>
      <c r="AB418" t="inlineStr">
        <is>
          <t>Supplier Target Pathway</t>
        </is>
      </c>
      <c r="AC418" t="n">
        <v>7783.0952</v>
      </c>
      <c r="AD418" t="n">
        <v>5651.3054</v>
      </c>
      <c r="AE418" t="n">
        <v>6620.3008</v>
      </c>
      <c r="AF418" t="n">
        <v>6620.3008</v>
      </c>
      <c r="AG418" t="n">
        <v>1162.7944</v>
      </c>
      <c r="AH418" t="n">
        <v>0.00032918</v>
      </c>
      <c r="AI418" t="n">
        <v>0.1494</v>
      </c>
      <c r="AJ418" t="n">
        <v>968.9954</v>
      </c>
      <c r="AK418" t="n">
        <v>193.7991</v>
      </c>
      <c r="AL418" t="n">
        <v>27287.5316</v>
      </c>
      <c r="AM418" t="n">
        <v>6620.3008</v>
      </c>
      <c r="AN418" t="n">
        <v>0.99</v>
      </c>
      <c r="AO418" t="inlineStr">
        <is>
          <t>High</t>
        </is>
      </c>
      <c r="AP418" t="inlineStr">
        <is>
          <t>On Track to Glide Path</t>
        </is>
      </c>
    </row>
    <row r="419">
      <c r="A419" t="inlineStr">
        <is>
          <t>SUP-0027</t>
        </is>
      </c>
      <c r="B419" t="inlineStr">
        <is>
          <t>Metals Supplier 027</t>
        </is>
      </c>
      <c r="C419" t="inlineStr">
        <is>
          <t>Metals</t>
        </is>
      </c>
      <c r="D419" t="n">
        <v>2024</v>
      </c>
      <c r="E419" t="n">
        <v>2019</v>
      </c>
      <c r="F419" t="n">
        <v>2030</v>
      </c>
      <c r="G419" t="n">
        <v>9386.202600000001</v>
      </c>
      <c r="H419" t="n">
        <v>2360.709</v>
      </c>
      <c r="I419" t="n">
        <v>1459.5858</v>
      </c>
      <c r="J419" t="n">
        <v>5351.0363</v>
      </c>
      <c r="K419" t="n">
        <v>20111235.02</v>
      </c>
      <c r="L419" t="n">
        <v>65477013.16</v>
      </c>
      <c r="M419" t="n">
        <v>9386.202600000001</v>
      </c>
      <c r="N419" t="inlineStr">
        <is>
          <t>Provided Total Emissions</t>
        </is>
      </c>
      <c r="O419" t="b">
        <v>1</v>
      </c>
      <c r="P419" t="n">
        <v>0.006359</v>
      </c>
      <c r="Q419" t="n">
        <v>0.075193</v>
      </c>
      <c r="R419" t="n">
        <v>20251.0081</v>
      </c>
      <c r="S419" t="n">
        <v>42565.2967</v>
      </c>
      <c r="T419" t="n">
        <v>10864.8055</v>
      </c>
      <c r="U419" t="n">
        <v>33179.0941</v>
      </c>
      <c r="V419" t="n">
        <v>1.157529</v>
      </c>
      <c r="W419" t="n">
        <v>3.534879</v>
      </c>
      <c r="X419" t="inlineStr">
        <is>
          <t>High</t>
        </is>
      </c>
      <c r="Y419" t="inlineStr">
        <is>
          <t>None</t>
        </is>
      </c>
      <c r="Z419" t="inlineStr">
        <is>
          <t>Valid</t>
        </is>
      </c>
      <c r="AA419" t="n">
        <v>2026</v>
      </c>
      <c r="AB419" t="inlineStr">
        <is>
          <t>Supplier Target Pathway</t>
        </is>
      </c>
      <c r="AC419" t="n">
        <v>7783.0952</v>
      </c>
      <c r="AD419" t="n">
        <v>5651.3054</v>
      </c>
      <c r="AE419" t="n">
        <v>6426.5017</v>
      </c>
      <c r="AF419" t="n">
        <v>6426.5017</v>
      </c>
      <c r="AG419" t="n">
        <v>1356.5935</v>
      </c>
      <c r="AH419" t="n">
        <v>0.00031955</v>
      </c>
      <c r="AI419" t="n">
        <v>0.1743</v>
      </c>
      <c r="AJ419" t="n">
        <v>775.1963</v>
      </c>
      <c r="AK419" t="n">
        <v>193.7991</v>
      </c>
      <c r="AL419" t="n">
        <v>20861.0299</v>
      </c>
      <c r="AM419" t="n">
        <v>13046.8025</v>
      </c>
      <c r="AN419" t="n">
        <v>0.99</v>
      </c>
      <c r="AO419" t="inlineStr">
        <is>
          <t>Medium</t>
        </is>
      </c>
      <c r="AP419" t="inlineStr">
        <is>
          <t>On Track to Glide Path</t>
        </is>
      </c>
    </row>
    <row r="420">
      <c r="A420" t="inlineStr">
        <is>
          <t>SUP-0027</t>
        </is>
      </c>
      <c r="B420" t="inlineStr">
        <is>
          <t>Metals Supplier 027</t>
        </is>
      </c>
      <c r="C420" t="inlineStr">
        <is>
          <t>Metals</t>
        </is>
      </c>
      <c r="D420" t="n">
        <v>2024</v>
      </c>
      <c r="E420" t="n">
        <v>2019</v>
      </c>
      <c r="F420" t="n">
        <v>2030</v>
      </c>
      <c r="G420" t="n">
        <v>9386.202600000001</v>
      </c>
      <c r="H420" t="n">
        <v>2360.709</v>
      </c>
      <c r="I420" t="n">
        <v>1459.5858</v>
      </c>
      <c r="J420" t="n">
        <v>5351.0363</v>
      </c>
      <c r="K420" t="n">
        <v>20111235.02</v>
      </c>
      <c r="L420" t="n">
        <v>65477013.16</v>
      </c>
      <c r="M420" t="n">
        <v>9386.202600000001</v>
      </c>
      <c r="N420" t="inlineStr">
        <is>
          <t>Provided Total Emissions</t>
        </is>
      </c>
      <c r="O420" t="b">
        <v>1</v>
      </c>
      <c r="P420" t="n">
        <v>0.006359</v>
      </c>
      <c r="Q420" t="n">
        <v>0.075193</v>
      </c>
      <c r="R420" t="n">
        <v>20251.0081</v>
      </c>
      <c r="S420" t="n">
        <v>42565.2967</v>
      </c>
      <c r="T420" t="n">
        <v>10864.8055</v>
      </c>
      <c r="U420" t="n">
        <v>33179.0941</v>
      </c>
      <c r="V420" t="n">
        <v>1.157529</v>
      </c>
      <c r="W420" t="n">
        <v>3.534879</v>
      </c>
      <c r="X420" t="inlineStr">
        <is>
          <t>High</t>
        </is>
      </c>
      <c r="Y420" t="inlineStr">
        <is>
          <t>None</t>
        </is>
      </c>
      <c r="Z420" t="inlineStr">
        <is>
          <t>Valid</t>
        </is>
      </c>
      <c r="AA420" t="n">
        <v>2027</v>
      </c>
      <c r="AB420" t="inlineStr">
        <is>
          <t>Supplier Target Pathway</t>
        </is>
      </c>
      <c r="AC420" t="n">
        <v>7783.0952</v>
      </c>
      <c r="AD420" t="n">
        <v>5651.3054</v>
      </c>
      <c r="AE420" t="n">
        <v>6232.7026</v>
      </c>
      <c r="AF420" t="n">
        <v>6232.7026</v>
      </c>
      <c r="AG420" t="n">
        <v>1550.3926</v>
      </c>
      <c r="AH420" t="n">
        <v>0.00030991</v>
      </c>
      <c r="AI420" t="n">
        <v>0.1992</v>
      </c>
      <c r="AJ420" t="n">
        <v>581.3972</v>
      </c>
      <c r="AK420" t="n">
        <v>193.7991</v>
      </c>
      <c r="AL420" t="n">
        <v>14628.3273</v>
      </c>
      <c r="AM420" t="n">
        <v>19279.5051</v>
      </c>
      <c r="AN420" t="n">
        <v>0.99</v>
      </c>
      <c r="AO420" t="inlineStr">
        <is>
          <t>Medium</t>
        </is>
      </c>
      <c r="AP420" t="inlineStr">
        <is>
          <t>On Track to Glide Path</t>
        </is>
      </c>
    </row>
    <row r="421">
      <c r="A421" t="inlineStr">
        <is>
          <t>SUP-0027</t>
        </is>
      </c>
      <c r="B421" t="inlineStr">
        <is>
          <t>Metals Supplier 027</t>
        </is>
      </c>
      <c r="C421" t="inlineStr">
        <is>
          <t>Metals</t>
        </is>
      </c>
      <c r="D421" t="n">
        <v>2024</v>
      </c>
      <c r="E421" t="n">
        <v>2019</v>
      </c>
      <c r="F421" t="n">
        <v>2030</v>
      </c>
      <c r="G421" t="n">
        <v>9386.202600000001</v>
      </c>
      <c r="H421" t="n">
        <v>2360.709</v>
      </c>
      <c r="I421" t="n">
        <v>1459.5858</v>
      </c>
      <c r="J421" t="n">
        <v>5351.0363</v>
      </c>
      <c r="K421" t="n">
        <v>20111235.02</v>
      </c>
      <c r="L421" t="n">
        <v>65477013.16</v>
      </c>
      <c r="M421" t="n">
        <v>9386.202600000001</v>
      </c>
      <c r="N421" t="inlineStr">
        <is>
          <t>Provided Total Emissions</t>
        </is>
      </c>
      <c r="O421" t="b">
        <v>1</v>
      </c>
      <c r="P421" t="n">
        <v>0.006359</v>
      </c>
      <c r="Q421" t="n">
        <v>0.075193</v>
      </c>
      <c r="R421" t="n">
        <v>20251.0081</v>
      </c>
      <c r="S421" t="n">
        <v>42565.2967</v>
      </c>
      <c r="T421" t="n">
        <v>10864.8055</v>
      </c>
      <c r="U421" t="n">
        <v>33179.0941</v>
      </c>
      <c r="V421" t="n">
        <v>1.157529</v>
      </c>
      <c r="W421" t="n">
        <v>3.534879</v>
      </c>
      <c r="X421" t="inlineStr">
        <is>
          <t>High</t>
        </is>
      </c>
      <c r="Y421" t="inlineStr">
        <is>
          <t>None</t>
        </is>
      </c>
      <c r="Z421" t="inlineStr">
        <is>
          <t>Valid</t>
        </is>
      </c>
      <c r="AA421" t="n">
        <v>2028</v>
      </c>
      <c r="AB421" t="inlineStr">
        <is>
          <t>Supplier Target Pathway</t>
        </is>
      </c>
      <c r="AC421" t="n">
        <v>7783.0952</v>
      </c>
      <c r="AD421" t="n">
        <v>5651.3054</v>
      </c>
      <c r="AE421" t="n">
        <v>6038.9036</v>
      </c>
      <c r="AF421" t="n">
        <v>6038.9036</v>
      </c>
      <c r="AG421" t="n">
        <v>1744.1916</v>
      </c>
      <c r="AH421" t="n">
        <v>0.00030028</v>
      </c>
      <c r="AI421" t="n">
        <v>0.2241</v>
      </c>
      <c r="AJ421" t="n">
        <v>387.5981</v>
      </c>
      <c r="AK421" t="n">
        <v>193.7991</v>
      </c>
      <c r="AL421" t="n">
        <v>8589.423699999999</v>
      </c>
      <c r="AM421" t="n">
        <v>25318.4087</v>
      </c>
      <c r="AN421" t="n">
        <v>0.99</v>
      </c>
      <c r="AO421" t="inlineStr">
        <is>
          <t>Medium</t>
        </is>
      </c>
      <c r="AP421" t="inlineStr">
        <is>
          <t>On Track to Glide Path</t>
        </is>
      </c>
    </row>
    <row r="422">
      <c r="A422" t="inlineStr">
        <is>
          <t>SUP-0027</t>
        </is>
      </c>
      <c r="B422" t="inlineStr">
        <is>
          <t>Metals Supplier 027</t>
        </is>
      </c>
      <c r="C422" t="inlineStr">
        <is>
          <t>Metals</t>
        </is>
      </c>
      <c r="D422" t="n">
        <v>2024</v>
      </c>
      <c r="E422" t="n">
        <v>2019</v>
      </c>
      <c r="F422" t="n">
        <v>2030</v>
      </c>
      <c r="G422" t="n">
        <v>9386.202600000001</v>
      </c>
      <c r="H422" t="n">
        <v>2360.709</v>
      </c>
      <c r="I422" t="n">
        <v>1459.5858</v>
      </c>
      <c r="J422" t="n">
        <v>5351.0363</v>
      </c>
      <c r="K422" t="n">
        <v>20111235.02</v>
      </c>
      <c r="L422" t="n">
        <v>65477013.16</v>
      </c>
      <c r="M422" t="n">
        <v>9386.202600000001</v>
      </c>
      <c r="N422" t="inlineStr">
        <is>
          <t>Provided Total Emissions</t>
        </is>
      </c>
      <c r="O422" t="b">
        <v>1</v>
      </c>
      <c r="P422" t="n">
        <v>0.006359</v>
      </c>
      <c r="Q422" t="n">
        <v>0.075193</v>
      </c>
      <c r="R422" t="n">
        <v>20251.0081</v>
      </c>
      <c r="S422" t="n">
        <v>42565.2967</v>
      </c>
      <c r="T422" t="n">
        <v>10864.8055</v>
      </c>
      <c r="U422" t="n">
        <v>33179.0941</v>
      </c>
      <c r="V422" t="n">
        <v>1.157529</v>
      </c>
      <c r="W422" t="n">
        <v>3.534879</v>
      </c>
      <c r="X422" t="inlineStr">
        <is>
          <t>High</t>
        </is>
      </c>
      <c r="Y422" t="inlineStr">
        <is>
          <t>None</t>
        </is>
      </c>
      <c r="Z422" t="inlineStr">
        <is>
          <t>Valid</t>
        </is>
      </c>
      <c r="AA422" t="n">
        <v>2029</v>
      </c>
      <c r="AB422" t="inlineStr">
        <is>
          <t>Supplier Target Pathway</t>
        </is>
      </c>
      <c r="AC422" t="n">
        <v>7783.0952</v>
      </c>
      <c r="AD422" t="n">
        <v>5651.3054</v>
      </c>
      <c r="AE422" t="n">
        <v>5845.1045</v>
      </c>
      <c r="AF422" t="n">
        <v>5845.1045</v>
      </c>
      <c r="AG422" t="n">
        <v>1937.9907</v>
      </c>
      <c r="AH422" t="n">
        <v>0.00029064</v>
      </c>
      <c r="AI422" t="n">
        <v>0.249</v>
      </c>
      <c r="AJ422" t="n">
        <v>193.7991</v>
      </c>
      <c r="AK422" t="n">
        <v>193.7991</v>
      </c>
      <c r="AL422" t="n">
        <v>2744.3192</v>
      </c>
      <c r="AM422" t="n">
        <v>31163.5132</v>
      </c>
      <c r="AN422" t="n">
        <v>0.99</v>
      </c>
      <c r="AO422" t="inlineStr">
        <is>
          <t>Medium</t>
        </is>
      </c>
      <c r="AP422" t="inlineStr">
        <is>
          <t>On Track to Glide Path</t>
        </is>
      </c>
    </row>
    <row r="423">
      <c r="A423" t="inlineStr">
        <is>
          <t>SUP-0027</t>
        </is>
      </c>
      <c r="B423" t="inlineStr">
        <is>
          <t>Metals Supplier 027</t>
        </is>
      </c>
      <c r="C423" t="inlineStr">
        <is>
          <t>Metals</t>
        </is>
      </c>
      <c r="D423" t="n">
        <v>2024</v>
      </c>
      <c r="E423" t="n">
        <v>2019</v>
      </c>
      <c r="F423" t="n">
        <v>2030</v>
      </c>
      <c r="G423" t="n">
        <v>9386.202600000001</v>
      </c>
      <c r="H423" t="n">
        <v>2360.709</v>
      </c>
      <c r="I423" t="n">
        <v>1459.5858</v>
      </c>
      <c r="J423" t="n">
        <v>5351.0363</v>
      </c>
      <c r="K423" t="n">
        <v>20111235.02</v>
      </c>
      <c r="L423" t="n">
        <v>65477013.16</v>
      </c>
      <c r="M423" t="n">
        <v>9386.202600000001</v>
      </c>
      <c r="N423" t="inlineStr">
        <is>
          <t>Provided Total Emissions</t>
        </is>
      </c>
      <c r="O423" t="b">
        <v>1</v>
      </c>
      <c r="P423" t="n">
        <v>0.006359</v>
      </c>
      <c r="Q423" t="n">
        <v>0.075193</v>
      </c>
      <c r="R423" t="n">
        <v>20251.0081</v>
      </c>
      <c r="S423" t="n">
        <v>42565.2967</v>
      </c>
      <c r="T423" t="n">
        <v>10864.8055</v>
      </c>
      <c r="U423" t="n">
        <v>33179.0941</v>
      </c>
      <c r="V423" t="n">
        <v>1.157529</v>
      </c>
      <c r="W423" t="n">
        <v>3.534879</v>
      </c>
      <c r="X423" t="inlineStr">
        <is>
          <t>High</t>
        </is>
      </c>
      <c r="Y423" t="inlineStr">
        <is>
          <t>None</t>
        </is>
      </c>
      <c r="Z423" t="inlineStr">
        <is>
          <t>Valid</t>
        </is>
      </c>
      <c r="AA423" t="n">
        <v>2030</v>
      </c>
      <c r="AB423" t="inlineStr">
        <is>
          <t>Supplier Target Pathway</t>
        </is>
      </c>
      <c r="AC423" t="n">
        <v>7783.0952</v>
      </c>
      <c r="AD423" t="n">
        <v>5651.3054</v>
      </c>
      <c r="AE423" t="n">
        <v>5651.3054</v>
      </c>
      <c r="AF423" t="n">
        <v>5651.3054</v>
      </c>
      <c r="AG423" t="n">
        <v>2131.7898</v>
      </c>
      <c r="AH423" t="n">
        <v>0.000281</v>
      </c>
      <c r="AI423" t="n">
        <v>0.2739</v>
      </c>
      <c r="AJ423" t="n">
        <v>0</v>
      </c>
      <c r="AK423" t="n">
        <v>193.7991</v>
      </c>
      <c r="AL423" t="n">
        <v>-2906.9862</v>
      </c>
      <c r="AM423" t="n">
        <v>36814.8186</v>
      </c>
      <c r="AN423" t="n">
        <v>0.99</v>
      </c>
      <c r="AO423" t="inlineStr">
        <is>
          <t>Low</t>
        </is>
      </c>
      <c r="AP423" t="inlineStr">
        <is>
          <t>On Track</t>
        </is>
      </c>
    </row>
    <row r="424">
      <c r="A424" t="inlineStr">
        <is>
          <t>SUP-0027</t>
        </is>
      </c>
      <c r="B424" t="inlineStr">
        <is>
          <t>Metals Supplier 027</t>
        </is>
      </c>
      <c r="C424" t="inlineStr">
        <is>
          <t>Metals</t>
        </is>
      </c>
      <c r="D424" t="n">
        <v>2024</v>
      </c>
      <c r="E424" t="n">
        <v>2019</v>
      </c>
      <c r="F424" t="n">
        <v>2030</v>
      </c>
      <c r="G424" t="n">
        <v>9386.202600000001</v>
      </c>
      <c r="H424" t="n">
        <v>2360.709</v>
      </c>
      <c r="I424" t="n">
        <v>1459.5858</v>
      </c>
      <c r="J424" t="n">
        <v>5351.0363</v>
      </c>
      <c r="K424" t="n">
        <v>20111235.02</v>
      </c>
      <c r="L424" t="n">
        <v>65477013.16</v>
      </c>
      <c r="M424" t="n">
        <v>9386.202600000001</v>
      </c>
      <c r="N424" t="inlineStr">
        <is>
          <t>Provided Total Emissions</t>
        </is>
      </c>
      <c r="O424" t="b">
        <v>1</v>
      </c>
      <c r="P424" t="n">
        <v>0.006359</v>
      </c>
      <c r="Q424" t="n">
        <v>0.075193</v>
      </c>
      <c r="R424" t="n">
        <v>20251.0081</v>
      </c>
      <c r="S424" t="n">
        <v>42565.2967</v>
      </c>
      <c r="T424" t="n">
        <v>10864.8055</v>
      </c>
      <c r="U424" t="n">
        <v>33179.0941</v>
      </c>
      <c r="V424" t="n">
        <v>1.157529</v>
      </c>
      <c r="W424" t="n">
        <v>3.534879</v>
      </c>
      <c r="X424" t="inlineStr">
        <is>
          <t>High</t>
        </is>
      </c>
      <c r="Y424" t="inlineStr">
        <is>
          <t>None</t>
        </is>
      </c>
      <c r="Z424" t="inlineStr">
        <is>
          <t>Valid</t>
        </is>
      </c>
      <c r="AA424" t="n">
        <v>2031</v>
      </c>
      <c r="AB424" t="inlineStr">
        <is>
          <t>Supplier Target Pathway</t>
        </is>
      </c>
      <c r="AC424" t="n">
        <v>7783.0952</v>
      </c>
      <c r="AD424" t="n">
        <v>5651.3054</v>
      </c>
      <c r="AE424" t="n">
        <v>5651.3054</v>
      </c>
      <c r="AF424" t="n">
        <v>5651.3054</v>
      </c>
      <c r="AG424" t="n">
        <v>2131.7898</v>
      </c>
      <c r="AH424" t="n">
        <v>0.000281</v>
      </c>
      <c r="AI424" t="n">
        <v>0.2739</v>
      </c>
      <c r="AJ424" t="n">
        <v>0</v>
      </c>
      <c r="AK424" t="n">
        <v>193.7991</v>
      </c>
      <c r="AL424" t="n">
        <v>-8558.2916</v>
      </c>
      <c r="AM424" t="n">
        <v>42466.124</v>
      </c>
      <c r="AN424" t="n">
        <v>0.99</v>
      </c>
      <c r="AO424" t="inlineStr">
        <is>
          <t>Low</t>
        </is>
      </c>
      <c r="AP424" t="inlineStr">
        <is>
          <t>On Track</t>
        </is>
      </c>
    </row>
    <row r="425">
      <c r="A425" t="inlineStr">
        <is>
          <t>SUP-0027</t>
        </is>
      </c>
      <c r="B425" t="inlineStr">
        <is>
          <t>Metals Supplier 027</t>
        </is>
      </c>
      <c r="C425" t="inlineStr">
        <is>
          <t>Metals</t>
        </is>
      </c>
      <c r="D425" t="n">
        <v>2024</v>
      </c>
      <c r="E425" t="n">
        <v>2019</v>
      </c>
      <c r="F425" t="n">
        <v>2030</v>
      </c>
      <c r="G425" t="n">
        <v>9386.202600000001</v>
      </c>
      <c r="H425" t="n">
        <v>2360.709</v>
      </c>
      <c r="I425" t="n">
        <v>1459.5858</v>
      </c>
      <c r="J425" t="n">
        <v>5351.0363</v>
      </c>
      <c r="K425" t="n">
        <v>20111235.02</v>
      </c>
      <c r="L425" t="n">
        <v>65477013.16</v>
      </c>
      <c r="M425" t="n">
        <v>9386.202600000001</v>
      </c>
      <c r="N425" t="inlineStr">
        <is>
          <t>Provided Total Emissions</t>
        </is>
      </c>
      <c r="O425" t="b">
        <v>1</v>
      </c>
      <c r="P425" t="n">
        <v>0.006359</v>
      </c>
      <c r="Q425" t="n">
        <v>0.075193</v>
      </c>
      <c r="R425" t="n">
        <v>20251.0081</v>
      </c>
      <c r="S425" t="n">
        <v>42565.2967</v>
      </c>
      <c r="T425" t="n">
        <v>10864.8055</v>
      </c>
      <c r="U425" t="n">
        <v>33179.0941</v>
      </c>
      <c r="V425" t="n">
        <v>1.157529</v>
      </c>
      <c r="W425" t="n">
        <v>3.534879</v>
      </c>
      <c r="X425" t="inlineStr">
        <is>
          <t>High</t>
        </is>
      </c>
      <c r="Y425" t="inlineStr">
        <is>
          <t>None</t>
        </is>
      </c>
      <c r="Z425" t="inlineStr">
        <is>
          <t>Valid</t>
        </is>
      </c>
      <c r="AA425" t="n">
        <v>2032</v>
      </c>
      <c r="AB425" t="inlineStr">
        <is>
          <t>Supplier Target Pathway</t>
        </is>
      </c>
      <c r="AC425" t="n">
        <v>7783.0952</v>
      </c>
      <c r="AD425" t="n">
        <v>5651.3054</v>
      </c>
      <c r="AE425" t="n">
        <v>5651.3054</v>
      </c>
      <c r="AF425" t="n">
        <v>5651.3054</v>
      </c>
      <c r="AG425" t="n">
        <v>2131.7898</v>
      </c>
      <c r="AH425" t="n">
        <v>0.000281</v>
      </c>
      <c r="AI425" t="n">
        <v>0.2739</v>
      </c>
      <c r="AJ425" t="n">
        <v>0</v>
      </c>
      <c r="AK425" t="n">
        <v>193.7991</v>
      </c>
      <c r="AL425" t="n">
        <v>-14209.597</v>
      </c>
      <c r="AM425" t="n">
        <v>48117.4294</v>
      </c>
      <c r="AN425" t="n">
        <v>0.99</v>
      </c>
      <c r="AO425" t="inlineStr">
        <is>
          <t>Low</t>
        </is>
      </c>
      <c r="AP425" t="inlineStr">
        <is>
          <t>On Track</t>
        </is>
      </c>
    </row>
    <row r="426">
      <c r="A426" t="inlineStr">
        <is>
          <t>SUP-0027</t>
        </is>
      </c>
      <c r="B426" t="inlineStr">
        <is>
          <t>Metals Supplier 027</t>
        </is>
      </c>
      <c r="C426" t="inlineStr">
        <is>
          <t>Metals</t>
        </is>
      </c>
      <c r="D426" t="n">
        <v>2024</v>
      </c>
      <c r="E426" t="n">
        <v>2019</v>
      </c>
      <c r="F426" t="n">
        <v>2030</v>
      </c>
      <c r="G426" t="n">
        <v>9386.202600000001</v>
      </c>
      <c r="H426" t="n">
        <v>2360.709</v>
      </c>
      <c r="I426" t="n">
        <v>1459.5858</v>
      </c>
      <c r="J426" t="n">
        <v>5351.0363</v>
      </c>
      <c r="K426" t="n">
        <v>20111235.02</v>
      </c>
      <c r="L426" t="n">
        <v>65477013.16</v>
      </c>
      <c r="M426" t="n">
        <v>9386.202600000001</v>
      </c>
      <c r="N426" t="inlineStr">
        <is>
          <t>Provided Total Emissions</t>
        </is>
      </c>
      <c r="O426" t="b">
        <v>1</v>
      </c>
      <c r="P426" t="n">
        <v>0.006359</v>
      </c>
      <c r="Q426" t="n">
        <v>0.075193</v>
      </c>
      <c r="R426" t="n">
        <v>20251.0081</v>
      </c>
      <c r="S426" t="n">
        <v>42565.2967</v>
      </c>
      <c r="T426" t="n">
        <v>10864.8055</v>
      </c>
      <c r="U426" t="n">
        <v>33179.0941</v>
      </c>
      <c r="V426" t="n">
        <v>1.157529</v>
      </c>
      <c r="W426" t="n">
        <v>3.534879</v>
      </c>
      <c r="X426" t="inlineStr">
        <is>
          <t>High</t>
        </is>
      </c>
      <c r="Y426" t="inlineStr">
        <is>
          <t>None</t>
        </is>
      </c>
      <c r="Z426" t="inlineStr">
        <is>
          <t>Valid</t>
        </is>
      </c>
      <c r="AA426" t="n">
        <v>2033</v>
      </c>
      <c r="AB426" t="inlineStr">
        <is>
          <t>Supplier Target Pathway</t>
        </is>
      </c>
      <c r="AC426" t="n">
        <v>7783.0952</v>
      </c>
      <c r="AD426" t="n">
        <v>5651.3054</v>
      </c>
      <c r="AE426" t="n">
        <v>5651.3054</v>
      </c>
      <c r="AF426" t="n">
        <v>5651.3054</v>
      </c>
      <c r="AG426" t="n">
        <v>2131.7898</v>
      </c>
      <c r="AH426" t="n">
        <v>0.000281</v>
      </c>
      <c r="AI426" t="n">
        <v>0.2739</v>
      </c>
      <c r="AJ426" t="n">
        <v>0</v>
      </c>
      <c r="AK426" t="n">
        <v>193.7991</v>
      </c>
      <c r="AL426" t="n">
        <v>-19860.9024</v>
      </c>
      <c r="AM426" t="n">
        <v>53768.7348</v>
      </c>
      <c r="AN426" t="n">
        <v>0.99</v>
      </c>
      <c r="AO426" t="inlineStr">
        <is>
          <t>Low</t>
        </is>
      </c>
      <c r="AP426" t="inlineStr">
        <is>
          <t>On Track</t>
        </is>
      </c>
    </row>
    <row r="427">
      <c r="A427" t="inlineStr">
        <is>
          <t>SUP-0027</t>
        </is>
      </c>
      <c r="B427" t="inlineStr">
        <is>
          <t>Metals Supplier 027</t>
        </is>
      </c>
      <c r="C427" t="inlineStr">
        <is>
          <t>Metals</t>
        </is>
      </c>
      <c r="D427" t="n">
        <v>2024</v>
      </c>
      <c r="E427" t="n">
        <v>2019</v>
      </c>
      <c r="F427" t="n">
        <v>2030</v>
      </c>
      <c r="G427" t="n">
        <v>9386.202600000001</v>
      </c>
      <c r="H427" t="n">
        <v>2360.709</v>
      </c>
      <c r="I427" t="n">
        <v>1459.5858</v>
      </c>
      <c r="J427" t="n">
        <v>5351.0363</v>
      </c>
      <c r="K427" t="n">
        <v>20111235.02</v>
      </c>
      <c r="L427" t="n">
        <v>65477013.16</v>
      </c>
      <c r="M427" t="n">
        <v>9386.202600000001</v>
      </c>
      <c r="N427" t="inlineStr">
        <is>
          <t>Provided Total Emissions</t>
        </is>
      </c>
      <c r="O427" t="b">
        <v>1</v>
      </c>
      <c r="P427" t="n">
        <v>0.006359</v>
      </c>
      <c r="Q427" t="n">
        <v>0.075193</v>
      </c>
      <c r="R427" t="n">
        <v>20251.0081</v>
      </c>
      <c r="S427" t="n">
        <v>42565.2967</v>
      </c>
      <c r="T427" t="n">
        <v>10864.8055</v>
      </c>
      <c r="U427" t="n">
        <v>33179.0941</v>
      </c>
      <c r="V427" t="n">
        <v>1.157529</v>
      </c>
      <c r="W427" t="n">
        <v>3.534879</v>
      </c>
      <c r="X427" t="inlineStr">
        <is>
          <t>High</t>
        </is>
      </c>
      <c r="Y427" t="inlineStr">
        <is>
          <t>None</t>
        </is>
      </c>
      <c r="Z427" t="inlineStr">
        <is>
          <t>Valid</t>
        </is>
      </c>
      <c r="AA427" t="n">
        <v>2034</v>
      </c>
      <c r="AB427" t="inlineStr">
        <is>
          <t>Supplier Target Pathway</t>
        </is>
      </c>
      <c r="AC427" t="n">
        <v>7783.0952</v>
      </c>
      <c r="AD427" t="n">
        <v>5651.3054</v>
      </c>
      <c r="AE427" t="n">
        <v>5651.3054</v>
      </c>
      <c r="AF427" t="n">
        <v>5651.3054</v>
      </c>
      <c r="AG427" t="n">
        <v>2131.7898</v>
      </c>
      <c r="AH427" t="n">
        <v>0.000281</v>
      </c>
      <c r="AI427" t="n">
        <v>0.2739</v>
      </c>
      <c r="AJ427" t="n">
        <v>0</v>
      </c>
      <c r="AK427" t="n">
        <v>193.7991</v>
      </c>
      <c r="AL427" t="n">
        <v>-25512.2078</v>
      </c>
      <c r="AM427" t="n">
        <v>59420.0402</v>
      </c>
      <c r="AN427" t="n">
        <v>0.99</v>
      </c>
      <c r="AO427" t="inlineStr">
        <is>
          <t>Low</t>
        </is>
      </c>
      <c r="AP427" t="inlineStr">
        <is>
          <t>On Track</t>
        </is>
      </c>
    </row>
    <row r="428">
      <c r="A428" t="inlineStr">
        <is>
          <t>SUP-0027</t>
        </is>
      </c>
      <c r="B428" t="inlineStr">
        <is>
          <t>Metals Supplier 027</t>
        </is>
      </c>
      <c r="C428" t="inlineStr">
        <is>
          <t>Metals</t>
        </is>
      </c>
      <c r="D428" t="n">
        <v>2024</v>
      </c>
      <c r="E428" t="n">
        <v>2019</v>
      </c>
      <c r="F428" t="n">
        <v>2030</v>
      </c>
      <c r="G428" t="n">
        <v>9386.202600000001</v>
      </c>
      <c r="H428" t="n">
        <v>2360.709</v>
      </c>
      <c r="I428" t="n">
        <v>1459.5858</v>
      </c>
      <c r="J428" t="n">
        <v>5351.0363</v>
      </c>
      <c r="K428" t="n">
        <v>20111235.02</v>
      </c>
      <c r="L428" t="n">
        <v>65477013.16</v>
      </c>
      <c r="M428" t="n">
        <v>9386.202600000001</v>
      </c>
      <c r="N428" t="inlineStr">
        <is>
          <t>Provided Total Emissions</t>
        </is>
      </c>
      <c r="O428" t="b">
        <v>1</v>
      </c>
      <c r="P428" t="n">
        <v>0.006359</v>
      </c>
      <c r="Q428" t="n">
        <v>0.075193</v>
      </c>
      <c r="R428" t="n">
        <v>20251.0081</v>
      </c>
      <c r="S428" t="n">
        <v>42565.2967</v>
      </c>
      <c r="T428" t="n">
        <v>10864.8055</v>
      </c>
      <c r="U428" t="n">
        <v>33179.0941</v>
      </c>
      <c r="V428" t="n">
        <v>1.157529</v>
      </c>
      <c r="W428" t="n">
        <v>3.534879</v>
      </c>
      <c r="X428" t="inlineStr">
        <is>
          <t>High</t>
        </is>
      </c>
      <c r="Y428" t="inlineStr">
        <is>
          <t>None</t>
        </is>
      </c>
      <c r="Z428" t="inlineStr">
        <is>
          <t>Valid</t>
        </is>
      </c>
      <c r="AA428" t="n">
        <v>2035</v>
      </c>
      <c r="AB428" t="inlineStr">
        <is>
          <t>Supplier Target Pathway</t>
        </is>
      </c>
      <c r="AC428" t="n">
        <v>7783.0952</v>
      </c>
      <c r="AD428" t="n">
        <v>5651.3054</v>
      </c>
      <c r="AE428" t="n">
        <v>5651.3054</v>
      </c>
      <c r="AF428" t="n">
        <v>5651.3054</v>
      </c>
      <c r="AG428" t="n">
        <v>2131.7898</v>
      </c>
      <c r="AH428" t="n">
        <v>0.000281</v>
      </c>
      <c r="AI428" t="n">
        <v>0.2739</v>
      </c>
      <c r="AJ428" t="n">
        <v>0</v>
      </c>
      <c r="AK428" t="n">
        <v>193.7991</v>
      </c>
      <c r="AL428" t="n">
        <v>-31163.5132</v>
      </c>
      <c r="AM428" t="n">
        <v>65071.3456</v>
      </c>
      <c r="AN428" t="n">
        <v>0.99</v>
      </c>
      <c r="AO428" t="inlineStr">
        <is>
          <t>Low</t>
        </is>
      </c>
      <c r="AP428" t="inlineStr">
        <is>
          <t>On Track</t>
        </is>
      </c>
    </row>
    <row r="429">
      <c r="A429" t="inlineStr">
        <is>
          <t>SUP-0027</t>
        </is>
      </c>
      <c r="B429" t="inlineStr">
        <is>
          <t>Metals Supplier 027</t>
        </is>
      </c>
      <c r="C429" t="inlineStr">
        <is>
          <t>Metals</t>
        </is>
      </c>
      <c r="D429" t="n">
        <v>2024</v>
      </c>
      <c r="E429" t="n">
        <v>2019</v>
      </c>
      <c r="F429" t="n">
        <v>2030</v>
      </c>
      <c r="G429" t="n">
        <v>9386.202600000001</v>
      </c>
      <c r="H429" t="n">
        <v>2360.709</v>
      </c>
      <c r="I429" t="n">
        <v>1459.5858</v>
      </c>
      <c r="J429" t="n">
        <v>5351.0363</v>
      </c>
      <c r="K429" t="n">
        <v>20111235.02</v>
      </c>
      <c r="L429" t="n">
        <v>65477013.16</v>
      </c>
      <c r="M429" t="n">
        <v>9386.202600000001</v>
      </c>
      <c r="N429" t="inlineStr">
        <is>
          <t>Provided Total Emissions</t>
        </is>
      </c>
      <c r="O429" t="b">
        <v>1</v>
      </c>
      <c r="P429" t="n">
        <v>0.006359</v>
      </c>
      <c r="Q429" t="n">
        <v>0.075193</v>
      </c>
      <c r="R429" t="n">
        <v>20251.0081</v>
      </c>
      <c r="S429" t="n">
        <v>42565.2967</v>
      </c>
      <c r="T429" t="n">
        <v>10864.8055</v>
      </c>
      <c r="U429" t="n">
        <v>33179.0941</v>
      </c>
      <c r="V429" t="n">
        <v>1.157529</v>
      </c>
      <c r="W429" t="n">
        <v>3.534879</v>
      </c>
      <c r="X429" t="inlineStr">
        <is>
          <t>High</t>
        </is>
      </c>
      <c r="Y429" t="inlineStr">
        <is>
          <t>None</t>
        </is>
      </c>
      <c r="Z429" t="inlineStr">
        <is>
          <t>Valid</t>
        </is>
      </c>
      <c r="AA429" t="n">
        <v>2036</v>
      </c>
      <c r="AB429" t="inlineStr">
        <is>
          <t>Supplier Target Pathway</t>
        </is>
      </c>
      <c r="AC429" t="n">
        <v>7783.0952</v>
      </c>
      <c r="AD429" t="n">
        <v>5651.3054</v>
      </c>
      <c r="AE429" t="n">
        <v>5651.3054</v>
      </c>
      <c r="AF429" t="n">
        <v>5651.3054</v>
      </c>
      <c r="AG429" t="n">
        <v>2131.7898</v>
      </c>
      <c r="AH429" t="n">
        <v>0.000281</v>
      </c>
      <c r="AI429" t="n">
        <v>0.2739</v>
      </c>
      <c r="AJ429" t="n">
        <v>0</v>
      </c>
      <c r="AK429" t="n">
        <v>193.7991</v>
      </c>
      <c r="AL429" t="n">
        <v>-36814.8186</v>
      </c>
      <c r="AM429" t="n">
        <v>70722.651</v>
      </c>
      <c r="AN429" t="n">
        <v>0.99</v>
      </c>
      <c r="AO429" t="inlineStr">
        <is>
          <t>Low</t>
        </is>
      </c>
      <c r="AP429" t="inlineStr">
        <is>
          <t>On Track</t>
        </is>
      </c>
    </row>
    <row r="430">
      <c r="A430" t="inlineStr">
        <is>
          <t>SUP-0027</t>
        </is>
      </c>
      <c r="B430" t="inlineStr">
        <is>
          <t>Metals Supplier 027</t>
        </is>
      </c>
      <c r="C430" t="inlineStr">
        <is>
          <t>Metals</t>
        </is>
      </c>
      <c r="D430" t="n">
        <v>2024</v>
      </c>
      <c r="E430" t="n">
        <v>2019</v>
      </c>
      <c r="F430" t="n">
        <v>2030</v>
      </c>
      <c r="G430" t="n">
        <v>9386.202600000001</v>
      </c>
      <c r="H430" t="n">
        <v>2360.709</v>
      </c>
      <c r="I430" t="n">
        <v>1459.5858</v>
      </c>
      <c r="J430" t="n">
        <v>5351.0363</v>
      </c>
      <c r="K430" t="n">
        <v>20111235.02</v>
      </c>
      <c r="L430" t="n">
        <v>65477013.16</v>
      </c>
      <c r="M430" t="n">
        <v>9386.202600000001</v>
      </c>
      <c r="N430" t="inlineStr">
        <is>
          <t>Provided Total Emissions</t>
        </is>
      </c>
      <c r="O430" t="b">
        <v>1</v>
      </c>
      <c r="P430" t="n">
        <v>0.006359</v>
      </c>
      <c r="Q430" t="n">
        <v>0.075193</v>
      </c>
      <c r="R430" t="n">
        <v>20251.0081</v>
      </c>
      <c r="S430" t="n">
        <v>42565.2967</v>
      </c>
      <c r="T430" t="n">
        <v>10864.8055</v>
      </c>
      <c r="U430" t="n">
        <v>33179.0941</v>
      </c>
      <c r="V430" t="n">
        <v>1.157529</v>
      </c>
      <c r="W430" t="n">
        <v>3.534879</v>
      </c>
      <c r="X430" t="inlineStr">
        <is>
          <t>High</t>
        </is>
      </c>
      <c r="Y430" t="inlineStr">
        <is>
          <t>None</t>
        </is>
      </c>
      <c r="Z430" t="inlineStr">
        <is>
          <t>Valid</t>
        </is>
      </c>
      <c r="AA430" t="n">
        <v>2037</v>
      </c>
      <c r="AB430" t="inlineStr">
        <is>
          <t>Supplier Target Pathway</t>
        </is>
      </c>
      <c r="AC430" t="n">
        <v>7783.0952</v>
      </c>
      <c r="AD430" t="n">
        <v>5651.3054</v>
      </c>
      <c r="AE430" t="n">
        <v>5651.3054</v>
      </c>
      <c r="AF430" t="n">
        <v>5651.3054</v>
      </c>
      <c r="AG430" t="n">
        <v>2131.7898</v>
      </c>
      <c r="AH430" t="n">
        <v>0.000281</v>
      </c>
      <c r="AI430" t="n">
        <v>0.2739</v>
      </c>
      <c r="AJ430" t="n">
        <v>0</v>
      </c>
      <c r="AK430" t="n">
        <v>193.7991</v>
      </c>
      <c r="AL430" t="n">
        <v>-42466.124</v>
      </c>
      <c r="AM430" t="n">
        <v>76373.9564</v>
      </c>
      <c r="AN430" t="n">
        <v>0.99</v>
      </c>
      <c r="AO430" t="inlineStr">
        <is>
          <t>Low</t>
        </is>
      </c>
      <c r="AP430" t="inlineStr">
        <is>
          <t>On Track</t>
        </is>
      </c>
    </row>
    <row r="431">
      <c r="A431" t="inlineStr">
        <is>
          <t>SUP-0027</t>
        </is>
      </c>
      <c r="B431" t="inlineStr">
        <is>
          <t>Metals Supplier 027</t>
        </is>
      </c>
      <c r="C431" t="inlineStr">
        <is>
          <t>Metals</t>
        </is>
      </c>
      <c r="D431" t="n">
        <v>2024</v>
      </c>
      <c r="E431" t="n">
        <v>2019</v>
      </c>
      <c r="F431" t="n">
        <v>2030</v>
      </c>
      <c r="G431" t="n">
        <v>9386.202600000001</v>
      </c>
      <c r="H431" t="n">
        <v>2360.709</v>
      </c>
      <c r="I431" t="n">
        <v>1459.5858</v>
      </c>
      <c r="J431" t="n">
        <v>5351.0363</v>
      </c>
      <c r="K431" t="n">
        <v>20111235.02</v>
      </c>
      <c r="L431" t="n">
        <v>65477013.16</v>
      </c>
      <c r="M431" t="n">
        <v>9386.202600000001</v>
      </c>
      <c r="N431" t="inlineStr">
        <is>
          <t>Provided Total Emissions</t>
        </is>
      </c>
      <c r="O431" t="b">
        <v>1</v>
      </c>
      <c r="P431" t="n">
        <v>0.006359</v>
      </c>
      <c r="Q431" t="n">
        <v>0.075193</v>
      </c>
      <c r="R431" t="n">
        <v>20251.0081</v>
      </c>
      <c r="S431" t="n">
        <v>42565.2967</v>
      </c>
      <c r="T431" t="n">
        <v>10864.8055</v>
      </c>
      <c r="U431" t="n">
        <v>33179.0941</v>
      </c>
      <c r="V431" t="n">
        <v>1.157529</v>
      </c>
      <c r="W431" t="n">
        <v>3.534879</v>
      </c>
      <c r="X431" t="inlineStr">
        <is>
          <t>High</t>
        </is>
      </c>
      <c r="Y431" t="inlineStr">
        <is>
          <t>None</t>
        </is>
      </c>
      <c r="Z431" t="inlineStr">
        <is>
          <t>Valid</t>
        </is>
      </c>
      <c r="AA431" t="n">
        <v>2038</v>
      </c>
      <c r="AB431" t="inlineStr">
        <is>
          <t>Supplier Target Pathway</t>
        </is>
      </c>
      <c r="AC431" t="n">
        <v>7783.0952</v>
      </c>
      <c r="AD431" t="n">
        <v>5651.3054</v>
      </c>
      <c r="AE431" t="n">
        <v>5651.3054</v>
      </c>
      <c r="AF431" t="n">
        <v>5651.3054</v>
      </c>
      <c r="AG431" t="n">
        <v>2131.7898</v>
      </c>
      <c r="AH431" t="n">
        <v>0.000281</v>
      </c>
      <c r="AI431" t="n">
        <v>0.2739</v>
      </c>
      <c r="AJ431" t="n">
        <v>0</v>
      </c>
      <c r="AK431" t="n">
        <v>193.7991</v>
      </c>
      <c r="AL431" t="n">
        <v>-48117.4294</v>
      </c>
      <c r="AM431" t="n">
        <v>82025.26179999999</v>
      </c>
      <c r="AN431" t="n">
        <v>0.99</v>
      </c>
      <c r="AO431" t="inlineStr">
        <is>
          <t>Low</t>
        </is>
      </c>
      <c r="AP431" t="inlineStr">
        <is>
          <t>On Track</t>
        </is>
      </c>
    </row>
    <row r="432">
      <c r="A432" t="inlineStr">
        <is>
          <t>SUP-0027</t>
        </is>
      </c>
      <c r="B432" t="inlineStr">
        <is>
          <t>Metals Supplier 027</t>
        </is>
      </c>
      <c r="C432" t="inlineStr">
        <is>
          <t>Metals</t>
        </is>
      </c>
      <c r="D432" t="n">
        <v>2024</v>
      </c>
      <c r="E432" t="n">
        <v>2019</v>
      </c>
      <c r="F432" t="n">
        <v>2030</v>
      </c>
      <c r="G432" t="n">
        <v>9386.202600000001</v>
      </c>
      <c r="H432" t="n">
        <v>2360.709</v>
      </c>
      <c r="I432" t="n">
        <v>1459.5858</v>
      </c>
      <c r="J432" t="n">
        <v>5351.0363</v>
      </c>
      <c r="K432" t="n">
        <v>20111235.02</v>
      </c>
      <c r="L432" t="n">
        <v>65477013.16</v>
      </c>
      <c r="M432" t="n">
        <v>9386.202600000001</v>
      </c>
      <c r="N432" t="inlineStr">
        <is>
          <t>Provided Total Emissions</t>
        </is>
      </c>
      <c r="O432" t="b">
        <v>1</v>
      </c>
      <c r="P432" t="n">
        <v>0.006359</v>
      </c>
      <c r="Q432" t="n">
        <v>0.075193</v>
      </c>
      <c r="R432" t="n">
        <v>20251.0081</v>
      </c>
      <c r="S432" t="n">
        <v>42565.2967</v>
      </c>
      <c r="T432" t="n">
        <v>10864.8055</v>
      </c>
      <c r="U432" t="n">
        <v>33179.0941</v>
      </c>
      <c r="V432" t="n">
        <v>1.157529</v>
      </c>
      <c r="W432" t="n">
        <v>3.534879</v>
      </c>
      <c r="X432" t="inlineStr">
        <is>
          <t>High</t>
        </is>
      </c>
      <c r="Y432" t="inlineStr">
        <is>
          <t>None</t>
        </is>
      </c>
      <c r="Z432" t="inlineStr">
        <is>
          <t>Valid</t>
        </is>
      </c>
      <c r="AA432" t="n">
        <v>2039</v>
      </c>
      <c r="AB432" t="inlineStr">
        <is>
          <t>Supplier Target Pathway</t>
        </is>
      </c>
      <c r="AC432" t="n">
        <v>7783.0952</v>
      </c>
      <c r="AD432" t="n">
        <v>5651.3054</v>
      </c>
      <c r="AE432" t="n">
        <v>5651.3054</v>
      </c>
      <c r="AF432" t="n">
        <v>5651.3054</v>
      </c>
      <c r="AG432" t="n">
        <v>2131.7898</v>
      </c>
      <c r="AH432" t="n">
        <v>0.000281</v>
      </c>
      <c r="AI432" t="n">
        <v>0.2739</v>
      </c>
      <c r="AJ432" t="n">
        <v>0</v>
      </c>
      <c r="AK432" t="n">
        <v>193.7991</v>
      </c>
      <c r="AL432" t="n">
        <v>-53768.7348</v>
      </c>
      <c r="AM432" t="n">
        <v>87676.5672</v>
      </c>
      <c r="AN432" t="n">
        <v>0.99</v>
      </c>
      <c r="AO432" t="inlineStr">
        <is>
          <t>Low</t>
        </is>
      </c>
      <c r="AP432" t="inlineStr">
        <is>
          <t>On Track</t>
        </is>
      </c>
    </row>
    <row r="433">
      <c r="A433" t="inlineStr">
        <is>
          <t>SUP-0027</t>
        </is>
      </c>
      <c r="B433" t="inlineStr">
        <is>
          <t>Metals Supplier 027</t>
        </is>
      </c>
      <c r="C433" t="inlineStr">
        <is>
          <t>Metals</t>
        </is>
      </c>
      <c r="D433" t="n">
        <v>2024</v>
      </c>
      <c r="E433" t="n">
        <v>2019</v>
      </c>
      <c r="F433" t="n">
        <v>2030</v>
      </c>
      <c r="G433" t="n">
        <v>9386.202600000001</v>
      </c>
      <c r="H433" t="n">
        <v>2360.709</v>
      </c>
      <c r="I433" t="n">
        <v>1459.5858</v>
      </c>
      <c r="J433" t="n">
        <v>5351.0363</v>
      </c>
      <c r="K433" t="n">
        <v>20111235.02</v>
      </c>
      <c r="L433" t="n">
        <v>65477013.16</v>
      </c>
      <c r="M433" t="n">
        <v>9386.202600000001</v>
      </c>
      <c r="N433" t="inlineStr">
        <is>
          <t>Provided Total Emissions</t>
        </is>
      </c>
      <c r="O433" t="b">
        <v>1</v>
      </c>
      <c r="P433" t="n">
        <v>0.006359</v>
      </c>
      <c r="Q433" t="n">
        <v>0.075193</v>
      </c>
      <c r="R433" t="n">
        <v>20251.0081</v>
      </c>
      <c r="S433" t="n">
        <v>42565.2967</v>
      </c>
      <c r="T433" t="n">
        <v>10864.8055</v>
      </c>
      <c r="U433" t="n">
        <v>33179.0941</v>
      </c>
      <c r="V433" t="n">
        <v>1.157529</v>
      </c>
      <c r="W433" t="n">
        <v>3.534879</v>
      </c>
      <c r="X433" t="inlineStr">
        <is>
          <t>High</t>
        </is>
      </c>
      <c r="Y433" t="inlineStr">
        <is>
          <t>None</t>
        </is>
      </c>
      <c r="Z433" t="inlineStr">
        <is>
          <t>Valid</t>
        </is>
      </c>
      <c r="AA433" t="n">
        <v>2040</v>
      </c>
      <c r="AB433" t="inlineStr">
        <is>
          <t>Supplier Target Pathway</t>
        </is>
      </c>
      <c r="AC433" t="n">
        <v>7783.0952</v>
      </c>
      <c r="AD433" t="n">
        <v>5651.3054</v>
      </c>
      <c r="AE433" t="n">
        <v>5651.3054</v>
      </c>
      <c r="AF433" t="n">
        <v>5651.3054</v>
      </c>
      <c r="AG433" t="n">
        <v>2131.7898</v>
      </c>
      <c r="AH433" t="n">
        <v>0.000281</v>
      </c>
      <c r="AI433" t="n">
        <v>0.2739</v>
      </c>
      <c r="AJ433" t="n">
        <v>0</v>
      </c>
      <c r="AK433" t="n">
        <v>193.7991</v>
      </c>
      <c r="AL433" t="n">
        <v>-59420.0402</v>
      </c>
      <c r="AM433" t="n">
        <v>93327.8726</v>
      </c>
      <c r="AN433" t="n">
        <v>0.99</v>
      </c>
      <c r="AO433" t="inlineStr">
        <is>
          <t>Low</t>
        </is>
      </c>
      <c r="AP433" t="inlineStr">
        <is>
          <t>On Track</t>
        </is>
      </c>
    </row>
    <row r="434">
      <c r="A434" t="inlineStr">
        <is>
          <t>SUP-0028</t>
        </is>
      </c>
      <c r="B434" t="inlineStr">
        <is>
          <t>Professional Supplier 028</t>
        </is>
      </c>
      <c r="C434" t="inlineStr">
        <is>
          <t>Professional Services</t>
        </is>
      </c>
      <c r="D434" t="n">
        <v>2024</v>
      </c>
      <c r="E434" t="n">
        <v>2020</v>
      </c>
      <c r="F434" t="n">
        <v>2035</v>
      </c>
      <c r="G434" t="n">
        <v>1850.0365</v>
      </c>
      <c r="H434" t="n">
        <v>318.9023</v>
      </c>
      <c r="I434" t="n">
        <v>201.854</v>
      </c>
      <c r="J434" t="n">
        <v>1411.4951</v>
      </c>
      <c r="K434" t="n">
        <v>13198001.69</v>
      </c>
      <c r="L434" t="n">
        <v>90459784.41</v>
      </c>
      <c r="M434" t="n">
        <v>1850.0365</v>
      </c>
      <c r="N434" t="inlineStr">
        <is>
          <t>Provided Total Emissions</t>
        </is>
      </c>
      <c r="O434" t="b">
        <v>1</v>
      </c>
      <c r="P434" t="n">
        <v>0.009327</v>
      </c>
      <c r="Q434" t="n">
        <v>0.023221</v>
      </c>
      <c r="R434" t="n">
        <v>1703.3341</v>
      </c>
      <c r="S434" t="n">
        <v>17782.5844</v>
      </c>
      <c r="T434" t="n">
        <v>-146.7024</v>
      </c>
      <c r="U434" t="n">
        <v>15932.5479</v>
      </c>
      <c r="V434" t="n">
        <v>-0.07929700000000001</v>
      </c>
      <c r="W434" t="n">
        <v>8.612018000000001</v>
      </c>
      <c r="X434" t="inlineStr">
        <is>
          <t>High</t>
        </is>
      </c>
      <c r="Y434" t="inlineStr">
        <is>
          <t>None</t>
        </is>
      </c>
      <c r="Z434" t="inlineStr">
        <is>
          <t>Valid</t>
        </is>
      </c>
      <c r="AA434" t="n">
        <v>2025</v>
      </c>
      <c r="AB434" t="inlineStr">
        <is>
          <t>Supplier Target Pathway</t>
        </is>
      </c>
      <c r="AC434" t="n">
        <v>1428.3473</v>
      </c>
      <c r="AD434" t="n">
        <v>621.6167</v>
      </c>
      <c r="AE434" t="n">
        <v>1159.4371</v>
      </c>
      <c r="AF434" t="n">
        <v>1159.4371</v>
      </c>
      <c r="AG434" t="n">
        <v>268.9102</v>
      </c>
      <c r="AH434" t="n">
        <v>8.784999999999999e-05</v>
      </c>
      <c r="AI434" t="n">
        <v>0.188267</v>
      </c>
      <c r="AJ434" t="n">
        <v>537.8203999999999</v>
      </c>
      <c r="AK434" t="n">
        <v>53.782</v>
      </c>
      <c r="AL434" t="n">
        <v>5678.3466</v>
      </c>
      <c r="AM434" t="n">
        <v>1159.4371</v>
      </c>
      <c r="AN434" t="n">
        <v>0.99</v>
      </c>
      <c r="AO434" t="inlineStr">
        <is>
          <t>Critical</t>
        </is>
      </c>
      <c r="AP434" t="inlineStr">
        <is>
          <t>On Track to Glide Path</t>
        </is>
      </c>
    </row>
    <row r="435">
      <c r="A435" t="inlineStr">
        <is>
          <t>SUP-0028</t>
        </is>
      </c>
      <c r="B435" t="inlineStr">
        <is>
          <t>Professional Supplier 028</t>
        </is>
      </c>
      <c r="C435" t="inlineStr">
        <is>
          <t>Professional Services</t>
        </is>
      </c>
      <c r="D435" t="n">
        <v>2024</v>
      </c>
      <c r="E435" t="n">
        <v>2020</v>
      </c>
      <c r="F435" t="n">
        <v>2035</v>
      </c>
      <c r="G435" t="n">
        <v>1850.0365</v>
      </c>
      <c r="H435" t="n">
        <v>318.9023</v>
      </c>
      <c r="I435" t="n">
        <v>201.854</v>
      </c>
      <c r="J435" t="n">
        <v>1411.4951</v>
      </c>
      <c r="K435" t="n">
        <v>13198001.69</v>
      </c>
      <c r="L435" t="n">
        <v>90459784.41</v>
      </c>
      <c r="M435" t="n">
        <v>1850.0365</v>
      </c>
      <c r="N435" t="inlineStr">
        <is>
          <t>Provided Total Emissions</t>
        </is>
      </c>
      <c r="O435" t="b">
        <v>1</v>
      </c>
      <c r="P435" t="n">
        <v>0.009327</v>
      </c>
      <c r="Q435" t="n">
        <v>0.023221</v>
      </c>
      <c r="R435" t="n">
        <v>1703.3341</v>
      </c>
      <c r="S435" t="n">
        <v>17782.5844</v>
      </c>
      <c r="T435" t="n">
        <v>-146.7024</v>
      </c>
      <c r="U435" t="n">
        <v>15932.5479</v>
      </c>
      <c r="V435" t="n">
        <v>-0.07929700000000001</v>
      </c>
      <c r="W435" t="n">
        <v>8.612018000000001</v>
      </c>
      <c r="X435" t="inlineStr">
        <is>
          <t>High</t>
        </is>
      </c>
      <c r="Y435" t="inlineStr">
        <is>
          <t>None</t>
        </is>
      </c>
      <c r="Z435" t="inlineStr">
        <is>
          <t>Valid</t>
        </is>
      </c>
      <c r="AA435" t="n">
        <v>2026</v>
      </c>
      <c r="AB435" t="inlineStr">
        <is>
          <t>Supplier Target Pathway</t>
        </is>
      </c>
      <c r="AC435" t="n">
        <v>1428.3473</v>
      </c>
      <c r="AD435" t="n">
        <v>621.6167</v>
      </c>
      <c r="AE435" t="n">
        <v>1105.6551</v>
      </c>
      <c r="AF435" t="n">
        <v>1105.6551</v>
      </c>
      <c r="AG435" t="n">
        <v>322.6922</v>
      </c>
      <c r="AH435" t="n">
        <v>8.377000000000001e-05</v>
      </c>
      <c r="AI435" t="n">
        <v>0.22592</v>
      </c>
      <c r="AJ435" t="n">
        <v>484.0383</v>
      </c>
      <c r="AK435" t="n">
        <v>53.782</v>
      </c>
      <c r="AL435" t="n">
        <v>4572.6915</v>
      </c>
      <c r="AM435" t="n">
        <v>2265.0922</v>
      </c>
      <c r="AN435" t="n">
        <v>0.99</v>
      </c>
      <c r="AO435" t="inlineStr">
        <is>
          <t>Critical</t>
        </is>
      </c>
      <c r="AP435" t="inlineStr">
        <is>
          <t>On Track to Glide Path</t>
        </is>
      </c>
    </row>
    <row r="436">
      <c r="A436" t="inlineStr">
        <is>
          <t>SUP-0028</t>
        </is>
      </c>
      <c r="B436" t="inlineStr">
        <is>
          <t>Professional Supplier 028</t>
        </is>
      </c>
      <c r="C436" t="inlineStr">
        <is>
          <t>Professional Services</t>
        </is>
      </c>
      <c r="D436" t="n">
        <v>2024</v>
      </c>
      <c r="E436" t="n">
        <v>2020</v>
      </c>
      <c r="F436" t="n">
        <v>2035</v>
      </c>
      <c r="G436" t="n">
        <v>1850.0365</v>
      </c>
      <c r="H436" t="n">
        <v>318.9023</v>
      </c>
      <c r="I436" t="n">
        <v>201.854</v>
      </c>
      <c r="J436" t="n">
        <v>1411.4951</v>
      </c>
      <c r="K436" t="n">
        <v>13198001.69</v>
      </c>
      <c r="L436" t="n">
        <v>90459784.41</v>
      </c>
      <c r="M436" t="n">
        <v>1850.0365</v>
      </c>
      <c r="N436" t="inlineStr">
        <is>
          <t>Provided Total Emissions</t>
        </is>
      </c>
      <c r="O436" t="b">
        <v>1</v>
      </c>
      <c r="P436" t="n">
        <v>0.009327</v>
      </c>
      <c r="Q436" t="n">
        <v>0.023221</v>
      </c>
      <c r="R436" t="n">
        <v>1703.3341</v>
      </c>
      <c r="S436" t="n">
        <v>17782.5844</v>
      </c>
      <c r="T436" t="n">
        <v>-146.7024</v>
      </c>
      <c r="U436" t="n">
        <v>15932.5479</v>
      </c>
      <c r="V436" t="n">
        <v>-0.07929700000000001</v>
      </c>
      <c r="W436" t="n">
        <v>8.612018000000001</v>
      </c>
      <c r="X436" t="inlineStr">
        <is>
          <t>High</t>
        </is>
      </c>
      <c r="Y436" t="inlineStr">
        <is>
          <t>None</t>
        </is>
      </c>
      <c r="Z436" t="inlineStr">
        <is>
          <t>Valid</t>
        </is>
      </c>
      <c r="AA436" t="n">
        <v>2027</v>
      </c>
      <c r="AB436" t="inlineStr">
        <is>
          <t>Supplier Target Pathway</t>
        </is>
      </c>
      <c r="AC436" t="n">
        <v>1428.3473</v>
      </c>
      <c r="AD436" t="n">
        <v>621.6167</v>
      </c>
      <c r="AE436" t="n">
        <v>1051.873</v>
      </c>
      <c r="AF436" t="n">
        <v>1051.873</v>
      </c>
      <c r="AG436" t="n">
        <v>376.4743</v>
      </c>
      <c r="AH436" t="n">
        <v>7.97e-05</v>
      </c>
      <c r="AI436" t="n">
        <v>0.263573</v>
      </c>
      <c r="AJ436" t="n">
        <v>430.2563</v>
      </c>
      <c r="AK436" t="n">
        <v>53.782</v>
      </c>
      <c r="AL436" t="n">
        <v>3520.8185</v>
      </c>
      <c r="AM436" t="n">
        <v>3316.9652</v>
      </c>
      <c r="AN436" t="n">
        <v>0.99</v>
      </c>
      <c r="AO436" t="inlineStr">
        <is>
          <t>Critical</t>
        </is>
      </c>
      <c r="AP436" t="inlineStr">
        <is>
          <t>On Track to Glide Path</t>
        </is>
      </c>
    </row>
    <row r="437">
      <c r="A437" t="inlineStr">
        <is>
          <t>SUP-0028</t>
        </is>
      </c>
      <c r="B437" t="inlineStr">
        <is>
          <t>Professional Supplier 028</t>
        </is>
      </c>
      <c r="C437" t="inlineStr">
        <is>
          <t>Professional Services</t>
        </is>
      </c>
      <c r="D437" t="n">
        <v>2024</v>
      </c>
      <c r="E437" t="n">
        <v>2020</v>
      </c>
      <c r="F437" t="n">
        <v>2035</v>
      </c>
      <c r="G437" t="n">
        <v>1850.0365</v>
      </c>
      <c r="H437" t="n">
        <v>318.9023</v>
      </c>
      <c r="I437" t="n">
        <v>201.854</v>
      </c>
      <c r="J437" t="n">
        <v>1411.4951</v>
      </c>
      <c r="K437" t="n">
        <v>13198001.69</v>
      </c>
      <c r="L437" t="n">
        <v>90459784.41</v>
      </c>
      <c r="M437" t="n">
        <v>1850.0365</v>
      </c>
      <c r="N437" t="inlineStr">
        <is>
          <t>Provided Total Emissions</t>
        </is>
      </c>
      <c r="O437" t="b">
        <v>1</v>
      </c>
      <c r="P437" t="n">
        <v>0.009327</v>
      </c>
      <c r="Q437" t="n">
        <v>0.023221</v>
      </c>
      <c r="R437" t="n">
        <v>1703.3341</v>
      </c>
      <c r="S437" t="n">
        <v>17782.5844</v>
      </c>
      <c r="T437" t="n">
        <v>-146.7024</v>
      </c>
      <c r="U437" t="n">
        <v>15932.5479</v>
      </c>
      <c r="V437" t="n">
        <v>-0.07929700000000001</v>
      </c>
      <c r="W437" t="n">
        <v>8.612018000000001</v>
      </c>
      <c r="X437" t="inlineStr">
        <is>
          <t>High</t>
        </is>
      </c>
      <c r="Y437" t="inlineStr">
        <is>
          <t>None</t>
        </is>
      </c>
      <c r="Z437" t="inlineStr">
        <is>
          <t>Valid</t>
        </is>
      </c>
      <c r="AA437" t="n">
        <v>2028</v>
      </c>
      <c r="AB437" t="inlineStr">
        <is>
          <t>Supplier Target Pathway</t>
        </is>
      </c>
      <c r="AC437" t="n">
        <v>1428.3473</v>
      </c>
      <c r="AD437" t="n">
        <v>621.6167</v>
      </c>
      <c r="AE437" t="n">
        <v>998.091</v>
      </c>
      <c r="AF437" t="n">
        <v>998.091</v>
      </c>
      <c r="AG437" t="n">
        <v>430.2563</v>
      </c>
      <c r="AH437" t="n">
        <v>7.562e-05</v>
      </c>
      <c r="AI437" t="n">
        <v>0.301227</v>
      </c>
      <c r="AJ437" t="n">
        <v>376.4743</v>
      </c>
      <c r="AK437" t="n">
        <v>53.782</v>
      </c>
      <c r="AL437" t="n">
        <v>2522.7275</v>
      </c>
      <c r="AM437" t="n">
        <v>4315.0562</v>
      </c>
      <c r="AN437" t="n">
        <v>0.99</v>
      </c>
      <c r="AO437" t="inlineStr">
        <is>
          <t>Critical</t>
        </is>
      </c>
      <c r="AP437" t="inlineStr">
        <is>
          <t>On Track to Glide Path</t>
        </is>
      </c>
    </row>
    <row r="438">
      <c r="A438" t="inlineStr">
        <is>
          <t>SUP-0028</t>
        </is>
      </c>
      <c r="B438" t="inlineStr">
        <is>
          <t>Professional Supplier 028</t>
        </is>
      </c>
      <c r="C438" t="inlineStr">
        <is>
          <t>Professional Services</t>
        </is>
      </c>
      <c r="D438" t="n">
        <v>2024</v>
      </c>
      <c r="E438" t="n">
        <v>2020</v>
      </c>
      <c r="F438" t="n">
        <v>2035</v>
      </c>
      <c r="G438" t="n">
        <v>1850.0365</v>
      </c>
      <c r="H438" t="n">
        <v>318.9023</v>
      </c>
      <c r="I438" t="n">
        <v>201.854</v>
      </c>
      <c r="J438" t="n">
        <v>1411.4951</v>
      </c>
      <c r="K438" t="n">
        <v>13198001.69</v>
      </c>
      <c r="L438" t="n">
        <v>90459784.41</v>
      </c>
      <c r="M438" t="n">
        <v>1850.0365</v>
      </c>
      <c r="N438" t="inlineStr">
        <is>
          <t>Provided Total Emissions</t>
        </is>
      </c>
      <c r="O438" t="b">
        <v>1</v>
      </c>
      <c r="P438" t="n">
        <v>0.009327</v>
      </c>
      <c r="Q438" t="n">
        <v>0.023221</v>
      </c>
      <c r="R438" t="n">
        <v>1703.3341</v>
      </c>
      <c r="S438" t="n">
        <v>17782.5844</v>
      </c>
      <c r="T438" t="n">
        <v>-146.7024</v>
      </c>
      <c r="U438" t="n">
        <v>15932.5479</v>
      </c>
      <c r="V438" t="n">
        <v>-0.07929700000000001</v>
      </c>
      <c r="W438" t="n">
        <v>8.612018000000001</v>
      </c>
      <c r="X438" t="inlineStr">
        <is>
          <t>High</t>
        </is>
      </c>
      <c r="Y438" t="inlineStr">
        <is>
          <t>None</t>
        </is>
      </c>
      <c r="Z438" t="inlineStr">
        <is>
          <t>Valid</t>
        </is>
      </c>
      <c r="AA438" t="n">
        <v>2029</v>
      </c>
      <c r="AB438" t="inlineStr">
        <is>
          <t>Supplier Target Pathway</t>
        </is>
      </c>
      <c r="AC438" t="n">
        <v>1428.3473</v>
      </c>
      <c r="AD438" t="n">
        <v>621.6167</v>
      </c>
      <c r="AE438" t="n">
        <v>944.309</v>
      </c>
      <c r="AF438" t="n">
        <v>944.309</v>
      </c>
      <c r="AG438" t="n">
        <v>484.0383</v>
      </c>
      <c r="AH438" t="n">
        <v>7.155e-05</v>
      </c>
      <c r="AI438" t="n">
        <v>0.33888</v>
      </c>
      <c r="AJ438" t="n">
        <v>322.6922</v>
      </c>
      <c r="AK438" t="n">
        <v>53.782</v>
      </c>
      <c r="AL438" t="n">
        <v>1578.4185</v>
      </c>
      <c r="AM438" t="n">
        <v>5259.3652</v>
      </c>
      <c r="AN438" t="n">
        <v>0.99</v>
      </c>
      <c r="AO438" t="inlineStr">
        <is>
          <t>Critical</t>
        </is>
      </c>
      <c r="AP438" t="inlineStr">
        <is>
          <t>On Track to Glide Path</t>
        </is>
      </c>
    </row>
    <row r="439">
      <c r="A439" t="inlineStr">
        <is>
          <t>SUP-0028</t>
        </is>
      </c>
      <c r="B439" t="inlineStr">
        <is>
          <t>Professional Supplier 028</t>
        </is>
      </c>
      <c r="C439" t="inlineStr">
        <is>
          <t>Professional Services</t>
        </is>
      </c>
      <c r="D439" t="n">
        <v>2024</v>
      </c>
      <c r="E439" t="n">
        <v>2020</v>
      </c>
      <c r="F439" t="n">
        <v>2035</v>
      </c>
      <c r="G439" t="n">
        <v>1850.0365</v>
      </c>
      <c r="H439" t="n">
        <v>318.9023</v>
      </c>
      <c r="I439" t="n">
        <v>201.854</v>
      </c>
      <c r="J439" t="n">
        <v>1411.4951</v>
      </c>
      <c r="K439" t="n">
        <v>13198001.69</v>
      </c>
      <c r="L439" t="n">
        <v>90459784.41</v>
      </c>
      <c r="M439" t="n">
        <v>1850.0365</v>
      </c>
      <c r="N439" t="inlineStr">
        <is>
          <t>Provided Total Emissions</t>
        </is>
      </c>
      <c r="O439" t="b">
        <v>1</v>
      </c>
      <c r="P439" t="n">
        <v>0.009327</v>
      </c>
      <c r="Q439" t="n">
        <v>0.023221</v>
      </c>
      <c r="R439" t="n">
        <v>1703.3341</v>
      </c>
      <c r="S439" t="n">
        <v>17782.5844</v>
      </c>
      <c r="T439" t="n">
        <v>-146.7024</v>
      </c>
      <c r="U439" t="n">
        <v>15932.5479</v>
      </c>
      <c r="V439" t="n">
        <v>-0.07929700000000001</v>
      </c>
      <c r="W439" t="n">
        <v>8.612018000000001</v>
      </c>
      <c r="X439" t="inlineStr">
        <is>
          <t>High</t>
        </is>
      </c>
      <c r="Y439" t="inlineStr">
        <is>
          <t>None</t>
        </is>
      </c>
      <c r="Z439" t="inlineStr">
        <is>
          <t>Valid</t>
        </is>
      </c>
      <c r="AA439" t="n">
        <v>2030</v>
      </c>
      <c r="AB439" t="inlineStr">
        <is>
          <t>Supplier Target Pathway</t>
        </is>
      </c>
      <c r="AC439" t="n">
        <v>1428.3473</v>
      </c>
      <c r="AD439" t="n">
        <v>621.6167</v>
      </c>
      <c r="AE439" t="n">
        <v>890.5269</v>
      </c>
      <c r="AF439" t="n">
        <v>890.5269</v>
      </c>
      <c r="AG439" t="n">
        <v>537.8203999999999</v>
      </c>
      <c r="AH439" t="n">
        <v>6.747e-05</v>
      </c>
      <c r="AI439" t="n">
        <v>0.376533</v>
      </c>
      <c r="AJ439" t="n">
        <v>268.9102</v>
      </c>
      <c r="AK439" t="n">
        <v>53.782</v>
      </c>
      <c r="AL439" t="n">
        <v>687.8916</v>
      </c>
      <c r="AM439" t="n">
        <v>6149.8921</v>
      </c>
      <c r="AN439" t="n">
        <v>0.99</v>
      </c>
      <c r="AO439" t="inlineStr">
        <is>
          <t>Critical</t>
        </is>
      </c>
      <c r="AP439" t="inlineStr">
        <is>
          <t>On Track to Glide Path</t>
        </is>
      </c>
    </row>
    <row r="440">
      <c r="A440" t="inlineStr">
        <is>
          <t>SUP-0028</t>
        </is>
      </c>
      <c r="B440" t="inlineStr">
        <is>
          <t>Professional Supplier 028</t>
        </is>
      </c>
      <c r="C440" t="inlineStr">
        <is>
          <t>Professional Services</t>
        </is>
      </c>
      <c r="D440" t="n">
        <v>2024</v>
      </c>
      <c r="E440" t="n">
        <v>2020</v>
      </c>
      <c r="F440" t="n">
        <v>2035</v>
      </c>
      <c r="G440" t="n">
        <v>1850.0365</v>
      </c>
      <c r="H440" t="n">
        <v>318.9023</v>
      </c>
      <c r="I440" t="n">
        <v>201.854</v>
      </c>
      <c r="J440" t="n">
        <v>1411.4951</v>
      </c>
      <c r="K440" t="n">
        <v>13198001.69</v>
      </c>
      <c r="L440" t="n">
        <v>90459784.41</v>
      </c>
      <c r="M440" t="n">
        <v>1850.0365</v>
      </c>
      <c r="N440" t="inlineStr">
        <is>
          <t>Provided Total Emissions</t>
        </is>
      </c>
      <c r="O440" t="b">
        <v>1</v>
      </c>
      <c r="P440" t="n">
        <v>0.009327</v>
      </c>
      <c r="Q440" t="n">
        <v>0.023221</v>
      </c>
      <c r="R440" t="n">
        <v>1703.3341</v>
      </c>
      <c r="S440" t="n">
        <v>17782.5844</v>
      </c>
      <c r="T440" t="n">
        <v>-146.7024</v>
      </c>
      <c r="U440" t="n">
        <v>15932.5479</v>
      </c>
      <c r="V440" t="n">
        <v>-0.07929700000000001</v>
      </c>
      <c r="W440" t="n">
        <v>8.612018000000001</v>
      </c>
      <c r="X440" t="inlineStr">
        <is>
          <t>High</t>
        </is>
      </c>
      <c r="Y440" t="inlineStr">
        <is>
          <t>None</t>
        </is>
      </c>
      <c r="Z440" t="inlineStr">
        <is>
          <t>Valid</t>
        </is>
      </c>
      <c r="AA440" t="n">
        <v>2031</v>
      </c>
      <c r="AB440" t="inlineStr">
        <is>
          <t>Supplier Target Pathway</t>
        </is>
      </c>
      <c r="AC440" t="n">
        <v>1428.3473</v>
      </c>
      <c r="AD440" t="n">
        <v>621.6167</v>
      </c>
      <c r="AE440" t="n">
        <v>836.7449</v>
      </c>
      <c r="AF440" t="n">
        <v>836.7449</v>
      </c>
      <c r="AG440" t="n">
        <v>591.6024</v>
      </c>
      <c r="AH440" t="n">
        <v>6.34e-05</v>
      </c>
      <c r="AI440" t="n">
        <v>0.414187</v>
      </c>
      <c r="AJ440" t="n">
        <v>215.1281</v>
      </c>
      <c r="AK440" t="n">
        <v>53.782</v>
      </c>
      <c r="AL440" t="n">
        <v>-148.8533</v>
      </c>
      <c r="AM440" t="n">
        <v>6986.637</v>
      </c>
      <c r="AN440" t="n">
        <v>0.99</v>
      </c>
      <c r="AO440" t="inlineStr">
        <is>
          <t>High</t>
        </is>
      </c>
      <c r="AP440" t="inlineStr">
        <is>
          <t>On Track to Glide Path</t>
        </is>
      </c>
    </row>
    <row r="441">
      <c r="A441" t="inlineStr">
        <is>
          <t>SUP-0028</t>
        </is>
      </c>
      <c r="B441" t="inlineStr">
        <is>
          <t>Professional Supplier 028</t>
        </is>
      </c>
      <c r="C441" t="inlineStr">
        <is>
          <t>Professional Services</t>
        </is>
      </c>
      <c r="D441" t="n">
        <v>2024</v>
      </c>
      <c r="E441" t="n">
        <v>2020</v>
      </c>
      <c r="F441" t="n">
        <v>2035</v>
      </c>
      <c r="G441" t="n">
        <v>1850.0365</v>
      </c>
      <c r="H441" t="n">
        <v>318.9023</v>
      </c>
      <c r="I441" t="n">
        <v>201.854</v>
      </c>
      <c r="J441" t="n">
        <v>1411.4951</v>
      </c>
      <c r="K441" t="n">
        <v>13198001.69</v>
      </c>
      <c r="L441" t="n">
        <v>90459784.41</v>
      </c>
      <c r="M441" t="n">
        <v>1850.0365</v>
      </c>
      <c r="N441" t="inlineStr">
        <is>
          <t>Provided Total Emissions</t>
        </is>
      </c>
      <c r="O441" t="b">
        <v>1</v>
      </c>
      <c r="P441" t="n">
        <v>0.009327</v>
      </c>
      <c r="Q441" t="n">
        <v>0.023221</v>
      </c>
      <c r="R441" t="n">
        <v>1703.3341</v>
      </c>
      <c r="S441" t="n">
        <v>17782.5844</v>
      </c>
      <c r="T441" t="n">
        <v>-146.7024</v>
      </c>
      <c r="U441" t="n">
        <v>15932.5479</v>
      </c>
      <c r="V441" t="n">
        <v>-0.07929700000000001</v>
      </c>
      <c r="W441" t="n">
        <v>8.612018000000001</v>
      </c>
      <c r="X441" t="inlineStr">
        <is>
          <t>High</t>
        </is>
      </c>
      <c r="Y441" t="inlineStr">
        <is>
          <t>None</t>
        </is>
      </c>
      <c r="Z441" t="inlineStr">
        <is>
          <t>Valid</t>
        </is>
      </c>
      <c r="AA441" t="n">
        <v>2032</v>
      </c>
      <c r="AB441" t="inlineStr">
        <is>
          <t>Supplier Target Pathway</t>
        </is>
      </c>
      <c r="AC441" t="n">
        <v>1428.3473</v>
      </c>
      <c r="AD441" t="n">
        <v>621.6167</v>
      </c>
      <c r="AE441" t="n">
        <v>782.9629</v>
      </c>
      <c r="AF441" t="n">
        <v>782.9629</v>
      </c>
      <c r="AG441" t="n">
        <v>645.3844</v>
      </c>
      <c r="AH441" t="n">
        <v>5.932e-05</v>
      </c>
      <c r="AI441" t="n">
        <v>0.45184</v>
      </c>
      <c r="AJ441" t="n">
        <v>161.3461</v>
      </c>
      <c r="AK441" t="n">
        <v>53.782</v>
      </c>
      <c r="AL441" t="n">
        <v>-931.8162</v>
      </c>
      <c r="AM441" t="n">
        <v>7769.5999</v>
      </c>
      <c r="AN441" t="n">
        <v>0.99</v>
      </c>
      <c r="AO441" t="inlineStr">
        <is>
          <t>High</t>
        </is>
      </c>
      <c r="AP441" t="inlineStr">
        <is>
          <t>On Track to Glide Path</t>
        </is>
      </c>
    </row>
    <row r="442">
      <c r="A442" t="inlineStr">
        <is>
          <t>SUP-0028</t>
        </is>
      </c>
      <c r="B442" t="inlineStr">
        <is>
          <t>Professional Supplier 028</t>
        </is>
      </c>
      <c r="C442" t="inlineStr">
        <is>
          <t>Professional Services</t>
        </is>
      </c>
      <c r="D442" t="n">
        <v>2024</v>
      </c>
      <c r="E442" t="n">
        <v>2020</v>
      </c>
      <c r="F442" t="n">
        <v>2035</v>
      </c>
      <c r="G442" t="n">
        <v>1850.0365</v>
      </c>
      <c r="H442" t="n">
        <v>318.9023</v>
      </c>
      <c r="I442" t="n">
        <v>201.854</v>
      </c>
      <c r="J442" t="n">
        <v>1411.4951</v>
      </c>
      <c r="K442" t="n">
        <v>13198001.69</v>
      </c>
      <c r="L442" t="n">
        <v>90459784.41</v>
      </c>
      <c r="M442" t="n">
        <v>1850.0365</v>
      </c>
      <c r="N442" t="inlineStr">
        <is>
          <t>Provided Total Emissions</t>
        </is>
      </c>
      <c r="O442" t="b">
        <v>1</v>
      </c>
      <c r="P442" t="n">
        <v>0.009327</v>
      </c>
      <c r="Q442" t="n">
        <v>0.023221</v>
      </c>
      <c r="R442" t="n">
        <v>1703.3341</v>
      </c>
      <c r="S442" t="n">
        <v>17782.5844</v>
      </c>
      <c r="T442" t="n">
        <v>-146.7024</v>
      </c>
      <c r="U442" t="n">
        <v>15932.5479</v>
      </c>
      <c r="V442" t="n">
        <v>-0.07929700000000001</v>
      </c>
      <c r="W442" t="n">
        <v>8.612018000000001</v>
      </c>
      <c r="X442" t="inlineStr">
        <is>
          <t>High</t>
        </is>
      </c>
      <c r="Y442" t="inlineStr">
        <is>
          <t>None</t>
        </is>
      </c>
      <c r="Z442" t="inlineStr">
        <is>
          <t>Valid</t>
        </is>
      </c>
      <c r="AA442" t="n">
        <v>2033</v>
      </c>
      <c r="AB442" t="inlineStr">
        <is>
          <t>Supplier Target Pathway</t>
        </is>
      </c>
      <c r="AC442" t="n">
        <v>1428.3473</v>
      </c>
      <c r="AD442" t="n">
        <v>621.6167</v>
      </c>
      <c r="AE442" t="n">
        <v>729.1808</v>
      </c>
      <c r="AF442" t="n">
        <v>729.1808</v>
      </c>
      <c r="AG442" t="n">
        <v>699.1665</v>
      </c>
      <c r="AH442" t="n">
        <v>5.525e-05</v>
      </c>
      <c r="AI442" t="n">
        <v>0.489493</v>
      </c>
      <c r="AJ442" t="n">
        <v>107.5641</v>
      </c>
      <c r="AK442" t="n">
        <v>53.782</v>
      </c>
      <c r="AL442" t="n">
        <v>-1660.997</v>
      </c>
      <c r="AM442" t="n">
        <v>8498.780699999999</v>
      </c>
      <c r="AN442" t="n">
        <v>0.99</v>
      </c>
      <c r="AO442" t="inlineStr">
        <is>
          <t>High</t>
        </is>
      </c>
      <c r="AP442" t="inlineStr">
        <is>
          <t>On Track to Glide Path</t>
        </is>
      </c>
    </row>
    <row r="443">
      <c r="A443" t="inlineStr">
        <is>
          <t>SUP-0028</t>
        </is>
      </c>
      <c r="B443" t="inlineStr">
        <is>
          <t>Professional Supplier 028</t>
        </is>
      </c>
      <c r="C443" t="inlineStr">
        <is>
          <t>Professional Services</t>
        </is>
      </c>
      <c r="D443" t="n">
        <v>2024</v>
      </c>
      <c r="E443" t="n">
        <v>2020</v>
      </c>
      <c r="F443" t="n">
        <v>2035</v>
      </c>
      <c r="G443" t="n">
        <v>1850.0365</v>
      </c>
      <c r="H443" t="n">
        <v>318.9023</v>
      </c>
      <c r="I443" t="n">
        <v>201.854</v>
      </c>
      <c r="J443" t="n">
        <v>1411.4951</v>
      </c>
      <c r="K443" t="n">
        <v>13198001.69</v>
      </c>
      <c r="L443" t="n">
        <v>90459784.41</v>
      </c>
      <c r="M443" t="n">
        <v>1850.0365</v>
      </c>
      <c r="N443" t="inlineStr">
        <is>
          <t>Provided Total Emissions</t>
        </is>
      </c>
      <c r="O443" t="b">
        <v>1</v>
      </c>
      <c r="P443" t="n">
        <v>0.009327</v>
      </c>
      <c r="Q443" t="n">
        <v>0.023221</v>
      </c>
      <c r="R443" t="n">
        <v>1703.3341</v>
      </c>
      <c r="S443" t="n">
        <v>17782.5844</v>
      </c>
      <c r="T443" t="n">
        <v>-146.7024</v>
      </c>
      <c r="U443" t="n">
        <v>15932.5479</v>
      </c>
      <c r="V443" t="n">
        <v>-0.07929700000000001</v>
      </c>
      <c r="W443" t="n">
        <v>8.612018000000001</v>
      </c>
      <c r="X443" t="inlineStr">
        <is>
          <t>High</t>
        </is>
      </c>
      <c r="Y443" t="inlineStr">
        <is>
          <t>None</t>
        </is>
      </c>
      <c r="Z443" t="inlineStr">
        <is>
          <t>Valid</t>
        </is>
      </c>
      <c r="AA443" t="n">
        <v>2034</v>
      </c>
      <c r="AB443" t="inlineStr">
        <is>
          <t>Supplier Target Pathway</t>
        </is>
      </c>
      <c r="AC443" t="n">
        <v>1428.3473</v>
      </c>
      <c r="AD443" t="n">
        <v>621.6167</v>
      </c>
      <c r="AE443" t="n">
        <v>675.3988000000001</v>
      </c>
      <c r="AF443" t="n">
        <v>675.3988000000001</v>
      </c>
      <c r="AG443" t="n">
        <v>752.9485</v>
      </c>
      <c r="AH443" t="n">
        <v>5.117e-05</v>
      </c>
      <c r="AI443" t="n">
        <v>0.527147</v>
      </c>
      <c r="AJ443" t="n">
        <v>53.782</v>
      </c>
      <c r="AK443" t="n">
        <v>53.782</v>
      </c>
      <c r="AL443" t="n">
        <v>-2336.3958</v>
      </c>
      <c r="AM443" t="n">
        <v>9174.1795</v>
      </c>
      <c r="AN443" t="n">
        <v>0.99</v>
      </c>
      <c r="AO443" t="inlineStr">
        <is>
          <t>Medium</t>
        </is>
      </c>
      <c r="AP443" t="inlineStr">
        <is>
          <t>On Track to Glide Path</t>
        </is>
      </c>
    </row>
    <row r="444">
      <c r="A444" t="inlineStr">
        <is>
          <t>SUP-0028</t>
        </is>
      </c>
      <c r="B444" t="inlineStr">
        <is>
          <t>Professional Supplier 028</t>
        </is>
      </c>
      <c r="C444" t="inlineStr">
        <is>
          <t>Professional Services</t>
        </is>
      </c>
      <c r="D444" t="n">
        <v>2024</v>
      </c>
      <c r="E444" t="n">
        <v>2020</v>
      </c>
      <c r="F444" t="n">
        <v>2035</v>
      </c>
      <c r="G444" t="n">
        <v>1850.0365</v>
      </c>
      <c r="H444" t="n">
        <v>318.9023</v>
      </c>
      <c r="I444" t="n">
        <v>201.854</v>
      </c>
      <c r="J444" t="n">
        <v>1411.4951</v>
      </c>
      <c r="K444" t="n">
        <v>13198001.69</v>
      </c>
      <c r="L444" t="n">
        <v>90459784.41</v>
      </c>
      <c r="M444" t="n">
        <v>1850.0365</v>
      </c>
      <c r="N444" t="inlineStr">
        <is>
          <t>Provided Total Emissions</t>
        </is>
      </c>
      <c r="O444" t="b">
        <v>1</v>
      </c>
      <c r="P444" t="n">
        <v>0.009327</v>
      </c>
      <c r="Q444" t="n">
        <v>0.023221</v>
      </c>
      <c r="R444" t="n">
        <v>1703.3341</v>
      </c>
      <c r="S444" t="n">
        <v>17782.5844</v>
      </c>
      <c r="T444" t="n">
        <v>-146.7024</v>
      </c>
      <c r="U444" t="n">
        <v>15932.5479</v>
      </c>
      <c r="V444" t="n">
        <v>-0.07929700000000001</v>
      </c>
      <c r="W444" t="n">
        <v>8.612018000000001</v>
      </c>
      <c r="X444" t="inlineStr">
        <is>
          <t>High</t>
        </is>
      </c>
      <c r="Y444" t="inlineStr">
        <is>
          <t>None</t>
        </is>
      </c>
      <c r="Z444" t="inlineStr">
        <is>
          <t>Valid</t>
        </is>
      </c>
      <c r="AA444" t="n">
        <v>2035</v>
      </c>
      <c r="AB444" t="inlineStr">
        <is>
          <t>Supplier Target Pathway</t>
        </is>
      </c>
      <c r="AC444" t="n">
        <v>1428.3473</v>
      </c>
      <c r="AD444" t="n">
        <v>621.6167</v>
      </c>
      <c r="AE444" t="n">
        <v>621.6167</v>
      </c>
      <c r="AF444" t="n">
        <v>621.6167</v>
      </c>
      <c r="AG444" t="n">
        <v>806.7306</v>
      </c>
      <c r="AH444" t="n">
        <v>4.71e-05</v>
      </c>
      <c r="AI444" t="n">
        <v>0.5648</v>
      </c>
      <c r="AJ444" t="n">
        <v>0</v>
      </c>
      <c r="AK444" t="n">
        <v>53.782</v>
      </c>
      <c r="AL444" t="n">
        <v>-2958.0125</v>
      </c>
      <c r="AM444" t="n">
        <v>9795.796200000001</v>
      </c>
      <c r="AN444" t="n">
        <v>0.99</v>
      </c>
      <c r="AO444" t="inlineStr">
        <is>
          <t>Low</t>
        </is>
      </c>
      <c r="AP444" t="inlineStr">
        <is>
          <t>On Track</t>
        </is>
      </c>
    </row>
    <row r="445">
      <c r="A445" t="inlineStr">
        <is>
          <t>SUP-0028</t>
        </is>
      </c>
      <c r="B445" t="inlineStr">
        <is>
          <t>Professional Supplier 028</t>
        </is>
      </c>
      <c r="C445" t="inlineStr">
        <is>
          <t>Professional Services</t>
        </is>
      </c>
      <c r="D445" t="n">
        <v>2024</v>
      </c>
      <c r="E445" t="n">
        <v>2020</v>
      </c>
      <c r="F445" t="n">
        <v>2035</v>
      </c>
      <c r="G445" t="n">
        <v>1850.0365</v>
      </c>
      <c r="H445" t="n">
        <v>318.9023</v>
      </c>
      <c r="I445" t="n">
        <v>201.854</v>
      </c>
      <c r="J445" t="n">
        <v>1411.4951</v>
      </c>
      <c r="K445" t="n">
        <v>13198001.69</v>
      </c>
      <c r="L445" t="n">
        <v>90459784.41</v>
      </c>
      <c r="M445" t="n">
        <v>1850.0365</v>
      </c>
      <c r="N445" t="inlineStr">
        <is>
          <t>Provided Total Emissions</t>
        </is>
      </c>
      <c r="O445" t="b">
        <v>1</v>
      </c>
      <c r="P445" t="n">
        <v>0.009327</v>
      </c>
      <c r="Q445" t="n">
        <v>0.023221</v>
      </c>
      <c r="R445" t="n">
        <v>1703.3341</v>
      </c>
      <c r="S445" t="n">
        <v>17782.5844</v>
      </c>
      <c r="T445" t="n">
        <v>-146.7024</v>
      </c>
      <c r="U445" t="n">
        <v>15932.5479</v>
      </c>
      <c r="V445" t="n">
        <v>-0.07929700000000001</v>
      </c>
      <c r="W445" t="n">
        <v>8.612018000000001</v>
      </c>
      <c r="X445" t="inlineStr">
        <is>
          <t>High</t>
        </is>
      </c>
      <c r="Y445" t="inlineStr">
        <is>
          <t>None</t>
        </is>
      </c>
      <c r="Z445" t="inlineStr">
        <is>
          <t>Valid</t>
        </is>
      </c>
      <c r="AA445" t="n">
        <v>2036</v>
      </c>
      <c r="AB445" t="inlineStr">
        <is>
          <t>Supplier Target Pathway</t>
        </is>
      </c>
      <c r="AC445" t="n">
        <v>1428.3473</v>
      </c>
      <c r="AD445" t="n">
        <v>621.6167</v>
      </c>
      <c r="AE445" t="n">
        <v>621.6167</v>
      </c>
      <c r="AF445" t="n">
        <v>621.6167</v>
      </c>
      <c r="AG445" t="n">
        <v>806.7306</v>
      </c>
      <c r="AH445" t="n">
        <v>4.71e-05</v>
      </c>
      <c r="AI445" t="n">
        <v>0.5648</v>
      </c>
      <c r="AJ445" t="n">
        <v>0</v>
      </c>
      <c r="AK445" t="n">
        <v>53.782</v>
      </c>
      <c r="AL445" t="n">
        <v>-3579.6292</v>
      </c>
      <c r="AM445" t="n">
        <v>10417.4129</v>
      </c>
      <c r="AN445" t="n">
        <v>0.99</v>
      </c>
      <c r="AO445" t="inlineStr">
        <is>
          <t>Low</t>
        </is>
      </c>
      <c r="AP445" t="inlineStr">
        <is>
          <t>On Track</t>
        </is>
      </c>
    </row>
    <row r="446">
      <c r="A446" t="inlineStr">
        <is>
          <t>SUP-0028</t>
        </is>
      </c>
      <c r="B446" t="inlineStr">
        <is>
          <t>Professional Supplier 028</t>
        </is>
      </c>
      <c r="C446" t="inlineStr">
        <is>
          <t>Professional Services</t>
        </is>
      </c>
      <c r="D446" t="n">
        <v>2024</v>
      </c>
      <c r="E446" t="n">
        <v>2020</v>
      </c>
      <c r="F446" t="n">
        <v>2035</v>
      </c>
      <c r="G446" t="n">
        <v>1850.0365</v>
      </c>
      <c r="H446" t="n">
        <v>318.9023</v>
      </c>
      <c r="I446" t="n">
        <v>201.854</v>
      </c>
      <c r="J446" t="n">
        <v>1411.4951</v>
      </c>
      <c r="K446" t="n">
        <v>13198001.69</v>
      </c>
      <c r="L446" t="n">
        <v>90459784.41</v>
      </c>
      <c r="M446" t="n">
        <v>1850.0365</v>
      </c>
      <c r="N446" t="inlineStr">
        <is>
          <t>Provided Total Emissions</t>
        </is>
      </c>
      <c r="O446" t="b">
        <v>1</v>
      </c>
      <c r="P446" t="n">
        <v>0.009327</v>
      </c>
      <c r="Q446" t="n">
        <v>0.023221</v>
      </c>
      <c r="R446" t="n">
        <v>1703.3341</v>
      </c>
      <c r="S446" t="n">
        <v>17782.5844</v>
      </c>
      <c r="T446" t="n">
        <v>-146.7024</v>
      </c>
      <c r="U446" t="n">
        <v>15932.5479</v>
      </c>
      <c r="V446" t="n">
        <v>-0.07929700000000001</v>
      </c>
      <c r="W446" t="n">
        <v>8.612018000000001</v>
      </c>
      <c r="X446" t="inlineStr">
        <is>
          <t>High</t>
        </is>
      </c>
      <c r="Y446" t="inlineStr">
        <is>
          <t>None</t>
        </is>
      </c>
      <c r="Z446" t="inlineStr">
        <is>
          <t>Valid</t>
        </is>
      </c>
      <c r="AA446" t="n">
        <v>2037</v>
      </c>
      <c r="AB446" t="inlineStr">
        <is>
          <t>Supplier Target Pathway</t>
        </is>
      </c>
      <c r="AC446" t="n">
        <v>1428.3473</v>
      </c>
      <c r="AD446" t="n">
        <v>621.6167</v>
      </c>
      <c r="AE446" t="n">
        <v>621.6167</v>
      </c>
      <c r="AF446" t="n">
        <v>621.6167</v>
      </c>
      <c r="AG446" t="n">
        <v>806.7306</v>
      </c>
      <c r="AH446" t="n">
        <v>4.71e-05</v>
      </c>
      <c r="AI446" t="n">
        <v>0.5648</v>
      </c>
      <c r="AJ446" t="n">
        <v>0</v>
      </c>
      <c r="AK446" t="n">
        <v>53.782</v>
      </c>
      <c r="AL446" t="n">
        <v>-4201.2459</v>
      </c>
      <c r="AM446" t="n">
        <v>11039.0296</v>
      </c>
      <c r="AN446" t="n">
        <v>0.99</v>
      </c>
      <c r="AO446" t="inlineStr">
        <is>
          <t>Low</t>
        </is>
      </c>
      <c r="AP446" t="inlineStr">
        <is>
          <t>On Track</t>
        </is>
      </c>
    </row>
    <row r="447">
      <c r="A447" t="inlineStr">
        <is>
          <t>SUP-0028</t>
        </is>
      </c>
      <c r="B447" t="inlineStr">
        <is>
          <t>Professional Supplier 028</t>
        </is>
      </c>
      <c r="C447" t="inlineStr">
        <is>
          <t>Professional Services</t>
        </is>
      </c>
      <c r="D447" t="n">
        <v>2024</v>
      </c>
      <c r="E447" t="n">
        <v>2020</v>
      </c>
      <c r="F447" t="n">
        <v>2035</v>
      </c>
      <c r="G447" t="n">
        <v>1850.0365</v>
      </c>
      <c r="H447" t="n">
        <v>318.9023</v>
      </c>
      <c r="I447" t="n">
        <v>201.854</v>
      </c>
      <c r="J447" t="n">
        <v>1411.4951</v>
      </c>
      <c r="K447" t="n">
        <v>13198001.69</v>
      </c>
      <c r="L447" t="n">
        <v>90459784.41</v>
      </c>
      <c r="M447" t="n">
        <v>1850.0365</v>
      </c>
      <c r="N447" t="inlineStr">
        <is>
          <t>Provided Total Emissions</t>
        </is>
      </c>
      <c r="O447" t="b">
        <v>1</v>
      </c>
      <c r="P447" t="n">
        <v>0.009327</v>
      </c>
      <c r="Q447" t="n">
        <v>0.023221</v>
      </c>
      <c r="R447" t="n">
        <v>1703.3341</v>
      </c>
      <c r="S447" t="n">
        <v>17782.5844</v>
      </c>
      <c r="T447" t="n">
        <v>-146.7024</v>
      </c>
      <c r="U447" t="n">
        <v>15932.5479</v>
      </c>
      <c r="V447" t="n">
        <v>-0.07929700000000001</v>
      </c>
      <c r="W447" t="n">
        <v>8.612018000000001</v>
      </c>
      <c r="X447" t="inlineStr">
        <is>
          <t>High</t>
        </is>
      </c>
      <c r="Y447" t="inlineStr">
        <is>
          <t>None</t>
        </is>
      </c>
      <c r="Z447" t="inlineStr">
        <is>
          <t>Valid</t>
        </is>
      </c>
      <c r="AA447" t="n">
        <v>2038</v>
      </c>
      <c r="AB447" t="inlineStr">
        <is>
          <t>Supplier Target Pathway</t>
        </is>
      </c>
      <c r="AC447" t="n">
        <v>1428.3473</v>
      </c>
      <c r="AD447" t="n">
        <v>621.6167</v>
      </c>
      <c r="AE447" t="n">
        <v>621.6167</v>
      </c>
      <c r="AF447" t="n">
        <v>621.6167</v>
      </c>
      <c r="AG447" t="n">
        <v>806.7306</v>
      </c>
      <c r="AH447" t="n">
        <v>4.71e-05</v>
      </c>
      <c r="AI447" t="n">
        <v>0.5648</v>
      </c>
      <c r="AJ447" t="n">
        <v>0</v>
      </c>
      <c r="AK447" t="n">
        <v>53.782</v>
      </c>
      <c r="AL447" t="n">
        <v>-4822.8626</v>
      </c>
      <c r="AM447" t="n">
        <v>11660.6463</v>
      </c>
      <c r="AN447" t="n">
        <v>0.99</v>
      </c>
      <c r="AO447" t="inlineStr">
        <is>
          <t>Low</t>
        </is>
      </c>
      <c r="AP447" t="inlineStr">
        <is>
          <t>On Track</t>
        </is>
      </c>
    </row>
    <row r="448">
      <c r="A448" t="inlineStr">
        <is>
          <t>SUP-0028</t>
        </is>
      </c>
      <c r="B448" t="inlineStr">
        <is>
          <t>Professional Supplier 028</t>
        </is>
      </c>
      <c r="C448" t="inlineStr">
        <is>
          <t>Professional Services</t>
        </is>
      </c>
      <c r="D448" t="n">
        <v>2024</v>
      </c>
      <c r="E448" t="n">
        <v>2020</v>
      </c>
      <c r="F448" t="n">
        <v>2035</v>
      </c>
      <c r="G448" t="n">
        <v>1850.0365</v>
      </c>
      <c r="H448" t="n">
        <v>318.9023</v>
      </c>
      <c r="I448" t="n">
        <v>201.854</v>
      </c>
      <c r="J448" t="n">
        <v>1411.4951</v>
      </c>
      <c r="K448" t="n">
        <v>13198001.69</v>
      </c>
      <c r="L448" t="n">
        <v>90459784.41</v>
      </c>
      <c r="M448" t="n">
        <v>1850.0365</v>
      </c>
      <c r="N448" t="inlineStr">
        <is>
          <t>Provided Total Emissions</t>
        </is>
      </c>
      <c r="O448" t="b">
        <v>1</v>
      </c>
      <c r="P448" t="n">
        <v>0.009327</v>
      </c>
      <c r="Q448" t="n">
        <v>0.023221</v>
      </c>
      <c r="R448" t="n">
        <v>1703.3341</v>
      </c>
      <c r="S448" t="n">
        <v>17782.5844</v>
      </c>
      <c r="T448" t="n">
        <v>-146.7024</v>
      </c>
      <c r="U448" t="n">
        <v>15932.5479</v>
      </c>
      <c r="V448" t="n">
        <v>-0.07929700000000001</v>
      </c>
      <c r="W448" t="n">
        <v>8.612018000000001</v>
      </c>
      <c r="X448" t="inlineStr">
        <is>
          <t>High</t>
        </is>
      </c>
      <c r="Y448" t="inlineStr">
        <is>
          <t>None</t>
        </is>
      </c>
      <c r="Z448" t="inlineStr">
        <is>
          <t>Valid</t>
        </is>
      </c>
      <c r="AA448" t="n">
        <v>2039</v>
      </c>
      <c r="AB448" t="inlineStr">
        <is>
          <t>Supplier Target Pathway</t>
        </is>
      </c>
      <c r="AC448" t="n">
        <v>1428.3473</v>
      </c>
      <c r="AD448" t="n">
        <v>621.6167</v>
      </c>
      <c r="AE448" t="n">
        <v>621.6167</v>
      </c>
      <c r="AF448" t="n">
        <v>621.6167</v>
      </c>
      <c r="AG448" t="n">
        <v>806.7306</v>
      </c>
      <c r="AH448" t="n">
        <v>4.71e-05</v>
      </c>
      <c r="AI448" t="n">
        <v>0.5648</v>
      </c>
      <c r="AJ448" t="n">
        <v>0</v>
      </c>
      <c r="AK448" t="n">
        <v>53.782</v>
      </c>
      <c r="AL448" t="n">
        <v>-5444.4793</v>
      </c>
      <c r="AM448" t="n">
        <v>12282.263</v>
      </c>
      <c r="AN448" t="n">
        <v>0.99</v>
      </c>
      <c r="AO448" t="inlineStr">
        <is>
          <t>Low</t>
        </is>
      </c>
      <c r="AP448" t="inlineStr">
        <is>
          <t>On Track</t>
        </is>
      </c>
    </row>
    <row r="449">
      <c r="A449" t="inlineStr">
        <is>
          <t>SUP-0028</t>
        </is>
      </c>
      <c r="B449" t="inlineStr">
        <is>
          <t>Professional Supplier 028</t>
        </is>
      </c>
      <c r="C449" t="inlineStr">
        <is>
          <t>Professional Services</t>
        </is>
      </c>
      <c r="D449" t="n">
        <v>2024</v>
      </c>
      <c r="E449" t="n">
        <v>2020</v>
      </c>
      <c r="F449" t="n">
        <v>2035</v>
      </c>
      <c r="G449" t="n">
        <v>1850.0365</v>
      </c>
      <c r="H449" t="n">
        <v>318.9023</v>
      </c>
      <c r="I449" t="n">
        <v>201.854</v>
      </c>
      <c r="J449" t="n">
        <v>1411.4951</v>
      </c>
      <c r="K449" t="n">
        <v>13198001.69</v>
      </c>
      <c r="L449" t="n">
        <v>90459784.41</v>
      </c>
      <c r="M449" t="n">
        <v>1850.0365</v>
      </c>
      <c r="N449" t="inlineStr">
        <is>
          <t>Provided Total Emissions</t>
        </is>
      </c>
      <c r="O449" t="b">
        <v>1</v>
      </c>
      <c r="P449" t="n">
        <v>0.009327</v>
      </c>
      <c r="Q449" t="n">
        <v>0.023221</v>
      </c>
      <c r="R449" t="n">
        <v>1703.3341</v>
      </c>
      <c r="S449" t="n">
        <v>17782.5844</v>
      </c>
      <c r="T449" t="n">
        <v>-146.7024</v>
      </c>
      <c r="U449" t="n">
        <v>15932.5479</v>
      </c>
      <c r="V449" t="n">
        <v>-0.07929700000000001</v>
      </c>
      <c r="W449" t="n">
        <v>8.612018000000001</v>
      </c>
      <c r="X449" t="inlineStr">
        <is>
          <t>High</t>
        </is>
      </c>
      <c r="Y449" t="inlineStr">
        <is>
          <t>None</t>
        </is>
      </c>
      <c r="Z449" t="inlineStr">
        <is>
          <t>Valid</t>
        </is>
      </c>
      <c r="AA449" t="n">
        <v>2040</v>
      </c>
      <c r="AB449" t="inlineStr">
        <is>
          <t>Supplier Target Pathway</t>
        </is>
      </c>
      <c r="AC449" t="n">
        <v>1428.3473</v>
      </c>
      <c r="AD449" t="n">
        <v>621.6167</v>
      </c>
      <c r="AE449" t="n">
        <v>621.6167</v>
      </c>
      <c r="AF449" t="n">
        <v>621.6167</v>
      </c>
      <c r="AG449" t="n">
        <v>806.7306</v>
      </c>
      <c r="AH449" t="n">
        <v>4.71e-05</v>
      </c>
      <c r="AI449" t="n">
        <v>0.5648</v>
      </c>
      <c r="AJ449" t="n">
        <v>0</v>
      </c>
      <c r="AK449" t="n">
        <v>53.782</v>
      </c>
      <c r="AL449" t="n">
        <v>-6066.096</v>
      </c>
      <c r="AM449" t="n">
        <v>12903.8797</v>
      </c>
      <c r="AN449" t="n">
        <v>0.99</v>
      </c>
      <c r="AO449" t="inlineStr">
        <is>
          <t>Low</t>
        </is>
      </c>
      <c r="AP449" t="inlineStr">
        <is>
          <t>On Track</t>
        </is>
      </c>
    </row>
    <row r="450">
      <c r="A450" t="inlineStr">
        <is>
          <t>SUP-0029</t>
        </is>
      </c>
      <c r="B450" t="inlineStr">
        <is>
          <t>Electronics Supplier 029</t>
        </is>
      </c>
      <c r="C450" t="inlineStr">
        <is>
          <t>Electronics</t>
        </is>
      </c>
      <c r="D450" t="n">
        <v>2024</v>
      </c>
      <c r="E450" t="n">
        <v>2015</v>
      </c>
      <c r="F450" t="n">
        <v>2040</v>
      </c>
      <c r="G450" t="n">
        <v>163.0581</v>
      </c>
      <c r="H450" t="n">
        <v>31.4304</v>
      </c>
      <c r="I450" t="n">
        <v>20.2685</v>
      </c>
      <c r="J450" t="n">
        <v>98.7323</v>
      </c>
      <c r="K450" t="n">
        <v>222813.21</v>
      </c>
      <c r="L450" t="n">
        <v>672583.71</v>
      </c>
      <c r="M450" t="n">
        <v>163.0581</v>
      </c>
      <c r="N450" t="inlineStr">
        <is>
          <t>Provided Total Emissions</t>
        </is>
      </c>
      <c r="O450" t="b">
        <v>1</v>
      </c>
      <c r="P450" t="n">
        <v>0.007871</v>
      </c>
      <c r="Q450" t="n">
        <v>-0.000124</v>
      </c>
      <c r="R450" t="n">
        <v>191.8533</v>
      </c>
      <c r="S450" t="n">
        <v>93.8053</v>
      </c>
      <c r="T450" t="n">
        <v>28.7952</v>
      </c>
      <c r="U450" t="n">
        <v>-69.25279999999999</v>
      </c>
      <c r="V450" t="n">
        <v>0.176595</v>
      </c>
      <c r="W450" t="n">
        <v>-0.424713</v>
      </c>
      <c r="X450" t="inlineStr">
        <is>
          <t>High</t>
        </is>
      </c>
      <c r="Y450" t="inlineStr">
        <is>
          <t>None</t>
        </is>
      </c>
      <c r="Z450" t="inlineStr">
        <is>
          <t>Valid</t>
        </is>
      </c>
      <c r="AA450" t="n">
        <v>2025</v>
      </c>
      <c r="AB450" t="inlineStr">
        <is>
          <t>Industry Haircut Pathway</t>
        </is>
      </c>
      <c r="AC450" t="n">
        <v>151.9491</v>
      </c>
      <c r="AD450" t="n">
        <v>99.9217</v>
      </c>
      <c r="AE450" t="n">
        <v>131.1382</v>
      </c>
      <c r="AF450" t="n">
        <v>131.1382</v>
      </c>
      <c r="AG450" t="n">
        <v>20.8109</v>
      </c>
      <c r="AH450" t="n">
        <v>0.00058856</v>
      </c>
      <c r="AI450" t="n">
        <v>0.13696</v>
      </c>
      <c r="AJ450" t="n">
        <v>31.2164</v>
      </c>
      <c r="AK450" t="n">
        <v>2.0811</v>
      </c>
      <c r="AL450" t="n">
        <v>1467.609</v>
      </c>
      <c r="AM450" t="n">
        <v>131.1382</v>
      </c>
      <c r="AN450" t="n">
        <v>0.95</v>
      </c>
      <c r="AO450" t="inlineStr">
        <is>
          <t>High</t>
        </is>
      </c>
      <c r="AP450" t="inlineStr">
        <is>
          <t>On Track to Glide Path</t>
        </is>
      </c>
    </row>
    <row r="451">
      <c r="A451" t="inlineStr">
        <is>
          <t>SUP-0029</t>
        </is>
      </c>
      <c r="B451" t="inlineStr">
        <is>
          <t>Electronics Supplier 029</t>
        </is>
      </c>
      <c r="C451" t="inlineStr">
        <is>
          <t>Electronics</t>
        </is>
      </c>
      <c r="D451" t="n">
        <v>2024</v>
      </c>
      <c r="E451" t="n">
        <v>2015</v>
      </c>
      <c r="F451" t="n">
        <v>2040</v>
      </c>
      <c r="G451" t="n">
        <v>163.0581</v>
      </c>
      <c r="H451" t="n">
        <v>31.4304</v>
      </c>
      <c r="I451" t="n">
        <v>20.2685</v>
      </c>
      <c r="J451" t="n">
        <v>98.7323</v>
      </c>
      <c r="K451" t="n">
        <v>222813.21</v>
      </c>
      <c r="L451" t="n">
        <v>672583.71</v>
      </c>
      <c r="M451" t="n">
        <v>163.0581</v>
      </c>
      <c r="N451" t="inlineStr">
        <is>
          <t>Provided Total Emissions</t>
        </is>
      </c>
      <c r="O451" t="b">
        <v>1</v>
      </c>
      <c r="P451" t="n">
        <v>0.007871</v>
      </c>
      <c r="Q451" t="n">
        <v>-0.000124</v>
      </c>
      <c r="R451" t="n">
        <v>191.8533</v>
      </c>
      <c r="S451" t="n">
        <v>93.8053</v>
      </c>
      <c r="T451" t="n">
        <v>28.7952</v>
      </c>
      <c r="U451" t="n">
        <v>-69.25279999999999</v>
      </c>
      <c r="V451" t="n">
        <v>0.176595</v>
      </c>
      <c r="W451" t="n">
        <v>-0.424713</v>
      </c>
      <c r="X451" t="inlineStr">
        <is>
          <t>High</t>
        </is>
      </c>
      <c r="Y451" t="inlineStr">
        <is>
          <t>None</t>
        </is>
      </c>
      <c r="Z451" t="inlineStr">
        <is>
          <t>Valid</t>
        </is>
      </c>
      <c r="AA451" t="n">
        <v>2026</v>
      </c>
      <c r="AB451" t="inlineStr">
        <is>
          <t>Industry Haircut Pathway</t>
        </is>
      </c>
      <c r="AC451" t="n">
        <v>151.9491</v>
      </c>
      <c r="AD451" t="n">
        <v>99.9217</v>
      </c>
      <c r="AE451" t="n">
        <v>129.0571</v>
      </c>
      <c r="AF451" t="n">
        <v>129.0571</v>
      </c>
      <c r="AG451" t="n">
        <v>22.892</v>
      </c>
      <c r="AH451" t="n">
        <v>0.00057922</v>
      </c>
      <c r="AI451" t="n">
        <v>0.150656</v>
      </c>
      <c r="AJ451" t="n">
        <v>29.1353</v>
      </c>
      <c r="AK451" t="n">
        <v>2.0811</v>
      </c>
      <c r="AL451" t="n">
        <v>1338.5519</v>
      </c>
      <c r="AM451" t="n">
        <v>260.1953</v>
      </c>
      <c r="AN451" t="n">
        <v>0.95</v>
      </c>
      <c r="AO451" t="inlineStr">
        <is>
          <t>High</t>
        </is>
      </c>
      <c r="AP451" t="inlineStr">
        <is>
          <t>On Track to Glide Path</t>
        </is>
      </c>
    </row>
    <row r="452">
      <c r="A452" t="inlineStr">
        <is>
          <t>SUP-0029</t>
        </is>
      </c>
      <c r="B452" t="inlineStr">
        <is>
          <t>Electronics Supplier 029</t>
        </is>
      </c>
      <c r="C452" t="inlineStr">
        <is>
          <t>Electronics</t>
        </is>
      </c>
      <c r="D452" t="n">
        <v>2024</v>
      </c>
      <c r="E452" t="n">
        <v>2015</v>
      </c>
      <c r="F452" t="n">
        <v>2040</v>
      </c>
      <c r="G452" t="n">
        <v>163.0581</v>
      </c>
      <c r="H452" t="n">
        <v>31.4304</v>
      </c>
      <c r="I452" t="n">
        <v>20.2685</v>
      </c>
      <c r="J452" t="n">
        <v>98.7323</v>
      </c>
      <c r="K452" t="n">
        <v>222813.21</v>
      </c>
      <c r="L452" t="n">
        <v>672583.71</v>
      </c>
      <c r="M452" t="n">
        <v>163.0581</v>
      </c>
      <c r="N452" t="inlineStr">
        <is>
          <t>Provided Total Emissions</t>
        </is>
      </c>
      <c r="O452" t="b">
        <v>1</v>
      </c>
      <c r="P452" t="n">
        <v>0.007871</v>
      </c>
      <c r="Q452" t="n">
        <v>-0.000124</v>
      </c>
      <c r="R452" t="n">
        <v>191.8533</v>
      </c>
      <c r="S452" t="n">
        <v>93.8053</v>
      </c>
      <c r="T452" t="n">
        <v>28.7952</v>
      </c>
      <c r="U452" t="n">
        <v>-69.25279999999999</v>
      </c>
      <c r="V452" t="n">
        <v>0.176595</v>
      </c>
      <c r="W452" t="n">
        <v>-0.424713</v>
      </c>
      <c r="X452" t="inlineStr">
        <is>
          <t>High</t>
        </is>
      </c>
      <c r="Y452" t="inlineStr">
        <is>
          <t>None</t>
        </is>
      </c>
      <c r="Z452" t="inlineStr">
        <is>
          <t>Valid</t>
        </is>
      </c>
      <c r="AA452" t="n">
        <v>2027</v>
      </c>
      <c r="AB452" t="inlineStr">
        <is>
          <t>Industry Haircut Pathway</t>
        </is>
      </c>
      <c r="AC452" t="n">
        <v>151.9491</v>
      </c>
      <c r="AD452" t="n">
        <v>99.9217</v>
      </c>
      <c r="AE452" t="n">
        <v>126.976</v>
      </c>
      <c r="AF452" t="n">
        <v>126.976</v>
      </c>
      <c r="AG452" t="n">
        <v>24.9731</v>
      </c>
      <c r="AH452" t="n">
        <v>0.00056988</v>
      </c>
      <c r="AI452" t="n">
        <v>0.164352</v>
      </c>
      <c r="AJ452" t="n">
        <v>27.0542</v>
      </c>
      <c r="AK452" t="n">
        <v>2.0811</v>
      </c>
      <c r="AL452" t="n">
        <v>1211.5759</v>
      </c>
      <c r="AM452" t="n">
        <v>387.1713</v>
      </c>
      <c r="AN452" t="n">
        <v>0.95</v>
      </c>
      <c r="AO452" t="inlineStr">
        <is>
          <t>High</t>
        </is>
      </c>
      <c r="AP452" t="inlineStr">
        <is>
          <t>On Track to Glide Path</t>
        </is>
      </c>
    </row>
    <row r="453">
      <c r="A453" t="inlineStr">
        <is>
          <t>SUP-0029</t>
        </is>
      </c>
      <c r="B453" t="inlineStr">
        <is>
          <t>Electronics Supplier 029</t>
        </is>
      </c>
      <c r="C453" t="inlineStr">
        <is>
          <t>Electronics</t>
        </is>
      </c>
      <c r="D453" t="n">
        <v>2024</v>
      </c>
      <c r="E453" t="n">
        <v>2015</v>
      </c>
      <c r="F453" t="n">
        <v>2040</v>
      </c>
      <c r="G453" t="n">
        <v>163.0581</v>
      </c>
      <c r="H453" t="n">
        <v>31.4304</v>
      </c>
      <c r="I453" t="n">
        <v>20.2685</v>
      </c>
      <c r="J453" t="n">
        <v>98.7323</v>
      </c>
      <c r="K453" t="n">
        <v>222813.21</v>
      </c>
      <c r="L453" t="n">
        <v>672583.71</v>
      </c>
      <c r="M453" t="n">
        <v>163.0581</v>
      </c>
      <c r="N453" t="inlineStr">
        <is>
          <t>Provided Total Emissions</t>
        </is>
      </c>
      <c r="O453" t="b">
        <v>1</v>
      </c>
      <c r="P453" t="n">
        <v>0.007871</v>
      </c>
      <c r="Q453" t="n">
        <v>-0.000124</v>
      </c>
      <c r="R453" t="n">
        <v>191.8533</v>
      </c>
      <c r="S453" t="n">
        <v>93.8053</v>
      </c>
      <c r="T453" t="n">
        <v>28.7952</v>
      </c>
      <c r="U453" t="n">
        <v>-69.25279999999999</v>
      </c>
      <c r="V453" t="n">
        <v>0.176595</v>
      </c>
      <c r="W453" t="n">
        <v>-0.424713</v>
      </c>
      <c r="X453" t="inlineStr">
        <is>
          <t>High</t>
        </is>
      </c>
      <c r="Y453" t="inlineStr">
        <is>
          <t>None</t>
        </is>
      </c>
      <c r="Z453" t="inlineStr">
        <is>
          <t>Valid</t>
        </is>
      </c>
      <c r="AA453" t="n">
        <v>2028</v>
      </c>
      <c r="AB453" t="inlineStr">
        <is>
          <t>Industry Haircut Pathway</t>
        </is>
      </c>
      <c r="AC453" t="n">
        <v>151.9491</v>
      </c>
      <c r="AD453" t="n">
        <v>99.9217</v>
      </c>
      <c r="AE453" t="n">
        <v>124.8949</v>
      </c>
      <c r="AF453" t="n">
        <v>124.8949</v>
      </c>
      <c r="AG453" t="n">
        <v>27.0542</v>
      </c>
      <c r="AH453" t="n">
        <v>0.00056054</v>
      </c>
      <c r="AI453" t="n">
        <v>0.178048</v>
      </c>
      <c r="AJ453" t="n">
        <v>24.9731</v>
      </c>
      <c r="AK453" t="n">
        <v>2.0811</v>
      </c>
      <c r="AL453" t="n">
        <v>1086.681</v>
      </c>
      <c r="AM453" t="n">
        <v>512.0662</v>
      </c>
      <c r="AN453" t="n">
        <v>0.95</v>
      </c>
      <c r="AO453" t="inlineStr">
        <is>
          <t>High</t>
        </is>
      </c>
      <c r="AP453" t="inlineStr">
        <is>
          <t>On Track to Glide Path</t>
        </is>
      </c>
    </row>
    <row r="454">
      <c r="A454" t="inlineStr">
        <is>
          <t>SUP-0029</t>
        </is>
      </c>
      <c r="B454" t="inlineStr">
        <is>
          <t>Electronics Supplier 029</t>
        </is>
      </c>
      <c r="C454" t="inlineStr">
        <is>
          <t>Electronics</t>
        </is>
      </c>
      <c r="D454" t="n">
        <v>2024</v>
      </c>
      <c r="E454" t="n">
        <v>2015</v>
      </c>
      <c r="F454" t="n">
        <v>2040</v>
      </c>
      <c r="G454" t="n">
        <v>163.0581</v>
      </c>
      <c r="H454" t="n">
        <v>31.4304</v>
      </c>
      <c r="I454" t="n">
        <v>20.2685</v>
      </c>
      <c r="J454" t="n">
        <v>98.7323</v>
      </c>
      <c r="K454" t="n">
        <v>222813.21</v>
      </c>
      <c r="L454" t="n">
        <v>672583.71</v>
      </c>
      <c r="M454" t="n">
        <v>163.0581</v>
      </c>
      <c r="N454" t="inlineStr">
        <is>
          <t>Provided Total Emissions</t>
        </is>
      </c>
      <c r="O454" t="b">
        <v>1</v>
      </c>
      <c r="P454" t="n">
        <v>0.007871</v>
      </c>
      <c r="Q454" t="n">
        <v>-0.000124</v>
      </c>
      <c r="R454" t="n">
        <v>191.8533</v>
      </c>
      <c r="S454" t="n">
        <v>93.8053</v>
      </c>
      <c r="T454" t="n">
        <v>28.7952</v>
      </c>
      <c r="U454" t="n">
        <v>-69.25279999999999</v>
      </c>
      <c r="V454" t="n">
        <v>0.176595</v>
      </c>
      <c r="W454" t="n">
        <v>-0.424713</v>
      </c>
      <c r="X454" t="inlineStr">
        <is>
          <t>High</t>
        </is>
      </c>
      <c r="Y454" t="inlineStr">
        <is>
          <t>None</t>
        </is>
      </c>
      <c r="Z454" t="inlineStr">
        <is>
          <t>Valid</t>
        </is>
      </c>
      <c r="AA454" t="n">
        <v>2029</v>
      </c>
      <c r="AB454" t="inlineStr">
        <is>
          <t>Industry Haircut Pathway</t>
        </is>
      </c>
      <c r="AC454" t="n">
        <v>151.9491</v>
      </c>
      <c r="AD454" t="n">
        <v>99.9217</v>
      </c>
      <c r="AE454" t="n">
        <v>122.8138</v>
      </c>
      <c r="AF454" t="n">
        <v>122.8138</v>
      </c>
      <c r="AG454" t="n">
        <v>29.1353</v>
      </c>
      <c r="AH454" t="n">
        <v>0.0005512</v>
      </c>
      <c r="AI454" t="n">
        <v>0.191744</v>
      </c>
      <c r="AJ454" t="n">
        <v>22.892</v>
      </c>
      <c r="AK454" t="n">
        <v>2.0811</v>
      </c>
      <c r="AL454" t="n">
        <v>963.8672</v>
      </c>
      <c r="AM454" t="n">
        <v>634.88</v>
      </c>
      <c r="AN454" t="n">
        <v>0.95</v>
      </c>
      <c r="AO454" t="inlineStr">
        <is>
          <t>High</t>
        </is>
      </c>
      <c r="AP454" t="inlineStr">
        <is>
          <t>On Track to Glide Path</t>
        </is>
      </c>
    </row>
    <row r="455">
      <c r="A455" t="inlineStr">
        <is>
          <t>SUP-0029</t>
        </is>
      </c>
      <c r="B455" t="inlineStr">
        <is>
          <t>Electronics Supplier 029</t>
        </is>
      </c>
      <c r="C455" t="inlineStr">
        <is>
          <t>Electronics</t>
        </is>
      </c>
      <c r="D455" t="n">
        <v>2024</v>
      </c>
      <c r="E455" t="n">
        <v>2015</v>
      </c>
      <c r="F455" t="n">
        <v>2040</v>
      </c>
      <c r="G455" t="n">
        <v>163.0581</v>
      </c>
      <c r="H455" t="n">
        <v>31.4304</v>
      </c>
      <c r="I455" t="n">
        <v>20.2685</v>
      </c>
      <c r="J455" t="n">
        <v>98.7323</v>
      </c>
      <c r="K455" t="n">
        <v>222813.21</v>
      </c>
      <c r="L455" t="n">
        <v>672583.71</v>
      </c>
      <c r="M455" t="n">
        <v>163.0581</v>
      </c>
      <c r="N455" t="inlineStr">
        <is>
          <t>Provided Total Emissions</t>
        </is>
      </c>
      <c r="O455" t="b">
        <v>1</v>
      </c>
      <c r="P455" t="n">
        <v>0.007871</v>
      </c>
      <c r="Q455" t="n">
        <v>-0.000124</v>
      </c>
      <c r="R455" t="n">
        <v>191.8533</v>
      </c>
      <c r="S455" t="n">
        <v>93.8053</v>
      </c>
      <c r="T455" t="n">
        <v>28.7952</v>
      </c>
      <c r="U455" t="n">
        <v>-69.25279999999999</v>
      </c>
      <c r="V455" t="n">
        <v>0.176595</v>
      </c>
      <c r="W455" t="n">
        <v>-0.424713</v>
      </c>
      <c r="X455" t="inlineStr">
        <is>
          <t>High</t>
        </is>
      </c>
      <c r="Y455" t="inlineStr">
        <is>
          <t>None</t>
        </is>
      </c>
      <c r="Z455" t="inlineStr">
        <is>
          <t>Valid</t>
        </is>
      </c>
      <c r="AA455" t="n">
        <v>2030</v>
      </c>
      <c r="AB455" t="inlineStr">
        <is>
          <t>Industry Haircut Pathway</t>
        </is>
      </c>
      <c r="AC455" t="n">
        <v>151.9491</v>
      </c>
      <c r="AD455" t="n">
        <v>99.9217</v>
      </c>
      <c r="AE455" t="n">
        <v>120.7327</v>
      </c>
      <c r="AF455" t="n">
        <v>120.7327</v>
      </c>
      <c r="AG455" t="n">
        <v>31.2164</v>
      </c>
      <c r="AH455" t="n">
        <v>0.00054186</v>
      </c>
      <c r="AI455" t="n">
        <v>0.20544</v>
      </c>
      <c r="AJ455" t="n">
        <v>20.8109</v>
      </c>
      <c r="AK455" t="n">
        <v>2.0811</v>
      </c>
      <c r="AL455" t="n">
        <v>843.1345</v>
      </c>
      <c r="AM455" t="n">
        <v>755.6127</v>
      </c>
      <c r="AN455" t="n">
        <v>0.95</v>
      </c>
      <c r="AO455" t="inlineStr">
        <is>
          <t>High</t>
        </is>
      </c>
      <c r="AP455" t="inlineStr">
        <is>
          <t>On Track to Glide Path</t>
        </is>
      </c>
    </row>
    <row r="456">
      <c r="A456" t="inlineStr">
        <is>
          <t>SUP-0029</t>
        </is>
      </c>
      <c r="B456" t="inlineStr">
        <is>
          <t>Electronics Supplier 029</t>
        </is>
      </c>
      <c r="C456" t="inlineStr">
        <is>
          <t>Electronics</t>
        </is>
      </c>
      <c r="D456" t="n">
        <v>2024</v>
      </c>
      <c r="E456" t="n">
        <v>2015</v>
      </c>
      <c r="F456" t="n">
        <v>2040</v>
      </c>
      <c r="G456" t="n">
        <v>163.0581</v>
      </c>
      <c r="H456" t="n">
        <v>31.4304</v>
      </c>
      <c r="I456" t="n">
        <v>20.2685</v>
      </c>
      <c r="J456" t="n">
        <v>98.7323</v>
      </c>
      <c r="K456" t="n">
        <v>222813.21</v>
      </c>
      <c r="L456" t="n">
        <v>672583.71</v>
      </c>
      <c r="M456" t="n">
        <v>163.0581</v>
      </c>
      <c r="N456" t="inlineStr">
        <is>
          <t>Provided Total Emissions</t>
        </is>
      </c>
      <c r="O456" t="b">
        <v>1</v>
      </c>
      <c r="P456" t="n">
        <v>0.007871</v>
      </c>
      <c r="Q456" t="n">
        <v>-0.000124</v>
      </c>
      <c r="R456" t="n">
        <v>191.8533</v>
      </c>
      <c r="S456" t="n">
        <v>93.8053</v>
      </c>
      <c r="T456" t="n">
        <v>28.7952</v>
      </c>
      <c r="U456" t="n">
        <v>-69.25279999999999</v>
      </c>
      <c r="V456" t="n">
        <v>0.176595</v>
      </c>
      <c r="W456" t="n">
        <v>-0.424713</v>
      </c>
      <c r="X456" t="inlineStr">
        <is>
          <t>High</t>
        </is>
      </c>
      <c r="Y456" t="inlineStr">
        <is>
          <t>None</t>
        </is>
      </c>
      <c r="Z456" t="inlineStr">
        <is>
          <t>Valid</t>
        </is>
      </c>
      <c r="AA456" t="n">
        <v>2031</v>
      </c>
      <c r="AB456" t="inlineStr">
        <is>
          <t>Industry Haircut Pathway</t>
        </is>
      </c>
      <c r="AC456" t="n">
        <v>151.9491</v>
      </c>
      <c r="AD456" t="n">
        <v>99.9217</v>
      </c>
      <c r="AE456" t="n">
        <v>118.6516</v>
      </c>
      <c r="AF456" t="n">
        <v>118.6516</v>
      </c>
      <c r="AG456" t="n">
        <v>33.2975</v>
      </c>
      <c r="AH456" t="n">
        <v>0.00053252</v>
      </c>
      <c r="AI456" t="n">
        <v>0.219136</v>
      </c>
      <c r="AJ456" t="n">
        <v>18.7299</v>
      </c>
      <c r="AK456" t="n">
        <v>2.0811</v>
      </c>
      <c r="AL456" t="n">
        <v>724.4829</v>
      </c>
      <c r="AM456" t="n">
        <v>874.2643</v>
      </c>
      <c r="AN456" t="n">
        <v>0.95</v>
      </c>
      <c r="AO456" t="inlineStr">
        <is>
          <t>High</t>
        </is>
      </c>
      <c r="AP456" t="inlineStr">
        <is>
          <t>On Track to Glide Path</t>
        </is>
      </c>
    </row>
    <row r="457">
      <c r="A457" t="inlineStr">
        <is>
          <t>SUP-0029</t>
        </is>
      </c>
      <c r="B457" t="inlineStr">
        <is>
          <t>Electronics Supplier 029</t>
        </is>
      </c>
      <c r="C457" t="inlineStr">
        <is>
          <t>Electronics</t>
        </is>
      </c>
      <c r="D457" t="n">
        <v>2024</v>
      </c>
      <c r="E457" t="n">
        <v>2015</v>
      </c>
      <c r="F457" t="n">
        <v>2040</v>
      </c>
      <c r="G457" t="n">
        <v>163.0581</v>
      </c>
      <c r="H457" t="n">
        <v>31.4304</v>
      </c>
      <c r="I457" t="n">
        <v>20.2685</v>
      </c>
      <c r="J457" t="n">
        <v>98.7323</v>
      </c>
      <c r="K457" t="n">
        <v>222813.21</v>
      </c>
      <c r="L457" t="n">
        <v>672583.71</v>
      </c>
      <c r="M457" t="n">
        <v>163.0581</v>
      </c>
      <c r="N457" t="inlineStr">
        <is>
          <t>Provided Total Emissions</t>
        </is>
      </c>
      <c r="O457" t="b">
        <v>1</v>
      </c>
      <c r="P457" t="n">
        <v>0.007871</v>
      </c>
      <c r="Q457" t="n">
        <v>-0.000124</v>
      </c>
      <c r="R457" t="n">
        <v>191.8533</v>
      </c>
      <c r="S457" t="n">
        <v>93.8053</v>
      </c>
      <c r="T457" t="n">
        <v>28.7952</v>
      </c>
      <c r="U457" t="n">
        <v>-69.25279999999999</v>
      </c>
      <c r="V457" t="n">
        <v>0.176595</v>
      </c>
      <c r="W457" t="n">
        <v>-0.424713</v>
      </c>
      <c r="X457" t="inlineStr">
        <is>
          <t>High</t>
        </is>
      </c>
      <c r="Y457" t="inlineStr">
        <is>
          <t>None</t>
        </is>
      </c>
      <c r="Z457" t="inlineStr">
        <is>
          <t>Valid</t>
        </is>
      </c>
      <c r="AA457" t="n">
        <v>2032</v>
      </c>
      <c r="AB457" t="inlineStr">
        <is>
          <t>Industry Haircut Pathway</t>
        </is>
      </c>
      <c r="AC457" t="n">
        <v>151.9491</v>
      </c>
      <c r="AD457" t="n">
        <v>99.9217</v>
      </c>
      <c r="AE457" t="n">
        <v>116.5705</v>
      </c>
      <c r="AF457" t="n">
        <v>116.5705</v>
      </c>
      <c r="AG457" t="n">
        <v>35.3786</v>
      </c>
      <c r="AH457" t="n">
        <v>0.00052318</v>
      </c>
      <c r="AI457" t="n">
        <v>0.232832</v>
      </c>
      <c r="AJ457" t="n">
        <v>16.6488</v>
      </c>
      <c r="AK457" t="n">
        <v>2.0811</v>
      </c>
      <c r="AL457" t="n">
        <v>607.9124</v>
      </c>
      <c r="AM457" t="n">
        <v>990.8348</v>
      </c>
      <c r="AN457" t="n">
        <v>0.95</v>
      </c>
      <c r="AO457" t="inlineStr">
        <is>
          <t>High</t>
        </is>
      </c>
      <c r="AP457" t="inlineStr">
        <is>
          <t>On Track to Glide Path</t>
        </is>
      </c>
    </row>
    <row r="458">
      <c r="A458" t="inlineStr">
        <is>
          <t>SUP-0029</t>
        </is>
      </c>
      <c r="B458" t="inlineStr">
        <is>
          <t>Electronics Supplier 029</t>
        </is>
      </c>
      <c r="C458" t="inlineStr">
        <is>
          <t>Electronics</t>
        </is>
      </c>
      <c r="D458" t="n">
        <v>2024</v>
      </c>
      <c r="E458" t="n">
        <v>2015</v>
      </c>
      <c r="F458" t="n">
        <v>2040</v>
      </c>
      <c r="G458" t="n">
        <v>163.0581</v>
      </c>
      <c r="H458" t="n">
        <v>31.4304</v>
      </c>
      <c r="I458" t="n">
        <v>20.2685</v>
      </c>
      <c r="J458" t="n">
        <v>98.7323</v>
      </c>
      <c r="K458" t="n">
        <v>222813.21</v>
      </c>
      <c r="L458" t="n">
        <v>672583.71</v>
      </c>
      <c r="M458" t="n">
        <v>163.0581</v>
      </c>
      <c r="N458" t="inlineStr">
        <is>
          <t>Provided Total Emissions</t>
        </is>
      </c>
      <c r="O458" t="b">
        <v>1</v>
      </c>
      <c r="P458" t="n">
        <v>0.007871</v>
      </c>
      <c r="Q458" t="n">
        <v>-0.000124</v>
      </c>
      <c r="R458" t="n">
        <v>191.8533</v>
      </c>
      <c r="S458" t="n">
        <v>93.8053</v>
      </c>
      <c r="T458" t="n">
        <v>28.7952</v>
      </c>
      <c r="U458" t="n">
        <v>-69.25279999999999</v>
      </c>
      <c r="V458" t="n">
        <v>0.176595</v>
      </c>
      <c r="W458" t="n">
        <v>-0.424713</v>
      </c>
      <c r="X458" t="inlineStr">
        <is>
          <t>High</t>
        </is>
      </c>
      <c r="Y458" t="inlineStr">
        <is>
          <t>None</t>
        </is>
      </c>
      <c r="Z458" t="inlineStr">
        <is>
          <t>Valid</t>
        </is>
      </c>
      <c r="AA458" t="n">
        <v>2033</v>
      </c>
      <c r="AB458" t="inlineStr">
        <is>
          <t>Industry Haircut Pathway</t>
        </is>
      </c>
      <c r="AC458" t="n">
        <v>151.9491</v>
      </c>
      <c r="AD458" t="n">
        <v>99.9217</v>
      </c>
      <c r="AE458" t="n">
        <v>114.4894</v>
      </c>
      <c r="AF458" t="n">
        <v>114.4894</v>
      </c>
      <c r="AG458" t="n">
        <v>37.4597</v>
      </c>
      <c r="AH458" t="n">
        <v>0.00051384</v>
      </c>
      <c r="AI458" t="n">
        <v>0.246528</v>
      </c>
      <c r="AJ458" t="n">
        <v>14.5677</v>
      </c>
      <c r="AK458" t="n">
        <v>2.0811</v>
      </c>
      <c r="AL458" t="n">
        <v>493.423</v>
      </c>
      <c r="AM458" t="n">
        <v>1105.3242</v>
      </c>
      <c r="AN458" t="n">
        <v>0.95</v>
      </c>
      <c r="AO458" t="inlineStr">
        <is>
          <t>Medium</t>
        </is>
      </c>
      <c r="AP458" t="inlineStr">
        <is>
          <t>On Track to Glide Path</t>
        </is>
      </c>
    </row>
    <row r="459">
      <c r="A459" t="inlineStr">
        <is>
          <t>SUP-0029</t>
        </is>
      </c>
      <c r="B459" t="inlineStr">
        <is>
          <t>Electronics Supplier 029</t>
        </is>
      </c>
      <c r="C459" t="inlineStr">
        <is>
          <t>Electronics</t>
        </is>
      </c>
      <c r="D459" t="n">
        <v>2024</v>
      </c>
      <c r="E459" t="n">
        <v>2015</v>
      </c>
      <c r="F459" t="n">
        <v>2040</v>
      </c>
      <c r="G459" t="n">
        <v>163.0581</v>
      </c>
      <c r="H459" t="n">
        <v>31.4304</v>
      </c>
      <c r="I459" t="n">
        <v>20.2685</v>
      </c>
      <c r="J459" t="n">
        <v>98.7323</v>
      </c>
      <c r="K459" t="n">
        <v>222813.21</v>
      </c>
      <c r="L459" t="n">
        <v>672583.71</v>
      </c>
      <c r="M459" t="n">
        <v>163.0581</v>
      </c>
      <c r="N459" t="inlineStr">
        <is>
          <t>Provided Total Emissions</t>
        </is>
      </c>
      <c r="O459" t="b">
        <v>1</v>
      </c>
      <c r="P459" t="n">
        <v>0.007871</v>
      </c>
      <c r="Q459" t="n">
        <v>-0.000124</v>
      </c>
      <c r="R459" t="n">
        <v>191.8533</v>
      </c>
      <c r="S459" t="n">
        <v>93.8053</v>
      </c>
      <c r="T459" t="n">
        <v>28.7952</v>
      </c>
      <c r="U459" t="n">
        <v>-69.25279999999999</v>
      </c>
      <c r="V459" t="n">
        <v>0.176595</v>
      </c>
      <c r="W459" t="n">
        <v>-0.424713</v>
      </c>
      <c r="X459" t="inlineStr">
        <is>
          <t>High</t>
        </is>
      </c>
      <c r="Y459" t="inlineStr">
        <is>
          <t>None</t>
        </is>
      </c>
      <c r="Z459" t="inlineStr">
        <is>
          <t>Valid</t>
        </is>
      </c>
      <c r="AA459" t="n">
        <v>2034</v>
      </c>
      <c r="AB459" t="inlineStr">
        <is>
          <t>Industry Haircut Pathway</t>
        </is>
      </c>
      <c r="AC459" t="n">
        <v>151.9491</v>
      </c>
      <c r="AD459" t="n">
        <v>99.9217</v>
      </c>
      <c r="AE459" t="n">
        <v>112.4083</v>
      </c>
      <c r="AF459" t="n">
        <v>112.4083</v>
      </c>
      <c r="AG459" t="n">
        <v>39.5408</v>
      </c>
      <c r="AH459" t="n">
        <v>0.0005045</v>
      </c>
      <c r="AI459" t="n">
        <v>0.260224</v>
      </c>
      <c r="AJ459" t="n">
        <v>12.4866</v>
      </c>
      <c r="AK459" t="n">
        <v>2.0811</v>
      </c>
      <c r="AL459" t="n">
        <v>381.0147</v>
      </c>
      <c r="AM459" t="n">
        <v>1217.7325</v>
      </c>
      <c r="AN459" t="n">
        <v>0.95</v>
      </c>
      <c r="AO459" t="inlineStr">
        <is>
          <t>Medium</t>
        </is>
      </c>
      <c r="AP459" t="inlineStr">
        <is>
          <t>On Track to Glide Path</t>
        </is>
      </c>
    </row>
    <row r="460">
      <c r="A460" t="inlineStr">
        <is>
          <t>SUP-0029</t>
        </is>
      </c>
      <c r="B460" t="inlineStr">
        <is>
          <t>Electronics Supplier 029</t>
        </is>
      </c>
      <c r="C460" t="inlineStr">
        <is>
          <t>Electronics</t>
        </is>
      </c>
      <c r="D460" t="n">
        <v>2024</v>
      </c>
      <c r="E460" t="n">
        <v>2015</v>
      </c>
      <c r="F460" t="n">
        <v>2040</v>
      </c>
      <c r="G460" t="n">
        <v>163.0581</v>
      </c>
      <c r="H460" t="n">
        <v>31.4304</v>
      </c>
      <c r="I460" t="n">
        <v>20.2685</v>
      </c>
      <c r="J460" t="n">
        <v>98.7323</v>
      </c>
      <c r="K460" t="n">
        <v>222813.21</v>
      </c>
      <c r="L460" t="n">
        <v>672583.71</v>
      </c>
      <c r="M460" t="n">
        <v>163.0581</v>
      </c>
      <c r="N460" t="inlineStr">
        <is>
          <t>Provided Total Emissions</t>
        </is>
      </c>
      <c r="O460" t="b">
        <v>1</v>
      </c>
      <c r="P460" t="n">
        <v>0.007871</v>
      </c>
      <c r="Q460" t="n">
        <v>-0.000124</v>
      </c>
      <c r="R460" t="n">
        <v>191.8533</v>
      </c>
      <c r="S460" t="n">
        <v>93.8053</v>
      </c>
      <c r="T460" t="n">
        <v>28.7952</v>
      </c>
      <c r="U460" t="n">
        <v>-69.25279999999999</v>
      </c>
      <c r="V460" t="n">
        <v>0.176595</v>
      </c>
      <c r="W460" t="n">
        <v>-0.424713</v>
      </c>
      <c r="X460" t="inlineStr">
        <is>
          <t>High</t>
        </is>
      </c>
      <c r="Y460" t="inlineStr">
        <is>
          <t>None</t>
        </is>
      </c>
      <c r="Z460" t="inlineStr">
        <is>
          <t>Valid</t>
        </is>
      </c>
      <c r="AA460" t="n">
        <v>2035</v>
      </c>
      <c r="AB460" t="inlineStr">
        <is>
          <t>Industry Haircut Pathway</t>
        </is>
      </c>
      <c r="AC460" t="n">
        <v>151.9491</v>
      </c>
      <c r="AD460" t="n">
        <v>99.9217</v>
      </c>
      <c r="AE460" t="n">
        <v>110.3272</v>
      </c>
      <c r="AF460" t="n">
        <v>110.3272</v>
      </c>
      <c r="AG460" t="n">
        <v>41.6219</v>
      </c>
      <c r="AH460" t="n">
        <v>0.00049516</v>
      </c>
      <c r="AI460" t="n">
        <v>0.27392</v>
      </c>
      <c r="AJ460" t="n">
        <v>10.4055</v>
      </c>
      <c r="AK460" t="n">
        <v>2.0811</v>
      </c>
      <c r="AL460" t="n">
        <v>270.6875</v>
      </c>
      <c r="AM460" t="n">
        <v>1328.0597</v>
      </c>
      <c r="AN460" t="n">
        <v>0.95</v>
      </c>
      <c r="AO460" t="inlineStr">
        <is>
          <t>Medium</t>
        </is>
      </c>
      <c r="AP460" t="inlineStr">
        <is>
          <t>On Track to Glide Path</t>
        </is>
      </c>
    </row>
    <row r="461">
      <c r="A461" t="inlineStr">
        <is>
          <t>SUP-0029</t>
        </is>
      </c>
      <c r="B461" t="inlineStr">
        <is>
          <t>Electronics Supplier 029</t>
        </is>
      </c>
      <c r="C461" t="inlineStr">
        <is>
          <t>Electronics</t>
        </is>
      </c>
      <c r="D461" t="n">
        <v>2024</v>
      </c>
      <c r="E461" t="n">
        <v>2015</v>
      </c>
      <c r="F461" t="n">
        <v>2040</v>
      </c>
      <c r="G461" t="n">
        <v>163.0581</v>
      </c>
      <c r="H461" t="n">
        <v>31.4304</v>
      </c>
      <c r="I461" t="n">
        <v>20.2685</v>
      </c>
      <c r="J461" t="n">
        <v>98.7323</v>
      </c>
      <c r="K461" t="n">
        <v>222813.21</v>
      </c>
      <c r="L461" t="n">
        <v>672583.71</v>
      </c>
      <c r="M461" t="n">
        <v>163.0581</v>
      </c>
      <c r="N461" t="inlineStr">
        <is>
          <t>Provided Total Emissions</t>
        </is>
      </c>
      <c r="O461" t="b">
        <v>1</v>
      </c>
      <c r="P461" t="n">
        <v>0.007871</v>
      </c>
      <c r="Q461" t="n">
        <v>-0.000124</v>
      </c>
      <c r="R461" t="n">
        <v>191.8533</v>
      </c>
      <c r="S461" t="n">
        <v>93.8053</v>
      </c>
      <c r="T461" t="n">
        <v>28.7952</v>
      </c>
      <c r="U461" t="n">
        <v>-69.25279999999999</v>
      </c>
      <c r="V461" t="n">
        <v>0.176595</v>
      </c>
      <c r="W461" t="n">
        <v>-0.424713</v>
      </c>
      <c r="X461" t="inlineStr">
        <is>
          <t>High</t>
        </is>
      </c>
      <c r="Y461" t="inlineStr">
        <is>
          <t>None</t>
        </is>
      </c>
      <c r="Z461" t="inlineStr">
        <is>
          <t>Valid</t>
        </is>
      </c>
      <c r="AA461" t="n">
        <v>2036</v>
      </c>
      <c r="AB461" t="inlineStr">
        <is>
          <t>Industry Haircut Pathway</t>
        </is>
      </c>
      <c r="AC461" t="n">
        <v>151.9491</v>
      </c>
      <c r="AD461" t="n">
        <v>99.9217</v>
      </c>
      <c r="AE461" t="n">
        <v>108.2461</v>
      </c>
      <c r="AF461" t="n">
        <v>108.2461</v>
      </c>
      <c r="AG461" t="n">
        <v>43.703</v>
      </c>
      <c r="AH461" t="n">
        <v>0.00048582</v>
      </c>
      <c r="AI461" t="n">
        <v>0.287616</v>
      </c>
      <c r="AJ461" t="n">
        <v>8.324400000000001</v>
      </c>
      <c r="AK461" t="n">
        <v>2.0811</v>
      </c>
      <c r="AL461" t="n">
        <v>162.4414</v>
      </c>
      <c r="AM461" t="n">
        <v>1436.3058</v>
      </c>
      <c r="AN461" t="n">
        <v>0.95</v>
      </c>
      <c r="AO461" t="inlineStr">
        <is>
          <t>Medium</t>
        </is>
      </c>
      <c r="AP461" t="inlineStr">
        <is>
          <t>On Track to Glide Path</t>
        </is>
      </c>
    </row>
    <row r="462">
      <c r="A462" t="inlineStr">
        <is>
          <t>SUP-0029</t>
        </is>
      </c>
      <c r="B462" t="inlineStr">
        <is>
          <t>Electronics Supplier 029</t>
        </is>
      </c>
      <c r="C462" t="inlineStr">
        <is>
          <t>Electronics</t>
        </is>
      </c>
      <c r="D462" t="n">
        <v>2024</v>
      </c>
      <c r="E462" t="n">
        <v>2015</v>
      </c>
      <c r="F462" t="n">
        <v>2040</v>
      </c>
      <c r="G462" t="n">
        <v>163.0581</v>
      </c>
      <c r="H462" t="n">
        <v>31.4304</v>
      </c>
      <c r="I462" t="n">
        <v>20.2685</v>
      </c>
      <c r="J462" t="n">
        <v>98.7323</v>
      </c>
      <c r="K462" t="n">
        <v>222813.21</v>
      </c>
      <c r="L462" t="n">
        <v>672583.71</v>
      </c>
      <c r="M462" t="n">
        <v>163.0581</v>
      </c>
      <c r="N462" t="inlineStr">
        <is>
          <t>Provided Total Emissions</t>
        </is>
      </c>
      <c r="O462" t="b">
        <v>1</v>
      </c>
      <c r="P462" t="n">
        <v>0.007871</v>
      </c>
      <c r="Q462" t="n">
        <v>-0.000124</v>
      </c>
      <c r="R462" t="n">
        <v>191.8533</v>
      </c>
      <c r="S462" t="n">
        <v>93.8053</v>
      </c>
      <c r="T462" t="n">
        <v>28.7952</v>
      </c>
      <c r="U462" t="n">
        <v>-69.25279999999999</v>
      </c>
      <c r="V462" t="n">
        <v>0.176595</v>
      </c>
      <c r="W462" t="n">
        <v>-0.424713</v>
      </c>
      <c r="X462" t="inlineStr">
        <is>
          <t>High</t>
        </is>
      </c>
      <c r="Y462" t="inlineStr">
        <is>
          <t>None</t>
        </is>
      </c>
      <c r="Z462" t="inlineStr">
        <is>
          <t>Valid</t>
        </is>
      </c>
      <c r="AA462" t="n">
        <v>2037</v>
      </c>
      <c r="AB462" t="inlineStr">
        <is>
          <t>Industry Haircut Pathway</t>
        </is>
      </c>
      <c r="AC462" t="n">
        <v>151.9491</v>
      </c>
      <c r="AD462" t="n">
        <v>99.9217</v>
      </c>
      <c r="AE462" t="n">
        <v>106.165</v>
      </c>
      <c r="AF462" t="n">
        <v>106.165</v>
      </c>
      <c r="AG462" t="n">
        <v>45.7841</v>
      </c>
      <c r="AH462" t="n">
        <v>0.00047648</v>
      </c>
      <c r="AI462" t="n">
        <v>0.301312</v>
      </c>
      <c r="AJ462" t="n">
        <v>6.2433</v>
      </c>
      <c r="AK462" t="n">
        <v>2.0811</v>
      </c>
      <c r="AL462" t="n">
        <v>56.2764</v>
      </c>
      <c r="AM462" t="n">
        <v>1542.4708</v>
      </c>
      <c r="AN462" t="n">
        <v>0.95</v>
      </c>
      <c r="AO462" t="inlineStr">
        <is>
          <t>Medium</t>
        </is>
      </c>
      <c r="AP462" t="inlineStr">
        <is>
          <t>On Track to Glide Path</t>
        </is>
      </c>
    </row>
    <row r="463">
      <c r="A463" t="inlineStr">
        <is>
          <t>SUP-0029</t>
        </is>
      </c>
      <c r="B463" t="inlineStr">
        <is>
          <t>Electronics Supplier 029</t>
        </is>
      </c>
      <c r="C463" t="inlineStr">
        <is>
          <t>Electronics</t>
        </is>
      </c>
      <c r="D463" t="n">
        <v>2024</v>
      </c>
      <c r="E463" t="n">
        <v>2015</v>
      </c>
      <c r="F463" t="n">
        <v>2040</v>
      </c>
      <c r="G463" t="n">
        <v>163.0581</v>
      </c>
      <c r="H463" t="n">
        <v>31.4304</v>
      </c>
      <c r="I463" t="n">
        <v>20.2685</v>
      </c>
      <c r="J463" t="n">
        <v>98.7323</v>
      </c>
      <c r="K463" t="n">
        <v>222813.21</v>
      </c>
      <c r="L463" t="n">
        <v>672583.71</v>
      </c>
      <c r="M463" t="n">
        <v>163.0581</v>
      </c>
      <c r="N463" t="inlineStr">
        <is>
          <t>Provided Total Emissions</t>
        </is>
      </c>
      <c r="O463" t="b">
        <v>1</v>
      </c>
      <c r="P463" t="n">
        <v>0.007871</v>
      </c>
      <c r="Q463" t="n">
        <v>-0.000124</v>
      </c>
      <c r="R463" t="n">
        <v>191.8533</v>
      </c>
      <c r="S463" t="n">
        <v>93.8053</v>
      </c>
      <c r="T463" t="n">
        <v>28.7952</v>
      </c>
      <c r="U463" t="n">
        <v>-69.25279999999999</v>
      </c>
      <c r="V463" t="n">
        <v>0.176595</v>
      </c>
      <c r="W463" t="n">
        <v>-0.424713</v>
      </c>
      <c r="X463" t="inlineStr">
        <is>
          <t>High</t>
        </is>
      </c>
      <c r="Y463" t="inlineStr">
        <is>
          <t>None</t>
        </is>
      </c>
      <c r="Z463" t="inlineStr">
        <is>
          <t>Valid</t>
        </is>
      </c>
      <c r="AA463" t="n">
        <v>2038</v>
      </c>
      <c r="AB463" t="inlineStr">
        <is>
          <t>Industry Haircut Pathway</t>
        </is>
      </c>
      <c r="AC463" t="n">
        <v>151.9491</v>
      </c>
      <c r="AD463" t="n">
        <v>99.9217</v>
      </c>
      <c r="AE463" t="n">
        <v>104.0839</v>
      </c>
      <c r="AF463" t="n">
        <v>104.0839</v>
      </c>
      <c r="AG463" t="n">
        <v>47.8652</v>
      </c>
      <c r="AH463" t="n">
        <v>0.00046714</v>
      </c>
      <c r="AI463" t="n">
        <v>0.315008</v>
      </c>
      <c r="AJ463" t="n">
        <v>4.1622</v>
      </c>
      <c r="AK463" t="n">
        <v>2.0811</v>
      </c>
      <c r="AL463" t="n">
        <v>-47.8075</v>
      </c>
      <c r="AM463" t="n">
        <v>1646.5547</v>
      </c>
      <c r="AN463" t="n">
        <v>0.95</v>
      </c>
      <c r="AO463" t="inlineStr">
        <is>
          <t>Medium</t>
        </is>
      </c>
      <c r="AP463" t="inlineStr">
        <is>
          <t>On Track to Glide Path</t>
        </is>
      </c>
    </row>
    <row r="464">
      <c r="A464" t="inlineStr">
        <is>
          <t>SUP-0029</t>
        </is>
      </c>
      <c r="B464" t="inlineStr">
        <is>
          <t>Electronics Supplier 029</t>
        </is>
      </c>
      <c r="C464" t="inlineStr">
        <is>
          <t>Electronics</t>
        </is>
      </c>
      <c r="D464" t="n">
        <v>2024</v>
      </c>
      <c r="E464" t="n">
        <v>2015</v>
      </c>
      <c r="F464" t="n">
        <v>2040</v>
      </c>
      <c r="G464" t="n">
        <v>163.0581</v>
      </c>
      <c r="H464" t="n">
        <v>31.4304</v>
      </c>
      <c r="I464" t="n">
        <v>20.2685</v>
      </c>
      <c r="J464" t="n">
        <v>98.7323</v>
      </c>
      <c r="K464" t="n">
        <v>222813.21</v>
      </c>
      <c r="L464" t="n">
        <v>672583.71</v>
      </c>
      <c r="M464" t="n">
        <v>163.0581</v>
      </c>
      <c r="N464" t="inlineStr">
        <is>
          <t>Provided Total Emissions</t>
        </is>
      </c>
      <c r="O464" t="b">
        <v>1</v>
      </c>
      <c r="P464" t="n">
        <v>0.007871</v>
      </c>
      <c r="Q464" t="n">
        <v>-0.000124</v>
      </c>
      <c r="R464" t="n">
        <v>191.8533</v>
      </c>
      <c r="S464" t="n">
        <v>93.8053</v>
      </c>
      <c r="T464" t="n">
        <v>28.7952</v>
      </c>
      <c r="U464" t="n">
        <v>-69.25279999999999</v>
      </c>
      <c r="V464" t="n">
        <v>0.176595</v>
      </c>
      <c r="W464" t="n">
        <v>-0.424713</v>
      </c>
      <c r="X464" t="inlineStr">
        <is>
          <t>High</t>
        </is>
      </c>
      <c r="Y464" t="inlineStr">
        <is>
          <t>None</t>
        </is>
      </c>
      <c r="Z464" t="inlineStr">
        <is>
          <t>Valid</t>
        </is>
      </c>
      <c r="AA464" t="n">
        <v>2039</v>
      </c>
      <c r="AB464" t="inlineStr">
        <is>
          <t>Industry Haircut Pathway</t>
        </is>
      </c>
      <c r="AC464" t="n">
        <v>151.9491</v>
      </c>
      <c r="AD464" t="n">
        <v>99.9217</v>
      </c>
      <c r="AE464" t="n">
        <v>102.0028</v>
      </c>
      <c r="AF464" t="n">
        <v>102.0028</v>
      </c>
      <c r="AG464" t="n">
        <v>49.9463</v>
      </c>
      <c r="AH464" t="n">
        <v>0.0004578</v>
      </c>
      <c r="AI464" t="n">
        <v>0.328704</v>
      </c>
      <c r="AJ464" t="n">
        <v>2.0811</v>
      </c>
      <c r="AK464" t="n">
        <v>2.0811</v>
      </c>
      <c r="AL464" t="n">
        <v>-149.8103</v>
      </c>
      <c r="AM464" t="n">
        <v>1748.5575</v>
      </c>
      <c r="AN464" t="n">
        <v>0.95</v>
      </c>
      <c r="AO464" t="inlineStr">
        <is>
          <t>Medium</t>
        </is>
      </c>
      <c r="AP464" t="inlineStr">
        <is>
          <t>On Track to Glide Path</t>
        </is>
      </c>
    </row>
    <row r="465">
      <c r="A465" t="inlineStr">
        <is>
          <t>SUP-0029</t>
        </is>
      </c>
      <c r="B465" t="inlineStr">
        <is>
          <t>Electronics Supplier 029</t>
        </is>
      </c>
      <c r="C465" t="inlineStr">
        <is>
          <t>Electronics</t>
        </is>
      </c>
      <c r="D465" t="n">
        <v>2024</v>
      </c>
      <c r="E465" t="n">
        <v>2015</v>
      </c>
      <c r="F465" t="n">
        <v>2040</v>
      </c>
      <c r="G465" t="n">
        <v>163.0581</v>
      </c>
      <c r="H465" t="n">
        <v>31.4304</v>
      </c>
      <c r="I465" t="n">
        <v>20.2685</v>
      </c>
      <c r="J465" t="n">
        <v>98.7323</v>
      </c>
      <c r="K465" t="n">
        <v>222813.21</v>
      </c>
      <c r="L465" t="n">
        <v>672583.71</v>
      </c>
      <c r="M465" t="n">
        <v>163.0581</v>
      </c>
      <c r="N465" t="inlineStr">
        <is>
          <t>Provided Total Emissions</t>
        </is>
      </c>
      <c r="O465" t="b">
        <v>1</v>
      </c>
      <c r="P465" t="n">
        <v>0.007871</v>
      </c>
      <c r="Q465" t="n">
        <v>-0.000124</v>
      </c>
      <c r="R465" t="n">
        <v>191.8533</v>
      </c>
      <c r="S465" t="n">
        <v>93.8053</v>
      </c>
      <c r="T465" t="n">
        <v>28.7952</v>
      </c>
      <c r="U465" t="n">
        <v>-69.25279999999999</v>
      </c>
      <c r="V465" t="n">
        <v>0.176595</v>
      </c>
      <c r="W465" t="n">
        <v>-0.424713</v>
      </c>
      <c r="X465" t="inlineStr">
        <is>
          <t>High</t>
        </is>
      </c>
      <c r="Y465" t="inlineStr">
        <is>
          <t>None</t>
        </is>
      </c>
      <c r="Z465" t="inlineStr">
        <is>
          <t>Valid</t>
        </is>
      </c>
      <c r="AA465" t="n">
        <v>2040</v>
      </c>
      <c r="AB465" t="inlineStr">
        <is>
          <t>Industry Haircut Pathway</t>
        </is>
      </c>
      <c r="AC465" t="n">
        <v>151.9491</v>
      </c>
      <c r="AD465" t="n">
        <v>99.9217</v>
      </c>
      <c r="AE465" t="n">
        <v>99.9217</v>
      </c>
      <c r="AF465" t="n">
        <v>99.9217</v>
      </c>
      <c r="AG465" t="n">
        <v>52.0274</v>
      </c>
      <c r="AH465" t="n">
        <v>0.00044846</v>
      </c>
      <c r="AI465" t="n">
        <v>0.3424</v>
      </c>
      <c r="AJ465" t="n">
        <v>0</v>
      </c>
      <c r="AK465" t="n">
        <v>2.0811</v>
      </c>
      <c r="AL465" t="n">
        <v>-249.732</v>
      </c>
      <c r="AM465" t="n">
        <v>1848.4792</v>
      </c>
      <c r="AN465" t="n">
        <v>0.95</v>
      </c>
      <c r="AO465" t="inlineStr">
        <is>
          <t>Low</t>
        </is>
      </c>
      <c r="AP465" t="inlineStr">
        <is>
          <t>On Track</t>
        </is>
      </c>
    </row>
    <row r="466">
      <c r="A466" t="inlineStr">
        <is>
          <t>SUP-0030</t>
        </is>
      </c>
      <c r="B466" t="inlineStr">
        <is>
          <t>Agriculture Supplier 030</t>
        </is>
      </c>
      <c r="C466" t="inlineStr">
        <is>
          <t>Agriculture</t>
        </is>
      </c>
      <c r="D466" t="n">
        <v>2024</v>
      </c>
      <c r="E466" t="n">
        <v>2015</v>
      </c>
      <c r="F466" t="n">
        <v>2040</v>
      </c>
      <c r="G466" t="n">
        <v>26332.4931</v>
      </c>
      <c r="H466" t="n">
        <v>5330.482</v>
      </c>
      <c r="I466" t="n">
        <v>1911.2776</v>
      </c>
      <c r="J466" t="n">
        <v>20152.7191</v>
      </c>
      <c r="K466" t="n">
        <v>33628613.81</v>
      </c>
      <c r="L466" t="n">
        <v>276886307.65</v>
      </c>
      <c r="M466" t="n">
        <v>26332.4931</v>
      </c>
      <c r="N466" t="inlineStr">
        <is>
          <t>Provided Total Emissions</t>
        </is>
      </c>
      <c r="O466" t="b">
        <v>1</v>
      </c>
      <c r="P466" t="n">
        <v>0.032266</v>
      </c>
      <c r="Q466" t="n">
        <v>0.072517</v>
      </c>
      <c r="R466" t="n">
        <v>30740.9247</v>
      </c>
      <c r="S466" t="n">
        <v>268338.8273</v>
      </c>
      <c r="T466" t="n">
        <v>4408.4316</v>
      </c>
      <c r="U466" t="n">
        <v>242006.3342</v>
      </c>
      <c r="V466" t="n">
        <v>0.167414</v>
      </c>
      <c r="W466" t="n">
        <v>9.190407</v>
      </c>
      <c r="X466" t="inlineStr">
        <is>
          <t>High</t>
        </is>
      </c>
      <c r="Y466" t="inlineStr">
        <is>
          <t>None</t>
        </is>
      </c>
      <c r="Z466" t="inlineStr">
        <is>
          <t>Valid</t>
        </is>
      </c>
      <c r="AA466" t="n">
        <v>2025</v>
      </c>
      <c r="AB466" t="inlineStr">
        <is>
          <t>Historical Trend Pathway</t>
        </is>
      </c>
      <c r="AC466" t="n">
        <v>19786.4407</v>
      </c>
      <c r="AD466" t="n">
        <v>18797.1187</v>
      </c>
      <c r="AE466" t="n">
        <v>27553.1055</v>
      </c>
      <c r="AF466" t="n">
        <v>19390.7119</v>
      </c>
      <c r="AG466" t="n">
        <v>-7766.6648</v>
      </c>
      <c r="AH466" t="n">
        <v>0.00081934</v>
      </c>
      <c r="AI466" t="n">
        <v>-0.392525</v>
      </c>
      <c r="AJ466" t="n">
        <v>8755.9869</v>
      </c>
      <c r="AK466" t="n">
        <v>39.5729</v>
      </c>
      <c r="AL466" t="n">
        <v>273200.7937</v>
      </c>
      <c r="AM466" t="n">
        <v>27553.1055</v>
      </c>
      <c r="AN466" t="n">
        <v>0.88</v>
      </c>
      <c r="AO466" t="inlineStr">
        <is>
          <t>Critical</t>
        </is>
      </c>
      <c r="AP466" t="inlineStr">
        <is>
          <t>Off Track</t>
        </is>
      </c>
    </row>
    <row r="467">
      <c r="A467" t="inlineStr">
        <is>
          <t>SUP-0030</t>
        </is>
      </c>
      <c r="B467" t="inlineStr">
        <is>
          <t>Agriculture Supplier 030</t>
        </is>
      </c>
      <c r="C467" t="inlineStr">
        <is>
          <t>Agriculture</t>
        </is>
      </c>
      <c r="D467" t="n">
        <v>2024</v>
      </c>
      <c r="E467" t="n">
        <v>2015</v>
      </c>
      <c r="F467" t="n">
        <v>2040</v>
      </c>
      <c r="G467" t="n">
        <v>26332.4931</v>
      </c>
      <c r="H467" t="n">
        <v>5330.482</v>
      </c>
      <c r="I467" t="n">
        <v>1911.2776</v>
      </c>
      <c r="J467" t="n">
        <v>20152.7191</v>
      </c>
      <c r="K467" t="n">
        <v>33628613.81</v>
      </c>
      <c r="L467" t="n">
        <v>276886307.65</v>
      </c>
      <c r="M467" t="n">
        <v>26332.4931</v>
      </c>
      <c r="N467" t="inlineStr">
        <is>
          <t>Provided Total Emissions</t>
        </is>
      </c>
      <c r="O467" t="b">
        <v>1</v>
      </c>
      <c r="P467" t="n">
        <v>0.032266</v>
      </c>
      <c r="Q467" t="n">
        <v>0.072517</v>
      </c>
      <c r="R467" t="n">
        <v>30740.9247</v>
      </c>
      <c r="S467" t="n">
        <v>268338.8273</v>
      </c>
      <c r="T467" t="n">
        <v>4408.4316</v>
      </c>
      <c r="U467" t="n">
        <v>242006.3342</v>
      </c>
      <c r="V467" t="n">
        <v>0.167414</v>
      </c>
      <c r="W467" t="n">
        <v>9.190407</v>
      </c>
      <c r="X467" t="inlineStr">
        <is>
          <t>High</t>
        </is>
      </c>
      <c r="Y467" t="inlineStr">
        <is>
          <t>None</t>
        </is>
      </c>
      <c r="Z467" t="inlineStr">
        <is>
          <t>Valid</t>
        </is>
      </c>
      <c r="AA467" t="n">
        <v>2026</v>
      </c>
      <c r="AB467" t="inlineStr">
        <is>
          <t>Historical Trend Pathway</t>
        </is>
      </c>
      <c r="AC467" t="n">
        <v>19786.4407</v>
      </c>
      <c r="AD467" t="n">
        <v>18797.1187</v>
      </c>
      <c r="AE467" t="n">
        <v>28830.2981</v>
      </c>
      <c r="AF467" t="n">
        <v>19351.139</v>
      </c>
      <c r="AG467" t="n">
        <v>-9043.857400000001</v>
      </c>
      <c r="AH467" t="n">
        <v>0.00085731</v>
      </c>
      <c r="AI467" t="n">
        <v>-0.457073</v>
      </c>
      <c r="AJ467" t="n">
        <v>10033.1794</v>
      </c>
      <c r="AK467" t="n">
        <v>39.5729</v>
      </c>
      <c r="AL467" t="n">
        <v>244370.4956</v>
      </c>
      <c r="AM467" t="n">
        <v>56383.4036</v>
      </c>
      <c r="AN467" t="n">
        <v>0.88</v>
      </c>
      <c r="AO467" t="inlineStr">
        <is>
          <t>Critical</t>
        </is>
      </c>
      <c r="AP467" t="inlineStr">
        <is>
          <t>Off Track</t>
        </is>
      </c>
    </row>
    <row r="468">
      <c r="A468" t="inlineStr">
        <is>
          <t>SUP-0030</t>
        </is>
      </c>
      <c r="B468" t="inlineStr">
        <is>
          <t>Agriculture Supplier 030</t>
        </is>
      </c>
      <c r="C468" t="inlineStr">
        <is>
          <t>Agriculture</t>
        </is>
      </c>
      <c r="D468" t="n">
        <v>2024</v>
      </c>
      <c r="E468" t="n">
        <v>2015</v>
      </c>
      <c r="F468" t="n">
        <v>2040</v>
      </c>
      <c r="G468" t="n">
        <v>26332.4931</v>
      </c>
      <c r="H468" t="n">
        <v>5330.482</v>
      </c>
      <c r="I468" t="n">
        <v>1911.2776</v>
      </c>
      <c r="J468" t="n">
        <v>20152.7191</v>
      </c>
      <c r="K468" t="n">
        <v>33628613.81</v>
      </c>
      <c r="L468" t="n">
        <v>276886307.65</v>
      </c>
      <c r="M468" t="n">
        <v>26332.4931</v>
      </c>
      <c r="N468" t="inlineStr">
        <is>
          <t>Provided Total Emissions</t>
        </is>
      </c>
      <c r="O468" t="b">
        <v>1</v>
      </c>
      <c r="P468" t="n">
        <v>0.032266</v>
      </c>
      <c r="Q468" t="n">
        <v>0.072517</v>
      </c>
      <c r="R468" t="n">
        <v>30740.9247</v>
      </c>
      <c r="S468" t="n">
        <v>268338.8273</v>
      </c>
      <c r="T468" t="n">
        <v>4408.4316</v>
      </c>
      <c r="U468" t="n">
        <v>242006.3342</v>
      </c>
      <c r="V468" t="n">
        <v>0.167414</v>
      </c>
      <c r="W468" t="n">
        <v>9.190407</v>
      </c>
      <c r="X468" t="inlineStr">
        <is>
          <t>High</t>
        </is>
      </c>
      <c r="Y468" t="inlineStr">
        <is>
          <t>None</t>
        </is>
      </c>
      <c r="Z468" t="inlineStr">
        <is>
          <t>Valid</t>
        </is>
      </c>
      <c r="AA468" t="n">
        <v>2027</v>
      </c>
      <c r="AB468" t="inlineStr">
        <is>
          <t>Historical Trend Pathway</t>
        </is>
      </c>
      <c r="AC468" t="n">
        <v>19786.4407</v>
      </c>
      <c r="AD468" t="n">
        <v>18797.1187</v>
      </c>
      <c r="AE468" t="n">
        <v>30166.6934</v>
      </c>
      <c r="AF468" t="n">
        <v>19311.5661</v>
      </c>
      <c r="AG468" t="n">
        <v>-10380.2527</v>
      </c>
      <c r="AH468" t="n">
        <v>0.00089705</v>
      </c>
      <c r="AI468" t="n">
        <v>-0.524614</v>
      </c>
      <c r="AJ468" t="n">
        <v>11369.5747</v>
      </c>
      <c r="AK468" t="n">
        <v>39.5729</v>
      </c>
      <c r="AL468" t="n">
        <v>214203.8022</v>
      </c>
      <c r="AM468" t="n">
        <v>86550.09699999999</v>
      </c>
      <c r="AN468" t="n">
        <v>0.88</v>
      </c>
      <c r="AO468" t="inlineStr">
        <is>
          <t>Critical</t>
        </is>
      </c>
      <c r="AP468" t="inlineStr">
        <is>
          <t>Off Track</t>
        </is>
      </c>
    </row>
    <row r="469">
      <c r="A469" t="inlineStr">
        <is>
          <t>SUP-0030</t>
        </is>
      </c>
      <c r="B469" t="inlineStr">
        <is>
          <t>Agriculture Supplier 030</t>
        </is>
      </c>
      <c r="C469" t="inlineStr">
        <is>
          <t>Agriculture</t>
        </is>
      </c>
      <c r="D469" t="n">
        <v>2024</v>
      </c>
      <c r="E469" t="n">
        <v>2015</v>
      </c>
      <c r="F469" t="n">
        <v>2040</v>
      </c>
      <c r="G469" t="n">
        <v>26332.4931</v>
      </c>
      <c r="H469" t="n">
        <v>5330.482</v>
      </c>
      <c r="I469" t="n">
        <v>1911.2776</v>
      </c>
      <c r="J469" t="n">
        <v>20152.7191</v>
      </c>
      <c r="K469" t="n">
        <v>33628613.81</v>
      </c>
      <c r="L469" t="n">
        <v>276886307.65</v>
      </c>
      <c r="M469" t="n">
        <v>26332.4931</v>
      </c>
      <c r="N469" t="inlineStr">
        <is>
          <t>Provided Total Emissions</t>
        </is>
      </c>
      <c r="O469" t="b">
        <v>1</v>
      </c>
      <c r="P469" t="n">
        <v>0.032266</v>
      </c>
      <c r="Q469" t="n">
        <v>0.072517</v>
      </c>
      <c r="R469" t="n">
        <v>30740.9247</v>
      </c>
      <c r="S469" t="n">
        <v>268338.8273</v>
      </c>
      <c r="T469" t="n">
        <v>4408.4316</v>
      </c>
      <c r="U469" t="n">
        <v>242006.3342</v>
      </c>
      <c r="V469" t="n">
        <v>0.167414</v>
      </c>
      <c r="W469" t="n">
        <v>9.190407</v>
      </c>
      <c r="X469" t="inlineStr">
        <is>
          <t>High</t>
        </is>
      </c>
      <c r="Y469" t="inlineStr">
        <is>
          <t>None</t>
        </is>
      </c>
      <c r="Z469" t="inlineStr">
        <is>
          <t>Valid</t>
        </is>
      </c>
      <c r="AA469" t="n">
        <v>2028</v>
      </c>
      <c r="AB469" t="inlineStr">
        <is>
          <t>Historical Trend Pathway</t>
        </is>
      </c>
      <c r="AC469" t="n">
        <v>19786.4407</v>
      </c>
      <c r="AD469" t="n">
        <v>18797.1187</v>
      </c>
      <c r="AE469" t="n">
        <v>31565.0357</v>
      </c>
      <c r="AF469" t="n">
        <v>19271.9932</v>
      </c>
      <c r="AG469" t="n">
        <v>-11778.595</v>
      </c>
      <c r="AH469" t="n">
        <v>0.00093864</v>
      </c>
      <c r="AI469" t="n">
        <v>-0.595286</v>
      </c>
      <c r="AJ469" t="n">
        <v>12767.9171</v>
      </c>
      <c r="AK469" t="n">
        <v>39.5729</v>
      </c>
      <c r="AL469" t="n">
        <v>182638.7665</v>
      </c>
      <c r="AM469" t="n">
        <v>118115.1327</v>
      </c>
      <c r="AN469" t="n">
        <v>0.88</v>
      </c>
      <c r="AO469" t="inlineStr">
        <is>
          <t>Critical</t>
        </is>
      </c>
      <c r="AP469" t="inlineStr">
        <is>
          <t>Off Track</t>
        </is>
      </c>
    </row>
    <row r="470">
      <c r="A470" t="inlineStr">
        <is>
          <t>SUP-0030</t>
        </is>
      </c>
      <c r="B470" t="inlineStr">
        <is>
          <t>Agriculture Supplier 030</t>
        </is>
      </c>
      <c r="C470" t="inlineStr">
        <is>
          <t>Agriculture</t>
        </is>
      </c>
      <c r="D470" t="n">
        <v>2024</v>
      </c>
      <c r="E470" t="n">
        <v>2015</v>
      </c>
      <c r="F470" t="n">
        <v>2040</v>
      </c>
      <c r="G470" t="n">
        <v>26332.4931</v>
      </c>
      <c r="H470" t="n">
        <v>5330.482</v>
      </c>
      <c r="I470" t="n">
        <v>1911.2776</v>
      </c>
      <c r="J470" t="n">
        <v>20152.7191</v>
      </c>
      <c r="K470" t="n">
        <v>33628613.81</v>
      </c>
      <c r="L470" t="n">
        <v>276886307.65</v>
      </c>
      <c r="M470" t="n">
        <v>26332.4931</v>
      </c>
      <c r="N470" t="inlineStr">
        <is>
          <t>Provided Total Emissions</t>
        </is>
      </c>
      <c r="O470" t="b">
        <v>1</v>
      </c>
      <c r="P470" t="n">
        <v>0.032266</v>
      </c>
      <c r="Q470" t="n">
        <v>0.072517</v>
      </c>
      <c r="R470" t="n">
        <v>30740.9247</v>
      </c>
      <c r="S470" t="n">
        <v>268338.8273</v>
      </c>
      <c r="T470" t="n">
        <v>4408.4316</v>
      </c>
      <c r="U470" t="n">
        <v>242006.3342</v>
      </c>
      <c r="V470" t="n">
        <v>0.167414</v>
      </c>
      <c r="W470" t="n">
        <v>9.190407</v>
      </c>
      <c r="X470" t="inlineStr">
        <is>
          <t>High</t>
        </is>
      </c>
      <c r="Y470" t="inlineStr">
        <is>
          <t>None</t>
        </is>
      </c>
      <c r="Z470" t="inlineStr">
        <is>
          <t>Valid</t>
        </is>
      </c>
      <c r="AA470" t="n">
        <v>2029</v>
      </c>
      <c r="AB470" t="inlineStr">
        <is>
          <t>Historical Trend Pathway</t>
        </is>
      </c>
      <c r="AC470" t="n">
        <v>19786.4407</v>
      </c>
      <c r="AD470" t="n">
        <v>18797.1187</v>
      </c>
      <c r="AE470" t="n">
        <v>33028.1967</v>
      </c>
      <c r="AF470" t="n">
        <v>19232.4204</v>
      </c>
      <c r="AG470" t="n">
        <v>-13241.756</v>
      </c>
      <c r="AH470" t="n">
        <v>0.00098215</v>
      </c>
      <c r="AI470" t="n">
        <v>-0.669234</v>
      </c>
      <c r="AJ470" t="n">
        <v>14231.078</v>
      </c>
      <c r="AK470" t="n">
        <v>39.5729</v>
      </c>
      <c r="AL470" t="n">
        <v>149610.5698</v>
      </c>
      <c r="AM470" t="n">
        <v>151143.3294</v>
      </c>
      <c r="AN470" t="n">
        <v>0.88</v>
      </c>
      <c r="AO470" t="inlineStr">
        <is>
          <t>Critical</t>
        </is>
      </c>
      <c r="AP470" t="inlineStr">
        <is>
          <t>Off Track</t>
        </is>
      </c>
    </row>
    <row r="471">
      <c r="A471" t="inlineStr">
        <is>
          <t>SUP-0030</t>
        </is>
      </c>
      <c r="B471" t="inlineStr">
        <is>
          <t>Agriculture Supplier 030</t>
        </is>
      </c>
      <c r="C471" t="inlineStr">
        <is>
          <t>Agriculture</t>
        </is>
      </c>
      <c r="D471" t="n">
        <v>2024</v>
      </c>
      <c r="E471" t="n">
        <v>2015</v>
      </c>
      <c r="F471" t="n">
        <v>2040</v>
      </c>
      <c r="G471" t="n">
        <v>26332.4931</v>
      </c>
      <c r="H471" t="n">
        <v>5330.482</v>
      </c>
      <c r="I471" t="n">
        <v>1911.2776</v>
      </c>
      <c r="J471" t="n">
        <v>20152.7191</v>
      </c>
      <c r="K471" t="n">
        <v>33628613.81</v>
      </c>
      <c r="L471" t="n">
        <v>276886307.65</v>
      </c>
      <c r="M471" t="n">
        <v>26332.4931</v>
      </c>
      <c r="N471" t="inlineStr">
        <is>
          <t>Provided Total Emissions</t>
        </is>
      </c>
      <c r="O471" t="b">
        <v>1</v>
      </c>
      <c r="P471" t="n">
        <v>0.032266</v>
      </c>
      <c r="Q471" t="n">
        <v>0.072517</v>
      </c>
      <c r="R471" t="n">
        <v>30740.9247</v>
      </c>
      <c r="S471" t="n">
        <v>268338.8273</v>
      </c>
      <c r="T471" t="n">
        <v>4408.4316</v>
      </c>
      <c r="U471" t="n">
        <v>242006.3342</v>
      </c>
      <c r="V471" t="n">
        <v>0.167414</v>
      </c>
      <c r="W471" t="n">
        <v>9.190407</v>
      </c>
      <c r="X471" t="inlineStr">
        <is>
          <t>High</t>
        </is>
      </c>
      <c r="Y471" t="inlineStr">
        <is>
          <t>None</t>
        </is>
      </c>
      <c r="Z471" t="inlineStr">
        <is>
          <t>Valid</t>
        </is>
      </c>
      <c r="AA471" t="n">
        <v>2030</v>
      </c>
      <c r="AB471" t="inlineStr">
        <is>
          <t>Historical Trend Pathway</t>
        </is>
      </c>
      <c r="AC471" t="n">
        <v>19786.4407</v>
      </c>
      <c r="AD471" t="n">
        <v>18797.1187</v>
      </c>
      <c r="AE471" t="n">
        <v>34559.1808</v>
      </c>
      <c r="AF471" t="n">
        <v>19192.8475</v>
      </c>
      <c r="AG471" t="n">
        <v>-14772.7401</v>
      </c>
      <c r="AH471" t="n">
        <v>0.00102767</v>
      </c>
      <c r="AI471" t="n">
        <v>-0.746609</v>
      </c>
      <c r="AJ471" t="n">
        <v>15762.0621</v>
      </c>
      <c r="AK471" t="n">
        <v>39.5729</v>
      </c>
      <c r="AL471" t="n">
        <v>115051.389</v>
      </c>
      <c r="AM471" t="n">
        <v>185702.5102</v>
      </c>
      <c r="AN471" t="n">
        <v>0.88</v>
      </c>
      <c r="AO471" t="inlineStr">
        <is>
          <t>Critical</t>
        </is>
      </c>
      <c r="AP471" t="inlineStr">
        <is>
          <t>Off Track</t>
        </is>
      </c>
    </row>
    <row r="472">
      <c r="A472" t="inlineStr">
        <is>
          <t>SUP-0030</t>
        </is>
      </c>
      <c r="B472" t="inlineStr">
        <is>
          <t>Agriculture Supplier 030</t>
        </is>
      </c>
      <c r="C472" t="inlineStr">
        <is>
          <t>Agriculture</t>
        </is>
      </c>
      <c r="D472" t="n">
        <v>2024</v>
      </c>
      <c r="E472" t="n">
        <v>2015</v>
      </c>
      <c r="F472" t="n">
        <v>2040</v>
      </c>
      <c r="G472" t="n">
        <v>26332.4931</v>
      </c>
      <c r="H472" t="n">
        <v>5330.482</v>
      </c>
      <c r="I472" t="n">
        <v>1911.2776</v>
      </c>
      <c r="J472" t="n">
        <v>20152.7191</v>
      </c>
      <c r="K472" t="n">
        <v>33628613.81</v>
      </c>
      <c r="L472" t="n">
        <v>276886307.65</v>
      </c>
      <c r="M472" t="n">
        <v>26332.4931</v>
      </c>
      <c r="N472" t="inlineStr">
        <is>
          <t>Provided Total Emissions</t>
        </is>
      </c>
      <c r="O472" t="b">
        <v>1</v>
      </c>
      <c r="P472" t="n">
        <v>0.032266</v>
      </c>
      <c r="Q472" t="n">
        <v>0.072517</v>
      </c>
      <c r="R472" t="n">
        <v>30740.9247</v>
      </c>
      <c r="S472" t="n">
        <v>268338.8273</v>
      </c>
      <c r="T472" t="n">
        <v>4408.4316</v>
      </c>
      <c r="U472" t="n">
        <v>242006.3342</v>
      </c>
      <c r="V472" t="n">
        <v>0.167414</v>
      </c>
      <c r="W472" t="n">
        <v>9.190407</v>
      </c>
      <c r="X472" t="inlineStr">
        <is>
          <t>High</t>
        </is>
      </c>
      <c r="Y472" t="inlineStr">
        <is>
          <t>None</t>
        </is>
      </c>
      <c r="Z472" t="inlineStr">
        <is>
          <t>Valid</t>
        </is>
      </c>
      <c r="AA472" t="n">
        <v>2031</v>
      </c>
      <c r="AB472" t="inlineStr">
        <is>
          <t>Historical Trend Pathway</t>
        </is>
      </c>
      <c r="AC472" t="n">
        <v>19786.4407</v>
      </c>
      <c r="AD472" t="n">
        <v>18797.1187</v>
      </c>
      <c r="AE472" t="n">
        <v>36161.1318</v>
      </c>
      <c r="AF472" t="n">
        <v>19153.2746</v>
      </c>
      <c r="AG472" t="n">
        <v>-16374.6911</v>
      </c>
      <c r="AH472" t="n">
        <v>0.00107531</v>
      </c>
      <c r="AI472" t="n">
        <v>-0.8275709999999999</v>
      </c>
      <c r="AJ472" t="n">
        <v>17364.0132</v>
      </c>
      <c r="AK472" t="n">
        <v>39.5729</v>
      </c>
      <c r="AL472" t="n">
        <v>78890.25719999999</v>
      </c>
      <c r="AM472" t="n">
        <v>221863.642</v>
      </c>
      <c r="AN472" t="n">
        <v>0.88</v>
      </c>
      <c r="AO472" t="inlineStr">
        <is>
          <t>Critical</t>
        </is>
      </c>
      <c r="AP472" t="inlineStr">
        <is>
          <t>Off Track</t>
        </is>
      </c>
    </row>
    <row r="473">
      <c r="A473" t="inlineStr">
        <is>
          <t>SUP-0030</t>
        </is>
      </c>
      <c r="B473" t="inlineStr">
        <is>
          <t>Agriculture Supplier 030</t>
        </is>
      </c>
      <c r="C473" t="inlineStr">
        <is>
          <t>Agriculture</t>
        </is>
      </c>
      <c r="D473" t="n">
        <v>2024</v>
      </c>
      <c r="E473" t="n">
        <v>2015</v>
      </c>
      <c r="F473" t="n">
        <v>2040</v>
      </c>
      <c r="G473" t="n">
        <v>26332.4931</v>
      </c>
      <c r="H473" t="n">
        <v>5330.482</v>
      </c>
      <c r="I473" t="n">
        <v>1911.2776</v>
      </c>
      <c r="J473" t="n">
        <v>20152.7191</v>
      </c>
      <c r="K473" t="n">
        <v>33628613.81</v>
      </c>
      <c r="L473" t="n">
        <v>276886307.65</v>
      </c>
      <c r="M473" t="n">
        <v>26332.4931</v>
      </c>
      <c r="N473" t="inlineStr">
        <is>
          <t>Provided Total Emissions</t>
        </is>
      </c>
      <c r="O473" t="b">
        <v>1</v>
      </c>
      <c r="P473" t="n">
        <v>0.032266</v>
      </c>
      <c r="Q473" t="n">
        <v>0.072517</v>
      </c>
      <c r="R473" t="n">
        <v>30740.9247</v>
      </c>
      <c r="S473" t="n">
        <v>268338.8273</v>
      </c>
      <c r="T473" t="n">
        <v>4408.4316</v>
      </c>
      <c r="U473" t="n">
        <v>242006.3342</v>
      </c>
      <c r="V473" t="n">
        <v>0.167414</v>
      </c>
      <c r="W473" t="n">
        <v>9.190407</v>
      </c>
      <c r="X473" t="inlineStr">
        <is>
          <t>High</t>
        </is>
      </c>
      <c r="Y473" t="inlineStr">
        <is>
          <t>None</t>
        </is>
      </c>
      <c r="Z473" t="inlineStr">
        <is>
          <t>Valid</t>
        </is>
      </c>
      <c r="AA473" t="n">
        <v>2032</v>
      </c>
      <c r="AB473" t="inlineStr">
        <is>
          <t>Historical Trend Pathway</t>
        </is>
      </c>
      <c r="AC473" t="n">
        <v>19786.4407</v>
      </c>
      <c r="AD473" t="n">
        <v>18797.1187</v>
      </c>
      <c r="AE473" t="n">
        <v>37837.3395</v>
      </c>
      <c r="AF473" t="n">
        <v>19113.7017</v>
      </c>
      <c r="AG473" t="n">
        <v>-18050.8988</v>
      </c>
      <c r="AH473" t="n">
        <v>0.00112515</v>
      </c>
      <c r="AI473" t="n">
        <v>-0.912286</v>
      </c>
      <c r="AJ473" t="n">
        <v>19040.2209</v>
      </c>
      <c r="AK473" t="n">
        <v>39.5729</v>
      </c>
      <c r="AL473" t="n">
        <v>41052.9177</v>
      </c>
      <c r="AM473" t="n">
        <v>259700.9815</v>
      </c>
      <c r="AN473" t="n">
        <v>0.88</v>
      </c>
      <c r="AO473" t="inlineStr">
        <is>
          <t>Critical</t>
        </is>
      </c>
      <c r="AP473" t="inlineStr">
        <is>
          <t>Off Track</t>
        </is>
      </c>
    </row>
    <row r="474">
      <c r="A474" t="inlineStr">
        <is>
          <t>SUP-0030</t>
        </is>
      </c>
      <c r="B474" t="inlineStr">
        <is>
          <t>Agriculture Supplier 030</t>
        </is>
      </c>
      <c r="C474" t="inlineStr">
        <is>
          <t>Agriculture</t>
        </is>
      </c>
      <c r="D474" t="n">
        <v>2024</v>
      </c>
      <c r="E474" t="n">
        <v>2015</v>
      </c>
      <c r="F474" t="n">
        <v>2040</v>
      </c>
      <c r="G474" t="n">
        <v>26332.4931</v>
      </c>
      <c r="H474" t="n">
        <v>5330.482</v>
      </c>
      <c r="I474" t="n">
        <v>1911.2776</v>
      </c>
      <c r="J474" t="n">
        <v>20152.7191</v>
      </c>
      <c r="K474" t="n">
        <v>33628613.81</v>
      </c>
      <c r="L474" t="n">
        <v>276886307.65</v>
      </c>
      <c r="M474" t="n">
        <v>26332.4931</v>
      </c>
      <c r="N474" t="inlineStr">
        <is>
          <t>Provided Total Emissions</t>
        </is>
      </c>
      <c r="O474" t="b">
        <v>1</v>
      </c>
      <c r="P474" t="n">
        <v>0.032266</v>
      </c>
      <c r="Q474" t="n">
        <v>0.072517</v>
      </c>
      <c r="R474" t="n">
        <v>30740.9247</v>
      </c>
      <c r="S474" t="n">
        <v>268338.8273</v>
      </c>
      <c r="T474" t="n">
        <v>4408.4316</v>
      </c>
      <c r="U474" t="n">
        <v>242006.3342</v>
      </c>
      <c r="V474" t="n">
        <v>0.167414</v>
      </c>
      <c r="W474" t="n">
        <v>9.190407</v>
      </c>
      <c r="X474" t="inlineStr">
        <is>
          <t>High</t>
        </is>
      </c>
      <c r="Y474" t="inlineStr">
        <is>
          <t>None</t>
        </is>
      </c>
      <c r="Z474" t="inlineStr">
        <is>
          <t>Valid</t>
        </is>
      </c>
      <c r="AA474" t="n">
        <v>2033</v>
      </c>
      <c r="AB474" t="inlineStr">
        <is>
          <t>Historical Trend Pathway</t>
        </is>
      </c>
      <c r="AC474" t="n">
        <v>19786.4407</v>
      </c>
      <c r="AD474" t="n">
        <v>18797.1187</v>
      </c>
      <c r="AE474" t="n">
        <v>39591.2459</v>
      </c>
      <c r="AF474" t="n">
        <v>19074.1288</v>
      </c>
      <c r="AG474" t="n">
        <v>-19804.8052</v>
      </c>
      <c r="AH474" t="n">
        <v>0.00117731</v>
      </c>
      <c r="AI474" t="n">
        <v>-1.000928</v>
      </c>
      <c r="AJ474" t="n">
        <v>20794.1272</v>
      </c>
      <c r="AK474" t="n">
        <v>39.5729</v>
      </c>
      <c r="AL474" t="n">
        <v>1461.6718</v>
      </c>
      <c r="AM474" t="n">
        <v>299292.2274</v>
      </c>
      <c r="AN474" t="n">
        <v>0.88</v>
      </c>
      <c r="AO474" t="inlineStr">
        <is>
          <t>Critical</t>
        </is>
      </c>
      <c r="AP474" t="inlineStr">
        <is>
          <t>Off Track</t>
        </is>
      </c>
    </row>
    <row r="475">
      <c r="A475" t="inlineStr">
        <is>
          <t>SUP-0030</t>
        </is>
      </c>
      <c r="B475" t="inlineStr">
        <is>
          <t>Agriculture Supplier 030</t>
        </is>
      </c>
      <c r="C475" t="inlineStr">
        <is>
          <t>Agriculture</t>
        </is>
      </c>
      <c r="D475" t="n">
        <v>2024</v>
      </c>
      <c r="E475" t="n">
        <v>2015</v>
      </c>
      <c r="F475" t="n">
        <v>2040</v>
      </c>
      <c r="G475" t="n">
        <v>26332.4931</v>
      </c>
      <c r="H475" t="n">
        <v>5330.482</v>
      </c>
      <c r="I475" t="n">
        <v>1911.2776</v>
      </c>
      <c r="J475" t="n">
        <v>20152.7191</v>
      </c>
      <c r="K475" t="n">
        <v>33628613.81</v>
      </c>
      <c r="L475" t="n">
        <v>276886307.65</v>
      </c>
      <c r="M475" t="n">
        <v>26332.4931</v>
      </c>
      <c r="N475" t="inlineStr">
        <is>
          <t>Provided Total Emissions</t>
        </is>
      </c>
      <c r="O475" t="b">
        <v>1</v>
      </c>
      <c r="P475" t="n">
        <v>0.032266</v>
      </c>
      <c r="Q475" t="n">
        <v>0.072517</v>
      </c>
      <c r="R475" t="n">
        <v>30740.9247</v>
      </c>
      <c r="S475" t="n">
        <v>268338.8273</v>
      </c>
      <c r="T475" t="n">
        <v>4408.4316</v>
      </c>
      <c r="U475" t="n">
        <v>242006.3342</v>
      </c>
      <c r="V475" t="n">
        <v>0.167414</v>
      </c>
      <c r="W475" t="n">
        <v>9.190407</v>
      </c>
      <c r="X475" t="inlineStr">
        <is>
          <t>High</t>
        </is>
      </c>
      <c r="Y475" t="inlineStr">
        <is>
          <t>None</t>
        </is>
      </c>
      <c r="Z475" t="inlineStr">
        <is>
          <t>Valid</t>
        </is>
      </c>
      <c r="AA475" t="n">
        <v>2034</v>
      </c>
      <c r="AB475" t="inlineStr">
        <is>
          <t>Historical Trend Pathway</t>
        </is>
      </c>
      <c r="AC475" t="n">
        <v>19786.4407</v>
      </c>
      <c r="AD475" t="n">
        <v>18797.1187</v>
      </c>
      <c r="AE475" t="n">
        <v>41426.4525</v>
      </c>
      <c r="AF475" t="n">
        <v>19034.556</v>
      </c>
      <c r="AG475" t="n">
        <v>-21640.0118</v>
      </c>
      <c r="AH475" t="n">
        <v>0.00123188</v>
      </c>
      <c r="AI475" t="n">
        <v>-1.093679</v>
      </c>
      <c r="AJ475" t="n">
        <v>22629.3339</v>
      </c>
      <c r="AK475" t="n">
        <v>39.5729</v>
      </c>
      <c r="AL475" t="n">
        <v>-39964.7807</v>
      </c>
      <c r="AM475" t="n">
        <v>340718.6799</v>
      </c>
      <c r="AN475" t="n">
        <v>0.88</v>
      </c>
      <c r="AO475" t="inlineStr">
        <is>
          <t>Critical</t>
        </is>
      </c>
      <c r="AP475" t="inlineStr">
        <is>
          <t>Off Track</t>
        </is>
      </c>
    </row>
    <row r="476">
      <c r="A476" t="inlineStr">
        <is>
          <t>SUP-0030</t>
        </is>
      </c>
      <c r="B476" t="inlineStr">
        <is>
          <t>Agriculture Supplier 030</t>
        </is>
      </c>
      <c r="C476" t="inlineStr">
        <is>
          <t>Agriculture</t>
        </is>
      </c>
      <c r="D476" t="n">
        <v>2024</v>
      </c>
      <c r="E476" t="n">
        <v>2015</v>
      </c>
      <c r="F476" t="n">
        <v>2040</v>
      </c>
      <c r="G476" t="n">
        <v>26332.4931</v>
      </c>
      <c r="H476" t="n">
        <v>5330.482</v>
      </c>
      <c r="I476" t="n">
        <v>1911.2776</v>
      </c>
      <c r="J476" t="n">
        <v>20152.7191</v>
      </c>
      <c r="K476" t="n">
        <v>33628613.81</v>
      </c>
      <c r="L476" t="n">
        <v>276886307.65</v>
      </c>
      <c r="M476" t="n">
        <v>26332.4931</v>
      </c>
      <c r="N476" t="inlineStr">
        <is>
          <t>Provided Total Emissions</t>
        </is>
      </c>
      <c r="O476" t="b">
        <v>1</v>
      </c>
      <c r="P476" t="n">
        <v>0.032266</v>
      </c>
      <c r="Q476" t="n">
        <v>0.072517</v>
      </c>
      <c r="R476" t="n">
        <v>30740.9247</v>
      </c>
      <c r="S476" t="n">
        <v>268338.8273</v>
      </c>
      <c r="T476" t="n">
        <v>4408.4316</v>
      </c>
      <c r="U476" t="n">
        <v>242006.3342</v>
      </c>
      <c r="V476" t="n">
        <v>0.167414</v>
      </c>
      <c r="W476" t="n">
        <v>9.190407</v>
      </c>
      <c r="X476" t="inlineStr">
        <is>
          <t>High</t>
        </is>
      </c>
      <c r="Y476" t="inlineStr">
        <is>
          <t>None</t>
        </is>
      </c>
      <c r="Z476" t="inlineStr">
        <is>
          <t>Valid</t>
        </is>
      </c>
      <c r="AA476" t="n">
        <v>2035</v>
      </c>
      <c r="AB476" t="inlineStr">
        <is>
          <t>Historical Trend Pathway</t>
        </is>
      </c>
      <c r="AC476" t="n">
        <v>19786.4407</v>
      </c>
      <c r="AD476" t="n">
        <v>18797.1187</v>
      </c>
      <c r="AE476" t="n">
        <v>43346.7281</v>
      </c>
      <c r="AF476" t="n">
        <v>18994.9831</v>
      </c>
      <c r="AG476" t="n">
        <v>-23560.2874</v>
      </c>
      <c r="AH476" t="n">
        <v>0.00128898</v>
      </c>
      <c r="AI476" t="n">
        <v>-1.190729</v>
      </c>
      <c r="AJ476" t="n">
        <v>24549.6095</v>
      </c>
      <c r="AK476" t="n">
        <v>39.5729</v>
      </c>
      <c r="AL476" t="n">
        <v>-83311.5088</v>
      </c>
      <c r="AM476" t="n">
        <v>384065.408</v>
      </c>
      <c r="AN476" t="n">
        <v>0.88</v>
      </c>
      <c r="AO476" t="inlineStr">
        <is>
          <t>Critical</t>
        </is>
      </c>
      <c r="AP476" t="inlineStr">
        <is>
          <t>Off Track</t>
        </is>
      </c>
    </row>
    <row r="477">
      <c r="A477" t="inlineStr">
        <is>
          <t>SUP-0030</t>
        </is>
      </c>
      <c r="B477" t="inlineStr">
        <is>
          <t>Agriculture Supplier 030</t>
        </is>
      </c>
      <c r="C477" t="inlineStr">
        <is>
          <t>Agriculture</t>
        </is>
      </c>
      <c r="D477" t="n">
        <v>2024</v>
      </c>
      <c r="E477" t="n">
        <v>2015</v>
      </c>
      <c r="F477" t="n">
        <v>2040</v>
      </c>
      <c r="G477" t="n">
        <v>26332.4931</v>
      </c>
      <c r="H477" t="n">
        <v>5330.482</v>
      </c>
      <c r="I477" t="n">
        <v>1911.2776</v>
      </c>
      <c r="J477" t="n">
        <v>20152.7191</v>
      </c>
      <c r="K477" t="n">
        <v>33628613.81</v>
      </c>
      <c r="L477" t="n">
        <v>276886307.65</v>
      </c>
      <c r="M477" t="n">
        <v>26332.4931</v>
      </c>
      <c r="N477" t="inlineStr">
        <is>
          <t>Provided Total Emissions</t>
        </is>
      </c>
      <c r="O477" t="b">
        <v>1</v>
      </c>
      <c r="P477" t="n">
        <v>0.032266</v>
      </c>
      <c r="Q477" t="n">
        <v>0.072517</v>
      </c>
      <c r="R477" t="n">
        <v>30740.9247</v>
      </c>
      <c r="S477" t="n">
        <v>268338.8273</v>
      </c>
      <c r="T477" t="n">
        <v>4408.4316</v>
      </c>
      <c r="U477" t="n">
        <v>242006.3342</v>
      </c>
      <c r="V477" t="n">
        <v>0.167414</v>
      </c>
      <c r="W477" t="n">
        <v>9.190407</v>
      </c>
      <c r="X477" t="inlineStr">
        <is>
          <t>High</t>
        </is>
      </c>
      <c r="Y477" t="inlineStr">
        <is>
          <t>None</t>
        </is>
      </c>
      <c r="Z477" t="inlineStr">
        <is>
          <t>Valid</t>
        </is>
      </c>
      <c r="AA477" t="n">
        <v>2036</v>
      </c>
      <c r="AB477" t="inlineStr">
        <is>
          <t>Historical Trend Pathway</t>
        </is>
      </c>
      <c r="AC477" t="n">
        <v>19786.4407</v>
      </c>
      <c r="AD477" t="n">
        <v>18797.1187</v>
      </c>
      <c r="AE477" t="n">
        <v>45356.0158</v>
      </c>
      <c r="AF477" t="n">
        <v>18955.4102</v>
      </c>
      <c r="AG477" t="n">
        <v>-25569.5751</v>
      </c>
      <c r="AH477" t="n">
        <v>0.00134873</v>
      </c>
      <c r="AI477" t="n">
        <v>-1.292278</v>
      </c>
      <c r="AJ477" t="n">
        <v>26558.8972</v>
      </c>
      <c r="AK477" t="n">
        <v>39.5729</v>
      </c>
      <c r="AL477" t="n">
        <v>-128667.5246</v>
      </c>
      <c r="AM477" t="n">
        <v>429421.4238</v>
      </c>
      <c r="AN477" t="n">
        <v>0.88</v>
      </c>
      <c r="AO477" t="inlineStr">
        <is>
          <t>Critical</t>
        </is>
      </c>
      <c r="AP477" t="inlineStr">
        <is>
          <t>Off Track</t>
        </is>
      </c>
    </row>
    <row r="478">
      <c r="A478" t="inlineStr">
        <is>
          <t>SUP-0030</t>
        </is>
      </c>
      <c r="B478" t="inlineStr">
        <is>
          <t>Agriculture Supplier 030</t>
        </is>
      </c>
      <c r="C478" t="inlineStr">
        <is>
          <t>Agriculture</t>
        </is>
      </c>
      <c r="D478" t="n">
        <v>2024</v>
      </c>
      <c r="E478" t="n">
        <v>2015</v>
      </c>
      <c r="F478" t="n">
        <v>2040</v>
      </c>
      <c r="G478" t="n">
        <v>26332.4931</v>
      </c>
      <c r="H478" t="n">
        <v>5330.482</v>
      </c>
      <c r="I478" t="n">
        <v>1911.2776</v>
      </c>
      <c r="J478" t="n">
        <v>20152.7191</v>
      </c>
      <c r="K478" t="n">
        <v>33628613.81</v>
      </c>
      <c r="L478" t="n">
        <v>276886307.65</v>
      </c>
      <c r="M478" t="n">
        <v>26332.4931</v>
      </c>
      <c r="N478" t="inlineStr">
        <is>
          <t>Provided Total Emissions</t>
        </is>
      </c>
      <c r="O478" t="b">
        <v>1</v>
      </c>
      <c r="P478" t="n">
        <v>0.032266</v>
      </c>
      <c r="Q478" t="n">
        <v>0.072517</v>
      </c>
      <c r="R478" t="n">
        <v>30740.9247</v>
      </c>
      <c r="S478" t="n">
        <v>268338.8273</v>
      </c>
      <c r="T478" t="n">
        <v>4408.4316</v>
      </c>
      <c r="U478" t="n">
        <v>242006.3342</v>
      </c>
      <c r="V478" t="n">
        <v>0.167414</v>
      </c>
      <c r="W478" t="n">
        <v>9.190407</v>
      </c>
      <c r="X478" t="inlineStr">
        <is>
          <t>High</t>
        </is>
      </c>
      <c r="Y478" t="inlineStr">
        <is>
          <t>None</t>
        </is>
      </c>
      <c r="Z478" t="inlineStr">
        <is>
          <t>Valid</t>
        </is>
      </c>
      <c r="AA478" t="n">
        <v>2037</v>
      </c>
      <c r="AB478" t="inlineStr">
        <is>
          <t>Historical Trend Pathway</t>
        </is>
      </c>
      <c r="AC478" t="n">
        <v>19786.4407</v>
      </c>
      <c r="AD478" t="n">
        <v>18797.1187</v>
      </c>
      <c r="AE478" t="n">
        <v>47458.4418</v>
      </c>
      <c r="AF478" t="n">
        <v>18915.8373</v>
      </c>
      <c r="AG478" t="n">
        <v>-27672.0011</v>
      </c>
      <c r="AH478" t="n">
        <v>0.00141125</v>
      </c>
      <c r="AI478" t="n">
        <v>-1.398534</v>
      </c>
      <c r="AJ478" t="n">
        <v>28661.3231</v>
      </c>
      <c r="AK478" t="n">
        <v>39.5729</v>
      </c>
      <c r="AL478" t="n">
        <v>-176125.9664</v>
      </c>
      <c r="AM478" t="n">
        <v>476879.8656</v>
      </c>
      <c r="AN478" t="n">
        <v>0.88</v>
      </c>
      <c r="AO478" t="inlineStr">
        <is>
          <t>Critical</t>
        </is>
      </c>
      <c r="AP478" t="inlineStr">
        <is>
          <t>Off Track</t>
        </is>
      </c>
    </row>
    <row r="479">
      <c r="A479" t="inlineStr">
        <is>
          <t>SUP-0030</t>
        </is>
      </c>
      <c r="B479" t="inlineStr">
        <is>
          <t>Agriculture Supplier 030</t>
        </is>
      </c>
      <c r="C479" t="inlineStr">
        <is>
          <t>Agriculture</t>
        </is>
      </c>
      <c r="D479" t="n">
        <v>2024</v>
      </c>
      <c r="E479" t="n">
        <v>2015</v>
      </c>
      <c r="F479" t="n">
        <v>2040</v>
      </c>
      <c r="G479" t="n">
        <v>26332.4931</v>
      </c>
      <c r="H479" t="n">
        <v>5330.482</v>
      </c>
      <c r="I479" t="n">
        <v>1911.2776</v>
      </c>
      <c r="J479" t="n">
        <v>20152.7191</v>
      </c>
      <c r="K479" t="n">
        <v>33628613.81</v>
      </c>
      <c r="L479" t="n">
        <v>276886307.65</v>
      </c>
      <c r="M479" t="n">
        <v>26332.4931</v>
      </c>
      <c r="N479" t="inlineStr">
        <is>
          <t>Provided Total Emissions</t>
        </is>
      </c>
      <c r="O479" t="b">
        <v>1</v>
      </c>
      <c r="P479" t="n">
        <v>0.032266</v>
      </c>
      <c r="Q479" t="n">
        <v>0.072517</v>
      </c>
      <c r="R479" t="n">
        <v>30740.9247</v>
      </c>
      <c r="S479" t="n">
        <v>268338.8273</v>
      </c>
      <c r="T479" t="n">
        <v>4408.4316</v>
      </c>
      <c r="U479" t="n">
        <v>242006.3342</v>
      </c>
      <c r="V479" t="n">
        <v>0.167414</v>
      </c>
      <c r="W479" t="n">
        <v>9.190407</v>
      </c>
      <c r="X479" t="inlineStr">
        <is>
          <t>High</t>
        </is>
      </c>
      <c r="Y479" t="inlineStr">
        <is>
          <t>None</t>
        </is>
      </c>
      <c r="Z479" t="inlineStr">
        <is>
          <t>Valid</t>
        </is>
      </c>
      <c r="AA479" t="n">
        <v>2038</v>
      </c>
      <c r="AB479" t="inlineStr">
        <is>
          <t>Historical Trend Pathway</t>
        </is>
      </c>
      <c r="AC479" t="n">
        <v>19786.4407</v>
      </c>
      <c r="AD479" t="n">
        <v>18797.1187</v>
      </c>
      <c r="AE479" t="n">
        <v>49658.3233</v>
      </c>
      <c r="AF479" t="n">
        <v>18876.2644</v>
      </c>
      <c r="AG479" t="n">
        <v>-29871.8826</v>
      </c>
      <c r="AH479" t="n">
        <v>0.00147667</v>
      </c>
      <c r="AI479" t="n">
        <v>-1.509715</v>
      </c>
      <c r="AJ479" t="n">
        <v>30861.2046</v>
      </c>
      <c r="AK479" t="n">
        <v>39.5729</v>
      </c>
      <c r="AL479" t="n">
        <v>-225784.2897</v>
      </c>
      <c r="AM479" t="n">
        <v>526538.1889</v>
      </c>
      <c r="AN479" t="n">
        <v>0.88</v>
      </c>
      <c r="AO479" t="inlineStr">
        <is>
          <t>Critical</t>
        </is>
      </c>
      <c r="AP479" t="inlineStr">
        <is>
          <t>Off Track</t>
        </is>
      </c>
    </row>
    <row r="480">
      <c r="A480" t="inlineStr">
        <is>
          <t>SUP-0030</t>
        </is>
      </c>
      <c r="B480" t="inlineStr">
        <is>
          <t>Agriculture Supplier 030</t>
        </is>
      </c>
      <c r="C480" t="inlineStr">
        <is>
          <t>Agriculture</t>
        </is>
      </c>
      <c r="D480" t="n">
        <v>2024</v>
      </c>
      <c r="E480" t="n">
        <v>2015</v>
      </c>
      <c r="F480" t="n">
        <v>2040</v>
      </c>
      <c r="G480" t="n">
        <v>26332.4931</v>
      </c>
      <c r="H480" t="n">
        <v>5330.482</v>
      </c>
      <c r="I480" t="n">
        <v>1911.2776</v>
      </c>
      <c r="J480" t="n">
        <v>20152.7191</v>
      </c>
      <c r="K480" t="n">
        <v>33628613.81</v>
      </c>
      <c r="L480" t="n">
        <v>276886307.65</v>
      </c>
      <c r="M480" t="n">
        <v>26332.4931</v>
      </c>
      <c r="N480" t="inlineStr">
        <is>
          <t>Provided Total Emissions</t>
        </is>
      </c>
      <c r="O480" t="b">
        <v>1</v>
      </c>
      <c r="P480" t="n">
        <v>0.032266</v>
      </c>
      <c r="Q480" t="n">
        <v>0.072517</v>
      </c>
      <c r="R480" t="n">
        <v>30740.9247</v>
      </c>
      <c r="S480" t="n">
        <v>268338.8273</v>
      </c>
      <c r="T480" t="n">
        <v>4408.4316</v>
      </c>
      <c r="U480" t="n">
        <v>242006.3342</v>
      </c>
      <c r="V480" t="n">
        <v>0.167414</v>
      </c>
      <c r="W480" t="n">
        <v>9.190407</v>
      </c>
      <c r="X480" t="inlineStr">
        <is>
          <t>High</t>
        </is>
      </c>
      <c r="Y480" t="inlineStr">
        <is>
          <t>None</t>
        </is>
      </c>
      <c r="Z480" t="inlineStr">
        <is>
          <t>Valid</t>
        </is>
      </c>
      <c r="AA480" t="n">
        <v>2039</v>
      </c>
      <c r="AB480" t="inlineStr">
        <is>
          <t>Historical Trend Pathway</t>
        </is>
      </c>
      <c r="AC480" t="n">
        <v>19786.4407</v>
      </c>
      <c r="AD480" t="n">
        <v>18797.1187</v>
      </c>
      <c r="AE480" t="n">
        <v>51960.1778</v>
      </c>
      <c r="AF480" t="n">
        <v>18836.6915</v>
      </c>
      <c r="AG480" t="n">
        <v>-32173.7371</v>
      </c>
      <c r="AH480" t="n">
        <v>0.00154512</v>
      </c>
      <c r="AI480" t="n">
        <v>-1.62605</v>
      </c>
      <c r="AJ480" t="n">
        <v>33163.0591</v>
      </c>
      <c r="AK480" t="n">
        <v>39.5729</v>
      </c>
      <c r="AL480" t="n">
        <v>-277744.4675</v>
      </c>
      <c r="AM480" t="n">
        <v>578498.3667</v>
      </c>
      <c r="AN480" t="n">
        <v>0.88</v>
      </c>
      <c r="AO480" t="inlineStr">
        <is>
          <t>Critical</t>
        </is>
      </c>
      <c r="AP480" t="inlineStr">
        <is>
          <t>Off Track</t>
        </is>
      </c>
    </row>
    <row r="481">
      <c r="A481" t="inlineStr">
        <is>
          <t>SUP-0030</t>
        </is>
      </c>
      <c r="B481" t="inlineStr">
        <is>
          <t>Agriculture Supplier 030</t>
        </is>
      </c>
      <c r="C481" t="inlineStr">
        <is>
          <t>Agriculture</t>
        </is>
      </c>
      <c r="D481" t="n">
        <v>2024</v>
      </c>
      <c r="E481" t="n">
        <v>2015</v>
      </c>
      <c r="F481" t="n">
        <v>2040</v>
      </c>
      <c r="G481" t="n">
        <v>26332.4931</v>
      </c>
      <c r="H481" t="n">
        <v>5330.482</v>
      </c>
      <c r="I481" t="n">
        <v>1911.2776</v>
      </c>
      <c r="J481" t="n">
        <v>20152.7191</v>
      </c>
      <c r="K481" t="n">
        <v>33628613.81</v>
      </c>
      <c r="L481" t="n">
        <v>276886307.65</v>
      </c>
      <c r="M481" t="n">
        <v>26332.4931</v>
      </c>
      <c r="N481" t="inlineStr">
        <is>
          <t>Provided Total Emissions</t>
        </is>
      </c>
      <c r="O481" t="b">
        <v>1</v>
      </c>
      <c r="P481" t="n">
        <v>0.032266</v>
      </c>
      <c r="Q481" t="n">
        <v>0.072517</v>
      </c>
      <c r="R481" t="n">
        <v>30740.9247</v>
      </c>
      <c r="S481" t="n">
        <v>268338.8273</v>
      </c>
      <c r="T481" t="n">
        <v>4408.4316</v>
      </c>
      <c r="U481" t="n">
        <v>242006.3342</v>
      </c>
      <c r="V481" t="n">
        <v>0.167414</v>
      </c>
      <c r="W481" t="n">
        <v>9.190407</v>
      </c>
      <c r="X481" t="inlineStr">
        <is>
          <t>High</t>
        </is>
      </c>
      <c r="Y481" t="inlineStr">
        <is>
          <t>None</t>
        </is>
      </c>
      <c r="Z481" t="inlineStr">
        <is>
          <t>Valid</t>
        </is>
      </c>
      <c r="AA481" t="n">
        <v>2040</v>
      </c>
      <c r="AB481" t="inlineStr">
        <is>
          <t>Historical Trend Pathway</t>
        </is>
      </c>
      <c r="AC481" t="n">
        <v>19786.4407</v>
      </c>
      <c r="AD481" t="n">
        <v>18797.1187</v>
      </c>
      <c r="AE481" t="n">
        <v>54368.7321</v>
      </c>
      <c r="AF481" t="n">
        <v>18797.1187</v>
      </c>
      <c r="AG481" t="n">
        <v>-34582.2914</v>
      </c>
      <c r="AH481" t="n">
        <v>0.00161674</v>
      </c>
      <c r="AI481" t="n">
        <v>-1.747777</v>
      </c>
      <c r="AJ481" t="n">
        <v>35571.6134</v>
      </c>
      <c r="AK481" t="n">
        <v>39.5729</v>
      </c>
      <c r="AL481" t="n">
        <v>-332113.1996</v>
      </c>
      <c r="AM481" t="n">
        <v>632867.0988</v>
      </c>
      <c r="AN481" t="n">
        <v>0.88</v>
      </c>
      <c r="AO481" t="inlineStr">
        <is>
          <t>Critical</t>
        </is>
      </c>
      <c r="AP481" t="inlineStr">
        <is>
          <t>Off Track</t>
        </is>
      </c>
    </row>
    <row r="482">
      <c r="A482" t="inlineStr">
        <is>
          <t>SUP-0031</t>
        </is>
      </c>
      <c r="B482" t="inlineStr">
        <is>
          <t>Professional Supplier 031</t>
        </is>
      </c>
      <c r="C482" t="inlineStr">
        <is>
          <t>Professional Services</t>
        </is>
      </c>
      <c r="D482" t="n">
        <v>2024</v>
      </c>
      <c r="E482" t="n">
        <v>2020</v>
      </c>
      <c r="F482" t="n">
        <v>2040</v>
      </c>
      <c r="G482" t="n">
        <v>2967.1823</v>
      </c>
      <c r="H482" t="n">
        <v>739.4444</v>
      </c>
      <c r="I482" t="n">
        <v>330.6118</v>
      </c>
      <c r="J482" t="n">
        <v>1931.7399</v>
      </c>
      <c r="K482" t="n">
        <v>26096563.11</v>
      </c>
      <c r="L482" t="n">
        <v>215871245.21</v>
      </c>
      <c r="M482" t="n">
        <v>2967.1823</v>
      </c>
      <c r="N482" t="inlineStr">
        <is>
          <t>Provided Total Emissions</t>
        </is>
      </c>
      <c r="O482" t="b">
        <v>1</v>
      </c>
      <c r="P482" t="n">
        <v>0.001392</v>
      </c>
      <c r="Q482" t="n">
        <v>0.033988</v>
      </c>
      <c r="R482" t="n">
        <v>3368.0224</v>
      </c>
      <c r="S482" t="n">
        <v>42435.9694</v>
      </c>
      <c r="T482" t="n">
        <v>400.8401</v>
      </c>
      <c r="U482" t="n">
        <v>39468.7871</v>
      </c>
      <c r="V482" t="n">
        <v>0.135091</v>
      </c>
      <c r="W482" t="n">
        <v>13.301774</v>
      </c>
      <c r="X482" t="inlineStr">
        <is>
          <t>High</t>
        </is>
      </c>
      <c r="Y482" t="inlineStr">
        <is>
          <t>None</t>
        </is>
      </c>
      <c r="Z482" t="inlineStr">
        <is>
          <t>Valid</t>
        </is>
      </c>
      <c r="AA482" t="n">
        <v>2025</v>
      </c>
      <c r="AB482" t="inlineStr">
        <is>
          <t>Supplier Target Pathway</t>
        </is>
      </c>
      <c r="AC482" t="n">
        <v>2893.9504</v>
      </c>
      <c r="AD482" t="n">
        <v>1032.5615</v>
      </c>
      <c r="AE482" t="n">
        <v>2428.6032</v>
      </c>
      <c r="AF482" t="n">
        <v>2428.6032</v>
      </c>
      <c r="AG482" t="n">
        <v>465.3472</v>
      </c>
      <c r="AH482" t="n">
        <v>9.305999999999999e-05</v>
      </c>
      <c r="AI482" t="n">
        <v>0.1608</v>
      </c>
      <c r="AJ482" t="n">
        <v>1396.0417</v>
      </c>
      <c r="AK482" t="n">
        <v>93.0694</v>
      </c>
      <c r="AL482" t="n">
        <v>14092.3808</v>
      </c>
      <c r="AM482" t="n">
        <v>2428.6032</v>
      </c>
      <c r="AN482" t="n">
        <v>0.99</v>
      </c>
      <c r="AO482" t="inlineStr">
        <is>
          <t>Critical</t>
        </is>
      </c>
      <c r="AP482" t="inlineStr">
        <is>
          <t>On Track to Glide Path</t>
        </is>
      </c>
    </row>
    <row r="483">
      <c r="A483" t="inlineStr">
        <is>
          <t>SUP-0031</t>
        </is>
      </c>
      <c r="B483" t="inlineStr">
        <is>
          <t>Professional Supplier 031</t>
        </is>
      </c>
      <c r="C483" t="inlineStr">
        <is>
          <t>Professional Services</t>
        </is>
      </c>
      <c r="D483" t="n">
        <v>2024</v>
      </c>
      <c r="E483" t="n">
        <v>2020</v>
      </c>
      <c r="F483" t="n">
        <v>2040</v>
      </c>
      <c r="G483" t="n">
        <v>2967.1823</v>
      </c>
      <c r="H483" t="n">
        <v>739.4444</v>
      </c>
      <c r="I483" t="n">
        <v>330.6118</v>
      </c>
      <c r="J483" t="n">
        <v>1931.7399</v>
      </c>
      <c r="K483" t="n">
        <v>26096563.11</v>
      </c>
      <c r="L483" t="n">
        <v>215871245.21</v>
      </c>
      <c r="M483" t="n">
        <v>2967.1823</v>
      </c>
      <c r="N483" t="inlineStr">
        <is>
          <t>Provided Total Emissions</t>
        </is>
      </c>
      <c r="O483" t="b">
        <v>1</v>
      </c>
      <c r="P483" t="n">
        <v>0.001392</v>
      </c>
      <c r="Q483" t="n">
        <v>0.033988</v>
      </c>
      <c r="R483" t="n">
        <v>3368.0224</v>
      </c>
      <c r="S483" t="n">
        <v>42435.9694</v>
      </c>
      <c r="T483" t="n">
        <v>400.8401</v>
      </c>
      <c r="U483" t="n">
        <v>39468.7871</v>
      </c>
      <c r="V483" t="n">
        <v>0.135091</v>
      </c>
      <c r="W483" t="n">
        <v>13.301774</v>
      </c>
      <c r="X483" t="inlineStr">
        <is>
          <t>High</t>
        </is>
      </c>
      <c r="Y483" t="inlineStr">
        <is>
          <t>None</t>
        </is>
      </c>
      <c r="Z483" t="inlineStr">
        <is>
          <t>Valid</t>
        </is>
      </c>
      <c r="AA483" t="n">
        <v>2026</v>
      </c>
      <c r="AB483" t="inlineStr">
        <is>
          <t>Supplier Target Pathway</t>
        </is>
      </c>
      <c r="AC483" t="n">
        <v>2893.9504</v>
      </c>
      <c r="AD483" t="n">
        <v>1032.5615</v>
      </c>
      <c r="AE483" t="n">
        <v>2335.5337</v>
      </c>
      <c r="AF483" t="n">
        <v>2335.5337</v>
      </c>
      <c r="AG483" t="n">
        <v>558.4167</v>
      </c>
      <c r="AH483" t="n">
        <v>8.949999999999999e-05</v>
      </c>
      <c r="AI483" t="n">
        <v>0.19296</v>
      </c>
      <c r="AJ483" t="n">
        <v>1302.9722</v>
      </c>
      <c r="AK483" t="n">
        <v>93.0694</v>
      </c>
      <c r="AL483" t="n">
        <v>11756.8471</v>
      </c>
      <c r="AM483" t="n">
        <v>4764.1369</v>
      </c>
      <c r="AN483" t="n">
        <v>0.99</v>
      </c>
      <c r="AO483" t="inlineStr">
        <is>
          <t>Critical</t>
        </is>
      </c>
      <c r="AP483" t="inlineStr">
        <is>
          <t>On Track to Glide Path</t>
        </is>
      </c>
    </row>
    <row r="484">
      <c r="A484" t="inlineStr">
        <is>
          <t>SUP-0031</t>
        </is>
      </c>
      <c r="B484" t="inlineStr">
        <is>
          <t>Professional Supplier 031</t>
        </is>
      </c>
      <c r="C484" t="inlineStr">
        <is>
          <t>Professional Services</t>
        </is>
      </c>
      <c r="D484" t="n">
        <v>2024</v>
      </c>
      <c r="E484" t="n">
        <v>2020</v>
      </c>
      <c r="F484" t="n">
        <v>2040</v>
      </c>
      <c r="G484" t="n">
        <v>2967.1823</v>
      </c>
      <c r="H484" t="n">
        <v>739.4444</v>
      </c>
      <c r="I484" t="n">
        <v>330.6118</v>
      </c>
      <c r="J484" t="n">
        <v>1931.7399</v>
      </c>
      <c r="K484" t="n">
        <v>26096563.11</v>
      </c>
      <c r="L484" t="n">
        <v>215871245.21</v>
      </c>
      <c r="M484" t="n">
        <v>2967.1823</v>
      </c>
      <c r="N484" t="inlineStr">
        <is>
          <t>Provided Total Emissions</t>
        </is>
      </c>
      <c r="O484" t="b">
        <v>1</v>
      </c>
      <c r="P484" t="n">
        <v>0.001392</v>
      </c>
      <c r="Q484" t="n">
        <v>0.033988</v>
      </c>
      <c r="R484" t="n">
        <v>3368.0224</v>
      </c>
      <c r="S484" t="n">
        <v>42435.9694</v>
      </c>
      <c r="T484" t="n">
        <v>400.8401</v>
      </c>
      <c r="U484" t="n">
        <v>39468.7871</v>
      </c>
      <c r="V484" t="n">
        <v>0.135091</v>
      </c>
      <c r="W484" t="n">
        <v>13.301774</v>
      </c>
      <c r="X484" t="inlineStr">
        <is>
          <t>High</t>
        </is>
      </c>
      <c r="Y484" t="inlineStr">
        <is>
          <t>None</t>
        </is>
      </c>
      <c r="Z484" t="inlineStr">
        <is>
          <t>Valid</t>
        </is>
      </c>
      <c r="AA484" t="n">
        <v>2027</v>
      </c>
      <c r="AB484" t="inlineStr">
        <is>
          <t>Supplier Target Pathway</t>
        </is>
      </c>
      <c r="AC484" t="n">
        <v>2893.9504</v>
      </c>
      <c r="AD484" t="n">
        <v>1032.5615</v>
      </c>
      <c r="AE484" t="n">
        <v>2242.4643</v>
      </c>
      <c r="AF484" t="n">
        <v>2242.4643</v>
      </c>
      <c r="AG484" t="n">
        <v>651.4861</v>
      </c>
      <c r="AH484" t="n">
        <v>8.593e-05</v>
      </c>
      <c r="AI484" t="n">
        <v>0.22512</v>
      </c>
      <c r="AJ484" t="n">
        <v>1209.9028</v>
      </c>
      <c r="AK484" t="n">
        <v>93.0694</v>
      </c>
      <c r="AL484" t="n">
        <v>9514.382799999999</v>
      </c>
      <c r="AM484" t="n">
        <v>7006.6012</v>
      </c>
      <c r="AN484" t="n">
        <v>0.99</v>
      </c>
      <c r="AO484" t="inlineStr">
        <is>
          <t>Critical</t>
        </is>
      </c>
      <c r="AP484" t="inlineStr">
        <is>
          <t>On Track to Glide Path</t>
        </is>
      </c>
    </row>
    <row r="485">
      <c r="A485" t="inlineStr">
        <is>
          <t>SUP-0031</t>
        </is>
      </c>
      <c r="B485" t="inlineStr">
        <is>
          <t>Professional Supplier 031</t>
        </is>
      </c>
      <c r="C485" t="inlineStr">
        <is>
          <t>Professional Services</t>
        </is>
      </c>
      <c r="D485" t="n">
        <v>2024</v>
      </c>
      <c r="E485" t="n">
        <v>2020</v>
      </c>
      <c r="F485" t="n">
        <v>2040</v>
      </c>
      <c r="G485" t="n">
        <v>2967.1823</v>
      </c>
      <c r="H485" t="n">
        <v>739.4444</v>
      </c>
      <c r="I485" t="n">
        <v>330.6118</v>
      </c>
      <c r="J485" t="n">
        <v>1931.7399</v>
      </c>
      <c r="K485" t="n">
        <v>26096563.11</v>
      </c>
      <c r="L485" t="n">
        <v>215871245.21</v>
      </c>
      <c r="M485" t="n">
        <v>2967.1823</v>
      </c>
      <c r="N485" t="inlineStr">
        <is>
          <t>Provided Total Emissions</t>
        </is>
      </c>
      <c r="O485" t="b">
        <v>1</v>
      </c>
      <c r="P485" t="n">
        <v>0.001392</v>
      </c>
      <c r="Q485" t="n">
        <v>0.033988</v>
      </c>
      <c r="R485" t="n">
        <v>3368.0224</v>
      </c>
      <c r="S485" t="n">
        <v>42435.9694</v>
      </c>
      <c r="T485" t="n">
        <v>400.8401</v>
      </c>
      <c r="U485" t="n">
        <v>39468.7871</v>
      </c>
      <c r="V485" t="n">
        <v>0.135091</v>
      </c>
      <c r="W485" t="n">
        <v>13.301774</v>
      </c>
      <c r="X485" t="inlineStr">
        <is>
          <t>High</t>
        </is>
      </c>
      <c r="Y485" t="inlineStr">
        <is>
          <t>None</t>
        </is>
      </c>
      <c r="Z485" t="inlineStr">
        <is>
          <t>Valid</t>
        </is>
      </c>
      <c r="AA485" t="n">
        <v>2028</v>
      </c>
      <c r="AB485" t="inlineStr">
        <is>
          <t>Supplier Target Pathway</t>
        </is>
      </c>
      <c r="AC485" t="n">
        <v>2893.9504</v>
      </c>
      <c r="AD485" t="n">
        <v>1032.5615</v>
      </c>
      <c r="AE485" t="n">
        <v>2149.3948</v>
      </c>
      <c r="AF485" t="n">
        <v>2149.3948</v>
      </c>
      <c r="AG485" t="n">
        <v>744.5556</v>
      </c>
      <c r="AH485" t="n">
        <v>8.236e-05</v>
      </c>
      <c r="AI485" t="n">
        <v>0.25728</v>
      </c>
      <c r="AJ485" t="n">
        <v>1116.8333</v>
      </c>
      <c r="AK485" t="n">
        <v>93.0694</v>
      </c>
      <c r="AL485" t="n">
        <v>7364.988</v>
      </c>
      <c r="AM485" t="n">
        <v>9155.995999999999</v>
      </c>
      <c r="AN485" t="n">
        <v>0.99</v>
      </c>
      <c r="AO485" t="inlineStr">
        <is>
          <t>Critical</t>
        </is>
      </c>
      <c r="AP485" t="inlineStr">
        <is>
          <t>On Track to Glide Path</t>
        </is>
      </c>
    </row>
    <row r="486">
      <c r="A486" t="inlineStr">
        <is>
          <t>SUP-0031</t>
        </is>
      </c>
      <c r="B486" t="inlineStr">
        <is>
          <t>Professional Supplier 031</t>
        </is>
      </c>
      <c r="C486" t="inlineStr">
        <is>
          <t>Professional Services</t>
        </is>
      </c>
      <c r="D486" t="n">
        <v>2024</v>
      </c>
      <c r="E486" t="n">
        <v>2020</v>
      </c>
      <c r="F486" t="n">
        <v>2040</v>
      </c>
      <c r="G486" t="n">
        <v>2967.1823</v>
      </c>
      <c r="H486" t="n">
        <v>739.4444</v>
      </c>
      <c r="I486" t="n">
        <v>330.6118</v>
      </c>
      <c r="J486" t="n">
        <v>1931.7399</v>
      </c>
      <c r="K486" t="n">
        <v>26096563.11</v>
      </c>
      <c r="L486" t="n">
        <v>215871245.21</v>
      </c>
      <c r="M486" t="n">
        <v>2967.1823</v>
      </c>
      <c r="N486" t="inlineStr">
        <is>
          <t>Provided Total Emissions</t>
        </is>
      </c>
      <c r="O486" t="b">
        <v>1</v>
      </c>
      <c r="P486" t="n">
        <v>0.001392</v>
      </c>
      <c r="Q486" t="n">
        <v>0.033988</v>
      </c>
      <c r="R486" t="n">
        <v>3368.0224</v>
      </c>
      <c r="S486" t="n">
        <v>42435.9694</v>
      </c>
      <c r="T486" t="n">
        <v>400.8401</v>
      </c>
      <c r="U486" t="n">
        <v>39468.7871</v>
      </c>
      <c r="V486" t="n">
        <v>0.135091</v>
      </c>
      <c r="W486" t="n">
        <v>13.301774</v>
      </c>
      <c r="X486" t="inlineStr">
        <is>
          <t>High</t>
        </is>
      </c>
      <c r="Y486" t="inlineStr">
        <is>
          <t>None</t>
        </is>
      </c>
      <c r="Z486" t="inlineStr">
        <is>
          <t>Valid</t>
        </is>
      </c>
      <c r="AA486" t="n">
        <v>2029</v>
      </c>
      <c r="AB486" t="inlineStr">
        <is>
          <t>Supplier Target Pathway</t>
        </is>
      </c>
      <c r="AC486" t="n">
        <v>2893.9504</v>
      </c>
      <c r="AD486" t="n">
        <v>1032.5615</v>
      </c>
      <c r="AE486" t="n">
        <v>2056.3254</v>
      </c>
      <c r="AF486" t="n">
        <v>2056.3254</v>
      </c>
      <c r="AG486" t="n">
        <v>837.625</v>
      </c>
      <c r="AH486" t="n">
        <v>7.88e-05</v>
      </c>
      <c r="AI486" t="n">
        <v>0.28944</v>
      </c>
      <c r="AJ486" t="n">
        <v>1023.7639</v>
      </c>
      <c r="AK486" t="n">
        <v>93.0694</v>
      </c>
      <c r="AL486" t="n">
        <v>5308.6626</v>
      </c>
      <c r="AM486" t="n">
        <v>11212.3214</v>
      </c>
      <c r="AN486" t="n">
        <v>0.99</v>
      </c>
      <c r="AO486" t="inlineStr">
        <is>
          <t>Critical</t>
        </is>
      </c>
      <c r="AP486" t="inlineStr">
        <is>
          <t>On Track to Glide Path</t>
        </is>
      </c>
    </row>
    <row r="487">
      <c r="A487" t="inlineStr">
        <is>
          <t>SUP-0031</t>
        </is>
      </c>
      <c r="B487" t="inlineStr">
        <is>
          <t>Professional Supplier 031</t>
        </is>
      </c>
      <c r="C487" t="inlineStr">
        <is>
          <t>Professional Services</t>
        </is>
      </c>
      <c r="D487" t="n">
        <v>2024</v>
      </c>
      <c r="E487" t="n">
        <v>2020</v>
      </c>
      <c r="F487" t="n">
        <v>2040</v>
      </c>
      <c r="G487" t="n">
        <v>2967.1823</v>
      </c>
      <c r="H487" t="n">
        <v>739.4444</v>
      </c>
      <c r="I487" t="n">
        <v>330.6118</v>
      </c>
      <c r="J487" t="n">
        <v>1931.7399</v>
      </c>
      <c r="K487" t="n">
        <v>26096563.11</v>
      </c>
      <c r="L487" t="n">
        <v>215871245.21</v>
      </c>
      <c r="M487" t="n">
        <v>2967.1823</v>
      </c>
      <c r="N487" t="inlineStr">
        <is>
          <t>Provided Total Emissions</t>
        </is>
      </c>
      <c r="O487" t="b">
        <v>1</v>
      </c>
      <c r="P487" t="n">
        <v>0.001392</v>
      </c>
      <c r="Q487" t="n">
        <v>0.033988</v>
      </c>
      <c r="R487" t="n">
        <v>3368.0224</v>
      </c>
      <c r="S487" t="n">
        <v>42435.9694</v>
      </c>
      <c r="T487" t="n">
        <v>400.8401</v>
      </c>
      <c r="U487" t="n">
        <v>39468.7871</v>
      </c>
      <c r="V487" t="n">
        <v>0.135091</v>
      </c>
      <c r="W487" t="n">
        <v>13.301774</v>
      </c>
      <c r="X487" t="inlineStr">
        <is>
          <t>High</t>
        </is>
      </c>
      <c r="Y487" t="inlineStr">
        <is>
          <t>None</t>
        </is>
      </c>
      <c r="Z487" t="inlineStr">
        <is>
          <t>Valid</t>
        </is>
      </c>
      <c r="AA487" t="n">
        <v>2030</v>
      </c>
      <c r="AB487" t="inlineStr">
        <is>
          <t>Supplier Target Pathway</t>
        </is>
      </c>
      <c r="AC487" t="n">
        <v>2893.9504</v>
      </c>
      <c r="AD487" t="n">
        <v>1032.5615</v>
      </c>
      <c r="AE487" t="n">
        <v>1963.256</v>
      </c>
      <c r="AF487" t="n">
        <v>1963.256</v>
      </c>
      <c r="AG487" t="n">
        <v>930.6944</v>
      </c>
      <c r="AH487" t="n">
        <v>7.523e-05</v>
      </c>
      <c r="AI487" t="n">
        <v>0.3216</v>
      </c>
      <c r="AJ487" t="n">
        <v>930.6944</v>
      </c>
      <c r="AK487" t="n">
        <v>93.0694</v>
      </c>
      <c r="AL487" t="n">
        <v>3345.4066</v>
      </c>
      <c r="AM487" t="n">
        <v>13175.5774</v>
      </c>
      <c r="AN487" t="n">
        <v>0.99</v>
      </c>
      <c r="AO487" t="inlineStr">
        <is>
          <t>Critical</t>
        </is>
      </c>
      <c r="AP487" t="inlineStr">
        <is>
          <t>On Track to Glide Path</t>
        </is>
      </c>
    </row>
    <row r="488">
      <c r="A488" t="inlineStr">
        <is>
          <t>SUP-0031</t>
        </is>
      </c>
      <c r="B488" t="inlineStr">
        <is>
          <t>Professional Supplier 031</t>
        </is>
      </c>
      <c r="C488" t="inlineStr">
        <is>
          <t>Professional Services</t>
        </is>
      </c>
      <c r="D488" t="n">
        <v>2024</v>
      </c>
      <c r="E488" t="n">
        <v>2020</v>
      </c>
      <c r="F488" t="n">
        <v>2040</v>
      </c>
      <c r="G488" t="n">
        <v>2967.1823</v>
      </c>
      <c r="H488" t="n">
        <v>739.4444</v>
      </c>
      <c r="I488" t="n">
        <v>330.6118</v>
      </c>
      <c r="J488" t="n">
        <v>1931.7399</v>
      </c>
      <c r="K488" t="n">
        <v>26096563.11</v>
      </c>
      <c r="L488" t="n">
        <v>215871245.21</v>
      </c>
      <c r="M488" t="n">
        <v>2967.1823</v>
      </c>
      <c r="N488" t="inlineStr">
        <is>
          <t>Provided Total Emissions</t>
        </is>
      </c>
      <c r="O488" t="b">
        <v>1</v>
      </c>
      <c r="P488" t="n">
        <v>0.001392</v>
      </c>
      <c r="Q488" t="n">
        <v>0.033988</v>
      </c>
      <c r="R488" t="n">
        <v>3368.0224</v>
      </c>
      <c r="S488" t="n">
        <v>42435.9694</v>
      </c>
      <c r="T488" t="n">
        <v>400.8401</v>
      </c>
      <c r="U488" t="n">
        <v>39468.7871</v>
      </c>
      <c r="V488" t="n">
        <v>0.135091</v>
      </c>
      <c r="W488" t="n">
        <v>13.301774</v>
      </c>
      <c r="X488" t="inlineStr">
        <is>
          <t>High</t>
        </is>
      </c>
      <c r="Y488" t="inlineStr">
        <is>
          <t>None</t>
        </is>
      </c>
      <c r="Z488" t="inlineStr">
        <is>
          <t>Valid</t>
        </is>
      </c>
      <c r="AA488" t="n">
        <v>2031</v>
      </c>
      <c r="AB488" t="inlineStr">
        <is>
          <t>Supplier Target Pathway</t>
        </is>
      </c>
      <c r="AC488" t="n">
        <v>2893.9504</v>
      </c>
      <c r="AD488" t="n">
        <v>1032.5615</v>
      </c>
      <c r="AE488" t="n">
        <v>1870.1865</v>
      </c>
      <c r="AF488" t="n">
        <v>1870.1865</v>
      </c>
      <c r="AG488" t="n">
        <v>1023.7639</v>
      </c>
      <c r="AH488" t="n">
        <v>7.166e-05</v>
      </c>
      <c r="AI488" t="n">
        <v>0.35376</v>
      </c>
      <c r="AJ488" t="n">
        <v>837.625</v>
      </c>
      <c r="AK488" t="n">
        <v>93.0694</v>
      </c>
      <c r="AL488" t="n">
        <v>1475.2201</v>
      </c>
      <c r="AM488" t="n">
        <v>15045.7639</v>
      </c>
      <c r="AN488" t="n">
        <v>0.99</v>
      </c>
      <c r="AO488" t="inlineStr">
        <is>
          <t>Critical</t>
        </is>
      </c>
      <c r="AP488" t="inlineStr">
        <is>
          <t>On Track to Glide Path</t>
        </is>
      </c>
    </row>
    <row r="489">
      <c r="A489" t="inlineStr">
        <is>
          <t>SUP-0031</t>
        </is>
      </c>
      <c r="B489" t="inlineStr">
        <is>
          <t>Professional Supplier 031</t>
        </is>
      </c>
      <c r="C489" t="inlineStr">
        <is>
          <t>Professional Services</t>
        </is>
      </c>
      <c r="D489" t="n">
        <v>2024</v>
      </c>
      <c r="E489" t="n">
        <v>2020</v>
      </c>
      <c r="F489" t="n">
        <v>2040</v>
      </c>
      <c r="G489" t="n">
        <v>2967.1823</v>
      </c>
      <c r="H489" t="n">
        <v>739.4444</v>
      </c>
      <c r="I489" t="n">
        <v>330.6118</v>
      </c>
      <c r="J489" t="n">
        <v>1931.7399</v>
      </c>
      <c r="K489" t="n">
        <v>26096563.11</v>
      </c>
      <c r="L489" t="n">
        <v>215871245.21</v>
      </c>
      <c r="M489" t="n">
        <v>2967.1823</v>
      </c>
      <c r="N489" t="inlineStr">
        <is>
          <t>Provided Total Emissions</t>
        </is>
      </c>
      <c r="O489" t="b">
        <v>1</v>
      </c>
      <c r="P489" t="n">
        <v>0.001392</v>
      </c>
      <c r="Q489" t="n">
        <v>0.033988</v>
      </c>
      <c r="R489" t="n">
        <v>3368.0224</v>
      </c>
      <c r="S489" t="n">
        <v>42435.9694</v>
      </c>
      <c r="T489" t="n">
        <v>400.8401</v>
      </c>
      <c r="U489" t="n">
        <v>39468.7871</v>
      </c>
      <c r="V489" t="n">
        <v>0.135091</v>
      </c>
      <c r="W489" t="n">
        <v>13.301774</v>
      </c>
      <c r="X489" t="inlineStr">
        <is>
          <t>High</t>
        </is>
      </c>
      <c r="Y489" t="inlineStr">
        <is>
          <t>None</t>
        </is>
      </c>
      <c r="Z489" t="inlineStr">
        <is>
          <t>Valid</t>
        </is>
      </c>
      <c r="AA489" t="n">
        <v>2032</v>
      </c>
      <c r="AB489" t="inlineStr">
        <is>
          <t>Supplier Target Pathway</t>
        </is>
      </c>
      <c r="AC489" t="n">
        <v>2893.9504</v>
      </c>
      <c r="AD489" t="n">
        <v>1032.5615</v>
      </c>
      <c r="AE489" t="n">
        <v>1777.1171</v>
      </c>
      <c r="AF489" t="n">
        <v>1777.1171</v>
      </c>
      <c r="AG489" t="n">
        <v>1116.8333</v>
      </c>
      <c r="AH489" t="n">
        <v>6.81e-05</v>
      </c>
      <c r="AI489" t="n">
        <v>0.38592</v>
      </c>
      <c r="AJ489" t="n">
        <v>744.5556</v>
      </c>
      <c r="AK489" t="n">
        <v>93.0694</v>
      </c>
      <c r="AL489" t="n">
        <v>-301.897</v>
      </c>
      <c r="AM489" t="n">
        <v>16822.881</v>
      </c>
      <c r="AN489" t="n">
        <v>0.99</v>
      </c>
      <c r="AO489" t="inlineStr">
        <is>
          <t>Critical</t>
        </is>
      </c>
      <c r="AP489" t="inlineStr">
        <is>
          <t>On Track to Glide Path</t>
        </is>
      </c>
    </row>
    <row r="490">
      <c r="A490" t="inlineStr">
        <is>
          <t>SUP-0031</t>
        </is>
      </c>
      <c r="B490" t="inlineStr">
        <is>
          <t>Professional Supplier 031</t>
        </is>
      </c>
      <c r="C490" t="inlineStr">
        <is>
          <t>Professional Services</t>
        </is>
      </c>
      <c r="D490" t="n">
        <v>2024</v>
      </c>
      <c r="E490" t="n">
        <v>2020</v>
      </c>
      <c r="F490" t="n">
        <v>2040</v>
      </c>
      <c r="G490" t="n">
        <v>2967.1823</v>
      </c>
      <c r="H490" t="n">
        <v>739.4444</v>
      </c>
      <c r="I490" t="n">
        <v>330.6118</v>
      </c>
      <c r="J490" t="n">
        <v>1931.7399</v>
      </c>
      <c r="K490" t="n">
        <v>26096563.11</v>
      </c>
      <c r="L490" t="n">
        <v>215871245.21</v>
      </c>
      <c r="M490" t="n">
        <v>2967.1823</v>
      </c>
      <c r="N490" t="inlineStr">
        <is>
          <t>Provided Total Emissions</t>
        </is>
      </c>
      <c r="O490" t="b">
        <v>1</v>
      </c>
      <c r="P490" t="n">
        <v>0.001392</v>
      </c>
      <c r="Q490" t="n">
        <v>0.033988</v>
      </c>
      <c r="R490" t="n">
        <v>3368.0224</v>
      </c>
      <c r="S490" t="n">
        <v>42435.9694</v>
      </c>
      <c r="T490" t="n">
        <v>400.8401</v>
      </c>
      <c r="U490" t="n">
        <v>39468.7871</v>
      </c>
      <c r="V490" t="n">
        <v>0.135091</v>
      </c>
      <c r="W490" t="n">
        <v>13.301774</v>
      </c>
      <c r="X490" t="inlineStr">
        <is>
          <t>High</t>
        </is>
      </c>
      <c r="Y490" t="inlineStr">
        <is>
          <t>None</t>
        </is>
      </c>
      <c r="Z490" t="inlineStr">
        <is>
          <t>Valid</t>
        </is>
      </c>
      <c r="AA490" t="n">
        <v>2033</v>
      </c>
      <c r="AB490" t="inlineStr">
        <is>
          <t>Supplier Target Pathway</t>
        </is>
      </c>
      <c r="AC490" t="n">
        <v>2893.9504</v>
      </c>
      <c r="AD490" t="n">
        <v>1032.5615</v>
      </c>
      <c r="AE490" t="n">
        <v>1684.0476</v>
      </c>
      <c r="AF490" t="n">
        <v>1684.0476</v>
      </c>
      <c r="AG490" t="n">
        <v>1209.9028</v>
      </c>
      <c r="AH490" t="n">
        <v>6.452999999999999e-05</v>
      </c>
      <c r="AI490" t="n">
        <v>0.41808</v>
      </c>
      <c r="AJ490" t="n">
        <v>651.4861</v>
      </c>
      <c r="AK490" t="n">
        <v>93.0694</v>
      </c>
      <c r="AL490" t="n">
        <v>-1985.9446</v>
      </c>
      <c r="AM490" t="n">
        <v>18506.9286</v>
      </c>
      <c r="AN490" t="n">
        <v>0.99</v>
      </c>
      <c r="AO490" t="inlineStr">
        <is>
          <t>Critical</t>
        </is>
      </c>
      <c r="AP490" t="inlineStr">
        <is>
          <t>On Track to Glide Path</t>
        </is>
      </c>
    </row>
    <row r="491">
      <c r="A491" t="inlineStr">
        <is>
          <t>SUP-0031</t>
        </is>
      </c>
      <c r="B491" t="inlineStr">
        <is>
          <t>Professional Supplier 031</t>
        </is>
      </c>
      <c r="C491" t="inlineStr">
        <is>
          <t>Professional Services</t>
        </is>
      </c>
      <c r="D491" t="n">
        <v>2024</v>
      </c>
      <c r="E491" t="n">
        <v>2020</v>
      </c>
      <c r="F491" t="n">
        <v>2040</v>
      </c>
      <c r="G491" t="n">
        <v>2967.1823</v>
      </c>
      <c r="H491" t="n">
        <v>739.4444</v>
      </c>
      <c r="I491" t="n">
        <v>330.6118</v>
      </c>
      <c r="J491" t="n">
        <v>1931.7399</v>
      </c>
      <c r="K491" t="n">
        <v>26096563.11</v>
      </c>
      <c r="L491" t="n">
        <v>215871245.21</v>
      </c>
      <c r="M491" t="n">
        <v>2967.1823</v>
      </c>
      <c r="N491" t="inlineStr">
        <is>
          <t>Provided Total Emissions</t>
        </is>
      </c>
      <c r="O491" t="b">
        <v>1</v>
      </c>
      <c r="P491" t="n">
        <v>0.001392</v>
      </c>
      <c r="Q491" t="n">
        <v>0.033988</v>
      </c>
      <c r="R491" t="n">
        <v>3368.0224</v>
      </c>
      <c r="S491" t="n">
        <v>42435.9694</v>
      </c>
      <c r="T491" t="n">
        <v>400.8401</v>
      </c>
      <c r="U491" t="n">
        <v>39468.7871</v>
      </c>
      <c r="V491" t="n">
        <v>0.135091</v>
      </c>
      <c r="W491" t="n">
        <v>13.301774</v>
      </c>
      <c r="X491" t="inlineStr">
        <is>
          <t>High</t>
        </is>
      </c>
      <c r="Y491" t="inlineStr">
        <is>
          <t>None</t>
        </is>
      </c>
      <c r="Z491" t="inlineStr">
        <is>
          <t>Valid</t>
        </is>
      </c>
      <c r="AA491" t="n">
        <v>2034</v>
      </c>
      <c r="AB491" t="inlineStr">
        <is>
          <t>Supplier Target Pathway</t>
        </is>
      </c>
      <c r="AC491" t="n">
        <v>2893.9504</v>
      </c>
      <c r="AD491" t="n">
        <v>1032.5615</v>
      </c>
      <c r="AE491" t="n">
        <v>1590.9782</v>
      </c>
      <c r="AF491" t="n">
        <v>1590.9782</v>
      </c>
      <c r="AG491" t="n">
        <v>1302.9722</v>
      </c>
      <c r="AH491" t="n">
        <v>6.097e-05</v>
      </c>
      <c r="AI491" t="n">
        <v>0.45024</v>
      </c>
      <c r="AJ491" t="n">
        <v>558.4167</v>
      </c>
      <c r="AK491" t="n">
        <v>93.0694</v>
      </c>
      <c r="AL491" t="n">
        <v>-3576.9228</v>
      </c>
      <c r="AM491" t="n">
        <v>20097.9068</v>
      </c>
      <c r="AN491" t="n">
        <v>0.99</v>
      </c>
      <c r="AO491" t="inlineStr">
        <is>
          <t>Critical</t>
        </is>
      </c>
      <c r="AP491" t="inlineStr">
        <is>
          <t>On Track to Glide Path</t>
        </is>
      </c>
    </row>
    <row r="492">
      <c r="A492" t="inlineStr">
        <is>
          <t>SUP-0031</t>
        </is>
      </c>
      <c r="B492" t="inlineStr">
        <is>
          <t>Professional Supplier 031</t>
        </is>
      </c>
      <c r="C492" t="inlineStr">
        <is>
          <t>Professional Services</t>
        </is>
      </c>
      <c r="D492" t="n">
        <v>2024</v>
      </c>
      <c r="E492" t="n">
        <v>2020</v>
      </c>
      <c r="F492" t="n">
        <v>2040</v>
      </c>
      <c r="G492" t="n">
        <v>2967.1823</v>
      </c>
      <c r="H492" t="n">
        <v>739.4444</v>
      </c>
      <c r="I492" t="n">
        <v>330.6118</v>
      </c>
      <c r="J492" t="n">
        <v>1931.7399</v>
      </c>
      <c r="K492" t="n">
        <v>26096563.11</v>
      </c>
      <c r="L492" t="n">
        <v>215871245.21</v>
      </c>
      <c r="M492" t="n">
        <v>2967.1823</v>
      </c>
      <c r="N492" t="inlineStr">
        <is>
          <t>Provided Total Emissions</t>
        </is>
      </c>
      <c r="O492" t="b">
        <v>1</v>
      </c>
      <c r="P492" t="n">
        <v>0.001392</v>
      </c>
      <c r="Q492" t="n">
        <v>0.033988</v>
      </c>
      <c r="R492" t="n">
        <v>3368.0224</v>
      </c>
      <c r="S492" t="n">
        <v>42435.9694</v>
      </c>
      <c r="T492" t="n">
        <v>400.8401</v>
      </c>
      <c r="U492" t="n">
        <v>39468.7871</v>
      </c>
      <c r="V492" t="n">
        <v>0.135091</v>
      </c>
      <c r="W492" t="n">
        <v>13.301774</v>
      </c>
      <c r="X492" t="inlineStr">
        <is>
          <t>High</t>
        </is>
      </c>
      <c r="Y492" t="inlineStr">
        <is>
          <t>None</t>
        </is>
      </c>
      <c r="Z492" t="inlineStr">
        <is>
          <t>Valid</t>
        </is>
      </c>
      <c r="AA492" t="n">
        <v>2035</v>
      </c>
      <c r="AB492" t="inlineStr">
        <is>
          <t>Supplier Target Pathway</t>
        </is>
      </c>
      <c r="AC492" t="n">
        <v>2893.9504</v>
      </c>
      <c r="AD492" t="n">
        <v>1032.5615</v>
      </c>
      <c r="AE492" t="n">
        <v>1497.9087</v>
      </c>
      <c r="AF492" t="n">
        <v>1497.9087</v>
      </c>
      <c r="AG492" t="n">
        <v>1396.0417</v>
      </c>
      <c r="AH492" t="n">
        <v>5.74e-05</v>
      </c>
      <c r="AI492" t="n">
        <v>0.4824</v>
      </c>
      <c r="AJ492" t="n">
        <v>465.3472</v>
      </c>
      <c r="AK492" t="n">
        <v>93.0694</v>
      </c>
      <c r="AL492" t="n">
        <v>-5074.8315</v>
      </c>
      <c r="AM492" t="n">
        <v>21595.8155</v>
      </c>
      <c r="AN492" t="n">
        <v>0.99</v>
      </c>
      <c r="AO492" t="inlineStr">
        <is>
          <t>Critical</t>
        </is>
      </c>
      <c r="AP492" t="inlineStr">
        <is>
          <t>On Track to Glide Path</t>
        </is>
      </c>
    </row>
    <row r="493">
      <c r="A493" t="inlineStr">
        <is>
          <t>SUP-0031</t>
        </is>
      </c>
      <c r="B493" t="inlineStr">
        <is>
          <t>Professional Supplier 031</t>
        </is>
      </c>
      <c r="C493" t="inlineStr">
        <is>
          <t>Professional Services</t>
        </is>
      </c>
      <c r="D493" t="n">
        <v>2024</v>
      </c>
      <c r="E493" t="n">
        <v>2020</v>
      </c>
      <c r="F493" t="n">
        <v>2040</v>
      </c>
      <c r="G493" t="n">
        <v>2967.1823</v>
      </c>
      <c r="H493" t="n">
        <v>739.4444</v>
      </c>
      <c r="I493" t="n">
        <v>330.6118</v>
      </c>
      <c r="J493" t="n">
        <v>1931.7399</v>
      </c>
      <c r="K493" t="n">
        <v>26096563.11</v>
      </c>
      <c r="L493" t="n">
        <v>215871245.21</v>
      </c>
      <c r="M493" t="n">
        <v>2967.1823</v>
      </c>
      <c r="N493" t="inlineStr">
        <is>
          <t>Provided Total Emissions</t>
        </is>
      </c>
      <c r="O493" t="b">
        <v>1</v>
      </c>
      <c r="P493" t="n">
        <v>0.001392</v>
      </c>
      <c r="Q493" t="n">
        <v>0.033988</v>
      </c>
      <c r="R493" t="n">
        <v>3368.0224</v>
      </c>
      <c r="S493" t="n">
        <v>42435.9694</v>
      </c>
      <c r="T493" t="n">
        <v>400.8401</v>
      </c>
      <c r="U493" t="n">
        <v>39468.7871</v>
      </c>
      <c r="V493" t="n">
        <v>0.135091</v>
      </c>
      <c r="W493" t="n">
        <v>13.301774</v>
      </c>
      <c r="X493" t="inlineStr">
        <is>
          <t>High</t>
        </is>
      </c>
      <c r="Y493" t="inlineStr">
        <is>
          <t>None</t>
        </is>
      </c>
      <c r="Z493" t="inlineStr">
        <is>
          <t>Valid</t>
        </is>
      </c>
      <c r="AA493" t="n">
        <v>2036</v>
      </c>
      <c r="AB493" t="inlineStr">
        <is>
          <t>Supplier Target Pathway</t>
        </is>
      </c>
      <c r="AC493" t="n">
        <v>2893.9504</v>
      </c>
      <c r="AD493" t="n">
        <v>1032.5615</v>
      </c>
      <c r="AE493" t="n">
        <v>1404.8393</v>
      </c>
      <c r="AF493" t="n">
        <v>1404.8393</v>
      </c>
      <c r="AG493" t="n">
        <v>1489.1111</v>
      </c>
      <c r="AH493" t="n">
        <v>5.383e-05</v>
      </c>
      <c r="AI493" t="n">
        <v>0.51456</v>
      </c>
      <c r="AJ493" t="n">
        <v>372.2778</v>
      </c>
      <c r="AK493" t="n">
        <v>93.0694</v>
      </c>
      <c r="AL493" t="n">
        <v>-6479.6708</v>
      </c>
      <c r="AM493" t="n">
        <v>23000.6548</v>
      </c>
      <c r="AN493" t="n">
        <v>0.99</v>
      </c>
      <c r="AO493" t="inlineStr">
        <is>
          <t>Critical</t>
        </is>
      </c>
      <c r="AP493" t="inlineStr">
        <is>
          <t>On Track to Glide Path</t>
        </is>
      </c>
    </row>
    <row r="494">
      <c r="A494" t="inlineStr">
        <is>
          <t>SUP-0031</t>
        </is>
      </c>
      <c r="B494" t="inlineStr">
        <is>
          <t>Professional Supplier 031</t>
        </is>
      </c>
      <c r="C494" t="inlineStr">
        <is>
          <t>Professional Services</t>
        </is>
      </c>
      <c r="D494" t="n">
        <v>2024</v>
      </c>
      <c r="E494" t="n">
        <v>2020</v>
      </c>
      <c r="F494" t="n">
        <v>2040</v>
      </c>
      <c r="G494" t="n">
        <v>2967.1823</v>
      </c>
      <c r="H494" t="n">
        <v>739.4444</v>
      </c>
      <c r="I494" t="n">
        <v>330.6118</v>
      </c>
      <c r="J494" t="n">
        <v>1931.7399</v>
      </c>
      <c r="K494" t="n">
        <v>26096563.11</v>
      </c>
      <c r="L494" t="n">
        <v>215871245.21</v>
      </c>
      <c r="M494" t="n">
        <v>2967.1823</v>
      </c>
      <c r="N494" t="inlineStr">
        <is>
          <t>Provided Total Emissions</t>
        </is>
      </c>
      <c r="O494" t="b">
        <v>1</v>
      </c>
      <c r="P494" t="n">
        <v>0.001392</v>
      </c>
      <c r="Q494" t="n">
        <v>0.033988</v>
      </c>
      <c r="R494" t="n">
        <v>3368.0224</v>
      </c>
      <c r="S494" t="n">
        <v>42435.9694</v>
      </c>
      <c r="T494" t="n">
        <v>400.8401</v>
      </c>
      <c r="U494" t="n">
        <v>39468.7871</v>
      </c>
      <c r="V494" t="n">
        <v>0.135091</v>
      </c>
      <c r="W494" t="n">
        <v>13.301774</v>
      </c>
      <c r="X494" t="inlineStr">
        <is>
          <t>High</t>
        </is>
      </c>
      <c r="Y494" t="inlineStr">
        <is>
          <t>None</t>
        </is>
      </c>
      <c r="Z494" t="inlineStr">
        <is>
          <t>Valid</t>
        </is>
      </c>
      <c r="AA494" t="n">
        <v>2037</v>
      </c>
      <c r="AB494" t="inlineStr">
        <is>
          <t>Supplier Target Pathway</t>
        </is>
      </c>
      <c r="AC494" t="n">
        <v>2893.9504</v>
      </c>
      <c r="AD494" t="n">
        <v>1032.5615</v>
      </c>
      <c r="AE494" t="n">
        <v>1311.7698</v>
      </c>
      <c r="AF494" t="n">
        <v>1311.7698</v>
      </c>
      <c r="AG494" t="n">
        <v>1582.1806</v>
      </c>
      <c r="AH494" t="n">
        <v>5.027e-05</v>
      </c>
      <c r="AI494" t="n">
        <v>0.54672</v>
      </c>
      <c r="AJ494" t="n">
        <v>279.2083</v>
      </c>
      <c r="AK494" t="n">
        <v>93.0694</v>
      </c>
      <c r="AL494" t="n">
        <v>-7791.4406</v>
      </c>
      <c r="AM494" t="n">
        <v>24312.4246</v>
      </c>
      <c r="AN494" t="n">
        <v>0.99</v>
      </c>
      <c r="AO494" t="inlineStr">
        <is>
          <t>High</t>
        </is>
      </c>
      <c r="AP494" t="inlineStr">
        <is>
          <t>On Track to Glide Path</t>
        </is>
      </c>
    </row>
    <row r="495">
      <c r="A495" t="inlineStr">
        <is>
          <t>SUP-0031</t>
        </is>
      </c>
      <c r="B495" t="inlineStr">
        <is>
          <t>Professional Supplier 031</t>
        </is>
      </c>
      <c r="C495" t="inlineStr">
        <is>
          <t>Professional Services</t>
        </is>
      </c>
      <c r="D495" t="n">
        <v>2024</v>
      </c>
      <c r="E495" t="n">
        <v>2020</v>
      </c>
      <c r="F495" t="n">
        <v>2040</v>
      </c>
      <c r="G495" t="n">
        <v>2967.1823</v>
      </c>
      <c r="H495" t="n">
        <v>739.4444</v>
      </c>
      <c r="I495" t="n">
        <v>330.6118</v>
      </c>
      <c r="J495" t="n">
        <v>1931.7399</v>
      </c>
      <c r="K495" t="n">
        <v>26096563.11</v>
      </c>
      <c r="L495" t="n">
        <v>215871245.21</v>
      </c>
      <c r="M495" t="n">
        <v>2967.1823</v>
      </c>
      <c r="N495" t="inlineStr">
        <is>
          <t>Provided Total Emissions</t>
        </is>
      </c>
      <c r="O495" t="b">
        <v>1</v>
      </c>
      <c r="P495" t="n">
        <v>0.001392</v>
      </c>
      <c r="Q495" t="n">
        <v>0.033988</v>
      </c>
      <c r="R495" t="n">
        <v>3368.0224</v>
      </c>
      <c r="S495" t="n">
        <v>42435.9694</v>
      </c>
      <c r="T495" t="n">
        <v>400.8401</v>
      </c>
      <c r="U495" t="n">
        <v>39468.7871</v>
      </c>
      <c r="V495" t="n">
        <v>0.135091</v>
      </c>
      <c r="W495" t="n">
        <v>13.301774</v>
      </c>
      <c r="X495" t="inlineStr">
        <is>
          <t>High</t>
        </is>
      </c>
      <c r="Y495" t="inlineStr">
        <is>
          <t>None</t>
        </is>
      </c>
      <c r="Z495" t="inlineStr">
        <is>
          <t>Valid</t>
        </is>
      </c>
      <c r="AA495" t="n">
        <v>2038</v>
      </c>
      <c r="AB495" t="inlineStr">
        <is>
          <t>Supplier Target Pathway</t>
        </is>
      </c>
      <c r="AC495" t="n">
        <v>2893.9504</v>
      </c>
      <c r="AD495" t="n">
        <v>1032.5615</v>
      </c>
      <c r="AE495" t="n">
        <v>1218.7004</v>
      </c>
      <c r="AF495" t="n">
        <v>1218.7004</v>
      </c>
      <c r="AG495" t="n">
        <v>1675.25</v>
      </c>
      <c r="AH495" t="n">
        <v>4.67e-05</v>
      </c>
      <c r="AI495" t="n">
        <v>0.57888</v>
      </c>
      <c r="AJ495" t="n">
        <v>186.1389</v>
      </c>
      <c r="AK495" t="n">
        <v>93.0694</v>
      </c>
      <c r="AL495" t="n">
        <v>-9010.141</v>
      </c>
      <c r="AM495" t="n">
        <v>25531.125</v>
      </c>
      <c r="AN495" t="n">
        <v>0.99</v>
      </c>
      <c r="AO495" t="inlineStr">
        <is>
          <t>High</t>
        </is>
      </c>
      <c r="AP495" t="inlineStr">
        <is>
          <t>On Track to Glide Path</t>
        </is>
      </c>
    </row>
    <row r="496">
      <c r="A496" t="inlineStr">
        <is>
          <t>SUP-0031</t>
        </is>
      </c>
      <c r="B496" t="inlineStr">
        <is>
          <t>Professional Supplier 031</t>
        </is>
      </c>
      <c r="C496" t="inlineStr">
        <is>
          <t>Professional Services</t>
        </is>
      </c>
      <c r="D496" t="n">
        <v>2024</v>
      </c>
      <c r="E496" t="n">
        <v>2020</v>
      </c>
      <c r="F496" t="n">
        <v>2040</v>
      </c>
      <c r="G496" t="n">
        <v>2967.1823</v>
      </c>
      <c r="H496" t="n">
        <v>739.4444</v>
      </c>
      <c r="I496" t="n">
        <v>330.6118</v>
      </c>
      <c r="J496" t="n">
        <v>1931.7399</v>
      </c>
      <c r="K496" t="n">
        <v>26096563.11</v>
      </c>
      <c r="L496" t="n">
        <v>215871245.21</v>
      </c>
      <c r="M496" t="n">
        <v>2967.1823</v>
      </c>
      <c r="N496" t="inlineStr">
        <is>
          <t>Provided Total Emissions</t>
        </is>
      </c>
      <c r="O496" t="b">
        <v>1</v>
      </c>
      <c r="P496" t="n">
        <v>0.001392</v>
      </c>
      <c r="Q496" t="n">
        <v>0.033988</v>
      </c>
      <c r="R496" t="n">
        <v>3368.0224</v>
      </c>
      <c r="S496" t="n">
        <v>42435.9694</v>
      </c>
      <c r="T496" t="n">
        <v>400.8401</v>
      </c>
      <c r="U496" t="n">
        <v>39468.7871</v>
      </c>
      <c r="V496" t="n">
        <v>0.135091</v>
      </c>
      <c r="W496" t="n">
        <v>13.301774</v>
      </c>
      <c r="X496" t="inlineStr">
        <is>
          <t>High</t>
        </is>
      </c>
      <c r="Y496" t="inlineStr">
        <is>
          <t>None</t>
        </is>
      </c>
      <c r="Z496" t="inlineStr">
        <is>
          <t>Valid</t>
        </is>
      </c>
      <c r="AA496" t="n">
        <v>2039</v>
      </c>
      <c r="AB496" t="inlineStr">
        <is>
          <t>Supplier Target Pathway</t>
        </is>
      </c>
      <c r="AC496" t="n">
        <v>2893.9504</v>
      </c>
      <c r="AD496" t="n">
        <v>1032.5615</v>
      </c>
      <c r="AE496" t="n">
        <v>1125.6309</v>
      </c>
      <c r="AF496" t="n">
        <v>1125.6309</v>
      </c>
      <c r="AG496" t="n">
        <v>1768.3195</v>
      </c>
      <c r="AH496" t="n">
        <v>4.313e-05</v>
      </c>
      <c r="AI496" t="n">
        <v>0.61104</v>
      </c>
      <c r="AJ496" t="n">
        <v>93.0694</v>
      </c>
      <c r="AK496" t="n">
        <v>93.0694</v>
      </c>
      <c r="AL496" t="n">
        <v>-10135.7719</v>
      </c>
      <c r="AM496" t="n">
        <v>26656.7559</v>
      </c>
      <c r="AN496" t="n">
        <v>0.99</v>
      </c>
      <c r="AO496" t="inlineStr">
        <is>
          <t>Medium</t>
        </is>
      </c>
      <c r="AP496" t="inlineStr">
        <is>
          <t>On Track to Glide Path</t>
        </is>
      </c>
    </row>
    <row r="497">
      <c r="A497" t="inlineStr">
        <is>
          <t>SUP-0031</t>
        </is>
      </c>
      <c r="B497" t="inlineStr">
        <is>
          <t>Professional Supplier 031</t>
        </is>
      </c>
      <c r="C497" t="inlineStr">
        <is>
          <t>Professional Services</t>
        </is>
      </c>
      <c r="D497" t="n">
        <v>2024</v>
      </c>
      <c r="E497" t="n">
        <v>2020</v>
      </c>
      <c r="F497" t="n">
        <v>2040</v>
      </c>
      <c r="G497" t="n">
        <v>2967.1823</v>
      </c>
      <c r="H497" t="n">
        <v>739.4444</v>
      </c>
      <c r="I497" t="n">
        <v>330.6118</v>
      </c>
      <c r="J497" t="n">
        <v>1931.7399</v>
      </c>
      <c r="K497" t="n">
        <v>26096563.11</v>
      </c>
      <c r="L497" t="n">
        <v>215871245.21</v>
      </c>
      <c r="M497" t="n">
        <v>2967.1823</v>
      </c>
      <c r="N497" t="inlineStr">
        <is>
          <t>Provided Total Emissions</t>
        </is>
      </c>
      <c r="O497" t="b">
        <v>1</v>
      </c>
      <c r="P497" t="n">
        <v>0.001392</v>
      </c>
      <c r="Q497" t="n">
        <v>0.033988</v>
      </c>
      <c r="R497" t="n">
        <v>3368.0224</v>
      </c>
      <c r="S497" t="n">
        <v>42435.9694</v>
      </c>
      <c r="T497" t="n">
        <v>400.8401</v>
      </c>
      <c r="U497" t="n">
        <v>39468.7871</v>
      </c>
      <c r="V497" t="n">
        <v>0.135091</v>
      </c>
      <c r="W497" t="n">
        <v>13.301774</v>
      </c>
      <c r="X497" t="inlineStr">
        <is>
          <t>High</t>
        </is>
      </c>
      <c r="Y497" t="inlineStr">
        <is>
          <t>None</t>
        </is>
      </c>
      <c r="Z497" t="inlineStr">
        <is>
          <t>Valid</t>
        </is>
      </c>
      <c r="AA497" t="n">
        <v>2040</v>
      </c>
      <c r="AB497" t="inlineStr">
        <is>
          <t>Supplier Target Pathway</t>
        </is>
      </c>
      <c r="AC497" t="n">
        <v>2893.9504</v>
      </c>
      <c r="AD497" t="n">
        <v>1032.5615</v>
      </c>
      <c r="AE497" t="n">
        <v>1032.5615</v>
      </c>
      <c r="AF497" t="n">
        <v>1032.5615</v>
      </c>
      <c r="AG497" t="n">
        <v>1861.3889</v>
      </c>
      <c r="AH497" t="n">
        <v>3.957e-05</v>
      </c>
      <c r="AI497" t="n">
        <v>0.6432</v>
      </c>
      <c r="AJ497" t="n">
        <v>0</v>
      </c>
      <c r="AK497" t="n">
        <v>93.0694</v>
      </c>
      <c r="AL497" t="n">
        <v>-11168.3334</v>
      </c>
      <c r="AM497" t="n">
        <v>27689.3174</v>
      </c>
      <c r="AN497" t="n">
        <v>0.99</v>
      </c>
      <c r="AO497" t="inlineStr">
        <is>
          <t>Low</t>
        </is>
      </c>
      <c r="AP497" t="inlineStr">
        <is>
          <t>On Track</t>
        </is>
      </c>
    </row>
    <row r="498">
      <c r="A498" t="inlineStr">
        <is>
          <t>SUP-0032</t>
        </is>
      </c>
      <c r="B498" t="inlineStr">
        <is>
          <t>Agriculture Supplier 032</t>
        </is>
      </c>
      <c r="C498" t="inlineStr">
        <is>
          <t>Agriculture</t>
        </is>
      </c>
      <c r="D498" t="n">
        <v>2024</v>
      </c>
      <c r="E498" t="n">
        <v>2018</v>
      </c>
      <c r="F498" t="n">
        <v>2035</v>
      </c>
      <c r="G498" t="n">
        <v>34656.8022</v>
      </c>
      <c r="H498" t="n">
        <v>7131.6436</v>
      </c>
      <c r="I498" t="n">
        <v>5510.1683</v>
      </c>
      <c r="J498" t="n">
        <v>20443.4335</v>
      </c>
      <c r="K498" t="n">
        <v>29658352.82</v>
      </c>
      <c r="L498" t="n">
        <v>54901393.73</v>
      </c>
      <c r="M498" t="n">
        <v>34656.8022</v>
      </c>
      <c r="N498" t="inlineStr">
        <is>
          <t>Provided Total Emissions</t>
        </is>
      </c>
      <c r="O498" t="b">
        <v>1</v>
      </c>
      <c r="P498" t="n">
        <v>0.02537</v>
      </c>
      <c r="Q498" t="n">
        <v>0.037829</v>
      </c>
      <c r="R498" t="n">
        <v>27111.5901</v>
      </c>
      <c r="S498" t="n">
        <v>53206.5877</v>
      </c>
      <c r="T498" t="n">
        <v>-7545.2121</v>
      </c>
      <c r="U498" t="n">
        <v>18549.7855</v>
      </c>
      <c r="V498" t="n">
        <v>-0.217712</v>
      </c>
      <c r="W498" t="n">
        <v>0.535242</v>
      </c>
      <c r="X498" t="inlineStr">
        <is>
          <t>High</t>
        </is>
      </c>
      <c r="Y498" t="inlineStr">
        <is>
          <t>None</t>
        </is>
      </c>
      <c r="Z498" t="inlineStr">
        <is>
          <t>Valid</t>
        </is>
      </c>
      <c r="AA498" t="n">
        <v>2025</v>
      </c>
      <c r="AB498" t="inlineStr">
        <is>
          <t>Supplier Target Pathway</t>
        </is>
      </c>
      <c r="AC498" t="n">
        <v>21808.8858</v>
      </c>
      <c r="AD498" t="n">
        <v>12559.7373</v>
      </c>
      <c r="AE498" t="n">
        <v>18000.4129</v>
      </c>
      <c r="AF498" t="n">
        <v>18000.4129</v>
      </c>
      <c r="AG498" t="n">
        <v>3808.4729</v>
      </c>
      <c r="AH498" t="n">
        <v>0.00060693</v>
      </c>
      <c r="AI498" t="n">
        <v>0.174629</v>
      </c>
      <c r="AJ498" t="n">
        <v>5440.6756</v>
      </c>
      <c r="AK498" t="n">
        <v>544.0676</v>
      </c>
      <c r="AL498" t="n">
        <v>120156.6974</v>
      </c>
      <c r="AM498" t="n">
        <v>18000.4129</v>
      </c>
      <c r="AN498" t="n">
        <v>0.99</v>
      </c>
      <c r="AO498" t="inlineStr">
        <is>
          <t>Critical</t>
        </is>
      </c>
      <c r="AP498" t="inlineStr">
        <is>
          <t>On Track to Glide Path</t>
        </is>
      </c>
    </row>
    <row r="499">
      <c r="A499" t="inlineStr">
        <is>
          <t>SUP-0032</t>
        </is>
      </c>
      <c r="B499" t="inlineStr">
        <is>
          <t>Agriculture Supplier 032</t>
        </is>
      </c>
      <c r="C499" t="inlineStr">
        <is>
          <t>Agriculture</t>
        </is>
      </c>
      <c r="D499" t="n">
        <v>2024</v>
      </c>
      <c r="E499" t="n">
        <v>2018</v>
      </c>
      <c r="F499" t="n">
        <v>2035</v>
      </c>
      <c r="G499" t="n">
        <v>34656.8022</v>
      </c>
      <c r="H499" t="n">
        <v>7131.6436</v>
      </c>
      <c r="I499" t="n">
        <v>5510.1683</v>
      </c>
      <c r="J499" t="n">
        <v>20443.4335</v>
      </c>
      <c r="K499" t="n">
        <v>29658352.82</v>
      </c>
      <c r="L499" t="n">
        <v>54901393.73</v>
      </c>
      <c r="M499" t="n">
        <v>34656.8022</v>
      </c>
      <c r="N499" t="inlineStr">
        <is>
          <t>Provided Total Emissions</t>
        </is>
      </c>
      <c r="O499" t="b">
        <v>1</v>
      </c>
      <c r="P499" t="n">
        <v>0.02537</v>
      </c>
      <c r="Q499" t="n">
        <v>0.037829</v>
      </c>
      <c r="R499" t="n">
        <v>27111.5901</v>
      </c>
      <c r="S499" t="n">
        <v>53206.5877</v>
      </c>
      <c r="T499" t="n">
        <v>-7545.2121</v>
      </c>
      <c r="U499" t="n">
        <v>18549.7855</v>
      </c>
      <c r="V499" t="n">
        <v>-0.217712</v>
      </c>
      <c r="W499" t="n">
        <v>0.535242</v>
      </c>
      <c r="X499" t="inlineStr">
        <is>
          <t>High</t>
        </is>
      </c>
      <c r="Y499" t="inlineStr">
        <is>
          <t>None</t>
        </is>
      </c>
      <c r="Z499" t="inlineStr">
        <is>
          <t>Valid</t>
        </is>
      </c>
      <c r="AA499" t="n">
        <v>2026</v>
      </c>
      <c r="AB499" t="inlineStr">
        <is>
          <t>Supplier Target Pathway</t>
        </is>
      </c>
      <c r="AC499" t="n">
        <v>21808.8858</v>
      </c>
      <c r="AD499" t="n">
        <v>12559.7373</v>
      </c>
      <c r="AE499" t="n">
        <v>17456.3453</v>
      </c>
      <c r="AF499" t="n">
        <v>17456.3453</v>
      </c>
      <c r="AG499" t="n">
        <v>4352.5405</v>
      </c>
      <c r="AH499" t="n">
        <v>0.00058858</v>
      </c>
      <c r="AI499" t="n">
        <v>0.199576</v>
      </c>
      <c r="AJ499" t="n">
        <v>4896.608</v>
      </c>
      <c r="AK499" t="n">
        <v>544.0676</v>
      </c>
      <c r="AL499" t="n">
        <v>102700.3521</v>
      </c>
      <c r="AM499" t="n">
        <v>35456.7582</v>
      </c>
      <c r="AN499" t="n">
        <v>0.99</v>
      </c>
      <c r="AO499" t="inlineStr">
        <is>
          <t>Critical</t>
        </is>
      </c>
      <c r="AP499" t="inlineStr">
        <is>
          <t>On Track to Glide Path</t>
        </is>
      </c>
    </row>
    <row r="500">
      <c r="A500" t="inlineStr">
        <is>
          <t>SUP-0032</t>
        </is>
      </c>
      <c r="B500" t="inlineStr">
        <is>
          <t>Agriculture Supplier 032</t>
        </is>
      </c>
      <c r="C500" t="inlineStr">
        <is>
          <t>Agriculture</t>
        </is>
      </c>
      <c r="D500" t="n">
        <v>2024</v>
      </c>
      <c r="E500" t="n">
        <v>2018</v>
      </c>
      <c r="F500" t="n">
        <v>2035</v>
      </c>
      <c r="G500" t="n">
        <v>34656.8022</v>
      </c>
      <c r="H500" t="n">
        <v>7131.6436</v>
      </c>
      <c r="I500" t="n">
        <v>5510.1683</v>
      </c>
      <c r="J500" t="n">
        <v>20443.4335</v>
      </c>
      <c r="K500" t="n">
        <v>29658352.82</v>
      </c>
      <c r="L500" t="n">
        <v>54901393.73</v>
      </c>
      <c r="M500" t="n">
        <v>34656.8022</v>
      </c>
      <c r="N500" t="inlineStr">
        <is>
          <t>Provided Total Emissions</t>
        </is>
      </c>
      <c r="O500" t="b">
        <v>1</v>
      </c>
      <c r="P500" t="n">
        <v>0.02537</v>
      </c>
      <c r="Q500" t="n">
        <v>0.037829</v>
      </c>
      <c r="R500" t="n">
        <v>27111.5901</v>
      </c>
      <c r="S500" t="n">
        <v>53206.5877</v>
      </c>
      <c r="T500" t="n">
        <v>-7545.2121</v>
      </c>
      <c r="U500" t="n">
        <v>18549.7855</v>
      </c>
      <c r="V500" t="n">
        <v>-0.217712</v>
      </c>
      <c r="W500" t="n">
        <v>0.535242</v>
      </c>
      <c r="X500" t="inlineStr">
        <is>
          <t>High</t>
        </is>
      </c>
      <c r="Y500" t="inlineStr">
        <is>
          <t>None</t>
        </is>
      </c>
      <c r="Z500" t="inlineStr">
        <is>
          <t>Valid</t>
        </is>
      </c>
      <c r="AA500" t="n">
        <v>2027</v>
      </c>
      <c r="AB500" t="inlineStr">
        <is>
          <t>Supplier Target Pathway</t>
        </is>
      </c>
      <c r="AC500" t="n">
        <v>21808.8858</v>
      </c>
      <c r="AD500" t="n">
        <v>12559.7373</v>
      </c>
      <c r="AE500" t="n">
        <v>16912.2778</v>
      </c>
      <c r="AF500" t="n">
        <v>16912.2778</v>
      </c>
      <c r="AG500" t="n">
        <v>4896.608</v>
      </c>
      <c r="AH500" t="n">
        <v>0.00057024</v>
      </c>
      <c r="AI500" t="n">
        <v>0.224524</v>
      </c>
      <c r="AJ500" t="n">
        <v>4352.5405</v>
      </c>
      <c r="AK500" t="n">
        <v>544.0676</v>
      </c>
      <c r="AL500" t="n">
        <v>85788.07429999999</v>
      </c>
      <c r="AM500" t="n">
        <v>52369.036</v>
      </c>
      <c r="AN500" t="n">
        <v>0.99</v>
      </c>
      <c r="AO500" t="inlineStr">
        <is>
          <t>High</t>
        </is>
      </c>
      <c r="AP500" t="inlineStr">
        <is>
          <t>On Track to Glide Path</t>
        </is>
      </c>
    </row>
    <row r="501">
      <c r="A501" t="inlineStr">
        <is>
          <t>SUP-0032</t>
        </is>
      </c>
      <c r="B501" t="inlineStr">
        <is>
          <t>Agriculture Supplier 032</t>
        </is>
      </c>
      <c r="C501" t="inlineStr">
        <is>
          <t>Agriculture</t>
        </is>
      </c>
      <c r="D501" t="n">
        <v>2024</v>
      </c>
      <c r="E501" t="n">
        <v>2018</v>
      </c>
      <c r="F501" t="n">
        <v>2035</v>
      </c>
      <c r="G501" t="n">
        <v>34656.8022</v>
      </c>
      <c r="H501" t="n">
        <v>7131.6436</v>
      </c>
      <c r="I501" t="n">
        <v>5510.1683</v>
      </c>
      <c r="J501" t="n">
        <v>20443.4335</v>
      </c>
      <c r="K501" t="n">
        <v>29658352.82</v>
      </c>
      <c r="L501" t="n">
        <v>54901393.73</v>
      </c>
      <c r="M501" t="n">
        <v>34656.8022</v>
      </c>
      <c r="N501" t="inlineStr">
        <is>
          <t>Provided Total Emissions</t>
        </is>
      </c>
      <c r="O501" t="b">
        <v>1</v>
      </c>
      <c r="P501" t="n">
        <v>0.02537</v>
      </c>
      <c r="Q501" t="n">
        <v>0.037829</v>
      </c>
      <c r="R501" t="n">
        <v>27111.5901</v>
      </c>
      <c r="S501" t="n">
        <v>53206.5877</v>
      </c>
      <c r="T501" t="n">
        <v>-7545.2121</v>
      </c>
      <c r="U501" t="n">
        <v>18549.7855</v>
      </c>
      <c r="V501" t="n">
        <v>-0.217712</v>
      </c>
      <c r="W501" t="n">
        <v>0.535242</v>
      </c>
      <c r="X501" t="inlineStr">
        <is>
          <t>High</t>
        </is>
      </c>
      <c r="Y501" t="inlineStr">
        <is>
          <t>None</t>
        </is>
      </c>
      <c r="Z501" t="inlineStr">
        <is>
          <t>Valid</t>
        </is>
      </c>
      <c r="AA501" t="n">
        <v>2028</v>
      </c>
      <c r="AB501" t="inlineStr">
        <is>
          <t>Supplier Target Pathway</t>
        </is>
      </c>
      <c r="AC501" t="n">
        <v>21808.8858</v>
      </c>
      <c r="AD501" t="n">
        <v>12559.7373</v>
      </c>
      <c r="AE501" t="n">
        <v>16368.2102</v>
      </c>
      <c r="AF501" t="n">
        <v>16368.2102</v>
      </c>
      <c r="AG501" t="n">
        <v>5440.6756</v>
      </c>
      <c r="AH501" t="n">
        <v>0.00055189</v>
      </c>
      <c r="AI501" t="n">
        <v>0.249471</v>
      </c>
      <c r="AJ501" t="n">
        <v>3808.4729</v>
      </c>
      <c r="AK501" t="n">
        <v>544.0676</v>
      </c>
      <c r="AL501" t="n">
        <v>69419.86410000001</v>
      </c>
      <c r="AM501" t="n">
        <v>68737.24619999999</v>
      </c>
      <c r="AN501" t="n">
        <v>0.99</v>
      </c>
      <c r="AO501" t="inlineStr">
        <is>
          <t>High</t>
        </is>
      </c>
      <c r="AP501" t="inlineStr">
        <is>
          <t>On Track to Glide Path</t>
        </is>
      </c>
    </row>
    <row r="502">
      <c r="A502" t="inlineStr">
        <is>
          <t>SUP-0032</t>
        </is>
      </c>
      <c r="B502" t="inlineStr">
        <is>
          <t>Agriculture Supplier 032</t>
        </is>
      </c>
      <c r="C502" t="inlineStr">
        <is>
          <t>Agriculture</t>
        </is>
      </c>
      <c r="D502" t="n">
        <v>2024</v>
      </c>
      <c r="E502" t="n">
        <v>2018</v>
      </c>
      <c r="F502" t="n">
        <v>2035</v>
      </c>
      <c r="G502" t="n">
        <v>34656.8022</v>
      </c>
      <c r="H502" t="n">
        <v>7131.6436</v>
      </c>
      <c r="I502" t="n">
        <v>5510.1683</v>
      </c>
      <c r="J502" t="n">
        <v>20443.4335</v>
      </c>
      <c r="K502" t="n">
        <v>29658352.82</v>
      </c>
      <c r="L502" t="n">
        <v>54901393.73</v>
      </c>
      <c r="M502" t="n">
        <v>34656.8022</v>
      </c>
      <c r="N502" t="inlineStr">
        <is>
          <t>Provided Total Emissions</t>
        </is>
      </c>
      <c r="O502" t="b">
        <v>1</v>
      </c>
      <c r="P502" t="n">
        <v>0.02537</v>
      </c>
      <c r="Q502" t="n">
        <v>0.037829</v>
      </c>
      <c r="R502" t="n">
        <v>27111.5901</v>
      </c>
      <c r="S502" t="n">
        <v>53206.5877</v>
      </c>
      <c r="T502" t="n">
        <v>-7545.2121</v>
      </c>
      <c r="U502" t="n">
        <v>18549.7855</v>
      </c>
      <c r="V502" t="n">
        <v>-0.217712</v>
      </c>
      <c r="W502" t="n">
        <v>0.535242</v>
      </c>
      <c r="X502" t="inlineStr">
        <is>
          <t>High</t>
        </is>
      </c>
      <c r="Y502" t="inlineStr">
        <is>
          <t>None</t>
        </is>
      </c>
      <c r="Z502" t="inlineStr">
        <is>
          <t>Valid</t>
        </is>
      </c>
      <c r="AA502" t="n">
        <v>2029</v>
      </c>
      <c r="AB502" t="inlineStr">
        <is>
          <t>Supplier Target Pathway</t>
        </is>
      </c>
      <c r="AC502" t="n">
        <v>21808.8858</v>
      </c>
      <c r="AD502" t="n">
        <v>12559.7373</v>
      </c>
      <c r="AE502" t="n">
        <v>15824.1427</v>
      </c>
      <c r="AF502" t="n">
        <v>15824.1427</v>
      </c>
      <c r="AG502" t="n">
        <v>5984.7431</v>
      </c>
      <c r="AH502" t="n">
        <v>0.00053355</v>
      </c>
      <c r="AI502" t="n">
        <v>0.274418</v>
      </c>
      <c r="AJ502" t="n">
        <v>3264.4053</v>
      </c>
      <c r="AK502" t="n">
        <v>544.0676</v>
      </c>
      <c r="AL502" t="n">
        <v>53595.7214</v>
      </c>
      <c r="AM502" t="n">
        <v>84561.38890000001</v>
      </c>
      <c r="AN502" t="n">
        <v>0.99</v>
      </c>
      <c r="AO502" t="inlineStr">
        <is>
          <t>High</t>
        </is>
      </c>
      <c r="AP502" t="inlineStr">
        <is>
          <t>On Track to Glide Path</t>
        </is>
      </c>
    </row>
    <row r="503">
      <c r="A503" t="inlineStr">
        <is>
          <t>SUP-0032</t>
        </is>
      </c>
      <c r="B503" t="inlineStr">
        <is>
          <t>Agriculture Supplier 032</t>
        </is>
      </c>
      <c r="C503" t="inlineStr">
        <is>
          <t>Agriculture</t>
        </is>
      </c>
      <c r="D503" t="n">
        <v>2024</v>
      </c>
      <c r="E503" t="n">
        <v>2018</v>
      </c>
      <c r="F503" t="n">
        <v>2035</v>
      </c>
      <c r="G503" t="n">
        <v>34656.8022</v>
      </c>
      <c r="H503" t="n">
        <v>7131.6436</v>
      </c>
      <c r="I503" t="n">
        <v>5510.1683</v>
      </c>
      <c r="J503" t="n">
        <v>20443.4335</v>
      </c>
      <c r="K503" t="n">
        <v>29658352.82</v>
      </c>
      <c r="L503" t="n">
        <v>54901393.73</v>
      </c>
      <c r="M503" t="n">
        <v>34656.8022</v>
      </c>
      <c r="N503" t="inlineStr">
        <is>
          <t>Provided Total Emissions</t>
        </is>
      </c>
      <c r="O503" t="b">
        <v>1</v>
      </c>
      <c r="P503" t="n">
        <v>0.02537</v>
      </c>
      <c r="Q503" t="n">
        <v>0.037829</v>
      </c>
      <c r="R503" t="n">
        <v>27111.5901</v>
      </c>
      <c r="S503" t="n">
        <v>53206.5877</v>
      </c>
      <c r="T503" t="n">
        <v>-7545.2121</v>
      </c>
      <c r="U503" t="n">
        <v>18549.7855</v>
      </c>
      <c r="V503" t="n">
        <v>-0.217712</v>
      </c>
      <c r="W503" t="n">
        <v>0.535242</v>
      </c>
      <c r="X503" t="inlineStr">
        <is>
          <t>High</t>
        </is>
      </c>
      <c r="Y503" t="inlineStr">
        <is>
          <t>None</t>
        </is>
      </c>
      <c r="Z503" t="inlineStr">
        <is>
          <t>Valid</t>
        </is>
      </c>
      <c r="AA503" t="n">
        <v>2030</v>
      </c>
      <c r="AB503" t="inlineStr">
        <is>
          <t>Supplier Target Pathway</t>
        </is>
      </c>
      <c r="AC503" t="n">
        <v>21808.8858</v>
      </c>
      <c r="AD503" t="n">
        <v>12559.7373</v>
      </c>
      <c r="AE503" t="n">
        <v>15280.0751</v>
      </c>
      <c r="AF503" t="n">
        <v>15280.0751</v>
      </c>
      <c r="AG503" t="n">
        <v>6528.8107</v>
      </c>
      <c r="AH503" t="n">
        <v>0.0005151999999999999</v>
      </c>
      <c r="AI503" t="n">
        <v>0.299365</v>
      </c>
      <c r="AJ503" t="n">
        <v>2720.3378</v>
      </c>
      <c r="AK503" t="n">
        <v>544.0676</v>
      </c>
      <c r="AL503" t="n">
        <v>38315.6463</v>
      </c>
      <c r="AM503" t="n">
        <v>99841.46400000001</v>
      </c>
      <c r="AN503" t="n">
        <v>0.99</v>
      </c>
      <c r="AO503" t="inlineStr">
        <is>
          <t>High</t>
        </is>
      </c>
      <c r="AP503" t="inlineStr">
        <is>
          <t>On Track to Glide Path</t>
        </is>
      </c>
    </row>
    <row r="504">
      <c r="A504" t="inlineStr">
        <is>
          <t>SUP-0032</t>
        </is>
      </c>
      <c r="B504" t="inlineStr">
        <is>
          <t>Agriculture Supplier 032</t>
        </is>
      </c>
      <c r="C504" t="inlineStr">
        <is>
          <t>Agriculture</t>
        </is>
      </c>
      <c r="D504" t="n">
        <v>2024</v>
      </c>
      <c r="E504" t="n">
        <v>2018</v>
      </c>
      <c r="F504" t="n">
        <v>2035</v>
      </c>
      <c r="G504" t="n">
        <v>34656.8022</v>
      </c>
      <c r="H504" t="n">
        <v>7131.6436</v>
      </c>
      <c r="I504" t="n">
        <v>5510.1683</v>
      </c>
      <c r="J504" t="n">
        <v>20443.4335</v>
      </c>
      <c r="K504" t="n">
        <v>29658352.82</v>
      </c>
      <c r="L504" t="n">
        <v>54901393.73</v>
      </c>
      <c r="M504" t="n">
        <v>34656.8022</v>
      </c>
      <c r="N504" t="inlineStr">
        <is>
          <t>Provided Total Emissions</t>
        </is>
      </c>
      <c r="O504" t="b">
        <v>1</v>
      </c>
      <c r="P504" t="n">
        <v>0.02537</v>
      </c>
      <c r="Q504" t="n">
        <v>0.037829</v>
      </c>
      <c r="R504" t="n">
        <v>27111.5901</v>
      </c>
      <c r="S504" t="n">
        <v>53206.5877</v>
      </c>
      <c r="T504" t="n">
        <v>-7545.2121</v>
      </c>
      <c r="U504" t="n">
        <v>18549.7855</v>
      </c>
      <c r="V504" t="n">
        <v>-0.217712</v>
      </c>
      <c r="W504" t="n">
        <v>0.535242</v>
      </c>
      <c r="X504" t="inlineStr">
        <is>
          <t>High</t>
        </is>
      </c>
      <c r="Y504" t="inlineStr">
        <is>
          <t>None</t>
        </is>
      </c>
      <c r="Z504" t="inlineStr">
        <is>
          <t>Valid</t>
        </is>
      </c>
      <c r="AA504" t="n">
        <v>2031</v>
      </c>
      <c r="AB504" t="inlineStr">
        <is>
          <t>Supplier Target Pathway</t>
        </is>
      </c>
      <c r="AC504" t="n">
        <v>21808.8858</v>
      </c>
      <c r="AD504" t="n">
        <v>12559.7373</v>
      </c>
      <c r="AE504" t="n">
        <v>14736.0076</v>
      </c>
      <c r="AF504" t="n">
        <v>14736.0076</v>
      </c>
      <c r="AG504" t="n">
        <v>7072.8782</v>
      </c>
      <c r="AH504" t="n">
        <v>0.00049686</v>
      </c>
      <c r="AI504" t="n">
        <v>0.324312</v>
      </c>
      <c r="AJ504" t="n">
        <v>2176.2702</v>
      </c>
      <c r="AK504" t="n">
        <v>544.0676</v>
      </c>
      <c r="AL504" t="n">
        <v>23579.6387</v>
      </c>
      <c r="AM504" t="n">
        <v>114577.4716</v>
      </c>
      <c r="AN504" t="n">
        <v>0.99</v>
      </c>
      <c r="AO504" t="inlineStr">
        <is>
          <t>High</t>
        </is>
      </c>
      <c r="AP504" t="inlineStr">
        <is>
          <t>On Track to Glide Path</t>
        </is>
      </c>
    </row>
    <row r="505">
      <c r="A505" t="inlineStr">
        <is>
          <t>SUP-0032</t>
        </is>
      </c>
      <c r="B505" t="inlineStr">
        <is>
          <t>Agriculture Supplier 032</t>
        </is>
      </c>
      <c r="C505" t="inlineStr">
        <is>
          <t>Agriculture</t>
        </is>
      </c>
      <c r="D505" t="n">
        <v>2024</v>
      </c>
      <c r="E505" t="n">
        <v>2018</v>
      </c>
      <c r="F505" t="n">
        <v>2035</v>
      </c>
      <c r="G505" t="n">
        <v>34656.8022</v>
      </c>
      <c r="H505" t="n">
        <v>7131.6436</v>
      </c>
      <c r="I505" t="n">
        <v>5510.1683</v>
      </c>
      <c r="J505" t="n">
        <v>20443.4335</v>
      </c>
      <c r="K505" t="n">
        <v>29658352.82</v>
      </c>
      <c r="L505" t="n">
        <v>54901393.73</v>
      </c>
      <c r="M505" t="n">
        <v>34656.8022</v>
      </c>
      <c r="N505" t="inlineStr">
        <is>
          <t>Provided Total Emissions</t>
        </is>
      </c>
      <c r="O505" t="b">
        <v>1</v>
      </c>
      <c r="P505" t="n">
        <v>0.02537</v>
      </c>
      <c r="Q505" t="n">
        <v>0.037829</v>
      </c>
      <c r="R505" t="n">
        <v>27111.5901</v>
      </c>
      <c r="S505" t="n">
        <v>53206.5877</v>
      </c>
      <c r="T505" t="n">
        <v>-7545.2121</v>
      </c>
      <c r="U505" t="n">
        <v>18549.7855</v>
      </c>
      <c r="V505" t="n">
        <v>-0.217712</v>
      </c>
      <c r="W505" t="n">
        <v>0.535242</v>
      </c>
      <c r="X505" t="inlineStr">
        <is>
          <t>High</t>
        </is>
      </c>
      <c r="Y505" t="inlineStr">
        <is>
          <t>None</t>
        </is>
      </c>
      <c r="Z505" t="inlineStr">
        <is>
          <t>Valid</t>
        </is>
      </c>
      <c r="AA505" t="n">
        <v>2032</v>
      </c>
      <c r="AB505" t="inlineStr">
        <is>
          <t>Supplier Target Pathway</t>
        </is>
      </c>
      <c r="AC505" t="n">
        <v>21808.8858</v>
      </c>
      <c r="AD505" t="n">
        <v>12559.7373</v>
      </c>
      <c r="AE505" t="n">
        <v>14191.94</v>
      </c>
      <c r="AF505" t="n">
        <v>14191.94</v>
      </c>
      <c r="AG505" t="n">
        <v>7616.9458</v>
      </c>
      <c r="AH505" t="n">
        <v>0.00047851</v>
      </c>
      <c r="AI505" t="n">
        <v>0.349259</v>
      </c>
      <c r="AJ505" t="n">
        <v>1632.2027</v>
      </c>
      <c r="AK505" t="n">
        <v>544.0676</v>
      </c>
      <c r="AL505" t="n">
        <v>9387.698700000001</v>
      </c>
      <c r="AM505" t="n">
        <v>128769.4116</v>
      </c>
      <c r="AN505" t="n">
        <v>0.99</v>
      </c>
      <c r="AO505" t="inlineStr">
        <is>
          <t>Medium</t>
        </is>
      </c>
      <c r="AP505" t="inlineStr">
        <is>
          <t>On Track to Glide Path</t>
        </is>
      </c>
    </row>
    <row r="506">
      <c r="A506" t="inlineStr">
        <is>
          <t>SUP-0032</t>
        </is>
      </c>
      <c r="B506" t="inlineStr">
        <is>
          <t>Agriculture Supplier 032</t>
        </is>
      </c>
      <c r="C506" t="inlineStr">
        <is>
          <t>Agriculture</t>
        </is>
      </c>
      <c r="D506" t="n">
        <v>2024</v>
      </c>
      <c r="E506" t="n">
        <v>2018</v>
      </c>
      <c r="F506" t="n">
        <v>2035</v>
      </c>
      <c r="G506" t="n">
        <v>34656.8022</v>
      </c>
      <c r="H506" t="n">
        <v>7131.6436</v>
      </c>
      <c r="I506" t="n">
        <v>5510.1683</v>
      </c>
      <c r="J506" t="n">
        <v>20443.4335</v>
      </c>
      <c r="K506" t="n">
        <v>29658352.82</v>
      </c>
      <c r="L506" t="n">
        <v>54901393.73</v>
      </c>
      <c r="M506" t="n">
        <v>34656.8022</v>
      </c>
      <c r="N506" t="inlineStr">
        <is>
          <t>Provided Total Emissions</t>
        </is>
      </c>
      <c r="O506" t="b">
        <v>1</v>
      </c>
      <c r="P506" t="n">
        <v>0.02537</v>
      </c>
      <c r="Q506" t="n">
        <v>0.037829</v>
      </c>
      <c r="R506" t="n">
        <v>27111.5901</v>
      </c>
      <c r="S506" t="n">
        <v>53206.5877</v>
      </c>
      <c r="T506" t="n">
        <v>-7545.2121</v>
      </c>
      <c r="U506" t="n">
        <v>18549.7855</v>
      </c>
      <c r="V506" t="n">
        <v>-0.217712</v>
      </c>
      <c r="W506" t="n">
        <v>0.535242</v>
      </c>
      <c r="X506" t="inlineStr">
        <is>
          <t>High</t>
        </is>
      </c>
      <c r="Y506" t="inlineStr">
        <is>
          <t>None</t>
        </is>
      </c>
      <c r="Z506" t="inlineStr">
        <is>
          <t>Valid</t>
        </is>
      </c>
      <c r="AA506" t="n">
        <v>2033</v>
      </c>
      <c r="AB506" t="inlineStr">
        <is>
          <t>Supplier Target Pathway</t>
        </is>
      </c>
      <c r="AC506" t="n">
        <v>21808.8858</v>
      </c>
      <c r="AD506" t="n">
        <v>12559.7373</v>
      </c>
      <c r="AE506" t="n">
        <v>13647.8724</v>
      </c>
      <c r="AF506" t="n">
        <v>13647.8724</v>
      </c>
      <c r="AG506" t="n">
        <v>8161.0134</v>
      </c>
      <c r="AH506" t="n">
        <v>0.00046017</v>
      </c>
      <c r="AI506" t="n">
        <v>0.374206</v>
      </c>
      <c r="AJ506" t="n">
        <v>1088.1351</v>
      </c>
      <c r="AK506" t="n">
        <v>544.0676</v>
      </c>
      <c r="AL506" t="n">
        <v>-4260.1737</v>
      </c>
      <c r="AM506" t="n">
        <v>142417.284</v>
      </c>
      <c r="AN506" t="n">
        <v>0.99</v>
      </c>
      <c r="AO506" t="inlineStr">
        <is>
          <t>Medium</t>
        </is>
      </c>
      <c r="AP506" t="inlineStr">
        <is>
          <t>On Track to Glide Path</t>
        </is>
      </c>
    </row>
    <row r="507">
      <c r="A507" t="inlineStr">
        <is>
          <t>SUP-0032</t>
        </is>
      </c>
      <c r="B507" t="inlineStr">
        <is>
          <t>Agriculture Supplier 032</t>
        </is>
      </c>
      <c r="C507" t="inlineStr">
        <is>
          <t>Agriculture</t>
        </is>
      </c>
      <c r="D507" t="n">
        <v>2024</v>
      </c>
      <c r="E507" t="n">
        <v>2018</v>
      </c>
      <c r="F507" t="n">
        <v>2035</v>
      </c>
      <c r="G507" t="n">
        <v>34656.8022</v>
      </c>
      <c r="H507" t="n">
        <v>7131.6436</v>
      </c>
      <c r="I507" t="n">
        <v>5510.1683</v>
      </c>
      <c r="J507" t="n">
        <v>20443.4335</v>
      </c>
      <c r="K507" t="n">
        <v>29658352.82</v>
      </c>
      <c r="L507" t="n">
        <v>54901393.73</v>
      </c>
      <c r="M507" t="n">
        <v>34656.8022</v>
      </c>
      <c r="N507" t="inlineStr">
        <is>
          <t>Provided Total Emissions</t>
        </is>
      </c>
      <c r="O507" t="b">
        <v>1</v>
      </c>
      <c r="P507" t="n">
        <v>0.02537</v>
      </c>
      <c r="Q507" t="n">
        <v>0.037829</v>
      </c>
      <c r="R507" t="n">
        <v>27111.5901</v>
      </c>
      <c r="S507" t="n">
        <v>53206.5877</v>
      </c>
      <c r="T507" t="n">
        <v>-7545.2121</v>
      </c>
      <c r="U507" t="n">
        <v>18549.7855</v>
      </c>
      <c r="V507" t="n">
        <v>-0.217712</v>
      </c>
      <c r="W507" t="n">
        <v>0.535242</v>
      </c>
      <c r="X507" t="inlineStr">
        <is>
          <t>High</t>
        </is>
      </c>
      <c r="Y507" t="inlineStr">
        <is>
          <t>None</t>
        </is>
      </c>
      <c r="Z507" t="inlineStr">
        <is>
          <t>Valid</t>
        </is>
      </c>
      <c r="AA507" t="n">
        <v>2034</v>
      </c>
      <c r="AB507" t="inlineStr">
        <is>
          <t>Supplier Target Pathway</t>
        </is>
      </c>
      <c r="AC507" t="n">
        <v>21808.8858</v>
      </c>
      <c r="AD507" t="n">
        <v>12559.7373</v>
      </c>
      <c r="AE507" t="n">
        <v>13103.8049</v>
      </c>
      <c r="AF507" t="n">
        <v>13103.8049</v>
      </c>
      <c r="AG507" t="n">
        <v>8705.080900000001</v>
      </c>
      <c r="AH507" t="n">
        <v>0.00044183</v>
      </c>
      <c r="AI507" t="n">
        <v>0.399153</v>
      </c>
      <c r="AJ507" t="n">
        <v>544.0676</v>
      </c>
      <c r="AK507" t="n">
        <v>544.0676</v>
      </c>
      <c r="AL507" t="n">
        <v>-17363.9786</v>
      </c>
      <c r="AM507" t="n">
        <v>155521.0889</v>
      </c>
      <c r="AN507" t="n">
        <v>0.99</v>
      </c>
      <c r="AO507" t="inlineStr">
        <is>
          <t>Medium</t>
        </is>
      </c>
      <c r="AP507" t="inlineStr">
        <is>
          <t>On Track to Glide Path</t>
        </is>
      </c>
    </row>
    <row r="508">
      <c r="A508" t="inlineStr">
        <is>
          <t>SUP-0032</t>
        </is>
      </c>
      <c r="B508" t="inlineStr">
        <is>
          <t>Agriculture Supplier 032</t>
        </is>
      </c>
      <c r="C508" t="inlineStr">
        <is>
          <t>Agriculture</t>
        </is>
      </c>
      <c r="D508" t="n">
        <v>2024</v>
      </c>
      <c r="E508" t="n">
        <v>2018</v>
      </c>
      <c r="F508" t="n">
        <v>2035</v>
      </c>
      <c r="G508" t="n">
        <v>34656.8022</v>
      </c>
      <c r="H508" t="n">
        <v>7131.6436</v>
      </c>
      <c r="I508" t="n">
        <v>5510.1683</v>
      </c>
      <c r="J508" t="n">
        <v>20443.4335</v>
      </c>
      <c r="K508" t="n">
        <v>29658352.82</v>
      </c>
      <c r="L508" t="n">
        <v>54901393.73</v>
      </c>
      <c r="M508" t="n">
        <v>34656.8022</v>
      </c>
      <c r="N508" t="inlineStr">
        <is>
          <t>Provided Total Emissions</t>
        </is>
      </c>
      <c r="O508" t="b">
        <v>1</v>
      </c>
      <c r="P508" t="n">
        <v>0.02537</v>
      </c>
      <c r="Q508" t="n">
        <v>0.037829</v>
      </c>
      <c r="R508" t="n">
        <v>27111.5901</v>
      </c>
      <c r="S508" t="n">
        <v>53206.5877</v>
      </c>
      <c r="T508" t="n">
        <v>-7545.2121</v>
      </c>
      <c r="U508" t="n">
        <v>18549.7855</v>
      </c>
      <c r="V508" t="n">
        <v>-0.217712</v>
      </c>
      <c r="W508" t="n">
        <v>0.535242</v>
      </c>
      <c r="X508" t="inlineStr">
        <is>
          <t>High</t>
        </is>
      </c>
      <c r="Y508" t="inlineStr">
        <is>
          <t>None</t>
        </is>
      </c>
      <c r="Z508" t="inlineStr">
        <is>
          <t>Valid</t>
        </is>
      </c>
      <c r="AA508" t="n">
        <v>2035</v>
      </c>
      <c r="AB508" t="inlineStr">
        <is>
          <t>Supplier Target Pathway</t>
        </is>
      </c>
      <c r="AC508" t="n">
        <v>21808.8858</v>
      </c>
      <c r="AD508" t="n">
        <v>12559.7373</v>
      </c>
      <c r="AE508" t="n">
        <v>12559.7373</v>
      </c>
      <c r="AF508" t="n">
        <v>12559.7373</v>
      </c>
      <c r="AG508" t="n">
        <v>9249.148499999999</v>
      </c>
      <c r="AH508" t="n">
        <v>0.00042348</v>
      </c>
      <c r="AI508" t="n">
        <v>0.4241</v>
      </c>
      <c r="AJ508" t="n">
        <v>0</v>
      </c>
      <c r="AK508" t="n">
        <v>544.0676</v>
      </c>
      <c r="AL508" t="n">
        <v>-29923.7159</v>
      </c>
      <c r="AM508" t="n">
        <v>168080.8262</v>
      </c>
      <c r="AN508" t="n">
        <v>0.99</v>
      </c>
      <c r="AO508" t="inlineStr">
        <is>
          <t>Low</t>
        </is>
      </c>
      <c r="AP508" t="inlineStr">
        <is>
          <t>On Track</t>
        </is>
      </c>
    </row>
    <row r="509">
      <c r="A509" t="inlineStr">
        <is>
          <t>SUP-0032</t>
        </is>
      </c>
      <c r="B509" t="inlineStr">
        <is>
          <t>Agriculture Supplier 032</t>
        </is>
      </c>
      <c r="C509" t="inlineStr">
        <is>
          <t>Agriculture</t>
        </is>
      </c>
      <c r="D509" t="n">
        <v>2024</v>
      </c>
      <c r="E509" t="n">
        <v>2018</v>
      </c>
      <c r="F509" t="n">
        <v>2035</v>
      </c>
      <c r="G509" t="n">
        <v>34656.8022</v>
      </c>
      <c r="H509" t="n">
        <v>7131.6436</v>
      </c>
      <c r="I509" t="n">
        <v>5510.1683</v>
      </c>
      <c r="J509" t="n">
        <v>20443.4335</v>
      </c>
      <c r="K509" t="n">
        <v>29658352.82</v>
      </c>
      <c r="L509" t="n">
        <v>54901393.73</v>
      </c>
      <c r="M509" t="n">
        <v>34656.8022</v>
      </c>
      <c r="N509" t="inlineStr">
        <is>
          <t>Provided Total Emissions</t>
        </is>
      </c>
      <c r="O509" t="b">
        <v>1</v>
      </c>
      <c r="P509" t="n">
        <v>0.02537</v>
      </c>
      <c r="Q509" t="n">
        <v>0.037829</v>
      </c>
      <c r="R509" t="n">
        <v>27111.5901</v>
      </c>
      <c r="S509" t="n">
        <v>53206.5877</v>
      </c>
      <c r="T509" t="n">
        <v>-7545.2121</v>
      </c>
      <c r="U509" t="n">
        <v>18549.7855</v>
      </c>
      <c r="V509" t="n">
        <v>-0.217712</v>
      </c>
      <c r="W509" t="n">
        <v>0.535242</v>
      </c>
      <c r="X509" t="inlineStr">
        <is>
          <t>High</t>
        </is>
      </c>
      <c r="Y509" t="inlineStr">
        <is>
          <t>None</t>
        </is>
      </c>
      <c r="Z509" t="inlineStr">
        <is>
          <t>Valid</t>
        </is>
      </c>
      <c r="AA509" t="n">
        <v>2036</v>
      </c>
      <c r="AB509" t="inlineStr">
        <is>
          <t>Supplier Target Pathway</t>
        </is>
      </c>
      <c r="AC509" t="n">
        <v>21808.8858</v>
      </c>
      <c r="AD509" t="n">
        <v>12559.7373</v>
      </c>
      <c r="AE509" t="n">
        <v>12559.7373</v>
      </c>
      <c r="AF509" t="n">
        <v>12559.7373</v>
      </c>
      <c r="AG509" t="n">
        <v>9249.148499999999</v>
      </c>
      <c r="AH509" t="n">
        <v>0.00042348</v>
      </c>
      <c r="AI509" t="n">
        <v>0.4241</v>
      </c>
      <c r="AJ509" t="n">
        <v>0</v>
      </c>
      <c r="AK509" t="n">
        <v>544.0676</v>
      </c>
      <c r="AL509" t="n">
        <v>-42483.4532</v>
      </c>
      <c r="AM509" t="n">
        <v>180640.5635</v>
      </c>
      <c r="AN509" t="n">
        <v>0.99</v>
      </c>
      <c r="AO509" t="inlineStr">
        <is>
          <t>Low</t>
        </is>
      </c>
      <c r="AP509" t="inlineStr">
        <is>
          <t>On Track</t>
        </is>
      </c>
    </row>
    <row r="510">
      <c r="A510" t="inlineStr">
        <is>
          <t>SUP-0032</t>
        </is>
      </c>
      <c r="B510" t="inlineStr">
        <is>
          <t>Agriculture Supplier 032</t>
        </is>
      </c>
      <c r="C510" t="inlineStr">
        <is>
          <t>Agriculture</t>
        </is>
      </c>
      <c r="D510" t="n">
        <v>2024</v>
      </c>
      <c r="E510" t="n">
        <v>2018</v>
      </c>
      <c r="F510" t="n">
        <v>2035</v>
      </c>
      <c r="G510" t="n">
        <v>34656.8022</v>
      </c>
      <c r="H510" t="n">
        <v>7131.6436</v>
      </c>
      <c r="I510" t="n">
        <v>5510.1683</v>
      </c>
      <c r="J510" t="n">
        <v>20443.4335</v>
      </c>
      <c r="K510" t="n">
        <v>29658352.82</v>
      </c>
      <c r="L510" t="n">
        <v>54901393.73</v>
      </c>
      <c r="M510" t="n">
        <v>34656.8022</v>
      </c>
      <c r="N510" t="inlineStr">
        <is>
          <t>Provided Total Emissions</t>
        </is>
      </c>
      <c r="O510" t="b">
        <v>1</v>
      </c>
      <c r="P510" t="n">
        <v>0.02537</v>
      </c>
      <c r="Q510" t="n">
        <v>0.037829</v>
      </c>
      <c r="R510" t="n">
        <v>27111.5901</v>
      </c>
      <c r="S510" t="n">
        <v>53206.5877</v>
      </c>
      <c r="T510" t="n">
        <v>-7545.2121</v>
      </c>
      <c r="U510" t="n">
        <v>18549.7855</v>
      </c>
      <c r="V510" t="n">
        <v>-0.217712</v>
      </c>
      <c r="W510" t="n">
        <v>0.535242</v>
      </c>
      <c r="X510" t="inlineStr">
        <is>
          <t>High</t>
        </is>
      </c>
      <c r="Y510" t="inlineStr">
        <is>
          <t>None</t>
        </is>
      </c>
      <c r="Z510" t="inlineStr">
        <is>
          <t>Valid</t>
        </is>
      </c>
      <c r="AA510" t="n">
        <v>2037</v>
      </c>
      <c r="AB510" t="inlineStr">
        <is>
          <t>Supplier Target Pathway</t>
        </is>
      </c>
      <c r="AC510" t="n">
        <v>21808.8858</v>
      </c>
      <c r="AD510" t="n">
        <v>12559.7373</v>
      </c>
      <c r="AE510" t="n">
        <v>12559.7373</v>
      </c>
      <c r="AF510" t="n">
        <v>12559.7373</v>
      </c>
      <c r="AG510" t="n">
        <v>9249.148499999999</v>
      </c>
      <c r="AH510" t="n">
        <v>0.00042348</v>
      </c>
      <c r="AI510" t="n">
        <v>0.4241</v>
      </c>
      <c r="AJ510" t="n">
        <v>0</v>
      </c>
      <c r="AK510" t="n">
        <v>544.0676</v>
      </c>
      <c r="AL510" t="n">
        <v>-55043.1905</v>
      </c>
      <c r="AM510" t="n">
        <v>193200.3008</v>
      </c>
      <c r="AN510" t="n">
        <v>0.99</v>
      </c>
      <c r="AO510" t="inlineStr">
        <is>
          <t>Low</t>
        </is>
      </c>
      <c r="AP510" t="inlineStr">
        <is>
          <t>On Track</t>
        </is>
      </c>
    </row>
    <row r="511">
      <c r="A511" t="inlineStr">
        <is>
          <t>SUP-0032</t>
        </is>
      </c>
      <c r="B511" t="inlineStr">
        <is>
          <t>Agriculture Supplier 032</t>
        </is>
      </c>
      <c r="C511" t="inlineStr">
        <is>
          <t>Agriculture</t>
        </is>
      </c>
      <c r="D511" t="n">
        <v>2024</v>
      </c>
      <c r="E511" t="n">
        <v>2018</v>
      </c>
      <c r="F511" t="n">
        <v>2035</v>
      </c>
      <c r="G511" t="n">
        <v>34656.8022</v>
      </c>
      <c r="H511" t="n">
        <v>7131.6436</v>
      </c>
      <c r="I511" t="n">
        <v>5510.1683</v>
      </c>
      <c r="J511" t="n">
        <v>20443.4335</v>
      </c>
      <c r="K511" t="n">
        <v>29658352.82</v>
      </c>
      <c r="L511" t="n">
        <v>54901393.73</v>
      </c>
      <c r="M511" t="n">
        <v>34656.8022</v>
      </c>
      <c r="N511" t="inlineStr">
        <is>
          <t>Provided Total Emissions</t>
        </is>
      </c>
      <c r="O511" t="b">
        <v>1</v>
      </c>
      <c r="P511" t="n">
        <v>0.02537</v>
      </c>
      <c r="Q511" t="n">
        <v>0.037829</v>
      </c>
      <c r="R511" t="n">
        <v>27111.5901</v>
      </c>
      <c r="S511" t="n">
        <v>53206.5877</v>
      </c>
      <c r="T511" t="n">
        <v>-7545.2121</v>
      </c>
      <c r="U511" t="n">
        <v>18549.7855</v>
      </c>
      <c r="V511" t="n">
        <v>-0.217712</v>
      </c>
      <c r="W511" t="n">
        <v>0.535242</v>
      </c>
      <c r="X511" t="inlineStr">
        <is>
          <t>High</t>
        </is>
      </c>
      <c r="Y511" t="inlineStr">
        <is>
          <t>None</t>
        </is>
      </c>
      <c r="Z511" t="inlineStr">
        <is>
          <t>Valid</t>
        </is>
      </c>
      <c r="AA511" t="n">
        <v>2038</v>
      </c>
      <c r="AB511" t="inlineStr">
        <is>
          <t>Supplier Target Pathway</t>
        </is>
      </c>
      <c r="AC511" t="n">
        <v>21808.8858</v>
      </c>
      <c r="AD511" t="n">
        <v>12559.7373</v>
      </c>
      <c r="AE511" t="n">
        <v>12559.7373</v>
      </c>
      <c r="AF511" t="n">
        <v>12559.7373</v>
      </c>
      <c r="AG511" t="n">
        <v>9249.148499999999</v>
      </c>
      <c r="AH511" t="n">
        <v>0.00042348</v>
      </c>
      <c r="AI511" t="n">
        <v>0.4241</v>
      </c>
      <c r="AJ511" t="n">
        <v>0</v>
      </c>
      <c r="AK511" t="n">
        <v>544.0676</v>
      </c>
      <c r="AL511" t="n">
        <v>-67602.9278</v>
      </c>
      <c r="AM511" t="n">
        <v>205760.0381</v>
      </c>
      <c r="AN511" t="n">
        <v>0.99</v>
      </c>
      <c r="AO511" t="inlineStr">
        <is>
          <t>Low</t>
        </is>
      </c>
      <c r="AP511" t="inlineStr">
        <is>
          <t>On Track</t>
        </is>
      </c>
    </row>
    <row r="512">
      <c r="A512" t="inlineStr">
        <is>
          <t>SUP-0032</t>
        </is>
      </c>
      <c r="B512" t="inlineStr">
        <is>
          <t>Agriculture Supplier 032</t>
        </is>
      </c>
      <c r="C512" t="inlineStr">
        <is>
          <t>Agriculture</t>
        </is>
      </c>
      <c r="D512" t="n">
        <v>2024</v>
      </c>
      <c r="E512" t="n">
        <v>2018</v>
      </c>
      <c r="F512" t="n">
        <v>2035</v>
      </c>
      <c r="G512" t="n">
        <v>34656.8022</v>
      </c>
      <c r="H512" t="n">
        <v>7131.6436</v>
      </c>
      <c r="I512" t="n">
        <v>5510.1683</v>
      </c>
      <c r="J512" t="n">
        <v>20443.4335</v>
      </c>
      <c r="K512" t="n">
        <v>29658352.82</v>
      </c>
      <c r="L512" t="n">
        <v>54901393.73</v>
      </c>
      <c r="M512" t="n">
        <v>34656.8022</v>
      </c>
      <c r="N512" t="inlineStr">
        <is>
          <t>Provided Total Emissions</t>
        </is>
      </c>
      <c r="O512" t="b">
        <v>1</v>
      </c>
      <c r="P512" t="n">
        <v>0.02537</v>
      </c>
      <c r="Q512" t="n">
        <v>0.037829</v>
      </c>
      <c r="R512" t="n">
        <v>27111.5901</v>
      </c>
      <c r="S512" t="n">
        <v>53206.5877</v>
      </c>
      <c r="T512" t="n">
        <v>-7545.2121</v>
      </c>
      <c r="U512" t="n">
        <v>18549.7855</v>
      </c>
      <c r="V512" t="n">
        <v>-0.217712</v>
      </c>
      <c r="W512" t="n">
        <v>0.535242</v>
      </c>
      <c r="X512" t="inlineStr">
        <is>
          <t>High</t>
        </is>
      </c>
      <c r="Y512" t="inlineStr">
        <is>
          <t>None</t>
        </is>
      </c>
      <c r="Z512" t="inlineStr">
        <is>
          <t>Valid</t>
        </is>
      </c>
      <c r="AA512" t="n">
        <v>2039</v>
      </c>
      <c r="AB512" t="inlineStr">
        <is>
          <t>Supplier Target Pathway</t>
        </is>
      </c>
      <c r="AC512" t="n">
        <v>21808.8858</v>
      </c>
      <c r="AD512" t="n">
        <v>12559.7373</v>
      </c>
      <c r="AE512" t="n">
        <v>12559.7373</v>
      </c>
      <c r="AF512" t="n">
        <v>12559.7373</v>
      </c>
      <c r="AG512" t="n">
        <v>9249.148499999999</v>
      </c>
      <c r="AH512" t="n">
        <v>0.00042348</v>
      </c>
      <c r="AI512" t="n">
        <v>0.4241</v>
      </c>
      <c r="AJ512" t="n">
        <v>0</v>
      </c>
      <c r="AK512" t="n">
        <v>544.0676</v>
      </c>
      <c r="AL512" t="n">
        <v>-80162.6651</v>
      </c>
      <c r="AM512" t="n">
        <v>218319.7754</v>
      </c>
      <c r="AN512" t="n">
        <v>0.99</v>
      </c>
      <c r="AO512" t="inlineStr">
        <is>
          <t>Low</t>
        </is>
      </c>
      <c r="AP512" t="inlineStr">
        <is>
          <t>On Track</t>
        </is>
      </c>
    </row>
    <row r="513">
      <c r="A513" t="inlineStr">
        <is>
          <t>SUP-0032</t>
        </is>
      </c>
      <c r="B513" t="inlineStr">
        <is>
          <t>Agriculture Supplier 032</t>
        </is>
      </c>
      <c r="C513" t="inlineStr">
        <is>
          <t>Agriculture</t>
        </is>
      </c>
      <c r="D513" t="n">
        <v>2024</v>
      </c>
      <c r="E513" t="n">
        <v>2018</v>
      </c>
      <c r="F513" t="n">
        <v>2035</v>
      </c>
      <c r="G513" t="n">
        <v>34656.8022</v>
      </c>
      <c r="H513" t="n">
        <v>7131.6436</v>
      </c>
      <c r="I513" t="n">
        <v>5510.1683</v>
      </c>
      <c r="J513" t="n">
        <v>20443.4335</v>
      </c>
      <c r="K513" t="n">
        <v>29658352.82</v>
      </c>
      <c r="L513" t="n">
        <v>54901393.73</v>
      </c>
      <c r="M513" t="n">
        <v>34656.8022</v>
      </c>
      <c r="N513" t="inlineStr">
        <is>
          <t>Provided Total Emissions</t>
        </is>
      </c>
      <c r="O513" t="b">
        <v>1</v>
      </c>
      <c r="P513" t="n">
        <v>0.02537</v>
      </c>
      <c r="Q513" t="n">
        <v>0.037829</v>
      </c>
      <c r="R513" t="n">
        <v>27111.5901</v>
      </c>
      <c r="S513" t="n">
        <v>53206.5877</v>
      </c>
      <c r="T513" t="n">
        <v>-7545.2121</v>
      </c>
      <c r="U513" t="n">
        <v>18549.7855</v>
      </c>
      <c r="V513" t="n">
        <v>-0.217712</v>
      </c>
      <c r="W513" t="n">
        <v>0.535242</v>
      </c>
      <c r="X513" t="inlineStr">
        <is>
          <t>High</t>
        </is>
      </c>
      <c r="Y513" t="inlineStr">
        <is>
          <t>None</t>
        </is>
      </c>
      <c r="Z513" t="inlineStr">
        <is>
          <t>Valid</t>
        </is>
      </c>
      <c r="AA513" t="n">
        <v>2040</v>
      </c>
      <c r="AB513" t="inlineStr">
        <is>
          <t>Supplier Target Pathway</t>
        </is>
      </c>
      <c r="AC513" t="n">
        <v>21808.8858</v>
      </c>
      <c r="AD513" t="n">
        <v>12559.7373</v>
      </c>
      <c r="AE513" t="n">
        <v>12559.7373</v>
      </c>
      <c r="AF513" t="n">
        <v>12559.7373</v>
      </c>
      <c r="AG513" t="n">
        <v>9249.148499999999</v>
      </c>
      <c r="AH513" t="n">
        <v>0.00042348</v>
      </c>
      <c r="AI513" t="n">
        <v>0.4241</v>
      </c>
      <c r="AJ513" t="n">
        <v>0</v>
      </c>
      <c r="AK513" t="n">
        <v>544.0676</v>
      </c>
      <c r="AL513" t="n">
        <v>-92722.40240000001</v>
      </c>
      <c r="AM513" t="n">
        <v>230879.5127</v>
      </c>
      <c r="AN513" t="n">
        <v>0.99</v>
      </c>
      <c r="AO513" t="inlineStr">
        <is>
          <t>Low</t>
        </is>
      </c>
      <c r="AP513" t="inlineStr">
        <is>
          <t>On Track</t>
        </is>
      </c>
    </row>
    <row r="514">
      <c r="A514" t="inlineStr">
        <is>
          <t>SUP-0033</t>
        </is>
      </c>
      <c r="B514" t="inlineStr">
        <is>
          <t>Metals Supplier 033</t>
        </is>
      </c>
      <c r="C514" t="inlineStr">
        <is>
          <t>Metals</t>
        </is>
      </c>
      <c r="D514" t="n">
        <v>2024</v>
      </c>
      <c r="E514" t="n">
        <v>2021</v>
      </c>
      <c r="F514" t="n">
        <v>2030</v>
      </c>
      <c r="G514" t="n">
        <v>12244.2507</v>
      </c>
      <c r="H514" t="n">
        <v>2156.3568</v>
      </c>
      <c r="I514" t="n">
        <v>1832.355</v>
      </c>
      <c r="J514" t="n">
        <v>8994.9452</v>
      </c>
      <c r="K514" t="n">
        <v>18958013.92</v>
      </c>
      <c r="L514" t="n">
        <v>104451745.12</v>
      </c>
      <c r="M514" t="n">
        <v>12244.2507</v>
      </c>
      <c r="N514" t="inlineStr">
        <is>
          <t>Provided Total Emissions</t>
        </is>
      </c>
      <c r="O514" t="b">
        <v>1</v>
      </c>
      <c r="P514" t="n">
        <v>0.033956</v>
      </c>
      <c r="Q514" t="n">
        <v>0.019039</v>
      </c>
      <c r="R514" t="n">
        <v>19089.7721</v>
      </c>
      <c r="S514" t="n">
        <v>67901.9905</v>
      </c>
      <c r="T514" t="n">
        <v>6845.5214</v>
      </c>
      <c r="U514" t="n">
        <v>55657.7398</v>
      </c>
      <c r="V514" t="n">
        <v>0.55908</v>
      </c>
      <c r="W514" t="n">
        <v>4.545622</v>
      </c>
      <c r="X514" t="inlineStr">
        <is>
          <t>High</t>
        </is>
      </c>
      <c r="Y514" t="inlineStr">
        <is>
          <t>None</t>
        </is>
      </c>
      <c r="Z514" t="inlineStr">
        <is>
          <t>Valid</t>
        </is>
      </c>
      <c r="AA514" t="n">
        <v>2025</v>
      </c>
      <c r="AB514" t="inlineStr">
        <is>
          <t>Supplier Target Pathway</t>
        </is>
      </c>
      <c r="AC514" t="n">
        <v>13883.0935</v>
      </c>
      <c r="AD514" t="n">
        <v>9434.9503</v>
      </c>
      <c r="AE514" t="n">
        <v>11906.141</v>
      </c>
      <c r="AF514" t="n">
        <v>11906.141</v>
      </c>
      <c r="AG514" t="n">
        <v>1976.9525</v>
      </c>
      <c r="AH514" t="n">
        <v>0.00062803</v>
      </c>
      <c r="AI514" t="n">
        <v>0.1424</v>
      </c>
      <c r="AJ514" t="n">
        <v>2471.1906</v>
      </c>
      <c r="AK514" t="n">
        <v>494.2381</v>
      </c>
      <c r="AL514" t="n">
        <v>44703.5608</v>
      </c>
      <c r="AM514" t="n">
        <v>11906.141</v>
      </c>
      <c r="AN514" t="n">
        <v>0.99</v>
      </c>
      <c r="AO514" t="inlineStr">
        <is>
          <t>High</t>
        </is>
      </c>
      <c r="AP514" t="inlineStr">
        <is>
          <t>On Track to Glide Path</t>
        </is>
      </c>
    </row>
    <row r="515">
      <c r="A515" t="inlineStr">
        <is>
          <t>SUP-0033</t>
        </is>
      </c>
      <c r="B515" t="inlineStr">
        <is>
          <t>Metals Supplier 033</t>
        </is>
      </c>
      <c r="C515" t="inlineStr">
        <is>
          <t>Metals</t>
        </is>
      </c>
      <c r="D515" t="n">
        <v>2024</v>
      </c>
      <c r="E515" t="n">
        <v>2021</v>
      </c>
      <c r="F515" t="n">
        <v>2030</v>
      </c>
      <c r="G515" t="n">
        <v>12244.2507</v>
      </c>
      <c r="H515" t="n">
        <v>2156.3568</v>
      </c>
      <c r="I515" t="n">
        <v>1832.355</v>
      </c>
      <c r="J515" t="n">
        <v>8994.9452</v>
      </c>
      <c r="K515" t="n">
        <v>18958013.92</v>
      </c>
      <c r="L515" t="n">
        <v>104451745.12</v>
      </c>
      <c r="M515" t="n">
        <v>12244.2507</v>
      </c>
      <c r="N515" t="inlineStr">
        <is>
          <t>Provided Total Emissions</t>
        </is>
      </c>
      <c r="O515" t="b">
        <v>1</v>
      </c>
      <c r="P515" t="n">
        <v>0.033956</v>
      </c>
      <c r="Q515" t="n">
        <v>0.019039</v>
      </c>
      <c r="R515" t="n">
        <v>19089.7721</v>
      </c>
      <c r="S515" t="n">
        <v>67901.9905</v>
      </c>
      <c r="T515" t="n">
        <v>6845.5214</v>
      </c>
      <c r="U515" t="n">
        <v>55657.7398</v>
      </c>
      <c r="V515" t="n">
        <v>0.55908</v>
      </c>
      <c r="W515" t="n">
        <v>4.545622</v>
      </c>
      <c r="X515" t="inlineStr">
        <is>
          <t>High</t>
        </is>
      </c>
      <c r="Y515" t="inlineStr">
        <is>
          <t>None</t>
        </is>
      </c>
      <c r="Z515" t="inlineStr">
        <is>
          <t>Valid</t>
        </is>
      </c>
      <c r="AA515" t="n">
        <v>2026</v>
      </c>
      <c r="AB515" t="inlineStr">
        <is>
          <t>Supplier Target Pathway</t>
        </is>
      </c>
      <c r="AC515" t="n">
        <v>13883.0935</v>
      </c>
      <c r="AD515" t="n">
        <v>9434.9503</v>
      </c>
      <c r="AE515" t="n">
        <v>11411.9029</v>
      </c>
      <c r="AF515" t="n">
        <v>11411.9029</v>
      </c>
      <c r="AG515" t="n">
        <v>2471.1906</v>
      </c>
      <c r="AH515" t="n">
        <v>0.00060196</v>
      </c>
      <c r="AI515" t="n">
        <v>0.178</v>
      </c>
      <c r="AJ515" t="n">
        <v>1976.9525</v>
      </c>
      <c r="AK515" t="n">
        <v>494.2381</v>
      </c>
      <c r="AL515" t="n">
        <v>33291.6579</v>
      </c>
      <c r="AM515" t="n">
        <v>23318.0439</v>
      </c>
      <c r="AN515" t="n">
        <v>0.99</v>
      </c>
      <c r="AO515" t="inlineStr">
        <is>
          <t>High</t>
        </is>
      </c>
      <c r="AP515" t="inlineStr">
        <is>
          <t>On Track to Glide Path</t>
        </is>
      </c>
    </row>
    <row r="516">
      <c r="A516" t="inlineStr">
        <is>
          <t>SUP-0033</t>
        </is>
      </c>
      <c r="B516" t="inlineStr">
        <is>
          <t>Metals Supplier 033</t>
        </is>
      </c>
      <c r="C516" t="inlineStr">
        <is>
          <t>Metals</t>
        </is>
      </c>
      <c r="D516" t="n">
        <v>2024</v>
      </c>
      <c r="E516" t="n">
        <v>2021</v>
      </c>
      <c r="F516" t="n">
        <v>2030</v>
      </c>
      <c r="G516" t="n">
        <v>12244.2507</v>
      </c>
      <c r="H516" t="n">
        <v>2156.3568</v>
      </c>
      <c r="I516" t="n">
        <v>1832.355</v>
      </c>
      <c r="J516" t="n">
        <v>8994.9452</v>
      </c>
      <c r="K516" t="n">
        <v>18958013.92</v>
      </c>
      <c r="L516" t="n">
        <v>104451745.12</v>
      </c>
      <c r="M516" t="n">
        <v>12244.2507</v>
      </c>
      <c r="N516" t="inlineStr">
        <is>
          <t>Provided Total Emissions</t>
        </is>
      </c>
      <c r="O516" t="b">
        <v>1</v>
      </c>
      <c r="P516" t="n">
        <v>0.033956</v>
      </c>
      <c r="Q516" t="n">
        <v>0.019039</v>
      </c>
      <c r="R516" t="n">
        <v>19089.7721</v>
      </c>
      <c r="S516" t="n">
        <v>67901.9905</v>
      </c>
      <c r="T516" t="n">
        <v>6845.5214</v>
      </c>
      <c r="U516" t="n">
        <v>55657.7398</v>
      </c>
      <c r="V516" t="n">
        <v>0.55908</v>
      </c>
      <c r="W516" t="n">
        <v>4.545622</v>
      </c>
      <c r="X516" t="inlineStr">
        <is>
          <t>High</t>
        </is>
      </c>
      <c r="Y516" t="inlineStr">
        <is>
          <t>None</t>
        </is>
      </c>
      <c r="Z516" t="inlineStr">
        <is>
          <t>Valid</t>
        </is>
      </c>
      <c r="AA516" t="n">
        <v>2027</v>
      </c>
      <c r="AB516" t="inlineStr">
        <is>
          <t>Supplier Target Pathway</t>
        </is>
      </c>
      <c r="AC516" t="n">
        <v>13883.0935</v>
      </c>
      <c r="AD516" t="n">
        <v>9434.9503</v>
      </c>
      <c r="AE516" t="n">
        <v>10917.6647</v>
      </c>
      <c r="AF516" t="n">
        <v>10917.6647</v>
      </c>
      <c r="AG516" t="n">
        <v>2965.4288</v>
      </c>
      <c r="AH516" t="n">
        <v>0.00057589</v>
      </c>
      <c r="AI516" t="n">
        <v>0.2136</v>
      </c>
      <c r="AJ516" t="n">
        <v>1482.7144</v>
      </c>
      <c r="AK516" t="n">
        <v>494.2381</v>
      </c>
      <c r="AL516" t="n">
        <v>22373.9932</v>
      </c>
      <c r="AM516" t="n">
        <v>34235.7086</v>
      </c>
      <c r="AN516" t="n">
        <v>0.99</v>
      </c>
      <c r="AO516" t="inlineStr">
        <is>
          <t>High</t>
        </is>
      </c>
      <c r="AP516" t="inlineStr">
        <is>
          <t>On Track to Glide Path</t>
        </is>
      </c>
    </row>
    <row r="517">
      <c r="A517" t="inlineStr">
        <is>
          <t>SUP-0033</t>
        </is>
      </c>
      <c r="B517" t="inlineStr">
        <is>
          <t>Metals Supplier 033</t>
        </is>
      </c>
      <c r="C517" t="inlineStr">
        <is>
          <t>Metals</t>
        </is>
      </c>
      <c r="D517" t="n">
        <v>2024</v>
      </c>
      <c r="E517" t="n">
        <v>2021</v>
      </c>
      <c r="F517" t="n">
        <v>2030</v>
      </c>
      <c r="G517" t="n">
        <v>12244.2507</v>
      </c>
      <c r="H517" t="n">
        <v>2156.3568</v>
      </c>
      <c r="I517" t="n">
        <v>1832.355</v>
      </c>
      <c r="J517" t="n">
        <v>8994.9452</v>
      </c>
      <c r="K517" t="n">
        <v>18958013.92</v>
      </c>
      <c r="L517" t="n">
        <v>104451745.12</v>
      </c>
      <c r="M517" t="n">
        <v>12244.2507</v>
      </c>
      <c r="N517" t="inlineStr">
        <is>
          <t>Provided Total Emissions</t>
        </is>
      </c>
      <c r="O517" t="b">
        <v>1</v>
      </c>
      <c r="P517" t="n">
        <v>0.033956</v>
      </c>
      <c r="Q517" t="n">
        <v>0.019039</v>
      </c>
      <c r="R517" t="n">
        <v>19089.7721</v>
      </c>
      <c r="S517" t="n">
        <v>67901.9905</v>
      </c>
      <c r="T517" t="n">
        <v>6845.5214</v>
      </c>
      <c r="U517" t="n">
        <v>55657.7398</v>
      </c>
      <c r="V517" t="n">
        <v>0.55908</v>
      </c>
      <c r="W517" t="n">
        <v>4.545622</v>
      </c>
      <c r="X517" t="inlineStr">
        <is>
          <t>High</t>
        </is>
      </c>
      <c r="Y517" t="inlineStr">
        <is>
          <t>None</t>
        </is>
      </c>
      <c r="Z517" t="inlineStr">
        <is>
          <t>Valid</t>
        </is>
      </c>
      <c r="AA517" t="n">
        <v>2028</v>
      </c>
      <c r="AB517" t="inlineStr">
        <is>
          <t>Supplier Target Pathway</t>
        </is>
      </c>
      <c r="AC517" t="n">
        <v>13883.0935</v>
      </c>
      <c r="AD517" t="n">
        <v>9434.9503</v>
      </c>
      <c r="AE517" t="n">
        <v>10423.4266</v>
      </c>
      <c r="AF517" t="n">
        <v>10423.4266</v>
      </c>
      <c r="AG517" t="n">
        <v>3459.6669</v>
      </c>
      <c r="AH517" t="n">
        <v>0.00054982</v>
      </c>
      <c r="AI517" t="n">
        <v>0.2492</v>
      </c>
      <c r="AJ517" t="n">
        <v>988.4763</v>
      </c>
      <c r="AK517" t="n">
        <v>494.2381</v>
      </c>
      <c r="AL517" t="n">
        <v>11950.5666</v>
      </c>
      <c r="AM517" t="n">
        <v>44659.1352</v>
      </c>
      <c r="AN517" t="n">
        <v>0.99</v>
      </c>
      <c r="AO517" t="inlineStr">
        <is>
          <t>Medium</t>
        </is>
      </c>
      <c r="AP517" t="inlineStr">
        <is>
          <t>On Track to Glide Path</t>
        </is>
      </c>
    </row>
    <row r="518">
      <c r="A518" t="inlineStr">
        <is>
          <t>SUP-0033</t>
        </is>
      </c>
      <c r="B518" t="inlineStr">
        <is>
          <t>Metals Supplier 033</t>
        </is>
      </c>
      <c r="C518" t="inlineStr">
        <is>
          <t>Metals</t>
        </is>
      </c>
      <c r="D518" t="n">
        <v>2024</v>
      </c>
      <c r="E518" t="n">
        <v>2021</v>
      </c>
      <c r="F518" t="n">
        <v>2030</v>
      </c>
      <c r="G518" t="n">
        <v>12244.2507</v>
      </c>
      <c r="H518" t="n">
        <v>2156.3568</v>
      </c>
      <c r="I518" t="n">
        <v>1832.355</v>
      </c>
      <c r="J518" t="n">
        <v>8994.9452</v>
      </c>
      <c r="K518" t="n">
        <v>18958013.92</v>
      </c>
      <c r="L518" t="n">
        <v>104451745.12</v>
      </c>
      <c r="M518" t="n">
        <v>12244.2507</v>
      </c>
      <c r="N518" t="inlineStr">
        <is>
          <t>Provided Total Emissions</t>
        </is>
      </c>
      <c r="O518" t="b">
        <v>1</v>
      </c>
      <c r="P518" t="n">
        <v>0.033956</v>
      </c>
      <c r="Q518" t="n">
        <v>0.019039</v>
      </c>
      <c r="R518" t="n">
        <v>19089.7721</v>
      </c>
      <c r="S518" t="n">
        <v>67901.9905</v>
      </c>
      <c r="T518" t="n">
        <v>6845.5214</v>
      </c>
      <c r="U518" t="n">
        <v>55657.7398</v>
      </c>
      <c r="V518" t="n">
        <v>0.55908</v>
      </c>
      <c r="W518" t="n">
        <v>4.545622</v>
      </c>
      <c r="X518" t="inlineStr">
        <is>
          <t>High</t>
        </is>
      </c>
      <c r="Y518" t="inlineStr">
        <is>
          <t>None</t>
        </is>
      </c>
      <c r="Z518" t="inlineStr">
        <is>
          <t>Valid</t>
        </is>
      </c>
      <c r="AA518" t="n">
        <v>2029</v>
      </c>
      <c r="AB518" t="inlineStr">
        <is>
          <t>Supplier Target Pathway</t>
        </is>
      </c>
      <c r="AC518" t="n">
        <v>13883.0935</v>
      </c>
      <c r="AD518" t="n">
        <v>9434.9503</v>
      </c>
      <c r="AE518" t="n">
        <v>9929.1885</v>
      </c>
      <c r="AF518" t="n">
        <v>9929.1885</v>
      </c>
      <c r="AG518" t="n">
        <v>3953.905</v>
      </c>
      <c r="AH518" t="n">
        <v>0.00052375</v>
      </c>
      <c r="AI518" t="n">
        <v>0.2848</v>
      </c>
      <c r="AJ518" t="n">
        <v>494.2381</v>
      </c>
      <c r="AK518" t="n">
        <v>494.2381</v>
      </c>
      <c r="AL518" t="n">
        <v>2021.3781</v>
      </c>
      <c r="AM518" t="n">
        <v>54588.3237</v>
      </c>
      <c r="AN518" t="n">
        <v>0.99</v>
      </c>
      <c r="AO518" t="inlineStr">
        <is>
          <t>Medium</t>
        </is>
      </c>
      <c r="AP518" t="inlineStr">
        <is>
          <t>On Track to Glide Path</t>
        </is>
      </c>
    </row>
    <row r="519">
      <c r="A519" t="inlineStr">
        <is>
          <t>SUP-0033</t>
        </is>
      </c>
      <c r="B519" t="inlineStr">
        <is>
          <t>Metals Supplier 033</t>
        </is>
      </c>
      <c r="C519" t="inlineStr">
        <is>
          <t>Metals</t>
        </is>
      </c>
      <c r="D519" t="n">
        <v>2024</v>
      </c>
      <c r="E519" t="n">
        <v>2021</v>
      </c>
      <c r="F519" t="n">
        <v>2030</v>
      </c>
      <c r="G519" t="n">
        <v>12244.2507</v>
      </c>
      <c r="H519" t="n">
        <v>2156.3568</v>
      </c>
      <c r="I519" t="n">
        <v>1832.355</v>
      </c>
      <c r="J519" t="n">
        <v>8994.9452</v>
      </c>
      <c r="K519" t="n">
        <v>18958013.92</v>
      </c>
      <c r="L519" t="n">
        <v>104451745.12</v>
      </c>
      <c r="M519" t="n">
        <v>12244.2507</v>
      </c>
      <c r="N519" t="inlineStr">
        <is>
          <t>Provided Total Emissions</t>
        </is>
      </c>
      <c r="O519" t="b">
        <v>1</v>
      </c>
      <c r="P519" t="n">
        <v>0.033956</v>
      </c>
      <c r="Q519" t="n">
        <v>0.019039</v>
      </c>
      <c r="R519" t="n">
        <v>19089.7721</v>
      </c>
      <c r="S519" t="n">
        <v>67901.9905</v>
      </c>
      <c r="T519" t="n">
        <v>6845.5214</v>
      </c>
      <c r="U519" t="n">
        <v>55657.7398</v>
      </c>
      <c r="V519" t="n">
        <v>0.55908</v>
      </c>
      <c r="W519" t="n">
        <v>4.545622</v>
      </c>
      <c r="X519" t="inlineStr">
        <is>
          <t>High</t>
        </is>
      </c>
      <c r="Y519" t="inlineStr">
        <is>
          <t>None</t>
        </is>
      </c>
      <c r="Z519" t="inlineStr">
        <is>
          <t>Valid</t>
        </is>
      </c>
      <c r="AA519" t="n">
        <v>2030</v>
      </c>
      <c r="AB519" t="inlineStr">
        <is>
          <t>Supplier Target Pathway</t>
        </is>
      </c>
      <c r="AC519" t="n">
        <v>13883.0935</v>
      </c>
      <c r="AD519" t="n">
        <v>9434.9503</v>
      </c>
      <c r="AE519" t="n">
        <v>9434.9503</v>
      </c>
      <c r="AF519" t="n">
        <v>9434.9503</v>
      </c>
      <c r="AG519" t="n">
        <v>4448.1432</v>
      </c>
      <c r="AH519" t="n">
        <v>0.00049768</v>
      </c>
      <c r="AI519" t="n">
        <v>0.3204</v>
      </c>
      <c r="AJ519" t="n">
        <v>0</v>
      </c>
      <c r="AK519" t="n">
        <v>494.2381</v>
      </c>
      <c r="AL519" t="n">
        <v>-7413.5722</v>
      </c>
      <c r="AM519" t="n">
        <v>64023.274</v>
      </c>
      <c r="AN519" t="n">
        <v>0.99</v>
      </c>
      <c r="AO519" t="inlineStr">
        <is>
          <t>Low</t>
        </is>
      </c>
      <c r="AP519" t="inlineStr">
        <is>
          <t>On Track</t>
        </is>
      </c>
    </row>
    <row r="520">
      <c r="A520" t="inlineStr">
        <is>
          <t>SUP-0033</t>
        </is>
      </c>
      <c r="B520" t="inlineStr">
        <is>
          <t>Metals Supplier 033</t>
        </is>
      </c>
      <c r="C520" t="inlineStr">
        <is>
          <t>Metals</t>
        </is>
      </c>
      <c r="D520" t="n">
        <v>2024</v>
      </c>
      <c r="E520" t="n">
        <v>2021</v>
      </c>
      <c r="F520" t="n">
        <v>2030</v>
      </c>
      <c r="G520" t="n">
        <v>12244.2507</v>
      </c>
      <c r="H520" t="n">
        <v>2156.3568</v>
      </c>
      <c r="I520" t="n">
        <v>1832.355</v>
      </c>
      <c r="J520" t="n">
        <v>8994.9452</v>
      </c>
      <c r="K520" t="n">
        <v>18958013.92</v>
      </c>
      <c r="L520" t="n">
        <v>104451745.12</v>
      </c>
      <c r="M520" t="n">
        <v>12244.2507</v>
      </c>
      <c r="N520" t="inlineStr">
        <is>
          <t>Provided Total Emissions</t>
        </is>
      </c>
      <c r="O520" t="b">
        <v>1</v>
      </c>
      <c r="P520" t="n">
        <v>0.033956</v>
      </c>
      <c r="Q520" t="n">
        <v>0.019039</v>
      </c>
      <c r="R520" t="n">
        <v>19089.7721</v>
      </c>
      <c r="S520" t="n">
        <v>67901.9905</v>
      </c>
      <c r="T520" t="n">
        <v>6845.5214</v>
      </c>
      <c r="U520" t="n">
        <v>55657.7398</v>
      </c>
      <c r="V520" t="n">
        <v>0.55908</v>
      </c>
      <c r="W520" t="n">
        <v>4.545622</v>
      </c>
      <c r="X520" t="inlineStr">
        <is>
          <t>High</t>
        </is>
      </c>
      <c r="Y520" t="inlineStr">
        <is>
          <t>None</t>
        </is>
      </c>
      <c r="Z520" t="inlineStr">
        <is>
          <t>Valid</t>
        </is>
      </c>
      <c r="AA520" t="n">
        <v>2031</v>
      </c>
      <c r="AB520" t="inlineStr">
        <is>
          <t>Supplier Target Pathway</t>
        </is>
      </c>
      <c r="AC520" t="n">
        <v>13883.0935</v>
      </c>
      <c r="AD520" t="n">
        <v>9434.9503</v>
      </c>
      <c r="AE520" t="n">
        <v>9434.9503</v>
      </c>
      <c r="AF520" t="n">
        <v>9434.9503</v>
      </c>
      <c r="AG520" t="n">
        <v>4448.1432</v>
      </c>
      <c r="AH520" t="n">
        <v>0.00049768</v>
      </c>
      <c r="AI520" t="n">
        <v>0.3204</v>
      </c>
      <c r="AJ520" t="n">
        <v>0</v>
      </c>
      <c r="AK520" t="n">
        <v>494.2381</v>
      </c>
      <c r="AL520" t="n">
        <v>-16848.5225</v>
      </c>
      <c r="AM520" t="n">
        <v>73458.2243</v>
      </c>
      <c r="AN520" t="n">
        <v>0.99</v>
      </c>
      <c r="AO520" t="inlineStr">
        <is>
          <t>Low</t>
        </is>
      </c>
      <c r="AP520" t="inlineStr">
        <is>
          <t>On Track</t>
        </is>
      </c>
    </row>
    <row r="521">
      <c r="A521" t="inlineStr">
        <is>
          <t>SUP-0033</t>
        </is>
      </c>
      <c r="B521" t="inlineStr">
        <is>
          <t>Metals Supplier 033</t>
        </is>
      </c>
      <c r="C521" t="inlineStr">
        <is>
          <t>Metals</t>
        </is>
      </c>
      <c r="D521" t="n">
        <v>2024</v>
      </c>
      <c r="E521" t="n">
        <v>2021</v>
      </c>
      <c r="F521" t="n">
        <v>2030</v>
      </c>
      <c r="G521" t="n">
        <v>12244.2507</v>
      </c>
      <c r="H521" t="n">
        <v>2156.3568</v>
      </c>
      <c r="I521" t="n">
        <v>1832.355</v>
      </c>
      <c r="J521" t="n">
        <v>8994.9452</v>
      </c>
      <c r="K521" t="n">
        <v>18958013.92</v>
      </c>
      <c r="L521" t="n">
        <v>104451745.12</v>
      </c>
      <c r="M521" t="n">
        <v>12244.2507</v>
      </c>
      <c r="N521" t="inlineStr">
        <is>
          <t>Provided Total Emissions</t>
        </is>
      </c>
      <c r="O521" t="b">
        <v>1</v>
      </c>
      <c r="P521" t="n">
        <v>0.033956</v>
      </c>
      <c r="Q521" t="n">
        <v>0.019039</v>
      </c>
      <c r="R521" t="n">
        <v>19089.7721</v>
      </c>
      <c r="S521" t="n">
        <v>67901.9905</v>
      </c>
      <c r="T521" t="n">
        <v>6845.5214</v>
      </c>
      <c r="U521" t="n">
        <v>55657.7398</v>
      </c>
      <c r="V521" t="n">
        <v>0.55908</v>
      </c>
      <c r="W521" t="n">
        <v>4.545622</v>
      </c>
      <c r="X521" t="inlineStr">
        <is>
          <t>High</t>
        </is>
      </c>
      <c r="Y521" t="inlineStr">
        <is>
          <t>None</t>
        </is>
      </c>
      <c r="Z521" t="inlineStr">
        <is>
          <t>Valid</t>
        </is>
      </c>
      <c r="AA521" t="n">
        <v>2032</v>
      </c>
      <c r="AB521" t="inlineStr">
        <is>
          <t>Supplier Target Pathway</t>
        </is>
      </c>
      <c r="AC521" t="n">
        <v>13883.0935</v>
      </c>
      <c r="AD521" t="n">
        <v>9434.9503</v>
      </c>
      <c r="AE521" t="n">
        <v>9434.9503</v>
      </c>
      <c r="AF521" t="n">
        <v>9434.9503</v>
      </c>
      <c r="AG521" t="n">
        <v>4448.1432</v>
      </c>
      <c r="AH521" t="n">
        <v>0.00049768</v>
      </c>
      <c r="AI521" t="n">
        <v>0.3204</v>
      </c>
      <c r="AJ521" t="n">
        <v>0</v>
      </c>
      <c r="AK521" t="n">
        <v>494.2381</v>
      </c>
      <c r="AL521" t="n">
        <v>-26283.4728</v>
      </c>
      <c r="AM521" t="n">
        <v>82893.1746</v>
      </c>
      <c r="AN521" t="n">
        <v>0.99</v>
      </c>
      <c r="AO521" t="inlineStr">
        <is>
          <t>Low</t>
        </is>
      </c>
      <c r="AP521" t="inlineStr">
        <is>
          <t>On Track</t>
        </is>
      </c>
    </row>
    <row r="522">
      <c r="A522" t="inlineStr">
        <is>
          <t>SUP-0033</t>
        </is>
      </c>
      <c r="B522" t="inlineStr">
        <is>
          <t>Metals Supplier 033</t>
        </is>
      </c>
      <c r="C522" t="inlineStr">
        <is>
          <t>Metals</t>
        </is>
      </c>
      <c r="D522" t="n">
        <v>2024</v>
      </c>
      <c r="E522" t="n">
        <v>2021</v>
      </c>
      <c r="F522" t="n">
        <v>2030</v>
      </c>
      <c r="G522" t="n">
        <v>12244.2507</v>
      </c>
      <c r="H522" t="n">
        <v>2156.3568</v>
      </c>
      <c r="I522" t="n">
        <v>1832.355</v>
      </c>
      <c r="J522" t="n">
        <v>8994.9452</v>
      </c>
      <c r="K522" t="n">
        <v>18958013.92</v>
      </c>
      <c r="L522" t="n">
        <v>104451745.12</v>
      </c>
      <c r="M522" t="n">
        <v>12244.2507</v>
      </c>
      <c r="N522" t="inlineStr">
        <is>
          <t>Provided Total Emissions</t>
        </is>
      </c>
      <c r="O522" t="b">
        <v>1</v>
      </c>
      <c r="P522" t="n">
        <v>0.033956</v>
      </c>
      <c r="Q522" t="n">
        <v>0.019039</v>
      </c>
      <c r="R522" t="n">
        <v>19089.7721</v>
      </c>
      <c r="S522" t="n">
        <v>67901.9905</v>
      </c>
      <c r="T522" t="n">
        <v>6845.5214</v>
      </c>
      <c r="U522" t="n">
        <v>55657.7398</v>
      </c>
      <c r="V522" t="n">
        <v>0.55908</v>
      </c>
      <c r="W522" t="n">
        <v>4.545622</v>
      </c>
      <c r="X522" t="inlineStr">
        <is>
          <t>High</t>
        </is>
      </c>
      <c r="Y522" t="inlineStr">
        <is>
          <t>None</t>
        </is>
      </c>
      <c r="Z522" t="inlineStr">
        <is>
          <t>Valid</t>
        </is>
      </c>
      <c r="AA522" t="n">
        <v>2033</v>
      </c>
      <c r="AB522" t="inlineStr">
        <is>
          <t>Supplier Target Pathway</t>
        </is>
      </c>
      <c r="AC522" t="n">
        <v>13883.0935</v>
      </c>
      <c r="AD522" t="n">
        <v>9434.9503</v>
      </c>
      <c r="AE522" t="n">
        <v>9434.9503</v>
      </c>
      <c r="AF522" t="n">
        <v>9434.9503</v>
      </c>
      <c r="AG522" t="n">
        <v>4448.1432</v>
      </c>
      <c r="AH522" t="n">
        <v>0.00049768</v>
      </c>
      <c r="AI522" t="n">
        <v>0.3204</v>
      </c>
      <c r="AJ522" t="n">
        <v>0</v>
      </c>
      <c r="AK522" t="n">
        <v>494.2381</v>
      </c>
      <c r="AL522" t="n">
        <v>-35718.4231</v>
      </c>
      <c r="AM522" t="n">
        <v>92328.1249</v>
      </c>
      <c r="AN522" t="n">
        <v>0.99</v>
      </c>
      <c r="AO522" t="inlineStr">
        <is>
          <t>Low</t>
        </is>
      </c>
      <c r="AP522" t="inlineStr">
        <is>
          <t>On Track</t>
        </is>
      </c>
    </row>
    <row r="523">
      <c r="A523" t="inlineStr">
        <is>
          <t>SUP-0033</t>
        </is>
      </c>
      <c r="B523" t="inlineStr">
        <is>
          <t>Metals Supplier 033</t>
        </is>
      </c>
      <c r="C523" t="inlineStr">
        <is>
          <t>Metals</t>
        </is>
      </c>
      <c r="D523" t="n">
        <v>2024</v>
      </c>
      <c r="E523" t="n">
        <v>2021</v>
      </c>
      <c r="F523" t="n">
        <v>2030</v>
      </c>
      <c r="G523" t="n">
        <v>12244.2507</v>
      </c>
      <c r="H523" t="n">
        <v>2156.3568</v>
      </c>
      <c r="I523" t="n">
        <v>1832.355</v>
      </c>
      <c r="J523" t="n">
        <v>8994.9452</v>
      </c>
      <c r="K523" t="n">
        <v>18958013.92</v>
      </c>
      <c r="L523" t="n">
        <v>104451745.12</v>
      </c>
      <c r="M523" t="n">
        <v>12244.2507</v>
      </c>
      <c r="N523" t="inlineStr">
        <is>
          <t>Provided Total Emissions</t>
        </is>
      </c>
      <c r="O523" t="b">
        <v>1</v>
      </c>
      <c r="P523" t="n">
        <v>0.033956</v>
      </c>
      <c r="Q523" t="n">
        <v>0.019039</v>
      </c>
      <c r="R523" t="n">
        <v>19089.7721</v>
      </c>
      <c r="S523" t="n">
        <v>67901.9905</v>
      </c>
      <c r="T523" t="n">
        <v>6845.5214</v>
      </c>
      <c r="U523" t="n">
        <v>55657.7398</v>
      </c>
      <c r="V523" t="n">
        <v>0.55908</v>
      </c>
      <c r="W523" t="n">
        <v>4.545622</v>
      </c>
      <c r="X523" t="inlineStr">
        <is>
          <t>High</t>
        </is>
      </c>
      <c r="Y523" t="inlineStr">
        <is>
          <t>None</t>
        </is>
      </c>
      <c r="Z523" t="inlineStr">
        <is>
          <t>Valid</t>
        </is>
      </c>
      <c r="AA523" t="n">
        <v>2034</v>
      </c>
      <c r="AB523" t="inlineStr">
        <is>
          <t>Supplier Target Pathway</t>
        </is>
      </c>
      <c r="AC523" t="n">
        <v>13883.0935</v>
      </c>
      <c r="AD523" t="n">
        <v>9434.9503</v>
      </c>
      <c r="AE523" t="n">
        <v>9434.9503</v>
      </c>
      <c r="AF523" t="n">
        <v>9434.9503</v>
      </c>
      <c r="AG523" t="n">
        <v>4448.1432</v>
      </c>
      <c r="AH523" t="n">
        <v>0.00049768</v>
      </c>
      <c r="AI523" t="n">
        <v>0.3204</v>
      </c>
      <c r="AJ523" t="n">
        <v>0</v>
      </c>
      <c r="AK523" t="n">
        <v>494.2381</v>
      </c>
      <c r="AL523" t="n">
        <v>-45153.3734</v>
      </c>
      <c r="AM523" t="n">
        <v>101763.0752</v>
      </c>
      <c r="AN523" t="n">
        <v>0.99</v>
      </c>
      <c r="AO523" t="inlineStr">
        <is>
          <t>Low</t>
        </is>
      </c>
      <c r="AP523" t="inlineStr">
        <is>
          <t>On Track</t>
        </is>
      </c>
    </row>
    <row r="524">
      <c r="A524" t="inlineStr">
        <is>
          <t>SUP-0033</t>
        </is>
      </c>
      <c r="B524" t="inlineStr">
        <is>
          <t>Metals Supplier 033</t>
        </is>
      </c>
      <c r="C524" t="inlineStr">
        <is>
          <t>Metals</t>
        </is>
      </c>
      <c r="D524" t="n">
        <v>2024</v>
      </c>
      <c r="E524" t="n">
        <v>2021</v>
      </c>
      <c r="F524" t="n">
        <v>2030</v>
      </c>
      <c r="G524" t="n">
        <v>12244.2507</v>
      </c>
      <c r="H524" t="n">
        <v>2156.3568</v>
      </c>
      <c r="I524" t="n">
        <v>1832.355</v>
      </c>
      <c r="J524" t="n">
        <v>8994.9452</v>
      </c>
      <c r="K524" t="n">
        <v>18958013.92</v>
      </c>
      <c r="L524" t="n">
        <v>104451745.12</v>
      </c>
      <c r="M524" t="n">
        <v>12244.2507</v>
      </c>
      <c r="N524" t="inlineStr">
        <is>
          <t>Provided Total Emissions</t>
        </is>
      </c>
      <c r="O524" t="b">
        <v>1</v>
      </c>
      <c r="P524" t="n">
        <v>0.033956</v>
      </c>
      <c r="Q524" t="n">
        <v>0.019039</v>
      </c>
      <c r="R524" t="n">
        <v>19089.7721</v>
      </c>
      <c r="S524" t="n">
        <v>67901.9905</v>
      </c>
      <c r="T524" t="n">
        <v>6845.5214</v>
      </c>
      <c r="U524" t="n">
        <v>55657.7398</v>
      </c>
      <c r="V524" t="n">
        <v>0.55908</v>
      </c>
      <c r="W524" t="n">
        <v>4.545622</v>
      </c>
      <c r="X524" t="inlineStr">
        <is>
          <t>High</t>
        </is>
      </c>
      <c r="Y524" t="inlineStr">
        <is>
          <t>None</t>
        </is>
      </c>
      <c r="Z524" t="inlineStr">
        <is>
          <t>Valid</t>
        </is>
      </c>
      <c r="AA524" t="n">
        <v>2035</v>
      </c>
      <c r="AB524" t="inlineStr">
        <is>
          <t>Supplier Target Pathway</t>
        </is>
      </c>
      <c r="AC524" t="n">
        <v>13883.0935</v>
      </c>
      <c r="AD524" t="n">
        <v>9434.9503</v>
      </c>
      <c r="AE524" t="n">
        <v>9434.9503</v>
      </c>
      <c r="AF524" t="n">
        <v>9434.9503</v>
      </c>
      <c r="AG524" t="n">
        <v>4448.1432</v>
      </c>
      <c r="AH524" t="n">
        <v>0.00049768</v>
      </c>
      <c r="AI524" t="n">
        <v>0.3204</v>
      </c>
      <c r="AJ524" t="n">
        <v>0</v>
      </c>
      <c r="AK524" t="n">
        <v>494.2381</v>
      </c>
      <c r="AL524" t="n">
        <v>-54588.3237</v>
      </c>
      <c r="AM524" t="n">
        <v>111198.0255</v>
      </c>
      <c r="AN524" t="n">
        <v>0.99</v>
      </c>
      <c r="AO524" t="inlineStr">
        <is>
          <t>Low</t>
        </is>
      </c>
      <c r="AP524" t="inlineStr">
        <is>
          <t>On Track</t>
        </is>
      </c>
    </row>
    <row r="525">
      <c r="A525" t="inlineStr">
        <is>
          <t>SUP-0033</t>
        </is>
      </c>
      <c r="B525" t="inlineStr">
        <is>
          <t>Metals Supplier 033</t>
        </is>
      </c>
      <c r="C525" t="inlineStr">
        <is>
          <t>Metals</t>
        </is>
      </c>
      <c r="D525" t="n">
        <v>2024</v>
      </c>
      <c r="E525" t="n">
        <v>2021</v>
      </c>
      <c r="F525" t="n">
        <v>2030</v>
      </c>
      <c r="G525" t="n">
        <v>12244.2507</v>
      </c>
      <c r="H525" t="n">
        <v>2156.3568</v>
      </c>
      <c r="I525" t="n">
        <v>1832.355</v>
      </c>
      <c r="J525" t="n">
        <v>8994.9452</v>
      </c>
      <c r="K525" t="n">
        <v>18958013.92</v>
      </c>
      <c r="L525" t="n">
        <v>104451745.12</v>
      </c>
      <c r="M525" t="n">
        <v>12244.2507</v>
      </c>
      <c r="N525" t="inlineStr">
        <is>
          <t>Provided Total Emissions</t>
        </is>
      </c>
      <c r="O525" t="b">
        <v>1</v>
      </c>
      <c r="P525" t="n">
        <v>0.033956</v>
      </c>
      <c r="Q525" t="n">
        <v>0.019039</v>
      </c>
      <c r="R525" t="n">
        <v>19089.7721</v>
      </c>
      <c r="S525" t="n">
        <v>67901.9905</v>
      </c>
      <c r="T525" t="n">
        <v>6845.5214</v>
      </c>
      <c r="U525" t="n">
        <v>55657.7398</v>
      </c>
      <c r="V525" t="n">
        <v>0.55908</v>
      </c>
      <c r="W525" t="n">
        <v>4.545622</v>
      </c>
      <c r="X525" t="inlineStr">
        <is>
          <t>High</t>
        </is>
      </c>
      <c r="Y525" t="inlineStr">
        <is>
          <t>None</t>
        </is>
      </c>
      <c r="Z525" t="inlineStr">
        <is>
          <t>Valid</t>
        </is>
      </c>
      <c r="AA525" t="n">
        <v>2036</v>
      </c>
      <c r="AB525" t="inlineStr">
        <is>
          <t>Supplier Target Pathway</t>
        </is>
      </c>
      <c r="AC525" t="n">
        <v>13883.0935</v>
      </c>
      <c r="AD525" t="n">
        <v>9434.9503</v>
      </c>
      <c r="AE525" t="n">
        <v>9434.9503</v>
      </c>
      <c r="AF525" t="n">
        <v>9434.9503</v>
      </c>
      <c r="AG525" t="n">
        <v>4448.1432</v>
      </c>
      <c r="AH525" t="n">
        <v>0.00049768</v>
      </c>
      <c r="AI525" t="n">
        <v>0.3204</v>
      </c>
      <c r="AJ525" t="n">
        <v>0</v>
      </c>
      <c r="AK525" t="n">
        <v>494.2381</v>
      </c>
      <c r="AL525" t="n">
        <v>-64023.274</v>
      </c>
      <c r="AM525" t="n">
        <v>120632.9758</v>
      </c>
      <c r="AN525" t="n">
        <v>0.99</v>
      </c>
      <c r="AO525" t="inlineStr">
        <is>
          <t>Low</t>
        </is>
      </c>
      <c r="AP525" t="inlineStr">
        <is>
          <t>On Track</t>
        </is>
      </c>
    </row>
    <row r="526">
      <c r="A526" t="inlineStr">
        <is>
          <t>SUP-0033</t>
        </is>
      </c>
      <c r="B526" t="inlineStr">
        <is>
          <t>Metals Supplier 033</t>
        </is>
      </c>
      <c r="C526" t="inlineStr">
        <is>
          <t>Metals</t>
        </is>
      </c>
      <c r="D526" t="n">
        <v>2024</v>
      </c>
      <c r="E526" t="n">
        <v>2021</v>
      </c>
      <c r="F526" t="n">
        <v>2030</v>
      </c>
      <c r="G526" t="n">
        <v>12244.2507</v>
      </c>
      <c r="H526" t="n">
        <v>2156.3568</v>
      </c>
      <c r="I526" t="n">
        <v>1832.355</v>
      </c>
      <c r="J526" t="n">
        <v>8994.9452</v>
      </c>
      <c r="K526" t="n">
        <v>18958013.92</v>
      </c>
      <c r="L526" t="n">
        <v>104451745.12</v>
      </c>
      <c r="M526" t="n">
        <v>12244.2507</v>
      </c>
      <c r="N526" t="inlineStr">
        <is>
          <t>Provided Total Emissions</t>
        </is>
      </c>
      <c r="O526" t="b">
        <v>1</v>
      </c>
      <c r="P526" t="n">
        <v>0.033956</v>
      </c>
      <c r="Q526" t="n">
        <v>0.019039</v>
      </c>
      <c r="R526" t="n">
        <v>19089.7721</v>
      </c>
      <c r="S526" t="n">
        <v>67901.9905</v>
      </c>
      <c r="T526" t="n">
        <v>6845.5214</v>
      </c>
      <c r="U526" t="n">
        <v>55657.7398</v>
      </c>
      <c r="V526" t="n">
        <v>0.55908</v>
      </c>
      <c r="W526" t="n">
        <v>4.545622</v>
      </c>
      <c r="X526" t="inlineStr">
        <is>
          <t>High</t>
        </is>
      </c>
      <c r="Y526" t="inlineStr">
        <is>
          <t>None</t>
        </is>
      </c>
      <c r="Z526" t="inlineStr">
        <is>
          <t>Valid</t>
        </is>
      </c>
      <c r="AA526" t="n">
        <v>2037</v>
      </c>
      <c r="AB526" t="inlineStr">
        <is>
          <t>Supplier Target Pathway</t>
        </is>
      </c>
      <c r="AC526" t="n">
        <v>13883.0935</v>
      </c>
      <c r="AD526" t="n">
        <v>9434.9503</v>
      </c>
      <c r="AE526" t="n">
        <v>9434.9503</v>
      </c>
      <c r="AF526" t="n">
        <v>9434.9503</v>
      </c>
      <c r="AG526" t="n">
        <v>4448.1432</v>
      </c>
      <c r="AH526" t="n">
        <v>0.00049768</v>
      </c>
      <c r="AI526" t="n">
        <v>0.3204</v>
      </c>
      <c r="AJ526" t="n">
        <v>0</v>
      </c>
      <c r="AK526" t="n">
        <v>494.2381</v>
      </c>
      <c r="AL526" t="n">
        <v>-73458.2243</v>
      </c>
      <c r="AM526" t="n">
        <v>130067.9261</v>
      </c>
      <c r="AN526" t="n">
        <v>0.99</v>
      </c>
      <c r="AO526" t="inlineStr">
        <is>
          <t>Low</t>
        </is>
      </c>
      <c r="AP526" t="inlineStr">
        <is>
          <t>On Track</t>
        </is>
      </c>
    </row>
    <row r="527">
      <c r="A527" t="inlineStr">
        <is>
          <t>SUP-0033</t>
        </is>
      </c>
      <c r="B527" t="inlineStr">
        <is>
          <t>Metals Supplier 033</t>
        </is>
      </c>
      <c r="C527" t="inlineStr">
        <is>
          <t>Metals</t>
        </is>
      </c>
      <c r="D527" t="n">
        <v>2024</v>
      </c>
      <c r="E527" t="n">
        <v>2021</v>
      </c>
      <c r="F527" t="n">
        <v>2030</v>
      </c>
      <c r="G527" t="n">
        <v>12244.2507</v>
      </c>
      <c r="H527" t="n">
        <v>2156.3568</v>
      </c>
      <c r="I527" t="n">
        <v>1832.355</v>
      </c>
      <c r="J527" t="n">
        <v>8994.9452</v>
      </c>
      <c r="K527" t="n">
        <v>18958013.92</v>
      </c>
      <c r="L527" t="n">
        <v>104451745.12</v>
      </c>
      <c r="M527" t="n">
        <v>12244.2507</v>
      </c>
      <c r="N527" t="inlineStr">
        <is>
          <t>Provided Total Emissions</t>
        </is>
      </c>
      <c r="O527" t="b">
        <v>1</v>
      </c>
      <c r="P527" t="n">
        <v>0.033956</v>
      </c>
      <c r="Q527" t="n">
        <v>0.019039</v>
      </c>
      <c r="R527" t="n">
        <v>19089.7721</v>
      </c>
      <c r="S527" t="n">
        <v>67901.9905</v>
      </c>
      <c r="T527" t="n">
        <v>6845.5214</v>
      </c>
      <c r="U527" t="n">
        <v>55657.7398</v>
      </c>
      <c r="V527" t="n">
        <v>0.55908</v>
      </c>
      <c r="W527" t="n">
        <v>4.545622</v>
      </c>
      <c r="X527" t="inlineStr">
        <is>
          <t>High</t>
        </is>
      </c>
      <c r="Y527" t="inlineStr">
        <is>
          <t>None</t>
        </is>
      </c>
      <c r="Z527" t="inlineStr">
        <is>
          <t>Valid</t>
        </is>
      </c>
      <c r="AA527" t="n">
        <v>2038</v>
      </c>
      <c r="AB527" t="inlineStr">
        <is>
          <t>Supplier Target Pathway</t>
        </is>
      </c>
      <c r="AC527" t="n">
        <v>13883.0935</v>
      </c>
      <c r="AD527" t="n">
        <v>9434.9503</v>
      </c>
      <c r="AE527" t="n">
        <v>9434.9503</v>
      </c>
      <c r="AF527" t="n">
        <v>9434.9503</v>
      </c>
      <c r="AG527" t="n">
        <v>4448.1432</v>
      </c>
      <c r="AH527" t="n">
        <v>0.00049768</v>
      </c>
      <c r="AI527" t="n">
        <v>0.3204</v>
      </c>
      <c r="AJ527" t="n">
        <v>0</v>
      </c>
      <c r="AK527" t="n">
        <v>494.2381</v>
      </c>
      <c r="AL527" t="n">
        <v>-82893.1746</v>
      </c>
      <c r="AM527" t="n">
        <v>139502.8764</v>
      </c>
      <c r="AN527" t="n">
        <v>0.99</v>
      </c>
      <c r="AO527" t="inlineStr">
        <is>
          <t>Low</t>
        </is>
      </c>
      <c r="AP527" t="inlineStr">
        <is>
          <t>On Track</t>
        </is>
      </c>
    </row>
    <row r="528">
      <c r="A528" t="inlineStr">
        <is>
          <t>SUP-0033</t>
        </is>
      </c>
      <c r="B528" t="inlineStr">
        <is>
          <t>Metals Supplier 033</t>
        </is>
      </c>
      <c r="C528" t="inlineStr">
        <is>
          <t>Metals</t>
        </is>
      </c>
      <c r="D528" t="n">
        <v>2024</v>
      </c>
      <c r="E528" t="n">
        <v>2021</v>
      </c>
      <c r="F528" t="n">
        <v>2030</v>
      </c>
      <c r="G528" t="n">
        <v>12244.2507</v>
      </c>
      <c r="H528" t="n">
        <v>2156.3568</v>
      </c>
      <c r="I528" t="n">
        <v>1832.355</v>
      </c>
      <c r="J528" t="n">
        <v>8994.9452</v>
      </c>
      <c r="K528" t="n">
        <v>18958013.92</v>
      </c>
      <c r="L528" t="n">
        <v>104451745.12</v>
      </c>
      <c r="M528" t="n">
        <v>12244.2507</v>
      </c>
      <c r="N528" t="inlineStr">
        <is>
          <t>Provided Total Emissions</t>
        </is>
      </c>
      <c r="O528" t="b">
        <v>1</v>
      </c>
      <c r="P528" t="n">
        <v>0.033956</v>
      </c>
      <c r="Q528" t="n">
        <v>0.019039</v>
      </c>
      <c r="R528" t="n">
        <v>19089.7721</v>
      </c>
      <c r="S528" t="n">
        <v>67901.9905</v>
      </c>
      <c r="T528" t="n">
        <v>6845.5214</v>
      </c>
      <c r="U528" t="n">
        <v>55657.7398</v>
      </c>
      <c r="V528" t="n">
        <v>0.55908</v>
      </c>
      <c r="W528" t="n">
        <v>4.545622</v>
      </c>
      <c r="X528" t="inlineStr">
        <is>
          <t>High</t>
        </is>
      </c>
      <c r="Y528" t="inlineStr">
        <is>
          <t>None</t>
        </is>
      </c>
      <c r="Z528" t="inlineStr">
        <is>
          <t>Valid</t>
        </is>
      </c>
      <c r="AA528" t="n">
        <v>2039</v>
      </c>
      <c r="AB528" t="inlineStr">
        <is>
          <t>Supplier Target Pathway</t>
        </is>
      </c>
      <c r="AC528" t="n">
        <v>13883.0935</v>
      </c>
      <c r="AD528" t="n">
        <v>9434.9503</v>
      </c>
      <c r="AE528" t="n">
        <v>9434.9503</v>
      </c>
      <c r="AF528" t="n">
        <v>9434.9503</v>
      </c>
      <c r="AG528" t="n">
        <v>4448.1432</v>
      </c>
      <c r="AH528" t="n">
        <v>0.00049768</v>
      </c>
      <c r="AI528" t="n">
        <v>0.3204</v>
      </c>
      <c r="AJ528" t="n">
        <v>0</v>
      </c>
      <c r="AK528" t="n">
        <v>494.2381</v>
      </c>
      <c r="AL528" t="n">
        <v>-92328.1249</v>
      </c>
      <c r="AM528" t="n">
        <v>148937.8267</v>
      </c>
      <c r="AN528" t="n">
        <v>0.99</v>
      </c>
      <c r="AO528" t="inlineStr">
        <is>
          <t>Low</t>
        </is>
      </c>
      <c r="AP528" t="inlineStr">
        <is>
          <t>On Track</t>
        </is>
      </c>
    </row>
    <row r="529">
      <c r="A529" t="inlineStr">
        <is>
          <t>SUP-0033</t>
        </is>
      </c>
      <c r="B529" t="inlineStr">
        <is>
          <t>Metals Supplier 033</t>
        </is>
      </c>
      <c r="C529" t="inlineStr">
        <is>
          <t>Metals</t>
        </is>
      </c>
      <c r="D529" t="n">
        <v>2024</v>
      </c>
      <c r="E529" t="n">
        <v>2021</v>
      </c>
      <c r="F529" t="n">
        <v>2030</v>
      </c>
      <c r="G529" t="n">
        <v>12244.2507</v>
      </c>
      <c r="H529" t="n">
        <v>2156.3568</v>
      </c>
      <c r="I529" t="n">
        <v>1832.355</v>
      </c>
      <c r="J529" t="n">
        <v>8994.9452</v>
      </c>
      <c r="K529" t="n">
        <v>18958013.92</v>
      </c>
      <c r="L529" t="n">
        <v>104451745.12</v>
      </c>
      <c r="M529" t="n">
        <v>12244.2507</v>
      </c>
      <c r="N529" t="inlineStr">
        <is>
          <t>Provided Total Emissions</t>
        </is>
      </c>
      <c r="O529" t="b">
        <v>1</v>
      </c>
      <c r="P529" t="n">
        <v>0.033956</v>
      </c>
      <c r="Q529" t="n">
        <v>0.019039</v>
      </c>
      <c r="R529" t="n">
        <v>19089.7721</v>
      </c>
      <c r="S529" t="n">
        <v>67901.9905</v>
      </c>
      <c r="T529" t="n">
        <v>6845.5214</v>
      </c>
      <c r="U529" t="n">
        <v>55657.7398</v>
      </c>
      <c r="V529" t="n">
        <v>0.55908</v>
      </c>
      <c r="W529" t="n">
        <v>4.545622</v>
      </c>
      <c r="X529" t="inlineStr">
        <is>
          <t>High</t>
        </is>
      </c>
      <c r="Y529" t="inlineStr">
        <is>
          <t>None</t>
        </is>
      </c>
      <c r="Z529" t="inlineStr">
        <is>
          <t>Valid</t>
        </is>
      </c>
      <c r="AA529" t="n">
        <v>2040</v>
      </c>
      <c r="AB529" t="inlineStr">
        <is>
          <t>Supplier Target Pathway</t>
        </is>
      </c>
      <c r="AC529" t="n">
        <v>13883.0935</v>
      </c>
      <c r="AD529" t="n">
        <v>9434.9503</v>
      </c>
      <c r="AE529" t="n">
        <v>9434.9503</v>
      </c>
      <c r="AF529" t="n">
        <v>9434.9503</v>
      </c>
      <c r="AG529" t="n">
        <v>4448.1432</v>
      </c>
      <c r="AH529" t="n">
        <v>0.00049768</v>
      </c>
      <c r="AI529" t="n">
        <v>0.3204</v>
      </c>
      <c r="AJ529" t="n">
        <v>0</v>
      </c>
      <c r="AK529" t="n">
        <v>494.2381</v>
      </c>
      <c r="AL529" t="n">
        <v>-101763.0752</v>
      </c>
      <c r="AM529" t="n">
        <v>158372.777</v>
      </c>
      <c r="AN529" t="n">
        <v>0.99</v>
      </c>
      <c r="AO529" t="inlineStr">
        <is>
          <t>Low</t>
        </is>
      </c>
      <c r="AP529" t="inlineStr">
        <is>
          <t>On Track</t>
        </is>
      </c>
    </row>
    <row r="530">
      <c r="A530" t="inlineStr">
        <is>
          <t>SUP-0034</t>
        </is>
      </c>
      <c r="B530" t="inlineStr">
        <is>
          <t>Logistics Supplier 034</t>
        </is>
      </c>
      <c r="C530" t="inlineStr">
        <is>
          <t>Logistics</t>
        </is>
      </c>
      <c r="D530" t="n">
        <v>2024</v>
      </c>
      <c r="E530" t="n">
        <v>2020</v>
      </c>
      <c r="F530" t="n">
        <v>2035</v>
      </c>
      <c r="G530" t="n">
        <v>5611.4786</v>
      </c>
      <c r="H530" t="n">
        <v>1260.2179</v>
      </c>
      <c r="I530" t="n">
        <v>1088.3227</v>
      </c>
      <c r="J530" t="n">
        <v>3411.1148</v>
      </c>
      <c r="K530" t="n">
        <v>23627672.7</v>
      </c>
      <c r="L530" t="n">
        <v>232879500.3</v>
      </c>
      <c r="M530" t="n">
        <v>5611.4786</v>
      </c>
      <c r="N530" t="inlineStr">
        <is>
          <t>Provided Total Emissions</t>
        </is>
      </c>
      <c r="O530" t="b">
        <v>1</v>
      </c>
      <c r="P530" t="n">
        <v>0.027588</v>
      </c>
      <c r="Q530" t="n">
        <v>0.024275</v>
      </c>
      <c r="R530" t="n">
        <v>5280.5486</v>
      </c>
      <c r="S530" t="n">
        <v>111286.1268</v>
      </c>
      <c r="T530" t="n">
        <v>-330.93</v>
      </c>
      <c r="U530" t="n">
        <v>105674.6482</v>
      </c>
      <c r="V530" t="n">
        <v>-0.058974</v>
      </c>
      <c r="W530" t="n">
        <v>18.831872</v>
      </c>
      <c r="X530" t="inlineStr">
        <is>
          <t>High</t>
        </is>
      </c>
      <c r="Y530" t="inlineStr">
        <is>
          <t>None</t>
        </is>
      </c>
      <c r="Z530" t="inlineStr">
        <is>
          <t>Valid</t>
        </is>
      </c>
      <c r="AA530" t="n">
        <v>2025</v>
      </c>
      <c r="AB530" t="inlineStr">
        <is>
          <t>Supplier Target Pathway</t>
        </is>
      </c>
      <c r="AC530" t="n">
        <v>4701.9081</v>
      </c>
      <c r="AD530" t="n">
        <v>2323.683</v>
      </c>
      <c r="AE530" t="n">
        <v>3909.1664</v>
      </c>
      <c r="AF530" t="n">
        <v>3909.1664</v>
      </c>
      <c r="AG530" t="n">
        <v>792.7417</v>
      </c>
      <c r="AH530" t="n">
        <v>0.00016545</v>
      </c>
      <c r="AI530" t="n">
        <v>0.1686</v>
      </c>
      <c r="AJ530" t="n">
        <v>1585.4834</v>
      </c>
      <c r="AK530" t="n">
        <v>158.5483</v>
      </c>
      <c r="AL530" t="n">
        <v>21651.3466</v>
      </c>
      <c r="AM530" t="n">
        <v>3909.1664</v>
      </c>
      <c r="AN530" t="n">
        <v>0.99</v>
      </c>
      <c r="AO530" t="inlineStr">
        <is>
          <t>Critical</t>
        </is>
      </c>
      <c r="AP530" t="inlineStr">
        <is>
          <t>On Track to Glide Path</t>
        </is>
      </c>
    </row>
    <row r="531">
      <c r="A531" t="inlineStr">
        <is>
          <t>SUP-0034</t>
        </is>
      </c>
      <c r="B531" t="inlineStr">
        <is>
          <t>Logistics Supplier 034</t>
        </is>
      </c>
      <c r="C531" t="inlineStr">
        <is>
          <t>Logistics</t>
        </is>
      </c>
      <c r="D531" t="n">
        <v>2024</v>
      </c>
      <c r="E531" t="n">
        <v>2020</v>
      </c>
      <c r="F531" t="n">
        <v>2035</v>
      </c>
      <c r="G531" t="n">
        <v>5611.4786</v>
      </c>
      <c r="H531" t="n">
        <v>1260.2179</v>
      </c>
      <c r="I531" t="n">
        <v>1088.3227</v>
      </c>
      <c r="J531" t="n">
        <v>3411.1148</v>
      </c>
      <c r="K531" t="n">
        <v>23627672.7</v>
      </c>
      <c r="L531" t="n">
        <v>232879500.3</v>
      </c>
      <c r="M531" t="n">
        <v>5611.4786</v>
      </c>
      <c r="N531" t="inlineStr">
        <is>
          <t>Provided Total Emissions</t>
        </is>
      </c>
      <c r="O531" t="b">
        <v>1</v>
      </c>
      <c r="P531" t="n">
        <v>0.027588</v>
      </c>
      <c r="Q531" t="n">
        <v>0.024275</v>
      </c>
      <c r="R531" t="n">
        <v>5280.5486</v>
      </c>
      <c r="S531" t="n">
        <v>111286.1268</v>
      </c>
      <c r="T531" t="n">
        <v>-330.93</v>
      </c>
      <c r="U531" t="n">
        <v>105674.6482</v>
      </c>
      <c r="V531" t="n">
        <v>-0.058974</v>
      </c>
      <c r="W531" t="n">
        <v>18.831872</v>
      </c>
      <c r="X531" t="inlineStr">
        <is>
          <t>High</t>
        </is>
      </c>
      <c r="Y531" t="inlineStr">
        <is>
          <t>None</t>
        </is>
      </c>
      <c r="Z531" t="inlineStr">
        <is>
          <t>Valid</t>
        </is>
      </c>
      <c r="AA531" t="n">
        <v>2026</v>
      </c>
      <c r="AB531" t="inlineStr">
        <is>
          <t>Supplier Target Pathway</t>
        </is>
      </c>
      <c r="AC531" t="n">
        <v>4701.9081</v>
      </c>
      <c r="AD531" t="n">
        <v>2323.683</v>
      </c>
      <c r="AE531" t="n">
        <v>3750.6181</v>
      </c>
      <c r="AF531" t="n">
        <v>3750.6181</v>
      </c>
      <c r="AG531" t="n">
        <v>951.29</v>
      </c>
      <c r="AH531" t="n">
        <v>0.00015874</v>
      </c>
      <c r="AI531" t="n">
        <v>0.20232</v>
      </c>
      <c r="AJ531" t="n">
        <v>1426.9351</v>
      </c>
      <c r="AK531" t="n">
        <v>158.5483</v>
      </c>
      <c r="AL531" t="n">
        <v>17900.7285</v>
      </c>
      <c r="AM531" t="n">
        <v>7659.7845</v>
      </c>
      <c r="AN531" t="n">
        <v>0.99</v>
      </c>
      <c r="AO531" t="inlineStr">
        <is>
          <t>Critical</t>
        </is>
      </c>
      <c r="AP531" t="inlineStr">
        <is>
          <t>On Track to Glide Path</t>
        </is>
      </c>
    </row>
    <row r="532">
      <c r="A532" t="inlineStr">
        <is>
          <t>SUP-0034</t>
        </is>
      </c>
      <c r="B532" t="inlineStr">
        <is>
          <t>Logistics Supplier 034</t>
        </is>
      </c>
      <c r="C532" t="inlineStr">
        <is>
          <t>Logistics</t>
        </is>
      </c>
      <c r="D532" t="n">
        <v>2024</v>
      </c>
      <c r="E532" t="n">
        <v>2020</v>
      </c>
      <c r="F532" t="n">
        <v>2035</v>
      </c>
      <c r="G532" t="n">
        <v>5611.4786</v>
      </c>
      <c r="H532" t="n">
        <v>1260.2179</v>
      </c>
      <c r="I532" t="n">
        <v>1088.3227</v>
      </c>
      <c r="J532" t="n">
        <v>3411.1148</v>
      </c>
      <c r="K532" t="n">
        <v>23627672.7</v>
      </c>
      <c r="L532" t="n">
        <v>232879500.3</v>
      </c>
      <c r="M532" t="n">
        <v>5611.4786</v>
      </c>
      <c r="N532" t="inlineStr">
        <is>
          <t>Provided Total Emissions</t>
        </is>
      </c>
      <c r="O532" t="b">
        <v>1</v>
      </c>
      <c r="P532" t="n">
        <v>0.027588</v>
      </c>
      <c r="Q532" t="n">
        <v>0.024275</v>
      </c>
      <c r="R532" t="n">
        <v>5280.5486</v>
      </c>
      <c r="S532" t="n">
        <v>111286.1268</v>
      </c>
      <c r="T532" t="n">
        <v>-330.93</v>
      </c>
      <c r="U532" t="n">
        <v>105674.6482</v>
      </c>
      <c r="V532" t="n">
        <v>-0.058974</v>
      </c>
      <c r="W532" t="n">
        <v>18.831872</v>
      </c>
      <c r="X532" t="inlineStr">
        <is>
          <t>High</t>
        </is>
      </c>
      <c r="Y532" t="inlineStr">
        <is>
          <t>None</t>
        </is>
      </c>
      <c r="Z532" t="inlineStr">
        <is>
          <t>Valid</t>
        </is>
      </c>
      <c r="AA532" t="n">
        <v>2027</v>
      </c>
      <c r="AB532" t="inlineStr">
        <is>
          <t>Supplier Target Pathway</t>
        </is>
      </c>
      <c r="AC532" t="n">
        <v>4701.9081</v>
      </c>
      <c r="AD532" t="n">
        <v>2323.683</v>
      </c>
      <c r="AE532" t="n">
        <v>3592.0697</v>
      </c>
      <c r="AF532" t="n">
        <v>3592.0697</v>
      </c>
      <c r="AG532" t="n">
        <v>1109.8384</v>
      </c>
      <c r="AH532" t="n">
        <v>0.00015203</v>
      </c>
      <c r="AI532" t="n">
        <v>0.23604</v>
      </c>
      <c r="AJ532" t="n">
        <v>1268.3867</v>
      </c>
      <c r="AK532" t="n">
        <v>158.5483</v>
      </c>
      <c r="AL532" t="n">
        <v>14308.6588</v>
      </c>
      <c r="AM532" t="n">
        <v>11251.8542</v>
      </c>
      <c r="AN532" t="n">
        <v>0.99</v>
      </c>
      <c r="AO532" t="inlineStr">
        <is>
          <t>Critical</t>
        </is>
      </c>
      <c r="AP532" t="inlineStr">
        <is>
          <t>On Track to Glide Path</t>
        </is>
      </c>
    </row>
    <row r="533">
      <c r="A533" t="inlineStr">
        <is>
          <t>SUP-0034</t>
        </is>
      </c>
      <c r="B533" t="inlineStr">
        <is>
          <t>Logistics Supplier 034</t>
        </is>
      </c>
      <c r="C533" t="inlineStr">
        <is>
          <t>Logistics</t>
        </is>
      </c>
      <c r="D533" t="n">
        <v>2024</v>
      </c>
      <c r="E533" t="n">
        <v>2020</v>
      </c>
      <c r="F533" t="n">
        <v>2035</v>
      </c>
      <c r="G533" t="n">
        <v>5611.4786</v>
      </c>
      <c r="H533" t="n">
        <v>1260.2179</v>
      </c>
      <c r="I533" t="n">
        <v>1088.3227</v>
      </c>
      <c r="J533" t="n">
        <v>3411.1148</v>
      </c>
      <c r="K533" t="n">
        <v>23627672.7</v>
      </c>
      <c r="L533" t="n">
        <v>232879500.3</v>
      </c>
      <c r="M533" t="n">
        <v>5611.4786</v>
      </c>
      <c r="N533" t="inlineStr">
        <is>
          <t>Provided Total Emissions</t>
        </is>
      </c>
      <c r="O533" t="b">
        <v>1</v>
      </c>
      <c r="P533" t="n">
        <v>0.027588</v>
      </c>
      <c r="Q533" t="n">
        <v>0.024275</v>
      </c>
      <c r="R533" t="n">
        <v>5280.5486</v>
      </c>
      <c r="S533" t="n">
        <v>111286.1268</v>
      </c>
      <c r="T533" t="n">
        <v>-330.93</v>
      </c>
      <c r="U533" t="n">
        <v>105674.6482</v>
      </c>
      <c r="V533" t="n">
        <v>-0.058974</v>
      </c>
      <c r="W533" t="n">
        <v>18.831872</v>
      </c>
      <c r="X533" t="inlineStr">
        <is>
          <t>High</t>
        </is>
      </c>
      <c r="Y533" t="inlineStr">
        <is>
          <t>None</t>
        </is>
      </c>
      <c r="Z533" t="inlineStr">
        <is>
          <t>Valid</t>
        </is>
      </c>
      <c r="AA533" t="n">
        <v>2028</v>
      </c>
      <c r="AB533" t="inlineStr">
        <is>
          <t>Supplier Target Pathway</t>
        </is>
      </c>
      <c r="AC533" t="n">
        <v>4701.9081</v>
      </c>
      <c r="AD533" t="n">
        <v>2323.683</v>
      </c>
      <c r="AE533" t="n">
        <v>3433.5214</v>
      </c>
      <c r="AF533" t="n">
        <v>3433.5214</v>
      </c>
      <c r="AG533" t="n">
        <v>1268.3867</v>
      </c>
      <c r="AH533" t="n">
        <v>0.00014532</v>
      </c>
      <c r="AI533" t="n">
        <v>0.26976</v>
      </c>
      <c r="AJ533" t="n">
        <v>1109.8384</v>
      </c>
      <c r="AK533" t="n">
        <v>158.5483</v>
      </c>
      <c r="AL533" t="n">
        <v>10875.1374</v>
      </c>
      <c r="AM533" t="n">
        <v>14685.3756</v>
      </c>
      <c r="AN533" t="n">
        <v>0.99</v>
      </c>
      <c r="AO533" t="inlineStr">
        <is>
          <t>Critical</t>
        </is>
      </c>
      <c r="AP533" t="inlineStr">
        <is>
          <t>On Track to Glide Path</t>
        </is>
      </c>
    </row>
    <row r="534">
      <c r="A534" t="inlineStr">
        <is>
          <t>SUP-0034</t>
        </is>
      </c>
      <c r="B534" t="inlineStr">
        <is>
          <t>Logistics Supplier 034</t>
        </is>
      </c>
      <c r="C534" t="inlineStr">
        <is>
          <t>Logistics</t>
        </is>
      </c>
      <c r="D534" t="n">
        <v>2024</v>
      </c>
      <c r="E534" t="n">
        <v>2020</v>
      </c>
      <c r="F534" t="n">
        <v>2035</v>
      </c>
      <c r="G534" t="n">
        <v>5611.4786</v>
      </c>
      <c r="H534" t="n">
        <v>1260.2179</v>
      </c>
      <c r="I534" t="n">
        <v>1088.3227</v>
      </c>
      <c r="J534" t="n">
        <v>3411.1148</v>
      </c>
      <c r="K534" t="n">
        <v>23627672.7</v>
      </c>
      <c r="L534" t="n">
        <v>232879500.3</v>
      </c>
      <c r="M534" t="n">
        <v>5611.4786</v>
      </c>
      <c r="N534" t="inlineStr">
        <is>
          <t>Provided Total Emissions</t>
        </is>
      </c>
      <c r="O534" t="b">
        <v>1</v>
      </c>
      <c r="P534" t="n">
        <v>0.027588</v>
      </c>
      <c r="Q534" t="n">
        <v>0.024275</v>
      </c>
      <c r="R534" t="n">
        <v>5280.5486</v>
      </c>
      <c r="S534" t="n">
        <v>111286.1268</v>
      </c>
      <c r="T534" t="n">
        <v>-330.93</v>
      </c>
      <c r="U534" t="n">
        <v>105674.6482</v>
      </c>
      <c r="V534" t="n">
        <v>-0.058974</v>
      </c>
      <c r="W534" t="n">
        <v>18.831872</v>
      </c>
      <c r="X534" t="inlineStr">
        <is>
          <t>High</t>
        </is>
      </c>
      <c r="Y534" t="inlineStr">
        <is>
          <t>None</t>
        </is>
      </c>
      <c r="Z534" t="inlineStr">
        <is>
          <t>Valid</t>
        </is>
      </c>
      <c r="AA534" t="n">
        <v>2029</v>
      </c>
      <c r="AB534" t="inlineStr">
        <is>
          <t>Supplier Target Pathway</t>
        </is>
      </c>
      <c r="AC534" t="n">
        <v>4701.9081</v>
      </c>
      <c r="AD534" t="n">
        <v>2323.683</v>
      </c>
      <c r="AE534" t="n">
        <v>3274.973</v>
      </c>
      <c r="AF534" t="n">
        <v>3274.973</v>
      </c>
      <c r="AG534" t="n">
        <v>1426.9351</v>
      </c>
      <c r="AH534" t="n">
        <v>0.00013861</v>
      </c>
      <c r="AI534" t="n">
        <v>0.30348</v>
      </c>
      <c r="AJ534" t="n">
        <v>951.29</v>
      </c>
      <c r="AK534" t="n">
        <v>158.5483</v>
      </c>
      <c r="AL534" t="n">
        <v>7600.1644</v>
      </c>
      <c r="AM534" t="n">
        <v>17960.3486</v>
      </c>
      <c r="AN534" t="n">
        <v>0.99</v>
      </c>
      <c r="AO534" t="inlineStr">
        <is>
          <t>Critical</t>
        </is>
      </c>
      <c r="AP534" t="inlineStr">
        <is>
          <t>On Track to Glide Path</t>
        </is>
      </c>
    </row>
    <row r="535">
      <c r="A535" t="inlineStr">
        <is>
          <t>SUP-0034</t>
        </is>
      </c>
      <c r="B535" t="inlineStr">
        <is>
          <t>Logistics Supplier 034</t>
        </is>
      </c>
      <c r="C535" t="inlineStr">
        <is>
          <t>Logistics</t>
        </is>
      </c>
      <c r="D535" t="n">
        <v>2024</v>
      </c>
      <c r="E535" t="n">
        <v>2020</v>
      </c>
      <c r="F535" t="n">
        <v>2035</v>
      </c>
      <c r="G535" t="n">
        <v>5611.4786</v>
      </c>
      <c r="H535" t="n">
        <v>1260.2179</v>
      </c>
      <c r="I535" t="n">
        <v>1088.3227</v>
      </c>
      <c r="J535" t="n">
        <v>3411.1148</v>
      </c>
      <c r="K535" t="n">
        <v>23627672.7</v>
      </c>
      <c r="L535" t="n">
        <v>232879500.3</v>
      </c>
      <c r="M535" t="n">
        <v>5611.4786</v>
      </c>
      <c r="N535" t="inlineStr">
        <is>
          <t>Provided Total Emissions</t>
        </is>
      </c>
      <c r="O535" t="b">
        <v>1</v>
      </c>
      <c r="P535" t="n">
        <v>0.027588</v>
      </c>
      <c r="Q535" t="n">
        <v>0.024275</v>
      </c>
      <c r="R535" t="n">
        <v>5280.5486</v>
      </c>
      <c r="S535" t="n">
        <v>111286.1268</v>
      </c>
      <c r="T535" t="n">
        <v>-330.93</v>
      </c>
      <c r="U535" t="n">
        <v>105674.6482</v>
      </c>
      <c r="V535" t="n">
        <v>-0.058974</v>
      </c>
      <c r="W535" t="n">
        <v>18.831872</v>
      </c>
      <c r="X535" t="inlineStr">
        <is>
          <t>High</t>
        </is>
      </c>
      <c r="Y535" t="inlineStr">
        <is>
          <t>None</t>
        </is>
      </c>
      <c r="Z535" t="inlineStr">
        <is>
          <t>Valid</t>
        </is>
      </c>
      <c r="AA535" t="n">
        <v>2030</v>
      </c>
      <c r="AB535" t="inlineStr">
        <is>
          <t>Supplier Target Pathway</t>
        </is>
      </c>
      <c r="AC535" t="n">
        <v>4701.9081</v>
      </c>
      <c r="AD535" t="n">
        <v>2323.683</v>
      </c>
      <c r="AE535" t="n">
        <v>3116.4247</v>
      </c>
      <c r="AF535" t="n">
        <v>3116.4247</v>
      </c>
      <c r="AG535" t="n">
        <v>1585.4834</v>
      </c>
      <c r="AH535" t="n">
        <v>0.0001319</v>
      </c>
      <c r="AI535" t="n">
        <v>0.3372</v>
      </c>
      <c r="AJ535" t="n">
        <v>792.7417</v>
      </c>
      <c r="AK535" t="n">
        <v>158.5483</v>
      </c>
      <c r="AL535" t="n">
        <v>4483.7397</v>
      </c>
      <c r="AM535" t="n">
        <v>21076.7733</v>
      </c>
      <c r="AN535" t="n">
        <v>0.99</v>
      </c>
      <c r="AO535" t="inlineStr">
        <is>
          <t>High</t>
        </is>
      </c>
      <c r="AP535" t="inlineStr">
        <is>
          <t>On Track to Glide Path</t>
        </is>
      </c>
    </row>
    <row r="536">
      <c r="A536" t="inlineStr">
        <is>
          <t>SUP-0034</t>
        </is>
      </c>
      <c r="B536" t="inlineStr">
        <is>
          <t>Logistics Supplier 034</t>
        </is>
      </c>
      <c r="C536" t="inlineStr">
        <is>
          <t>Logistics</t>
        </is>
      </c>
      <c r="D536" t="n">
        <v>2024</v>
      </c>
      <c r="E536" t="n">
        <v>2020</v>
      </c>
      <c r="F536" t="n">
        <v>2035</v>
      </c>
      <c r="G536" t="n">
        <v>5611.4786</v>
      </c>
      <c r="H536" t="n">
        <v>1260.2179</v>
      </c>
      <c r="I536" t="n">
        <v>1088.3227</v>
      </c>
      <c r="J536" t="n">
        <v>3411.1148</v>
      </c>
      <c r="K536" t="n">
        <v>23627672.7</v>
      </c>
      <c r="L536" t="n">
        <v>232879500.3</v>
      </c>
      <c r="M536" t="n">
        <v>5611.4786</v>
      </c>
      <c r="N536" t="inlineStr">
        <is>
          <t>Provided Total Emissions</t>
        </is>
      </c>
      <c r="O536" t="b">
        <v>1</v>
      </c>
      <c r="P536" t="n">
        <v>0.027588</v>
      </c>
      <c r="Q536" t="n">
        <v>0.024275</v>
      </c>
      <c r="R536" t="n">
        <v>5280.5486</v>
      </c>
      <c r="S536" t="n">
        <v>111286.1268</v>
      </c>
      <c r="T536" t="n">
        <v>-330.93</v>
      </c>
      <c r="U536" t="n">
        <v>105674.6482</v>
      </c>
      <c r="V536" t="n">
        <v>-0.058974</v>
      </c>
      <c r="W536" t="n">
        <v>18.831872</v>
      </c>
      <c r="X536" t="inlineStr">
        <is>
          <t>High</t>
        </is>
      </c>
      <c r="Y536" t="inlineStr">
        <is>
          <t>None</t>
        </is>
      </c>
      <c r="Z536" t="inlineStr">
        <is>
          <t>Valid</t>
        </is>
      </c>
      <c r="AA536" t="n">
        <v>2031</v>
      </c>
      <c r="AB536" t="inlineStr">
        <is>
          <t>Supplier Target Pathway</t>
        </is>
      </c>
      <c r="AC536" t="n">
        <v>4701.9081</v>
      </c>
      <c r="AD536" t="n">
        <v>2323.683</v>
      </c>
      <c r="AE536" t="n">
        <v>2957.8763</v>
      </c>
      <c r="AF536" t="n">
        <v>2957.8763</v>
      </c>
      <c r="AG536" t="n">
        <v>1744.0318</v>
      </c>
      <c r="AH536" t="n">
        <v>0.00012519</v>
      </c>
      <c r="AI536" t="n">
        <v>0.37092</v>
      </c>
      <c r="AJ536" t="n">
        <v>634.1934</v>
      </c>
      <c r="AK536" t="n">
        <v>158.5483</v>
      </c>
      <c r="AL536" t="n">
        <v>1525.8634</v>
      </c>
      <c r="AM536" t="n">
        <v>24034.6496</v>
      </c>
      <c r="AN536" t="n">
        <v>0.99</v>
      </c>
      <c r="AO536" t="inlineStr">
        <is>
          <t>High</t>
        </is>
      </c>
      <c r="AP536" t="inlineStr">
        <is>
          <t>On Track to Glide Path</t>
        </is>
      </c>
    </row>
    <row r="537">
      <c r="A537" t="inlineStr">
        <is>
          <t>SUP-0034</t>
        </is>
      </c>
      <c r="B537" t="inlineStr">
        <is>
          <t>Logistics Supplier 034</t>
        </is>
      </c>
      <c r="C537" t="inlineStr">
        <is>
          <t>Logistics</t>
        </is>
      </c>
      <c r="D537" t="n">
        <v>2024</v>
      </c>
      <c r="E537" t="n">
        <v>2020</v>
      </c>
      <c r="F537" t="n">
        <v>2035</v>
      </c>
      <c r="G537" t="n">
        <v>5611.4786</v>
      </c>
      <c r="H537" t="n">
        <v>1260.2179</v>
      </c>
      <c r="I537" t="n">
        <v>1088.3227</v>
      </c>
      <c r="J537" t="n">
        <v>3411.1148</v>
      </c>
      <c r="K537" t="n">
        <v>23627672.7</v>
      </c>
      <c r="L537" t="n">
        <v>232879500.3</v>
      </c>
      <c r="M537" t="n">
        <v>5611.4786</v>
      </c>
      <c r="N537" t="inlineStr">
        <is>
          <t>Provided Total Emissions</t>
        </is>
      </c>
      <c r="O537" t="b">
        <v>1</v>
      </c>
      <c r="P537" t="n">
        <v>0.027588</v>
      </c>
      <c r="Q537" t="n">
        <v>0.024275</v>
      </c>
      <c r="R537" t="n">
        <v>5280.5486</v>
      </c>
      <c r="S537" t="n">
        <v>111286.1268</v>
      </c>
      <c r="T537" t="n">
        <v>-330.93</v>
      </c>
      <c r="U537" t="n">
        <v>105674.6482</v>
      </c>
      <c r="V537" t="n">
        <v>-0.058974</v>
      </c>
      <c r="W537" t="n">
        <v>18.831872</v>
      </c>
      <c r="X537" t="inlineStr">
        <is>
          <t>High</t>
        </is>
      </c>
      <c r="Y537" t="inlineStr">
        <is>
          <t>None</t>
        </is>
      </c>
      <c r="Z537" t="inlineStr">
        <is>
          <t>Valid</t>
        </is>
      </c>
      <c r="AA537" t="n">
        <v>2032</v>
      </c>
      <c r="AB537" t="inlineStr">
        <is>
          <t>Supplier Target Pathway</t>
        </is>
      </c>
      <c r="AC537" t="n">
        <v>4701.9081</v>
      </c>
      <c r="AD537" t="n">
        <v>2323.683</v>
      </c>
      <c r="AE537" t="n">
        <v>2799.328</v>
      </c>
      <c r="AF537" t="n">
        <v>2799.328</v>
      </c>
      <c r="AG537" t="n">
        <v>1902.5801</v>
      </c>
      <c r="AH537" t="n">
        <v>0.00011848</v>
      </c>
      <c r="AI537" t="n">
        <v>0.40464</v>
      </c>
      <c r="AJ537" t="n">
        <v>475.645</v>
      </c>
      <c r="AK537" t="n">
        <v>158.5483</v>
      </c>
      <c r="AL537" t="n">
        <v>-1273.4646</v>
      </c>
      <c r="AM537" t="n">
        <v>26833.9776</v>
      </c>
      <c r="AN537" t="n">
        <v>0.99</v>
      </c>
      <c r="AO537" t="inlineStr">
        <is>
          <t>High</t>
        </is>
      </c>
      <c r="AP537" t="inlineStr">
        <is>
          <t>On Track to Glide Path</t>
        </is>
      </c>
    </row>
    <row r="538">
      <c r="A538" t="inlineStr">
        <is>
          <t>SUP-0034</t>
        </is>
      </c>
      <c r="B538" t="inlineStr">
        <is>
          <t>Logistics Supplier 034</t>
        </is>
      </c>
      <c r="C538" t="inlineStr">
        <is>
          <t>Logistics</t>
        </is>
      </c>
      <c r="D538" t="n">
        <v>2024</v>
      </c>
      <c r="E538" t="n">
        <v>2020</v>
      </c>
      <c r="F538" t="n">
        <v>2035</v>
      </c>
      <c r="G538" t="n">
        <v>5611.4786</v>
      </c>
      <c r="H538" t="n">
        <v>1260.2179</v>
      </c>
      <c r="I538" t="n">
        <v>1088.3227</v>
      </c>
      <c r="J538" t="n">
        <v>3411.1148</v>
      </c>
      <c r="K538" t="n">
        <v>23627672.7</v>
      </c>
      <c r="L538" t="n">
        <v>232879500.3</v>
      </c>
      <c r="M538" t="n">
        <v>5611.4786</v>
      </c>
      <c r="N538" t="inlineStr">
        <is>
          <t>Provided Total Emissions</t>
        </is>
      </c>
      <c r="O538" t="b">
        <v>1</v>
      </c>
      <c r="P538" t="n">
        <v>0.027588</v>
      </c>
      <c r="Q538" t="n">
        <v>0.024275</v>
      </c>
      <c r="R538" t="n">
        <v>5280.5486</v>
      </c>
      <c r="S538" t="n">
        <v>111286.1268</v>
      </c>
      <c r="T538" t="n">
        <v>-330.93</v>
      </c>
      <c r="U538" t="n">
        <v>105674.6482</v>
      </c>
      <c r="V538" t="n">
        <v>-0.058974</v>
      </c>
      <c r="W538" t="n">
        <v>18.831872</v>
      </c>
      <c r="X538" t="inlineStr">
        <is>
          <t>High</t>
        </is>
      </c>
      <c r="Y538" t="inlineStr">
        <is>
          <t>None</t>
        </is>
      </c>
      <c r="Z538" t="inlineStr">
        <is>
          <t>Valid</t>
        </is>
      </c>
      <c r="AA538" t="n">
        <v>2033</v>
      </c>
      <c r="AB538" t="inlineStr">
        <is>
          <t>Supplier Target Pathway</t>
        </is>
      </c>
      <c r="AC538" t="n">
        <v>4701.9081</v>
      </c>
      <c r="AD538" t="n">
        <v>2323.683</v>
      </c>
      <c r="AE538" t="n">
        <v>2640.7797</v>
      </c>
      <c r="AF538" t="n">
        <v>2640.7797</v>
      </c>
      <c r="AG538" t="n">
        <v>2061.1284</v>
      </c>
      <c r="AH538" t="n">
        <v>0.00011177</v>
      </c>
      <c r="AI538" t="n">
        <v>0.43836</v>
      </c>
      <c r="AJ538" t="n">
        <v>317.0967</v>
      </c>
      <c r="AK538" t="n">
        <v>158.5483</v>
      </c>
      <c r="AL538" t="n">
        <v>-3914.2443</v>
      </c>
      <c r="AM538" t="n">
        <v>29474.7573</v>
      </c>
      <c r="AN538" t="n">
        <v>0.99</v>
      </c>
      <c r="AO538" t="inlineStr">
        <is>
          <t>Medium</t>
        </is>
      </c>
      <c r="AP538" t="inlineStr">
        <is>
          <t>On Track to Glide Path</t>
        </is>
      </c>
    </row>
    <row r="539">
      <c r="A539" t="inlineStr">
        <is>
          <t>SUP-0034</t>
        </is>
      </c>
      <c r="B539" t="inlineStr">
        <is>
          <t>Logistics Supplier 034</t>
        </is>
      </c>
      <c r="C539" t="inlineStr">
        <is>
          <t>Logistics</t>
        </is>
      </c>
      <c r="D539" t="n">
        <v>2024</v>
      </c>
      <c r="E539" t="n">
        <v>2020</v>
      </c>
      <c r="F539" t="n">
        <v>2035</v>
      </c>
      <c r="G539" t="n">
        <v>5611.4786</v>
      </c>
      <c r="H539" t="n">
        <v>1260.2179</v>
      </c>
      <c r="I539" t="n">
        <v>1088.3227</v>
      </c>
      <c r="J539" t="n">
        <v>3411.1148</v>
      </c>
      <c r="K539" t="n">
        <v>23627672.7</v>
      </c>
      <c r="L539" t="n">
        <v>232879500.3</v>
      </c>
      <c r="M539" t="n">
        <v>5611.4786</v>
      </c>
      <c r="N539" t="inlineStr">
        <is>
          <t>Provided Total Emissions</t>
        </is>
      </c>
      <c r="O539" t="b">
        <v>1</v>
      </c>
      <c r="P539" t="n">
        <v>0.027588</v>
      </c>
      <c r="Q539" t="n">
        <v>0.024275</v>
      </c>
      <c r="R539" t="n">
        <v>5280.5486</v>
      </c>
      <c r="S539" t="n">
        <v>111286.1268</v>
      </c>
      <c r="T539" t="n">
        <v>-330.93</v>
      </c>
      <c r="U539" t="n">
        <v>105674.6482</v>
      </c>
      <c r="V539" t="n">
        <v>-0.058974</v>
      </c>
      <c r="W539" t="n">
        <v>18.831872</v>
      </c>
      <c r="X539" t="inlineStr">
        <is>
          <t>High</t>
        </is>
      </c>
      <c r="Y539" t="inlineStr">
        <is>
          <t>None</t>
        </is>
      </c>
      <c r="Z539" t="inlineStr">
        <is>
          <t>Valid</t>
        </is>
      </c>
      <c r="AA539" t="n">
        <v>2034</v>
      </c>
      <c r="AB539" t="inlineStr">
        <is>
          <t>Supplier Target Pathway</t>
        </is>
      </c>
      <c r="AC539" t="n">
        <v>4701.9081</v>
      </c>
      <c r="AD539" t="n">
        <v>2323.683</v>
      </c>
      <c r="AE539" t="n">
        <v>2482.2313</v>
      </c>
      <c r="AF539" t="n">
        <v>2482.2313</v>
      </c>
      <c r="AG539" t="n">
        <v>2219.6768</v>
      </c>
      <c r="AH539" t="n">
        <v>0.00010506</v>
      </c>
      <c r="AI539" t="n">
        <v>0.47208</v>
      </c>
      <c r="AJ539" t="n">
        <v>158.5483</v>
      </c>
      <c r="AK539" t="n">
        <v>158.5483</v>
      </c>
      <c r="AL539" t="n">
        <v>-6396.4756</v>
      </c>
      <c r="AM539" t="n">
        <v>31956.9886</v>
      </c>
      <c r="AN539" t="n">
        <v>0.99</v>
      </c>
      <c r="AO539" t="inlineStr">
        <is>
          <t>Medium</t>
        </is>
      </c>
      <c r="AP539" t="inlineStr">
        <is>
          <t>On Track to Glide Path</t>
        </is>
      </c>
    </row>
    <row r="540">
      <c r="A540" t="inlineStr">
        <is>
          <t>SUP-0034</t>
        </is>
      </c>
      <c r="B540" t="inlineStr">
        <is>
          <t>Logistics Supplier 034</t>
        </is>
      </c>
      <c r="C540" t="inlineStr">
        <is>
          <t>Logistics</t>
        </is>
      </c>
      <c r="D540" t="n">
        <v>2024</v>
      </c>
      <c r="E540" t="n">
        <v>2020</v>
      </c>
      <c r="F540" t="n">
        <v>2035</v>
      </c>
      <c r="G540" t="n">
        <v>5611.4786</v>
      </c>
      <c r="H540" t="n">
        <v>1260.2179</v>
      </c>
      <c r="I540" t="n">
        <v>1088.3227</v>
      </c>
      <c r="J540" t="n">
        <v>3411.1148</v>
      </c>
      <c r="K540" t="n">
        <v>23627672.7</v>
      </c>
      <c r="L540" t="n">
        <v>232879500.3</v>
      </c>
      <c r="M540" t="n">
        <v>5611.4786</v>
      </c>
      <c r="N540" t="inlineStr">
        <is>
          <t>Provided Total Emissions</t>
        </is>
      </c>
      <c r="O540" t="b">
        <v>1</v>
      </c>
      <c r="P540" t="n">
        <v>0.027588</v>
      </c>
      <c r="Q540" t="n">
        <v>0.024275</v>
      </c>
      <c r="R540" t="n">
        <v>5280.5486</v>
      </c>
      <c r="S540" t="n">
        <v>111286.1268</v>
      </c>
      <c r="T540" t="n">
        <v>-330.93</v>
      </c>
      <c r="U540" t="n">
        <v>105674.6482</v>
      </c>
      <c r="V540" t="n">
        <v>-0.058974</v>
      </c>
      <c r="W540" t="n">
        <v>18.831872</v>
      </c>
      <c r="X540" t="inlineStr">
        <is>
          <t>High</t>
        </is>
      </c>
      <c r="Y540" t="inlineStr">
        <is>
          <t>None</t>
        </is>
      </c>
      <c r="Z540" t="inlineStr">
        <is>
          <t>Valid</t>
        </is>
      </c>
      <c r="AA540" t="n">
        <v>2035</v>
      </c>
      <c r="AB540" t="inlineStr">
        <is>
          <t>Supplier Target Pathway</t>
        </is>
      </c>
      <c r="AC540" t="n">
        <v>4701.9081</v>
      </c>
      <c r="AD540" t="n">
        <v>2323.683</v>
      </c>
      <c r="AE540" t="n">
        <v>2323.683</v>
      </c>
      <c r="AF540" t="n">
        <v>2323.683</v>
      </c>
      <c r="AG540" t="n">
        <v>2378.2251</v>
      </c>
      <c r="AH540" t="n">
        <v>9.835000000000001e-05</v>
      </c>
      <c r="AI540" t="n">
        <v>0.5058</v>
      </c>
      <c r="AJ540" t="n">
        <v>0</v>
      </c>
      <c r="AK540" t="n">
        <v>158.5483</v>
      </c>
      <c r="AL540" t="n">
        <v>-8720.158600000001</v>
      </c>
      <c r="AM540" t="n">
        <v>34280.6716</v>
      </c>
      <c r="AN540" t="n">
        <v>0.99</v>
      </c>
      <c r="AO540" t="inlineStr">
        <is>
          <t>Low</t>
        </is>
      </c>
      <c r="AP540" t="inlineStr">
        <is>
          <t>On Track</t>
        </is>
      </c>
    </row>
    <row r="541">
      <c r="A541" t="inlineStr">
        <is>
          <t>SUP-0034</t>
        </is>
      </c>
      <c r="B541" t="inlineStr">
        <is>
          <t>Logistics Supplier 034</t>
        </is>
      </c>
      <c r="C541" t="inlineStr">
        <is>
          <t>Logistics</t>
        </is>
      </c>
      <c r="D541" t="n">
        <v>2024</v>
      </c>
      <c r="E541" t="n">
        <v>2020</v>
      </c>
      <c r="F541" t="n">
        <v>2035</v>
      </c>
      <c r="G541" t="n">
        <v>5611.4786</v>
      </c>
      <c r="H541" t="n">
        <v>1260.2179</v>
      </c>
      <c r="I541" t="n">
        <v>1088.3227</v>
      </c>
      <c r="J541" t="n">
        <v>3411.1148</v>
      </c>
      <c r="K541" t="n">
        <v>23627672.7</v>
      </c>
      <c r="L541" t="n">
        <v>232879500.3</v>
      </c>
      <c r="M541" t="n">
        <v>5611.4786</v>
      </c>
      <c r="N541" t="inlineStr">
        <is>
          <t>Provided Total Emissions</t>
        </is>
      </c>
      <c r="O541" t="b">
        <v>1</v>
      </c>
      <c r="P541" t="n">
        <v>0.027588</v>
      </c>
      <c r="Q541" t="n">
        <v>0.024275</v>
      </c>
      <c r="R541" t="n">
        <v>5280.5486</v>
      </c>
      <c r="S541" t="n">
        <v>111286.1268</v>
      </c>
      <c r="T541" t="n">
        <v>-330.93</v>
      </c>
      <c r="U541" t="n">
        <v>105674.6482</v>
      </c>
      <c r="V541" t="n">
        <v>-0.058974</v>
      </c>
      <c r="W541" t="n">
        <v>18.831872</v>
      </c>
      <c r="X541" t="inlineStr">
        <is>
          <t>High</t>
        </is>
      </c>
      <c r="Y541" t="inlineStr">
        <is>
          <t>None</t>
        </is>
      </c>
      <c r="Z541" t="inlineStr">
        <is>
          <t>Valid</t>
        </is>
      </c>
      <c r="AA541" t="n">
        <v>2036</v>
      </c>
      <c r="AB541" t="inlineStr">
        <is>
          <t>Supplier Target Pathway</t>
        </is>
      </c>
      <c r="AC541" t="n">
        <v>4701.9081</v>
      </c>
      <c r="AD541" t="n">
        <v>2323.683</v>
      </c>
      <c r="AE541" t="n">
        <v>2323.683</v>
      </c>
      <c r="AF541" t="n">
        <v>2323.683</v>
      </c>
      <c r="AG541" t="n">
        <v>2378.2251</v>
      </c>
      <c r="AH541" t="n">
        <v>9.835000000000001e-05</v>
      </c>
      <c r="AI541" t="n">
        <v>0.5058</v>
      </c>
      <c r="AJ541" t="n">
        <v>0</v>
      </c>
      <c r="AK541" t="n">
        <v>158.5483</v>
      </c>
      <c r="AL541" t="n">
        <v>-11043.8416</v>
      </c>
      <c r="AM541" t="n">
        <v>36604.3546</v>
      </c>
      <c r="AN541" t="n">
        <v>0.99</v>
      </c>
      <c r="AO541" t="inlineStr">
        <is>
          <t>Low</t>
        </is>
      </c>
      <c r="AP541" t="inlineStr">
        <is>
          <t>On Track</t>
        </is>
      </c>
    </row>
    <row r="542">
      <c r="A542" t="inlineStr">
        <is>
          <t>SUP-0034</t>
        </is>
      </c>
      <c r="B542" t="inlineStr">
        <is>
          <t>Logistics Supplier 034</t>
        </is>
      </c>
      <c r="C542" t="inlineStr">
        <is>
          <t>Logistics</t>
        </is>
      </c>
      <c r="D542" t="n">
        <v>2024</v>
      </c>
      <c r="E542" t="n">
        <v>2020</v>
      </c>
      <c r="F542" t="n">
        <v>2035</v>
      </c>
      <c r="G542" t="n">
        <v>5611.4786</v>
      </c>
      <c r="H542" t="n">
        <v>1260.2179</v>
      </c>
      <c r="I542" t="n">
        <v>1088.3227</v>
      </c>
      <c r="J542" t="n">
        <v>3411.1148</v>
      </c>
      <c r="K542" t="n">
        <v>23627672.7</v>
      </c>
      <c r="L542" t="n">
        <v>232879500.3</v>
      </c>
      <c r="M542" t="n">
        <v>5611.4786</v>
      </c>
      <c r="N542" t="inlineStr">
        <is>
          <t>Provided Total Emissions</t>
        </is>
      </c>
      <c r="O542" t="b">
        <v>1</v>
      </c>
      <c r="P542" t="n">
        <v>0.027588</v>
      </c>
      <c r="Q542" t="n">
        <v>0.024275</v>
      </c>
      <c r="R542" t="n">
        <v>5280.5486</v>
      </c>
      <c r="S542" t="n">
        <v>111286.1268</v>
      </c>
      <c r="T542" t="n">
        <v>-330.93</v>
      </c>
      <c r="U542" t="n">
        <v>105674.6482</v>
      </c>
      <c r="V542" t="n">
        <v>-0.058974</v>
      </c>
      <c r="W542" t="n">
        <v>18.831872</v>
      </c>
      <c r="X542" t="inlineStr">
        <is>
          <t>High</t>
        </is>
      </c>
      <c r="Y542" t="inlineStr">
        <is>
          <t>None</t>
        </is>
      </c>
      <c r="Z542" t="inlineStr">
        <is>
          <t>Valid</t>
        </is>
      </c>
      <c r="AA542" t="n">
        <v>2037</v>
      </c>
      <c r="AB542" t="inlineStr">
        <is>
          <t>Supplier Target Pathway</t>
        </is>
      </c>
      <c r="AC542" t="n">
        <v>4701.9081</v>
      </c>
      <c r="AD542" t="n">
        <v>2323.683</v>
      </c>
      <c r="AE542" t="n">
        <v>2323.683</v>
      </c>
      <c r="AF542" t="n">
        <v>2323.683</v>
      </c>
      <c r="AG542" t="n">
        <v>2378.2251</v>
      </c>
      <c r="AH542" t="n">
        <v>9.835000000000001e-05</v>
      </c>
      <c r="AI542" t="n">
        <v>0.5058</v>
      </c>
      <c r="AJ542" t="n">
        <v>0</v>
      </c>
      <c r="AK542" t="n">
        <v>158.5483</v>
      </c>
      <c r="AL542" t="n">
        <v>-13367.5246</v>
      </c>
      <c r="AM542" t="n">
        <v>38928.0376</v>
      </c>
      <c r="AN542" t="n">
        <v>0.99</v>
      </c>
      <c r="AO542" t="inlineStr">
        <is>
          <t>Low</t>
        </is>
      </c>
      <c r="AP542" t="inlineStr">
        <is>
          <t>On Track</t>
        </is>
      </c>
    </row>
    <row r="543">
      <c r="A543" t="inlineStr">
        <is>
          <t>SUP-0034</t>
        </is>
      </c>
      <c r="B543" t="inlineStr">
        <is>
          <t>Logistics Supplier 034</t>
        </is>
      </c>
      <c r="C543" t="inlineStr">
        <is>
          <t>Logistics</t>
        </is>
      </c>
      <c r="D543" t="n">
        <v>2024</v>
      </c>
      <c r="E543" t="n">
        <v>2020</v>
      </c>
      <c r="F543" t="n">
        <v>2035</v>
      </c>
      <c r="G543" t="n">
        <v>5611.4786</v>
      </c>
      <c r="H543" t="n">
        <v>1260.2179</v>
      </c>
      <c r="I543" t="n">
        <v>1088.3227</v>
      </c>
      <c r="J543" t="n">
        <v>3411.1148</v>
      </c>
      <c r="K543" t="n">
        <v>23627672.7</v>
      </c>
      <c r="L543" t="n">
        <v>232879500.3</v>
      </c>
      <c r="M543" t="n">
        <v>5611.4786</v>
      </c>
      <c r="N543" t="inlineStr">
        <is>
          <t>Provided Total Emissions</t>
        </is>
      </c>
      <c r="O543" t="b">
        <v>1</v>
      </c>
      <c r="P543" t="n">
        <v>0.027588</v>
      </c>
      <c r="Q543" t="n">
        <v>0.024275</v>
      </c>
      <c r="R543" t="n">
        <v>5280.5486</v>
      </c>
      <c r="S543" t="n">
        <v>111286.1268</v>
      </c>
      <c r="T543" t="n">
        <v>-330.93</v>
      </c>
      <c r="U543" t="n">
        <v>105674.6482</v>
      </c>
      <c r="V543" t="n">
        <v>-0.058974</v>
      </c>
      <c r="W543" t="n">
        <v>18.831872</v>
      </c>
      <c r="X543" t="inlineStr">
        <is>
          <t>High</t>
        </is>
      </c>
      <c r="Y543" t="inlineStr">
        <is>
          <t>None</t>
        </is>
      </c>
      <c r="Z543" t="inlineStr">
        <is>
          <t>Valid</t>
        </is>
      </c>
      <c r="AA543" t="n">
        <v>2038</v>
      </c>
      <c r="AB543" t="inlineStr">
        <is>
          <t>Supplier Target Pathway</t>
        </is>
      </c>
      <c r="AC543" t="n">
        <v>4701.9081</v>
      </c>
      <c r="AD543" t="n">
        <v>2323.683</v>
      </c>
      <c r="AE543" t="n">
        <v>2323.683</v>
      </c>
      <c r="AF543" t="n">
        <v>2323.683</v>
      </c>
      <c r="AG543" t="n">
        <v>2378.2251</v>
      </c>
      <c r="AH543" t="n">
        <v>9.835000000000001e-05</v>
      </c>
      <c r="AI543" t="n">
        <v>0.5058</v>
      </c>
      <c r="AJ543" t="n">
        <v>0</v>
      </c>
      <c r="AK543" t="n">
        <v>158.5483</v>
      </c>
      <c r="AL543" t="n">
        <v>-15691.2076</v>
      </c>
      <c r="AM543" t="n">
        <v>41251.7206</v>
      </c>
      <c r="AN543" t="n">
        <v>0.99</v>
      </c>
      <c r="AO543" t="inlineStr">
        <is>
          <t>Low</t>
        </is>
      </c>
      <c r="AP543" t="inlineStr">
        <is>
          <t>On Track</t>
        </is>
      </c>
    </row>
    <row r="544">
      <c r="A544" t="inlineStr">
        <is>
          <t>SUP-0034</t>
        </is>
      </c>
      <c r="B544" t="inlineStr">
        <is>
          <t>Logistics Supplier 034</t>
        </is>
      </c>
      <c r="C544" t="inlineStr">
        <is>
          <t>Logistics</t>
        </is>
      </c>
      <c r="D544" t="n">
        <v>2024</v>
      </c>
      <c r="E544" t="n">
        <v>2020</v>
      </c>
      <c r="F544" t="n">
        <v>2035</v>
      </c>
      <c r="G544" t="n">
        <v>5611.4786</v>
      </c>
      <c r="H544" t="n">
        <v>1260.2179</v>
      </c>
      <c r="I544" t="n">
        <v>1088.3227</v>
      </c>
      <c r="J544" t="n">
        <v>3411.1148</v>
      </c>
      <c r="K544" t="n">
        <v>23627672.7</v>
      </c>
      <c r="L544" t="n">
        <v>232879500.3</v>
      </c>
      <c r="M544" t="n">
        <v>5611.4786</v>
      </c>
      <c r="N544" t="inlineStr">
        <is>
          <t>Provided Total Emissions</t>
        </is>
      </c>
      <c r="O544" t="b">
        <v>1</v>
      </c>
      <c r="P544" t="n">
        <v>0.027588</v>
      </c>
      <c r="Q544" t="n">
        <v>0.024275</v>
      </c>
      <c r="R544" t="n">
        <v>5280.5486</v>
      </c>
      <c r="S544" t="n">
        <v>111286.1268</v>
      </c>
      <c r="T544" t="n">
        <v>-330.93</v>
      </c>
      <c r="U544" t="n">
        <v>105674.6482</v>
      </c>
      <c r="V544" t="n">
        <v>-0.058974</v>
      </c>
      <c r="W544" t="n">
        <v>18.831872</v>
      </c>
      <c r="X544" t="inlineStr">
        <is>
          <t>High</t>
        </is>
      </c>
      <c r="Y544" t="inlineStr">
        <is>
          <t>None</t>
        </is>
      </c>
      <c r="Z544" t="inlineStr">
        <is>
          <t>Valid</t>
        </is>
      </c>
      <c r="AA544" t="n">
        <v>2039</v>
      </c>
      <c r="AB544" t="inlineStr">
        <is>
          <t>Supplier Target Pathway</t>
        </is>
      </c>
      <c r="AC544" t="n">
        <v>4701.9081</v>
      </c>
      <c r="AD544" t="n">
        <v>2323.683</v>
      </c>
      <c r="AE544" t="n">
        <v>2323.683</v>
      </c>
      <c r="AF544" t="n">
        <v>2323.683</v>
      </c>
      <c r="AG544" t="n">
        <v>2378.2251</v>
      </c>
      <c r="AH544" t="n">
        <v>9.835000000000001e-05</v>
      </c>
      <c r="AI544" t="n">
        <v>0.5058</v>
      </c>
      <c r="AJ544" t="n">
        <v>0</v>
      </c>
      <c r="AK544" t="n">
        <v>158.5483</v>
      </c>
      <c r="AL544" t="n">
        <v>-18014.8906</v>
      </c>
      <c r="AM544" t="n">
        <v>43575.4036</v>
      </c>
      <c r="AN544" t="n">
        <v>0.99</v>
      </c>
      <c r="AO544" t="inlineStr">
        <is>
          <t>Low</t>
        </is>
      </c>
      <c r="AP544" t="inlineStr">
        <is>
          <t>On Track</t>
        </is>
      </c>
    </row>
    <row r="545">
      <c r="A545" t="inlineStr">
        <is>
          <t>SUP-0034</t>
        </is>
      </c>
      <c r="B545" t="inlineStr">
        <is>
          <t>Logistics Supplier 034</t>
        </is>
      </c>
      <c r="C545" t="inlineStr">
        <is>
          <t>Logistics</t>
        </is>
      </c>
      <c r="D545" t="n">
        <v>2024</v>
      </c>
      <c r="E545" t="n">
        <v>2020</v>
      </c>
      <c r="F545" t="n">
        <v>2035</v>
      </c>
      <c r="G545" t="n">
        <v>5611.4786</v>
      </c>
      <c r="H545" t="n">
        <v>1260.2179</v>
      </c>
      <c r="I545" t="n">
        <v>1088.3227</v>
      </c>
      <c r="J545" t="n">
        <v>3411.1148</v>
      </c>
      <c r="K545" t="n">
        <v>23627672.7</v>
      </c>
      <c r="L545" t="n">
        <v>232879500.3</v>
      </c>
      <c r="M545" t="n">
        <v>5611.4786</v>
      </c>
      <c r="N545" t="inlineStr">
        <is>
          <t>Provided Total Emissions</t>
        </is>
      </c>
      <c r="O545" t="b">
        <v>1</v>
      </c>
      <c r="P545" t="n">
        <v>0.027588</v>
      </c>
      <c r="Q545" t="n">
        <v>0.024275</v>
      </c>
      <c r="R545" t="n">
        <v>5280.5486</v>
      </c>
      <c r="S545" t="n">
        <v>111286.1268</v>
      </c>
      <c r="T545" t="n">
        <v>-330.93</v>
      </c>
      <c r="U545" t="n">
        <v>105674.6482</v>
      </c>
      <c r="V545" t="n">
        <v>-0.058974</v>
      </c>
      <c r="W545" t="n">
        <v>18.831872</v>
      </c>
      <c r="X545" t="inlineStr">
        <is>
          <t>High</t>
        </is>
      </c>
      <c r="Y545" t="inlineStr">
        <is>
          <t>None</t>
        </is>
      </c>
      <c r="Z545" t="inlineStr">
        <is>
          <t>Valid</t>
        </is>
      </c>
      <c r="AA545" t="n">
        <v>2040</v>
      </c>
      <c r="AB545" t="inlineStr">
        <is>
          <t>Supplier Target Pathway</t>
        </is>
      </c>
      <c r="AC545" t="n">
        <v>4701.9081</v>
      </c>
      <c r="AD545" t="n">
        <v>2323.683</v>
      </c>
      <c r="AE545" t="n">
        <v>2323.683</v>
      </c>
      <c r="AF545" t="n">
        <v>2323.683</v>
      </c>
      <c r="AG545" t="n">
        <v>2378.2251</v>
      </c>
      <c r="AH545" t="n">
        <v>9.835000000000001e-05</v>
      </c>
      <c r="AI545" t="n">
        <v>0.5058</v>
      </c>
      <c r="AJ545" t="n">
        <v>0</v>
      </c>
      <c r="AK545" t="n">
        <v>158.5483</v>
      </c>
      <c r="AL545" t="n">
        <v>-20338.5736</v>
      </c>
      <c r="AM545" t="n">
        <v>45899.0866</v>
      </c>
      <c r="AN545" t="n">
        <v>0.99</v>
      </c>
      <c r="AO545" t="inlineStr">
        <is>
          <t>Low</t>
        </is>
      </c>
      <c r="AP545" t="inlineStr">
        <is>
          <t>On Track</t>
        </is>
      </c>
    </row>
    <row r="546">
      <c r="A546" t="inlineStr">
        <is>
          <t>SUP-0035</t>
        </is>
      </c>
      <c r="B546" t="inlineStr">
        <is>
          <t>Electronics Supplier 035</t>
        </is>
      </c>
      <c r="C546" t="inlineStr">
        <is>
          <t>Electronics</t>
        </is>
      </c>
      <c r="D546" t="n">
        <v>2024</v>
      </c>
      <c r="E546" t="n">
        <v>2015</v>
      </c>
      <c r="F546" t="n">
        <v>2040</v>
      </c>
      <c r="G546" t="n">
        <v>23190.5906</v>
      </c>
      <c r="H546" t="n">
        <v>2894.491</v>
      </c>
      <c r="I546" t="n">
        <v>1752.3803</v>
      </c>
      <c r="J546" t="n">
        <v>20630.1494</v>
      </c>
      <c r="K546" t="n">
        <v>37936357.49</v>
      </c>
      <c r="L546" t="n">
        <v>56187941.98</v>
      </c>
      <c r="M546" t="n">
        <v>23190.5906</v>
      </c>
      <c r="N546" t="inlineStr">
        <is>
          <t>Provided Total Emissions</t>
        </is>
      </c>
      <c r="O546" t="b">
        <v>1</v>
      </c>
      <c r="P546" t="n">
        <v>0.045193</v>
      </c>
      <c r="Q546" t="n">
        <v>0.07120700000000001</v>
      </c>
      <c r="R546" t="n">
        <v>32665.1006</v>
      </c>
      <c r="S546" t="n">
        <v>7836.5323</v>
      </c>
      <c r="T546" t="n">
        <v>9474.51</v>
      </c>
      <c r="U546" t="n">
        <v>-15354.0583</v>
      </c>
      <c r="V546" t="n">
        <v>0.40855</v>
      </c>
      <c r="W546" t="n">
        <v>-0.662081</v>
      </c>
      <c r="X546" t="inlineStr">
        <is>
          <t>High</t>
        </is>
      </c>
      <c r="Y546" t="inlineStr">
        <is>
          <t>None</t>
        </is>
      </c>
      <c r="Z546" t="inlineStr">
        <is>
          <t>Valid</t>
        </is>
      </c>
      <c r="AA546" t="n">
        <v>2025</v>
      </c>
      <c r="AB546" t="inlineStr">
        <is>
          <t>Industry Haircut Pathway</t>
        </is>
      </c>
      <c r="AC546" t="n">
        <v>15579.0932</v>
      </c>
      <c r="AD546" t="n">
        <v>10244.8117</v>
      </c>
      <c r="AE546" t="n">
        <v>13445.3806</v>
      </c>
      <c r="AF546" t="n">
        <v>13445.3806</v>
      </c>
      <c r="AG546" t="n">
        <v>2133.7126</v>
      </c>
      <c r="AH546" t="n">
        <v>0.00035442</v>
      </c>
      <c r="AI546" t="n">
        <v>0.13696</v>
      </c>
      <c r="AJ546" t="n">
        <v>3200.5689</v>
      </c>
      <c r="AK546" t="n">
        <v>213.3713</v>
      </c>
      <c r="AL546" t="n">
        <v>150471.6066</v>
      </c>
      <c r="AM546" t="n">
        <v>13445.3806</v>
      </c>
      <c r="AN546" t="n">
        <v>0.95</v>
      </c>
      <c r="AO546" t="inlineStr">
        <is>
          <t>High</t>
        </is>
      </c>
      <c r="AP546" t="inlineStr">
        <is>
          <t>On Track to Glide Path</t>
        </is>
      </c>
    </row>
    <row r="547">
      <c r="A547" t="inlineStr">
        <is>
          <t>SUP-0035</t>
        </is>
      </c>
      <c r="B547" t="inlineStr">
        <is>
          <t>Electronics Supplier 035</t>
        </is>
      </c>
      <c r="C547" t="inlineStr">
        <is>
          <t>Electronics</t>
        </is>
      </c>
      <c r="D547" t="n">
        <v>2024</v>
      </c>
      <c r="E547" t="n">
        <v>2015</v>
      </c>
      <c r="F547" t="n">
        <v>2040</v>
      </c>
      <c r="G547" t="n">
        <v>23190.5906</v>
      </c>
      <c r="H547" t="n">
        <v>2894.491</v>
      </c>
      <c r="I547" t="n">
        <v>1752.3803</v>
      </c>
      <c r="J547" t="n">
        <v>20630.1494</v>
      </c>
      <c r="K547" t="n">
        <v>37936357.49</v>
      </c>
      <c r="L547" t="n">
        <v>56187941.98</v>
      </c>
      <c r="M547" t="n">
        <v>23190.5906</v>
      </c>
      <c r="N547" t="inlineStr">
        <is>
          <t>Provided Total Emissions</t>
        </is>
      </c>
      <c r="O547" t="b">
        <v>1</v>
      </c>
      <c r="P547" t="n">
        <v>0.045193</v>
      </c>
      <c r="Q547" t="n">
        <v>0.07120700000000001</v>
      </c>
      <c r="R547" t="n">
        <v>32665.1006</v>
      </c>
      <c r="S547" t="n">
        <v>7836.5323</v>
      </c>
      <c r="T547" t="n">
        <v>9474.51</v>
      </c>
      <c r="U547" t="n">
        <v>-15354.0583</v>
      </c>
      <c r="V547" t="n">
        <v>0.40855</v>
      </c>
      <c r="W547" t="n">
        <v>-0.662081</v>
      </c>
      <c r="X547" t="inlineStr">
        <is>
          <t>High</t>
        </is>
      </c>
      <c r="Y547" t="inlineStr">
        <is>
          <t>None</t>
        </is>
      </c>
      <c r="Z547" t="inlineStr">
        <is>
          <t>Valid</t>
        </is>
      </c>
      <c r="AA547" t="n">
        <v>2026</v>
      </c>
      <c r="AB547" t="inlineStr">
        <is>
          <t>Industry Haircut Pathway</t>
        </is>
      </c>
      <c r="AC547" t="n">
        <v>15579.0932</v>
      </c>
      <c r="AD547" t="n">
        <v>10244.8117</v>
      </c>
      <c r="AE547" t="n">
        <v>13232.0093</v>
      </c>
      <c r="AF547" t="n">
        <v>13232.0093</v>
      </c>
      <c r="AG547" t="n">
        <v>2347.0839</v>
      </c>
      <c r="AH547" t="n">
        <v>0.00034879</v>
      </c>
      <c r="AI547" t="n">
        <v>0.150656</v>
      </c>
      <c r="AJ547" t="n">
        <v>2987.1976</v>
      </c>
      <c r="AK547" t="n">
        <v>213.3713</v>
      </c>
      <c r="AL547" t="n">
        <v>137239.5973</v>
      </c>
      <c r="AM547" t="n">
        <v>26677.3899</v>
      </c>
      <c r="AN547" t="n">
        <v>0.95</v>
      </c>
      <c r="AO547" t="inlineStr">
        <is>
          <t>High</t>
        </is>
      </c>
      <c r="AP547" t="inlineStr">
        <is>
          <t>On Track to Glide Path</t>
        </is>
      </c>
    </row>
    <row r="548">
      <c r="A548" t="inlineStr">
        <is>
          <t>SUP-0035</t>
        </is>
      </c>
      <c r="B548" t="inlineStr">
        <is>
          <t>Electronics Supplier 035</t>
        </is>
      </c>
      <c r="C548" t="inlineStr">
        <is>
          <t>Electronics</t>
        </is>
      </c>
      <c r="D548" t="n">
        <v>2024</v>
      </c>
      <c r="E548" t="n">
        <v>2015</v>
      </c>
      <c r="F548" t="n">
        <v>2040</v>
      </c>
      <c r="G548" t="n">
        <v>23190.5906</v>
      </c>
      <c r="H548" t="n">
        <v>2894.491</v>
      </c>
      <c r="I548" t="n">
        <v>1752.3803</v>
      </c>
      <c r="J548" t="n">
        <v>20630.1494</v>
      </c>
      <c r="K548" t="n">
        <v>37936357.49</v>
      </c>
      <c r="L548" t="n">
        <v>56187941.98</v>
      </c>
      <c r="M548" t="n">
        <v>23190.5906</v>
      </c>
      <c r="N548" t="inlineStr">
        <is>
          <t>Provided Total Emissions</t>
        </is>
      </c>
      <c r="O548" t="b">
        <v>1</v>
      </c>
      <c r="P548" t="n">
        <v>0.045193</v>
      </c>
      <c r="Q548" t="n">
        <v>0.07120700000000001</v>
      </c>
      <c r="R548" t="n">
        <v>32665.1006</v>
      </c>
      <c r="S548" t="n">
        <v>7836.5323</v>
      </c>
      <c r="T548" t="n">
        <v>9474.51</v>
      </c>
      <c r="U548" t="n">
        <v>-15354.0583</v>
      </c>
      <c r="V548" t="n">
        <v>0.40855</v>
      </c>
      <c r="W548" t="n">
        <v>-0.662081</v>
      </c>
      <c r="X548" t="inlineStr">
        <is>
          <t>High</t>
        </is>
      </c>
      <c r="Y548" t="inlineStr">
        <is>
          <t>None</t>
        </is>
      </c>
      <c r="Z548" t="inlineStr">
        <is>
          <t>Valid</t>
        </is>
      </c>
      <c r="AA548" t="n">
        <v>2027</v>
      </c>
      <c r="AB548" t="inlineStr">
        <is>
          <t>Industry Haircut Pathway</t>
        </is>
      </c>
      <c r="AC548" t="n">
        <v>15579.0932</v>
      </c>
      <c r="AD548" t="n">
        <v>10244.8117</v>
      </c>
      <c r="AE548" t="n">
        <v>13018.6381</v>
      </c>
      <c r="AF548" t="n">
        <v>13018.6381</v>
      </c>
      <c r="AG548" t="n">
        <v>2560.4551</v>
      </c>
      <c r="AH548" t="n">
        <v>0.00034317</v>
      </c>
      <c r="AI548" t="n">
        <v>0.164352</v>
      </c>
      <c r="AJ548" t="n">
        <v>2773.8264</v>
      </c>
      <c r="AK548" t="n">
        <v>213.3713</v>
      </c>
      <c r="AL548" t="n">
        <v>124220.9592</v>
      </c>
      <c r="AM548" t="n">
        <v>39696.028</v>
      </c>
      <c r="AN548" t="n">
        <v>0.95</v>
      </c>
      <c r="AO548" t="inlineStr">
        <is>
          <t>High</t>
        </is>
      </c>
      <c r="AP548" t="inlineStr">
        <is>
          <t>On Track to Glide Path</t>
        </is>
      </c>
    </row>
    <row r="549">
      <c r="A549" t="inlineStr">
        <is>
          <t>SUP-0035</t>
        </is>
      </c>
      <c r="B549" t="inlineStr">
        <is>
          <t>Electronics Supplier 035</t>
        </is>
      </c>
      <c r="C549" t="inlineStr">
        <is>
          <t>Electronics</t>
        </is>
      </c>
      <c r="D549" t="n">
        <v>2024</v>
      </c>
      <c r="E549" t="n">
        <v>2015</v>
      </c>
      <c r="F549" t="n">
        <v>2040</v>
      </c>
      <c r="G549" t="n">
        <v>23190.5906</v>
      </c>
      <c r="H549" t="n">
        <v>2894.491</v>
      </c>
      <c r="I549" t="n">
        <v>1752.3803</v>
      </c>
      <c r="J549" t="n">
        <v>20630.1494</v>
      </c>
      <c r="K549" t="n">
        <v>37936357.49</v>
      </c>
      <c r="L549" t="n">
        <v>56187941.98</v>
      </c>
      <c r="M549" t="n">
        <v>23190.5906</v>
      </c>
      <c r="N549" t="inlineStr">
        <is>
          <t>Provided Total Emissions</t>
        </is>
      </c>
      <c r="O549" t="b">
        <v>1</v>
      </c>
      <c r="P549" t="n">
        <v>0.045193</v>
      </c>
      <c r="Q549" t="n">
        <v>0.07120700000000001</v>
      </c>
      <c r="R549" t="n">
        <v>32665.1006</v>
      </c>
      <c r="S549" t="n">
        <v>7836.5323</v>
      </c>
      <c r="T549" t="n">
        <v>9474.51</v>
      </c>
      <c r="U549" t="n">
        <v>-15354.0583</v>
      </c>
      <c r="V549" t="n">
        <v>0.40855</v>
      </c>
      <c r="W549" t="n">
        <v>-0.662081</v>
      </c>
      <c r="X549" t="inlineStr">
        <is>
          <t>High</t>
        </is>
      </c>
      <c r="Y549" t="inlineStr">
        <is>
          <t>None</t>
        </is>
      </c>
      <c r="Z549" t="inlineStr">
        <is>
          <t>Valid</t>
        </is>
      </c>
      <c r="AA549" t="n">
        <v>2028</v>
      </c>
      <c r="AB549" t="inlineStr">
        <is>
          <t>Industry Haircut Pathway</t>
        </is>
      </c>
      <c r="AC549" t="n">
        <v>15579.0932</v>
      </c>
      <c r="AD549" t="n">
        <v>10244.8117</v>
      </c>
      <c r="AE549" t="n">
        <v>12805.2668</v>
      </c>
      <c r="AF549" t="n">
        <v>12805.2668</v>
      </c>
      <c r="AG549" t="n">
        <v>2773.8264</v>
      </c>
      <c r="AH549" t="n">
        <v>0.00033755</v>
      </c>
      <c r="AI549" t="n">
        <v>0.178048</v>
      </c>
      <c r="AJ549" t="n">
        <v>2560.4551</v>
      </c>
      <c r="AK549" t="n">
        <v>213.3713</v>
      </c>
      <c r="AL549" t="n">
        <v>111415.6924</v>
      </c>
      <c r="AM549" t="n">
        <v>52501.2948</v>
      </c>
      <c r="AN549" t="n">
        <v>0.95</v>
      </c>
      <c r="AO549" t="inlineStr">
        <is>
          <t>High</t>
        </is>
      </c>
      <c r="AP549" t="inlineStr">
        <is>
          <t>On Track to Glide Path</t>
        </is>
      </c>
    </row>
    <row r="550">
      <c r="A550" t="inlineStr">
        <is>
          <t>SUP-0035</t>
        </is>
      </c>
      <c r="B550" t="inlineStr">
        <is>
          <t>Electronics Supplier 035</t>
        </is>
      </c>
      <c r="C550" t="inlineStr">
        <is>
          <t>Electronics</t>
        </is>
      </c>
      <c r="D550" t="n">
        <v>2024</v>
      </c>
      <c r="E550" t="n">
        <v>2015</v>
      </c>
      <c r="F550" t="n">
        <v>2040</v>
      </c>
      <c r="G550" t="n">
        <v>23190.5906</v>
      </c>
      <c r="H550" t="n">
        <v>2894.491</v>
      </c>
      <c r="I550" t="n">
        <v>1752.3803</v>
      </c>
      <c r="J550" t="n">
        <v>20630.1494</v>
      </c>
      <c r="K550" t="n">
        <v>37936357.49</v>
      </c>
      <c r="L550" t="n">
        <v>56187941.98</v>
      </c>
      <c r="M550" t="n">
        <v>23190.5906</v>
      </c>
      <c r="N550" t="inlineStr">
        <is>
          <t>Provided Total Emissions</t>
        </is>
      </c>
      <c r="O550" t="b">
        <v>1</v>
      </c>
      <c r="P550" t="n">
        <v>0.045193</v>
      </c>
      <c r="Q550" t="n">
        <v>0.07120700000000001</v>
      </c>
      <c r="R550" t="n">
        <v>32665.1006</v>
      </c>
      <c r="S550" t="n">
        <v>7836.5323</v>
      </c>
      <c r="T550" t="n">
        <v>9474.51</v>
      </c>
      <c r="U550" t="n">
        <v>-15354.0583</v>
      </c>
      <c r="V550" t="n">
        <v>0.40855</v>
      </c>
      <c r="W550" t="n">
        <v>-0.662081</v>
      </c>
      <c r="X550" t="inlineStr">
        <is>
          <t>High</t>
        </is>
      </c>
      <c r="Y550" t="inlineStr">
        <is>
          <t>None</t>
        </is>
      </c>
      <c r="Z550" t="inlineStr">
        <is>
          <t>Valid</t>
        </is>
      </c>
      <c r="AA550" t="n">
        <v>2029</v>
      </c>
      <c r="AB550" t="inlineStr">
        <is>
          <t>Industry Haircut Pathway</t>
        </is>
      </c>
      <c r="AC550" t="n">
        <v>15579.0932</v>
      </c>
      <c r="AD550" t="n">
        <v>10244.8117</v>
      </c>
      <c r="AE550" t="n">
        <v>12591.8956</v>
      </c>
      <c r="AF550" t="n">
        <v>12591.8956</v>
      </c>
      <c r="AG550" t="n">
        <v>2987.1976</v>
      </c>
      <c r="AH550" t="n">
        <v>0.00033192</v>
      </c>
      <c r="AI550" t="n">
        <v>0.191744</v>
      </c>
      <c r="AJ550" t="n">
        <v>2347.0839</v>
      </c>
      <c r="AK550" t="n">
        <v>213.3713</v>
      </c>
      <c r="AL550" t="n">
        <v>98823.7968</v>
      </c>
      <c r="AM550" t="n">
        <v>65093.1904</v>
      </c>
      <c r="AN550" t="n">
        <v>0.95</v>
      </c>
      <c r="AO550" t="inlineStr">
        <is>
          <t>High</t>
        </is>
      </c>
      <c r="AP550" t="inlineStr">
        <is>
          <t>On Track to Glide Path</t>
        </is>
      </c>
    </row>
    <row r="551">
      <c r="A551" t="inlineStr">
        <is>
          <t>SUP-0035</t>
        </is>
      </c>
      <c r="B551" t="inlineStr">
        <is>
          <t>Electronics Supplier 035</t>
        </is>
      </c>
      <c r="C551" t="inlineStr">
        <is>
          <t>Electronics</t>
        </is>
      </c>
      <c r="D551" t="n">
        <v>2024</v>
      </c>
      <c r="E551" t="n">
        <v>2015</v>
      </c>
      <c r="F551" t="n">
        <v>2040</v>
      </c>
      <c r="G551" t="n">
        <v>23190.5906</v>
      </c>
      <c r="H551" t="n">
        <v>2894.491</v>
      </c>
      <c r="I551" t="n">
        <v>1752.3803</v>
      </c>
      <c r="J551" t="n">
        <v>20630.1494</v>
      </c>
      <c r="K551" t="n">
        <v>37936357.49</v>
      </c>
      <c r="L551" t="n">
        <v>56187941.98</v>
      </c>
      <c r="M551" t="n">
        <v>23190.5906</v>
      </c>
      <c r="N551" t="inlineStr">
        <is>
          <t>Provided Total Emissions</t>
        </is>
      </c>
      <c r="O551" t="b">
        <v>1</v>
      </c>
      <c r="P551" t="n">
        <v>0.045193</v>
      </c>
      <c r="Q551" t="n">
        <v>0.07120700000000001</v>
      </c>
      <c r="R551" t="n">
        <v>32665.1006</v>
      </c>
      <c r="S551" t="n">
        <v>7836.5323</v>
      </c>
      <c r="T551" t="n">
        <v>9474.51</v>
      </c>
      <c r="U551" t="n">
        <v>-15354.0583</v>
      </c>
      <c r="V551" t="n">
        <v>0.40855</v>
      </c>
      <c r="W551" t="n">
        <v>-0.662081</v>
      </c>
      <c r="X551" t="inlineStr">
        <is>
          <t>High</t>
        </is>
      </c>
      <c r="Y551" t="inlineStr">
        <is>
          <t>None</t>
        </is>
      </c>
      <c r="Z551" t="inlineStr">
        <is>
          <t>Valid</t>
        </is>
      </c>
      <c r="AA551" t="n">
        <v>2030</v>
      </c>
      <c r="AB551" t="inlineStr">
        <is>
          <t>Industry Haircut Pathway</t>
        </is>
      </c>
      <c r="AC551" t="n">
        <v>15579.0932</v>
      </c>
      <c r="AD551" t="n">
        <v>10244.8117</v>
      </c>
      <c r="AE551" t="n">
        <v>12378.5243</v>
      </c>
      <c r="AF551" t="n">
        <v>12378.5243</v>
      </c>
      <c r="AG551" t="n">
        <v>3200.5689</v>
      </c>
      <c r="AH551" t="n">
        <v>0.0003263</v>
      </c>
      <c r="AI551" t="n">
        <v>0.20544</v>
      </c>
      <c r="AJ551" t="n">
        <v>2133.7126</v>
      </c>
      <c r="AK551" t="n">
        <v>213.3713</v>
      </c>
      <c r="AL551" t="n">
        <v>86445.27250000001</v>
      </c>
      <c r="AM551" t="n">
        <v>77471.7147</v>
      </c>
      <c r="AN551" t="n">
        <v>0.95</v>
      </c>
      <c r="AO551" t="inlineStr">
        <is>
          <t>High</t>
        </is>
      </c>
      <c r="AP551" t="inlineStr">
        <is>
          <t>On Track to Glide Path</t>
        </is>
      </c>
    </row>
    <row r="552">
      <c r="A552" t="inlineStr">
        <is>
          <t>SUP-0035</t>
        </is>
      </c>
      <c r="B552" t="inlineStr">
        <is>
          <t>Electronics Supplier 035</t>
        </is>
      </c>
      <c r="C552" t="inlineStr">
        <is>
          <t>Electronics</t>
        </is>
      </c>
      <c r="D552" t="n">
        <v>2024</v>
      </c>
      <c r="E552" t="n">
        <v>2015</v>
      </c>
      <c r="F552" t="n">
        <v>2040</v>
      </c>
      <c r="G552" t="n">
        <v>23190.5906</v>
      </c>
      <c r="H552" t="n">
        <v>2894.491</v>
      </c>
      <c r="I552" t="n">
        <v>1752.3803</v>
      </c>
      <c r="J552" t="n">
        <v>20630.1494</v>
      </c>
      <c r="K552" t="n">
        <v>37936357.49</v>
      </c>
      <c r="L552" t="n">
        <v>56187941.98</v>
      </c>
      <c r="M552" t="n">
        <v>23190.5906</v>
      </c>
      <c r="N552" t="inlineStr">
        <is>
          <t>Provided Total Emissions</t>
        </is>
      </c>
      <c r="O552" t="b">
        <v>1</v>
      </c>
      <c r="P552" t="n">
        <v>0.045193</v>
      </c>
      <c r="Q552" t="n">
        <v>0.07120700000000001</v>
      </c>
      <c r="R552" t="n">
        <v>32665.1006</v>
      </c>
      <c r="S552" t="n">
        <v>7836.5323</v>
      </c>
      <c r="T552" t="n">
        <v>9474.51</v>
      </c>
      <c r="U552" t="n">
        <v>-15354.0583</v>
      </c>
      <c r="V552" t="n">
        <v>0.40855</v>
      </c>
      <c r="W552" t="n">
        <v>-0.662081</v>
      </c>
      <c r="X552" t="inlineStr">
        <is>
          <t>High</t>
        </is>
      </c>
      <c r="Y552" t="inlineStr">
        <is>
          <t>None</t>
        </is>
      </c>
      <c r="Z552" t="inlineStr">
        <is>
          <t>Valid</t>
        </is>
      </c>
      <c r="AA552" t="n">
        <v>2031</v>
      </c>
      <c r="AB552" t="inlineStr">
        <is>
          <t>Industry Haircut Pathway</t>
        </is>
      </c>
      <c r="AC552" t="n">
        <v>15579.0932</v>
      </c>
      <c r="AD552" t="n">
        <v>10244.8117</v>
      </c>
      <c r="AE552" t="n">
        <v>12165.153</v>
      </c>
      <c r="AF552" t="n">
        <v>12165.153</v>
      </c>
      <c r="AG552" t="n">
        <v>3413.9402</v>
      </c>
      <c r="AH552" t="n">
        <v>0.00032067</v>
      </c>
      <c r="AI552" t="n">
        <v>0.219136</v>
      </c>
      <c r="AJ552" t="n">
        <v>1920.3413</v>
      </c>
      <c r="AK552" t="n">
        <v>213.3713</v>
      </c>
      <c r="AL552" t="n">
        <v>74280.1195</v>
      </c>
      <c r="AM552" t="n">
        <v>89636.8677</v>
      </c>
      <c r="AN552" t="n">
        <v>0.95</v>
      </c>
      <c r="AO552" t="inlineStr">
        <is>
          <t>High</t>
        </is>
      </c>
      <c r="AP552" t="inlineStr">
        <is>
          <t>On Track to Glide Path</t>
        </is>
      </c>
    </row>
    <row r="553">
      <c r="A553" t="inlineStr">
        <is>
          <t>SUP-0035</t>
        </is>
      </c>
      <c r="B553" t="inlineStr">
        <is>
          <t>Electronics Supplier 035</t>
        </is>
      </c>
      <c r="C553" t="inlineStr">
        <is>
          <t>Electronics</t>
        </is>
      </c>
      <c r="D553" t="n">
        <v>2024</v>
      </c>
      <c r="E553" t="n">
        <v>2015</v>
      </c>
      <c r="F553" t="n">
        <v>2040</v>
      </c>
      <c r="G553" t="n">
        <v>23190.5906</v>
      </c>
      <c r="H553" t="n">
        <v>2894.491</v>
      </c>
      <c r="I553" t="n">
        <v>1752.3803</v>
      </c>
      <c r="J553" t="n">
        <v>20630.1494</v>
      </c>
      <c r="K553" t="n">
        <v>37936357.49</v>
      </c>
      <c r="L553" t="n">
        <v>56187941.98</v>
      </c>
      <c r="M553" t="n">
        <v>23190.5906</v>
      </c>
      <c r="N553" t="inlineStr">
        <is>
          <t>Provided Total Emissions</t>
        </is>
      </c>
      <c r="O553" t="b">
        <v>1</v>
      </c>
      <c r="P553" t="n">
        <v>0.045193</v>
      </c>
      <c r="Q553" t="n">
        <v>0.07120700000000001</v>
      </c>
      <c r="R553" t="n">
        <v>32665.1006</v>
      </c>
      <c r="S553" t="n">
        <v>7836.5323</v>
      </c>
      <c r="T553" t="n">
        <v>9474.51</v>
      </c>
      <c r="U553" t="n">
        <v>-15354.0583</v>
      </c>
      <c r="V553" t="n">
        <v>0.40855</v>
      </c>
      <c r="W553" t="n">
        <v>-0.662081</v>
      </c>
      <c r="X553" t="inlineStr">
        <is>
          <t>High</t>
        </is>
      </c>
      <c r="Y553" t="inlineStr">
        <is>
          <t>None</t>
        </is>
      </c>
      <c r="Z553" t="inlineStr">
        <is>
          <t>Valid</t>
        </is>
      </c>
      <c r="AA553" t="n">
        <v>2032</v>
      </c>
      <c r="AB553" t="inlineStr">
        <is>
          <t>Industry Haircut Pathway</t>
        </is>
      </c>
      <c r="AC553" t="n">
        <v>15579.0932</v>
      </c>
      <c r="AD553" t="n">
        <v>10244.8117</v>
      </c>
      <c r="AE553" t="n">
        <v>11951.7818</v>
      </c>
      <c r="AF553" t="n">
        <v>11951.7818</v>
      </c>
      <c r="AG553" t="n">
        <v>3627.3114</v>
      </c>
      <c r="AH553" t="n">
        <v>0.00031505</v>
      </c>
      <c r="AI553" t="n">
        <v>0.232832</v>
      </c>
      <c r="AJ553" t="n">
        <v>1706.9701</v>
      </c>
      <c r="AK553" t="n">
        <v>213.3713</v>
      </c>
      <c r="AL553" t="n">
        <v>62328.3377</v>
      </c>
      <c r="AM553" t="n">
        <v>101588.6495</v>
      </c>
      <c r="AN553" t="n">
        <v>0.95</v>
      </c>
      <c r="AO553" t="inlineStr">
        <is>
          <t>High</t>
        </is>
      </c>
      <c r="AP553" t="inlineStr">
        <is>
          <t>On Track to Glide Path</t>
        </is>
      </c>
    </row>
    <row r="554">
      <c r="A554" t="inlineStr">
        <is>
          <t>SUP-0035</t>
        </is>
      </c>
      <c r="B554" t="inlineStr">
        <is>
          <t>Electronics Supplier 035</t>
        </is>
      </c>
      <c r="C554" t="inlineStr">
        <is>
          <t>Electronics</t>
        </is>
      </c>
      <c r="D554" t="n">
        <v>2024</v>
      </c>
      <c r="E554" t="n">
        <v>2015</v>
      </c>
      <c r="F554" t="n">
        <v>2040</v>
      </c>
      <c r="G554" t="n">
        <v>23190.5906</v>
      </c>
      <c r="H554" t="n">
        <v>2894.491</v>
      </c>
      <c r="I554" t="n">
        <v>1752.3803</v>
      </c>
      <c r="J554" t="n">
        <v>20630.1494</v>
      </c>
      <c r="K554" t="n">
        <v>37936357.49</v>
      </c>
      <c r="L554" t="n">
        <v>56187941.98</v>
      </c>
      <c r="M554" t="n">
        <v>23190.5906</v>
      </c>
      <c r="N554" t="inlineStr">
        <is>
          <t>Provided Total Emissions</t>
        </is>
      </c>
      <c r="O554" t="b">
        <v>1</v>
      </c>
      <c r="P554" t="n">
        <v>0.045193</v>
      </c>
      <c r="Q554" t="n">
        <v>0.07120700000000001</v>
      </c>
      <c r="R554" t="n">
        <v>32665.1006</v>
      </c>
      <c r="S554" t="n">
        <v>7836.5323</v>
      </c>
      <c r="T554" t="n">
        <v>9474.51</v>
      </c>
      <c r="U554" t="n">
        <v>-15354.0583</v>
      </c>
      <c r="V554" t="n">
        <v>0.40855</v>
      </c>
      <c r="W554" t="n">
        <v>-0.662081</v>
      </c>
      <c r="X554" t="inlineStr">
        <is>
          <t>High</t>
        </is>
      </c>
      <c r="Y554" t="inlineStr">
        <is>
          <t>None</t>
        </is>
      </c>
      <c r="Z554" t="inlineStr">
        <is>
          <t>Valid</t>
        </is>
      </c>
      <c r="AA554" t="n">
        <v>2033</v>
      </c>
      <c r="AB554" t="inlineStr">
        <is>
          <t>Industry Haircut Pathway</t>
        </is>
      </c>
      <c r="AC554" t="n">
        <v>15579.0932</v>
      </c>
      <c r="AD554" t="n">
        <v>10244.8117</v>
      </c>
      <c r="AE554" t="n">
        <v>11738.4105</v>
      </c>
      <c r="AF554" t="n">
        <v>11738.4105</v>
      </c>
      <c r="AG554" t="n">
        <v>3840.6827</v>
      </c>
      <c r="AH554" t="n">
        <v>0.00030942</v>
      </c>
      <c r="AI554" t="n">
        <v>0.246528</v>
      </c>
      <c r="AJ554" t="n">
        <v>1493.5988</v>
      </c>
      <c r="AK554" t="n">
        <v>213.3713</v>
      </c>
      <c r="AL554" t="n">
        <v>50589.9272</v>
      </c>
      <c r="AM554" t="n">
        <v>113327.06</v>
      </c>
      <c r="AN554" t="n">
        <v>0.95</v>
      </c>
      <c r="AO554" t="inlineStr">
        <is>
          <t>Medium</t>
        </is>
      </c>
      <c r="AP554" t="inlineStr">
        <is>
          <t>On Track to Glide Path</t>
        </is>
      </c>
    </row>
    <row r="555">
      <c r="A555" t="inlineStr">
        <is>
          <t>SUP-0035</t>
        </is>
      </c>
      <c r="B555" t="inlineStr">
        <is>
          <t>Electronics Supplier 035</t>
        </is>
      </c>
      <c r="C555" t="inlineStr">
        <is>
          <t>Electronics</t>
        </is>
      </c>
      <c r="D555" t="n">
        <v>2024</v>
      </c>
      <c r="E555" t="n">
        <v>2015</v>
      </c>
      <c r="F555" t="n">
        <v>2040</v>
      </c>
      <c r="G555" t="n">
        <v>23190.5906</v>
      </c>
      <c r="H555" t="n">
        <v>2894.491</v>
      </c>
      <c r="I555" t="n">
        <v>1752.3803</v>
      </c>
      <c r="J555" t="n">
        <v>20630.1494</v>
      </c>
      <c r="K555" t="n">
        <v>37936357.49</v>
      </c>
      <c r="L555" t="n">
        <v>56187941.98</v>
      </c>
      <c r="M555" t="n">
        <v>23190.5906</v>
      </c>
      <c r="N555" t="inlineStr">
        <is>
          <t>Provided Total Emissions</t>
        </is>
      </c>
      <c r="O555" t="b">
        <v>1</v>
      </c>
      <c r="P555" t="n">
        <v>0.045193</v>
      </c>
      <c r="Q555" t="n">
        <v>0.07120700000000001</v>
      </c>
      <c r="R555" t="n">
        <v>32665.1006</v>
      </c>
      <c r="S555" t="n">
        <v>7836.5323</v>
      </c>
      <c r="T555" t="n">
        <v>9474.51</v>
      </c>
      <c r="U555" t="n">
        <v>-15354.0583</v>
      </c>
      <c r="V555" t="n">
        <v>0.40855</v>
      </c>
      <c r="W555" t="n">
        <v>-0.662081</v>
      </c>
      <c r="X555" t="inlineStr">
        <is>
          <t>High</t>
        </is>
      </c>
      <c r="Y555" t="inlineStr">
        <is>
          <t>None</t>
        </is>
      </c>
      <c r="Z555" t="inlineStr">
        <is>
          <t>Valid</t>
        </is>
      </c>
      <c r="AA555" t="n">
        <v>2034</v>
      </c>
      <c r="AB555" t="inlineStr">
        <is>
          <t>Industry Haircut Pathway</t>
        </is>
      </c>
      <c r="AC555" t="n">
        <v>15579.0932</v>
      </c>
      <c r="AD555" t="n">
        <v>10244.8117</v>
      </c>
      <c r="AE555" t="n">
        <v>11525.0393</v>
      </c>
      <c r="AF555" t="n">
        <v>11525.0393</v>
      </c>
      <c r="AG555" t="n">
        <v>4054.0539</v>
      </c>
      <c r="AH555" t="n">
        <v>0.0003038</v>
      </c>
      <c r="AI555" t="n">
        <v>0.260224</v>
      </c>
      <c r="AJ555" t="n">
        <v>1280.2276</v>
      </c>
      <c r="AK555" t="n">
        <v>213.3713</v>
      </c>
      <c r="AL555" t="n">
        <v>39064.8879</v>
      </c>
      <c r="AM555" t="n">
        <v>124852.0993</v>
      </c>
      <c r="AN555" t="n">
        <v>0.95</v>
      </c>
      <c r="AO555" t="inlineStr">
        <is>
          <t>Medium</t>
        </is>
      </c>
      <c r="AP555" t="inlineStr">
        <is>
          <t>On Track to Glide Path</t>
        </is>
      </c>
    </row>
    <row r="556">
      <c r="A556" t="inlineStr">
        <is>
          <t>SUP-0035</t>
        </is>
      </c>
      <c r="B556" t="inlineStr">
        <is>
          <t>Electronics Supplier 035</t>
        </is>
      </c>
      <c r="C556" t="inlineStr">
        <is>
          <t>Electronics</t>
        </is>
      </c>
      <c r="D556" t="n">
        <v>2024</v>
      </c>
      <c r="E556" t="n">
        <v>2015</v>
      </c>
      <c r="F556" t="n">
        <v>2040</v>
      </c>
      <c r="G556" t="n">
        <v>23190.5906</v>
      </c>
      <c r="H556" t="n">
        <v>2894.491</v>
      </c>
      <c r="I556" t="n">
        <v>1752.3803</v>
      </c>
      <c r="J556" t="n">
        <v>20630.1494</v>
      </c>
      <c r="K556" t="n">
        <v>37936357.49</v>
      </c>
      <c r="L556" t="n">
        <v>56187941.98</v>
      </c>
      <c r="M556" t="n">
        <v>23190.5906</v>
      </c>
      <c r="N556" t="inlineStr">
        <is>
          <t>Provided Total Emissions</t>
        </is>
      </c>
      <c r="O556" t="b">
        <v>1</v>
      </c>
      <c r="P556" t="n">
        <v>0.045193</v>
      </c>
      <c r="Q556" t="n">
        <v>0.07120700000000001</v>
      </c>
      <c r="R556" t="n">
        <v>32665.1006</v>
      </c>
      <c r="S556" t="n">
        <v>7836.5323</v>
      </c>
      <c r="T556" t="n">
        <v>9474.51</v>
      </c>
      <c r="U556" t="n">
        <v>-15354.0583</v>
      </c>
      <c r="V556" t="n">
        <v>0.40855</v>
      </c>
      <c r="W556" t="n">
        <v>-0.662081</v>
      </c>
      <c r="X556" t="inlineStr">
        <is>
          <t>High</t>
        </is>
      </c>
      <c r="Y556" t="inlineStr">
        <is>
          <t>None</t>
        </is>
      </c>
      <c r="Z556" t="inlineStr">
        <is>
          <t>Valid</t>
        </is>
      </c>
      <c r="AA556" t="n">
        <v>2035</v>
      </c>
      <c r="AB556" t="inlineStr">
        <is>
          <t>Industry Haircut Pathway</t>
        </is>
      </c>
      <c r="AC556" t="n">
        <v>15579.0932</v>
      </c>
      <c r="AD556" t="n">
        <v>10244.8117</v>
      </c>
      <c r="AE556" t="n">
        <v>11311.668</v>
      </c>
      <c r="AF556" t="n">
        <v>11311.668</v>
      </c>
      <c r="AG556" t="n">
        <v>4267.4252</v>
      </c>
      <c r="AH556" t="n">
        <v>0.00029817</v>
      </c>
      <c r="AI556" t="n">
        <v>0.27392</v>
      </c>
      <c r="AJ556" t="n">
        <v>1066.8563</v>
      </c>
      <c r="AK556" t="n">
        <v>213.3713</v>
      </c>
      <c r="AL556" t="n">
        <v>27753.2199</v>
      </c>
      <c r="AM556" t="n">
        <v>136163.7673</v>
      </c>
      <c r="AN556" t="n">
        <v>0.95</v>
      </c>
      <c r="AO556" t="inlineStr">
        <is>
          <t>Medium</t>
        </is>
      </c>
      <c r="AP556" t="inlineStr">
        <is>
          <t>On Track to Glide Path</t>
        </is>
      </c>
    </row>
    <row r="557">
      <c r="A557" t="inlineStr">
        <is>
          <t>SUP-0035</t>
        </is>
      </c>
      <c r="B557" t="inlineStr">
        <is>
          <t>Electronics Supplier 035</t>
        </is>
      </c>
      <c r="C557" t="inlineStr">
        <is>
          <t>Electronics</t>
        </is>
      </c>
      <c r="D557" t="n">
        <v>2024</v>
      </c>
      <c r="E557" t="n">
        <v>2015</v>
      </c>
      <c r="F557" t="n">
        <v>2040</v>
      </c>
      <c r="G557" t="n">
        <v>23190.5906</v>
      </c>
      <c r="H557" t="n">
        <v>2894.491</v>
      </c>
      <c r="I557" t="n">
        <v>1752.3803</v>
      </c>
      <c r="J557" t="n">
        <v>20630.1494</v>
      </c>
      <c r="K557" t="n">
        <v>37936357.49</v>
      </c>
      <c r="L557" t="n">
        <v>56187941.98</v>
      </c>
      <c r="M557" t="n">
        <v>23190.5906</v>
      </c>
      <c r="N557" t="inlineStr">
        <is>
          <t>Provided Total Emissions</t>
        </is>
      </c>
      <c r="O557" t="b">
        <v>1</v>
      </c>
      <c r="P557" t="n">
        <v>0.045193</v>
      </c>
      <c r="Q557" t="n">
        <v>0.07120700000000001</v>
      </c>
      <c r="R557" t="n">
        <v>32665.1006</v>
      </c>
      <c r="S557" t="n">
        <v>7836.5323</v>
      </c>
      <c r="T557" t="n">
        <v>9474.51</v>
      </c>
      <c r="U557" t="n">
        <v>-15354.0583</v>
      </c>
      <c r="V557" t="n">
        <v>0.40855</v>
      </c>
      <c r="W557" t="n">
        <v>-0.662081</v>
      </c>
      <c r="X557" t="inlineStr">
        <is>
          <t>High</t>
        </is>
      </c>
      <c r="Y557" t="inlineStr">
        <is>
          <t>None</t>
        </is>
      </c>
      <c r="Z557" t="inlineStr">
        <is>
          <t>Valid</t>
        </is>
      </c>
      <c r="AA557" t="n">
        <v>2036</v>
      </c>
      <c r="AB557" t="inlineStr">
        <is>
          <t>Industry Haircut Pathway</t>
        </is>
      </c>
      <c r="AC557" t="n">
        <v>15579.0932</v>
      </c>
      <c r="AD557" t="n">
        <v>10244.8117</v>
      </c>
      <c r="AE557" t="n">
        <v>11098.2967</v>
      </c>
      <c r="AF557" t="n">
        <v>11098.2967</v>
      </c>
      <c r="AG557" t="n">
        <v>4480.7965</v>
      </c>
      <c r="AH557" t="n">
        <v>0.00029255</v>
      </c>
      <c r="AI557" t="n">
        <v>0.287616</v>
      </c>
      <c r="AJ557" t="n">
        <v>853.485</v>
      </c>
      <c r="AK557" t="n">
        <v>213.3713</v>
      </c>
      <c r="AL557" t="n">
        <v>16654.9232</v>
      </c>
      <c r="AM557" t="n">
        <v>147262.064</v>
      </c>
      <c r="AN557" t="n">
        <v>0.95</v>
      </c>
      <c r="AO557" t="inlineStr">
        <is>
          <t>Medium</t>
        </is>
      </c>
      <c r="AP557" t="inlineStr">
        <is>
          <t>On Track to Glide Path</t>
        </is>
      </c>
    </row>
    <row r="558">
      <c r="A558" t="inlineStr">
        <is>
          <t>SUP-0035</t>
        </is>
      </c>
      <c r="B558" t="inlineStr">
        <is>
          <t>Electronics Supplier 035</t>
        </is>
      </c>
      <c r="C558" t="inlineStr">
        <is>
          <t>Electronics</t>
        </is>
      </c>
      <c r="D558" t="n">
        <v>2024</v>
      </c>
      <c r="E558" t="n">
        <v>2015</v>
      </c>
      <c r="F558" t="n">
        <v>2040</v>
      </c>
      <c r="G558" t="n">
        <v>23190.5906</v>
      </c>
      <c r="H558" t="n">
        <v>2894.491</v>
      </c>
      <c r="I558" t="n">
        <v>1752.3803</v>
      </c>
      <c r="J558" t="n">
        <v>20630.1494</v>
      </c>
      <c r="K558" t="n">
        <v>37936357.49</v>
      </c>
      <c r="L558" t="n">
        <v>56187941.98</v>
      </c>
      <c r="M558" t="n">
        <v>23190.5906</v>
      </c>
      <c r="N558" t="inlineStr">
        <is>
          <t>Provided Total Emissions</t>
        </is>
      </c>
      <c r="O558" t="b">
        <v>1</v>
      </c>
      <c r="P558" t="n">
        <v>0.045193</v>
      </c>
      <c r="Q558" t="n">
        <v>0.07120700000000001</v>
      </c>
      <c r="R558" t="n">
        <v>32665.1006</v>
      </c>
      <c r="S558" t="n">
        <v>7836.5323</v>
      </c>
      <c r="T558" t="n">
        <v>9474.51</v>
      </c>
      <c r="U558" t="n">
        <v>-15354.0583</v>
      </c>
      <c r="V558" t="n">
        <v>0.40855</v>
      </c>
      <c r="W558" t="n">
        <v>-0.662081</v>
      </c>
      <c r="X558" t="inlineStr">
        <is>
          <t>High</t>
        </is>
      </c>
      <c r="Y558" t="inlineStr">
        <is>
          <t>None</t>
        </is>
      </c>
      <c r="Z558" t="inlineStr">
        <is>
          <t>Valid</t>
        </is>
      </c>
      <c r="AA558" t="n">
        <v>2037</v>
      </c>
      <c r="AB558" t="inlineStr">
        <is>
          <t>Industry Haircut Pathway</t>
        </is>
      </c>
      <c r="AC558" t="n">
        <v>15579.0932</v>
      </c>
      <c r="AD558" t="n">
        <v>10244.8117</v>
      </c>
      <c r="AE558" t="n">
        <v>10884.9255</v>
      </c>
      <c r="AF558" t="n">
        <v>10884.9255</v>
      </c>
      <c r="AG558" t="n">
        <v>4694.1677</v>
      </c>
      <c r="AH558" t="n">
        <v>0.00028693</v>
      </c>
      <c r="AI558" t="n">
        <v>0.301312</v>
      </c>
      <c r="AJ558" t="n">
        <v>640.1138</v>
      </c>
      <c r="AK558" t="n">
        <v>213.3713</v>
      </c>
      <c r="AL558" t="n">
        <v>5769.9977</v>
      </c>
      <c r="AM558" t="n">
        <v>158146.9895</v>
      </c>
      <c r="AN558" t="n">
        <v>0.95</v>
      </c>
      <c r="AO558" t="inlineStr">
        <is>
          <t>Medium</t>
        </is>
      </c>
      <c r="AP558" t="inlineStr">
        <is>
          <t>On Track to Glide Path</t>
        </is>
      </c>
    </row>
    <row r="559">
      <c r="A559" t="inlineStr">
        <is>
          <t>SUP-0035</t>
        </is>
      </c>
      <c r="B559" t="inlineStr">
        <is>
          <t>Electronics Supplier 035</t>
        </is>
      </c>
      <c r="C559" t="inlineStr">
        <is>
          <t>Electronics</t>
        </is>
      </c>
      <c r="D559" t="n">
        <v>2024</v>
      </c>
      <c r="E559" t="n">
        <v>2015</v>
      </c>
      <c r="F559" t="n">
        <v>2040</v>
      </c>
      <c r="G559" t="n">
        <v>23190.5906</v>
      </c>
      <c r="H559" t="n">
        <v>2894.491</v>
      </c>
      <c r="I559" t="n">
        <v>1752.3803</v>
      </c>
      <c r="J559" t="n">
        <v>20630.1494</v>
      </c>
      <c r="K559" t="n">
        <v>37936357.49</v>
      </c>
      <c r="L559" t="n">
        <v>56187941.98</v>
      </c>
      <c r="M559" t="n">
        <v>23190.5906</v>
      </c>
      <c r="N559" t="inlineStr">
        <is>
          <t>Provided Total Emissions</t>
        </is>
      </c>
      <c r="O559" t="b">
        <v>1</v>
      </c>
      <c r="P559" t="n">
        <v>0.045193</v>
      </c>
      <c r="Q559" t="n">
        <v>0.07120700000000001</v>
      </c>
      <c r="R559" t="n">
        <v>32665.1006</v>
      </c>
      <c r="S559" t="n">
        <v>7836.5323</v>
      </c>
      <c r="T559" t="n">
        <v>9474.51</v>
      </c>
      <c r="U559" t="n">
        <v>-15354.0583</v>
      </c>
      <c r="V559" t="n">
        <v>0.40855</v>
      </c>
      <c r="W559" t="n">
        <v>-0.662081</v>
      </c>
      <c r="X559" t="inlineStr">
        <is>
          <t>High</t>
        </is>
      </c>
      <c r="Y559" t="inlineStr">
        <is>
          <t>None</t>
        </is>
      </c>
      <c r="Z559" t="inlineStr">
        <is>
          <t>Valid</t>
        </is>
      </c>
      <c r="AA559" t="n">
        <v>2038</v>
      </c>
      <c r="AB559" t="inlineStr">
        <is>
          <t>Industry Haircut Pathway</t>
        </is>
      </c>
      <c r="AC559" t="n">
        <v>15579.0932</v>
      </c>
      <c r="AD559" t="n">
        <v>10244.8117</v>
      </c>
      <c r="AE559" t="n">
        <v>10671.5542</v>
      </c>
      <c r="AF559" t="n">
        <v>10671.5542</v>
      </c>
      <c r="AG559" t="n">
        <v>4907.539</v>
      </c>
      <c r="AH559" t="n">
        <v>0.0002813</v>
      </c>
      <c r="AI559" t="n">
        <v>0.315008</v>
      </c>
      <c r="AJ559" t="n">
        <v>426.7425</v>
      </c>
      <c r="AK559" t="n">
        <v>213.3713</v>
      </c>
      <c r="AL559" t="n">
        <v>-4901.5565</v>
      </c>
      <c r="AM559" t="n">
        <v>168818.5437</v>
      </c>
      <c r="AN559" t="n">
        <v>0.95</v>
      </c>
      <c r="AO559" t="inlineStr">
        <is>
          <t>Medium</t>
        </is>
      </c>
      <c r="AP559" t="inlineStr">
        <is>
          <t>On Track to Glide Path</t>
        </is>
      </c>
    </row>
    <row r="560">
      <c r="A560" t="inlineStr">
        <is>
          <t>SUP-0035</t>
        </is>
      </c>
      <c r="B560" t="inlineStr">
        <is>
          <t>Electronics Supplier 035</t>
        </is>
      </c>
      <c r="C560" t="inlineStr">
        <is>
          <t>Electronics</t>
        </is>
      </c>
      <c r="D560" t="n">
        <v>2024</v>
      </c>
      <c r="E560" t="n">
        <v>2015</v>
      </c>
      <c r="F560" t="n">
        <v>2040</v>
      </c>
      <c r="G560" t="n">
        <v>23190.5906</v>
      </c>
      <c r="H560" t="n">
        <v>2894.491</v>
      </c>
      <c r="I560" t="n">
        <v>1752.3803</v>
      </c>
      <c r="J560" t="n">
        <v>20630.1494</v>
      </c>
      <c r="K560" t="n">
        <v>37936357.49</v>
      </c>
      <c r="L560" t="n">
        <v>56187941.98</v>
      </c>
      <c r="M560" t="n">
        <v>23190.5906</v>
      </c>
      <c r="N560" t="inlineStr">
        <is>
          <t>Provided Total Emissions</t>
        </is>
      </c>
      <c r="O560" t="b">
        <v>1</v>
      </c>
      <c r="P560" t="n">
        <v>0.045193</v>
      </c>
      <c r="Q560" t="n">
        <v>0.07120700000000001</v>
      </c>
      <c r="R560" t="n">
        <v>32665.1006</v>
      </c>
      <c r="S560" t="n">
        <v>7836.5323</v>
      </c>
      <c r="T560" t="n">
        <v>9474.51</v>
      </c>
      <c r="U560" t="n">
        <v>-15354.0583</v>
      </c>
      <c r="V560" t="n">
        <v>0.40855</v>
      </c>
      <c r="W560" t="n">
        <v>-0.662081</v>
      </c>
      <c r="X560" t="inlineStr">
        <is>
          <t>High</t>
        </is>
      </c>
      <c r="Y560" t="inlineStr">
        <is>
          <t>None</t>
        </is>
      </c>
      <c r="Z560" t="inlineStr">
        <is>
          <t>Valid</t>
        </is>
      </c>
      <c r="AA560" t="n">
        <v>2039</v>
      </c>
      <c r="AB560" t="inlineStr">
        <is>
          <t>Industry Haircut Pathway</t>
        </is>
      </c>
      <c r="AC560" t="n">
        <v>15579.0932</v>
      </c>
      <c r="AD560" t="n">
        <v>10244.8117</v>
      </c>
      <c r="AE560" t="n">
        <v>10458.1829</v>
      </c>
      <c r="AF560" t="n">
        <v>10458.1829</v>
      </c>
      <c r="AG560" t="n">
        <v>5120.9103</v>
      </c>
      <c r="AH560" t="n">
        <v>0.00027568</v>
      </c>
      <c r="AI560" t="n">
        <v>0.328704</v>
      </c>
      <c r="AJ560" t="n">
        <v>213.3713</v>
      </c>
      <c r="AK560" t="n">
        <v>213.3713</v>
      </c>
      <c r="AL560" t="n">
        <v>-15359.7394</v>
      </c>
      <c r="AM560" t="n">
        <v>179276.7266</v>
      </c>
      <c r="AN560" t="n">
        <v>0.95</v>
      </c>
      <c r="AO560" t="inlineStr">
        <is>
          <t>Medium</t>
        </is>
      </c>
      <c r="AP560" t="inlineStr">
        <is>
          <t>On Track to Glide Path</t>
        </is>
      </c>
    </row>
    <row r="561">
      <c r="A561" t="inlineStr">
        <is>
          <t>SUP-0035</t>
        </is>
      </c>
      <c r="B561" t="inlineStr">
        <is>
          <t>Electronics Supplier 035</t>
        </is>
      </c>
      <c r="C561" t="inlineStr">
        <is>
          <t>Electronics</t>
        </is>
      </c>
      <c r="D561" t="n">
        <v>2024</v>
      </c>
      <c r="E561" t="n">
        <v>2015</v>
      </c>
      <c r="F561" t="n">
        <v>2040</v>
      </c>
      <c r="G561" t="n">
        <v>23190.5906</v>
      </c>
      <c r="H561" t="n">
        <v>2894.491</v>
      </c>
      <c r="I561" t="n">
        <v>1752.3803</v>
      </c>
      <c r="J561" t="n">
        <v>20630.1494</v>
      </c>
      <c r="K561" t="n">
        <v>37936357.49</v>
      </c>
      <c r="L561" t="n">
        <v>56187941.98</v>
      </c>
      <c r="M561" t="n">
        <v>23190.5906</v>
      </c>
      <c r="N561" t="inlineStr">
        <is>
          <t>Provided Total Emissions</t>
        </is>
      </c>
      <c r="O561" t="b">
        <v>1</v>
      </c>
      <c r="P561" t="n">
        <v>0.045193</v>
      </c>
      <c r="Q561" t="n">
        <v>0.07120700000000001</v>
      </c>
      <c r="R561" t="n">
        <v>32665.1006</v>
      </c>
      <c r="S561" t="n">
        <v>7836.5323</v>
      </c>
      <c r="T561" t="n">
        <v>9474.51</v>
      </c>
      <c r="U561" t="n">
        <v>-15354.0583</v>
      </c>
      <c r="V561" t="n">
        <v>0.40855</v>
      </c>
      <c r="W561" t="n">
        <v>-0.662081</v>
      </c>
      <c r="X561" t="inlineStr">
        <is>
          <t>High</t>
        </is>
      </c>
      <c r="Y561" t="inlineStr">
        <is>
          <t>None</t>
        </is>
      </c>
      <c r="Z561" t="inlineStr">
        <is>
          <t>Valid</t>
        </is>
      </c>
      <c r="AA561" t="n">
        <v>2040</v>
      </c>
      <c r="AB561" t="inlineStr">
        <is>
          <t>Industry Haircut Pathway</t>
        </is>
      </c>
      <c r="AC561" t="n">
        <v>15579.0932</v>
      </c>
      <c r="AD561" t="n">
        <v>10244.8117</v>
      </c>
      <c r="AE561" t="n">
        <v>10244.8117</v>
      </c>
      <c r="AF561" t="n">
        <v>10244.8117</v>
      </c>
      <c r="AG561" t="n">
        <v>5334.2815</v>
      </c>
      <c r="AH561" t="n">
        <v>0.00027005</v>
      </c>
      <c r="AI561" t="n">
        <v>0.3424</v>
      </c>
      <c r="AJ561" t="n">
        <v>0</v>
      </c>
      <c r="AK561" t="n">
        <v>213.3713</v>
      </c>
      <c r="AL561" t="n">
        <v>-25604.5511</v>
      </c>
      <c r="AM561" t="n">
        <v>189521.5383</v>
      </c>
      <c r="AN561" t="n">
        <v>0.95</v>
      </c>
      <c r="AO561" t="inlineStr">
        <is>
          <t>Low</t>
        </is>
      </c>
      <c r="AP561" t="inlineStr">
        <is>
          <t>On Track</t>
        </is>
      </c>
    </row>
    <row r="562">
      <c r="A562" t="inlineStr">
        <is>
          <t>SUP-0036</t>
        </is>
      </c>
      <c r="B562" t="inlineStr">
        <is>
          <t>Metals Supplier 036</t>
        </is>
      </c>
      <c r="C562" t="inlineStr">
        <is>
          <t>Metals</t>
        </is>
      </c>
      <c r="D562" t="n">
        <v>2024</v>
      </c>
      <c r="E562" t="n">
        <v>2015</v>
      </c>
      <c r="F562" t="n">
        <v>2030</v>
      </c>
      <c r="G562" t="n">
        <v>38687.7856</v>
      </c>
      <c r="H562" t="n">
        <v>7578.5332</v>
      </c>
      <c r="I562" t="n">
        <v>2713.8883</v>
      </c>
      <c r="J562" t="n">
        <v>28678.0905</v>
      </c>
      <c r="K562" t="n">
        <v>39253784.89</v>
      </c>
      <c r="L562" t="n">
        <v>132900679.86</v>
      </c>
      <c r="M562" t="n">
        <v>38687.7856</v>
      </c>
      <c r="N562" t="inlineStr">
        <is>
          <t>Provided Total Emissions</t>
        </is>
      </c>
      <c r="O562" t="b">
        <v>1</v>
      </c>
      <c r="P562" t="n">
        <v>0.04888</v>
      </c>
      <c r="Q562" t="n">
        <v>0.054403</v>
      </c>
      <c r="R562" t="n">
        <v>39526.5987</v>
      </c>
      <c r="S562" t="n">
        <v>86396.07399999999</v>
      </c>
      <c r="T562" t="n">
        <v>838.8131</v>
      </c>
      <c r="U562" t="n">
        <v>47708.2884</v>
      </c>
      <c r="V562" t="n">
        <v>0.021682</v>
      </c>
      <c r="W562" t="n">
        <v>1.233162</v>
      </c>
      <c r="X562" t="inlineStr">
        <is>
          <t>High</t>
        </is>
      </c>
      <c r="Y562" t="inlineStr">
        <is>
          <t>None</t>
        </is>
      </c>
      <c r="Z562" t="inlineStr">
        <is>
          <t>Valid</t>
        </is>
      </c>
      <c r="AA562" t="n">
        <v>2025</v>
      </c>
      <c r="AB562" t="inlineStr">
        <is>
          <t>Industry Haircut Pathway</t>
        </is>
      </c>
      <c r="AC562" t="n">
        <v>25179.2865</v>
      </c>
      <c r="AD562" t="n">
        <v>15480.2253</v>
      </c>
      <c r="AE562" t="n">
        <v>18713.2457</v>
      </c>
      <c r="AF562" t="n">
        <v>18713.2457</v>
      </c>
      <c r="AG562" t="n">
        <v>6466.0408</v>
      </c>
      <c r="AH562" t="n">
        <v>0.00047672</v>
      </c>
      <c r="AI562" t="n">
        <v>0.2568</v>
      </c>
      <c r="AJ562" t="n">
        <v>3233.0204</v>
      </c>
      <c r="AK562" t="n">
        <v>646.6041</v>
      </c>
      <c r="AL562" t="n">
        <v>74168.1061</v>
      </c>
      <c r="AM562" t="n">
        <v>18713.2457</v>
      </c>
      <c r="AN562" t="n">
        <v>0.95</v>
      </c>
      <c r="AO562" t="inlineStr">
        <is>
          <t>High</t>
        </is>
      </c>
      <c r="AP562" t="inlineStr">
        <is>
          <t>On Track to Glide Path</t>
        </is>
      </c>
    </row>
    <row r="563">
      <c r="A563" t="inlineStr">
        <is>
          <t>SUP-0036</t>
        </is>
      </c>
      <c r="B563" t="inlineStr">
        <is>
          <t>Metals Supplier 036</t>
        </is>
      </c>
      <c r="C563" t="inlineStr">
        <is>
          <t>Metals</t>
        </is>
      </c>
      <c r="D563" t="n">
        <v>2024</v>
      </c>
      <c r="E563" t="n">
        <v>2015</v>
      </c>
      <c r="F563" t="n">
        <v>2030</v>
      </c>
      <c r="G563" t="n">
        <v>38687.7856</v>
      </c>
      <c r="H563" t="n">
        <v>7578.5332</v>
      </c>
      <c r="I563" t="n">
        <v>2713.8883</v>
      </c>
      <c r="J563" t="n">
        <v>28678.0905</v>
      </c>
      <c r="K563" t="n">
        <v>39253784.89</v>
      </c>
      <c r="L563" t="n">
        <v>132900679.86</v>
      </c>
      <c r="M563" t="n">
        <v>38687.7856</v>
      </c>
      <c r="N563" t="inlineStr">
        <is>
          <t>Provided Total Emissions</t>
        </is>
      </c>
      <c r="O563" t="b">
        <v>1</v>
      </c>
      <c r="P563" t="n">
        <v>0.04888</v>
      </c>
      <c r="Q563" t="n">
        <v>0.054403</v>
      </c>
      <c r="R563" t="n">
        <v>39526.5987</v>
      </c>
      <c r="S563" t="n">
        <v>86396.07399999999</v>
      </c>
      <c r="T563" t="n">
        <v>838.8131</v>
      </c>
      <c r="U563" t="n">
        <v>47708.2884</v>
      </c>
      <c r="V563" t="n">
        <v>0.021682</v>
      </c>
      <c r="W563" t="n">
        <v>1.233162</v>
      </c>
      <c r="X563" t="inlineStr">
        <is>
          <t>High</t>
        </is>
      </c>
      <c r="Y563" t="inlineStr">
        <is>
          <t>None</t>
        </is>
      </c>
      <c r="Z563" t="inlineStr">
        <is>
          <t>Valid</t>
        </is>
      </c>
      <c r="AA563" t="n">
        <v>2026</v>
      </c>
      <c r="AB563" t="inlineStr">
        <is>
          <t>Industry Haircut Pathway</t>
        </is>
      </c>
      <c r="AC563" t="n">
        <v>25179.2865</v>
      </c>
      <c r="AD563" t="n">
        <v>15480.2253</v>
      </c>
      <c r="AE563" t="n">
        <v>18066.6416</v>
      </c>
      <c r="AF563" t="n">
        <v>18066.6416</v>
      </c>
      <c r="AG563" t="n">
        <v>7112.6449</v>
      </c>
      <c r="AH563" t="n">
        <v>0.00046025</v>
      </c>
      <c r="AI563" t="n">
        <v>0.28248</v>
      </c>
      <c r="AJ563" t="n">
        <v>2586.4163</v>
      </c>
      <c r="AK563" t="n">
        <v>646.6041</v>
      </c>
      <c r="AL563" t="n">
        <v>56101.4645</v>
      </c>
      <c r="AM563" t="n">
        <v>36779.8873</v>
      </c>
      <c r="AN563" t="n">
        <v>0.95</v>
      </c>
      <c r="AO563" t="inlineStr">
        <is>
          <t>High</t>
        </is>
      </c>
      <c r="AP563" t="inlineStr">
        <is>
          <t>On Track to Glide Path</t>
        </is>
      </c>
    </row>
    <row r="564">
      <c r="A564" t="inlineStr">
        <is>
          <t>SUP-0036</t>
        </is>
      </c>
      <c r="B564" t="inlineStr">
        <is>
          <t>Metals Supplier 036</t>
        </is>
      </c>
      <c r="C564" t="inlineStr">
        <is>
          <t>Metals</t>
        </is>
      </c>
      <c r="D564" t="n">
        <v>2024</v>
      </c>
      <c r="E564" t="n">
        <v>2015</v>
      </c>
      <c r="F564" t="n">
        <v>2030</v>
      </c>
      <c r="G564" t="n">
        <v>38687.7856</v>
      </c>
      <c r="H564" t="n">
        <v>7578.5332</v>
      </c>
      <c r="I564" t="n">
        <v>2713.8883</v>
      </c>
      <c r="J564" t="n">
        <v>28678.0905</v>
      </c>
      <c r="K564" t="n">
        <v>39253784.89</v>
      </c>
      <c r="L564" t="n">
        <v>132900679.86</v>
      </c>
      <c r="M564" t="n">
        <v>38687.7856</v>
      </c>
      <c r="N564" t="inlineStr">
        <is>
          <t>Provided Total Emissions</t>
        </is>
      </c>
      <c r="O564" t="b">
        <v>1</v>
      </c>
      <c r="P564" t="n">
        <v>0.04888</v>
      </c>
      <c r="Q564" t="n">
        <v>0.054403</v>
      </c>
      <c r="R564" t="n">
        <v>39526.5987</v>
      </c>
      <c r="S564" t="n">
        <v>86396.07399999999</v>
      </c>
      <c r="T564" t="n">
        <v>838.8131</v>
      </c>
      <c r="U564" t="n">
        <v>47708.2884</v>
      </c>
      <c r="V564" t="n">
        <v>0.021682</v>
      </c>
      <c r="W564" t="n">
        <v>1.233162</v>
      </c>
      <c r="X564" t="inlineStr">
        <is>
          <t>High</t>
        </is>
      </c>
      <c r="Y564" t="inlineStr">
        <is>
          <t>None</t>
        </is>
      </c>
      <c r="Z564" t="inlineStr">
        <is>
          <t>Valid</t>
        </is>
      </c>
      <c r="AA564" t="n">
        <v>2027</v>
      </c>
      <c r="AB564" t="inlineStr">
        <is>
          <t>Industry Haircut Pathway</t>
        </is>
      </c>
      <c r="AC564" t="n">
        <v>25179.2865</v>
      </c>
      <c r="AD564" t="n">
        <v>15480.2253</v>
      </c>
      <c r="AE564" t="n">
        <v>17420.0376</v>
      </c>
      <c r="AF564" t="n">
        <v>17420.0376</v>
      </c>
      <c r="AG564" t="n">
        <v>7759.2489</v>
      </c>
      <c r="AH564" t="n">
        <v>0.00044378</v>
      </c>
      <c r="AI564" t="n">
        <v>0.30816</v>
      </c>
      <c r="AJ564" t="n">
        <v>1939.8122</v>
      </c>
      <c r="AK564" t="n">
        <v>646.6041</v>
      </c>
      <c r="AL564" t="n">
        <v>38681.4269</v>
      </c>
      <c r="AM564" t="n">
        <v>54199.9249</v>
      </c>
      <c r="AN564" t="n">
        <v>0.95</v>
      </c>
      <c r="AO564" t="inlineStr">
        <is>
          <t>Medium</t>
        </is>
      </c>
      <c r="AP564" t="inlineStr">
        <is>
          <t>On Track to Glide Path</t>
        </is>
      </c>
    </row>
    <row r="565">
      <c r="A565" t="inlineStr">
        <is>
          <t>SUP-0036</t>
        </is>
      </c>
      <c r="B565" t="inlineStr">
        <is>
          <t>Metals Supplier 036</t>
        </is>
      </c>
      <c r="C565" t="inlineStr">
        <is>
          <t>Metals</t>
        </is>
      </c>
      <c r="D565" t="n">
        <v>2024</v>
      </c>
      <c r="E565" t="n">
        <v>2015</v>
      </c>
      <c r="F565" t="n">
        <v>2030</v>
      </c>
      <c r="G565" t="n">
        <v>38687.7856</v>
      </c>
      <c r="H565" t="n">
        <v>7578.5332</v>
      </c>
      <c r="I565" t="n">
        <v>2713.8883</v>
      </c>
      <c r="J565" t="n">
        <v>28678.0905</v>
      </c>
      <c r="K565" t="n">
        <v>39253784.89</v>
      </c>
      <c r="L565" t="n">
        <v>132900679.86</v>
      </c>
      <c r="M565" t="n">
        <v>38687.7856</v>
      </c>
      <c r="N565" t="inlineStr">
        <is>
          <t>Provided Total Emissions</t>
        </is>
      </c>
      <c r="O565" t="b">
        <v>1</v>
      </c>
      <c r="P565" t="n">
        <v>0.04888</v>
      </c>
      <c r="Q565" t="n">
        <v>0.054403</v>
      </c>
      <c r="R565" t="n">
        <v>39526.5987</v>
      </c>
      <c r="S565" t="n">
        <v>86396.07399999999</v>
      </c>
      <c r="T565" t="n">
        <v>838.8131</v>
      </c>
      <c r="U565" t="n">
        <v>47708.2884</v>
      </c>
      <c r="V565" t="n">
        <v>0.021682</v>
      </c>
      <c r="W565" t="n">
        <v>1.233162</v>
      </c>
      <c r="X565" t="inlineStr">
        <is>
          <t>High</t>
        </is>
      </c>
      <c r="Y565" t="inlineStr">
        <is>
          <t>None</t>
        </is>
      </c>
      <c r="Z565" t="inlineStr">
        <is>
          <t>Valid</t>
        </is>
      </c>
      <c r="AA565" t="n">
        <v>2028</v>
      </c>
      <c r="AB565" t="inlineStr">
        <is>
          <t>Industry Haircut Pathway</t>
        </is>
      </c>
      <c r="AC565" t="n">
        <v>25179.2865</v>
      </c>
      <c r="AD565" t="n">
        <v>15480.2253</v>
      </c>
      <c r="AE565" t="n">
        <v>16773.4335</v>
      </c>
      <c r="AF565" t="n">
        <v>16773.4335</v>
      </c>
      <c r="AG565" t="n">
        <v>8405.852999999999</v>
      </c>
      <c r="AH565" t="n">
        <v>0.00042731</v>
      </c>
      <c r="AI565" t="n">
        <v>0.33384</v>
      </c>
      <c r="AJ565" t="n">
        <v>1293.2082</v>
      </c>
      <c r="AK565" t="n">
        <v>646.6041</v>
      </c>
      <c r="AL565" t="n">
        <v>21907.9934</v>
      </c>
      <c r="AM565" t="n">
        <v>70973.3584</v>
      </c>
      <c r="AN565" t="n">
        <v>0.95</v>
      </c>
      <c r="AO565" t="inlineStr">
        <is>
          <t>Medium</t>
        </is>
      </c>
      <c r="AP565" t="inlineStr">
        <is>
          <t>On Track to Glide Path</t>
        </is>
      </c>
    </row>
    <row r="566">
      <c r="A566" t="inlineStr">
        <is>
          <t>SUP-0036</t>
        </is>
      </c>
      <c r="B566" t="inlineStr">
        <is>
          <t>Metals Supplier 036</t>
        </is>
      </c>
      <c r="C566" t="inlineStr">
        <is>
          <t>Metals</t>
        </is>
      </c>
      <c r="D566" t="n">
        <v>2024</v>
      </c>
      <c r="E566" t="n">
        <v>2015</v>
      </c>
      <c r="F566" t="n">
        <v>2030</v>
      </c>
      <c r="G566" t="n">
        <v>38687.7856</v>
      </c>
      <c r="H566" t="n">
        <v>7578.5332</v>
      </c>
      <c r="I566" t="n">
        <v>2713.8883</v>
      </c>
      <c r="J566" t="n">
        <v>28678.0905</v>
      </c>
      <c r="K566" t="n">
        <v>39253784.89</v>
      </c>
      <c r="L566" t="n">
        <v>132900679.86</v>
      </c>
      <c r="M566" t="n">
        <v>38687.7856</v>
      </c>
      <c r="N566" t="inlineStr">
        <is>
          <t>Provided Total Emissions</t>
        </is>
      </c>
      <c r="O566" t="b">
        <v>1</v>
      </c>
      <c r="P566" t="n">
        <v>0.04888</v>
      </c>
      <c r="Q566" t="n">
        <v>0.054403</v>
      </c>
      <c r="R566" t="n">
        <v>39526.5987</v>
      </c>
      <c r="S566" t="n">
        <v>86396.07399999999</v>
      </c>
      <c r="T566" t="n">
        <v>838.8131</v>
      </c>
      <c r="U566" t="n">
        <v>47708.2884</v>
      </c>
      <c r="V566" t="n">
        <v>0.021682</v>
      </c>
      <c r="W566" t="n">
        <v>1.233162</v>
      </c>
      <c r="X566" t="inlineStr">
        <is>
          <t>High</t>
        </is>
      </c>
      <c r="Y566" t="inlineStr">
        <is>
          <t>None</t>
        </is>
      </c>
      <c r="Z566" t="inlineStr">
        <is>
          <t>Valid</t>
        </is>
      </c>
      <c r="AA566" t="n">
        <v>2029</v>
      </c>
      <c r="AB566" t="inlineStr">
        <is>
          <t>Industry Haircut Pathway</t>
        </is>
      </c>
      <c r="AC566" t="n">
        <v>25179.2865</v>
      </c>
      <c r="AD566" t="n">
        <v>15480.2253</v>
      </c>
      <c r="AE566" t="n">
        <v>16126.8294</v>
      </c>
      <c r="AF566" t="n">
        <v>16126.8294</v>
      </c>
      <c r="AG566" t="n">
        <v>9052.4571</v>
      </c>
      <c r="AH566" t="n">
        <v>0.00041084</v>
      </c>
      <c r="AI566" t="n">
        <v>0.35952</v>
      </c>
      <c r="AJ566" t="n">
        <v>646.6041</v>
      </c>
      <c r="AK566" t="n">
        <v>646.6041</v>
      </c>
      <c r="AL566" t="n">
        <v>5781.164</v>
      </c>
      <c r="AM566" t="n">
        <v>87100.1878</v>
      </c>
      <c r="AN566" t="n">
        <v>0.95</v>
      </c>
      <c r="AO566" t="inlineStr">
        <is>
          <t>Medium</t>
        </is>
      </c>
      <c r="AP566" t="inlineStr">
        <is>
          <t>On Track to Glide Path</t>
        </is>
      </c>
    </row>
    <row r="567">
      <c r="A567" t="inlineStr">
        <is>
          <t>SUP-0036</t>
        </is>
      </c>
      <c r="B567" t="inlineStr">
        <is>
          <t>Metals Supplier 036</t>
        </is>
      </c>
      <c r="C567" t="inlineStr">
        <is>
          <t>Metals</t>
        </is>
      </c>
      <c r="D567" t="n">
        <v>2024</v>
      </c>
      <c r="E567" t="n">
        <v>2015</v>
      </c>
      <c r="F567" t="n">
        <v>2030</v>
      </c>
      <c r="G567" t="n">
        <v>38687.7856</v>
      </c>
      <c r="H567" t="n">
        <v>7578.5332</v>
      </c>
      <c r="I567" t="n">
        <v>2713.8883</v>
      </c>
      <c r="J567" t="n">
        <v>28678.0905</v>
      </c>
      <c r="K567" t="n">
        <v>39253784.89</v>
      </c>
      <c r="L567" t="n">
        <v>132900679.86</v>
      </c>
      <c r="M567" t="n">
        <v>38687.7856</v>
      </c>
      <c r="N567" t="inlineStr">
        <is>
          <t>Provided Total Emissions</t>
        </is>
      </c>
      <c r="O567" t="b">
        <v>1</v>
      </c>
      <c r="P567" t="n">
        <v>0.04888</v>
      </c>
      <c r="Q567" t="n">
        <v>0.054403</v>
      </c>
      <c r="R567" t="n">
        <v>39526.5987</v>
      </c>
      <c r="S567" t="n">
        <v>86396.07399999999</v>
      </c>
      <c r="T567" t="n">
        <v>838.8131</v>
      </c>
      <c r="U567" t="n">
        <v>47708.2884</v>
      </c>
      <c r="V567" t="n">
        <v>0.021682</v>
      </c>
      <c r="W567" t="n">
        <v>1.233162</v>
      </c>
      <c r="X567" t="inlineStr">
        <is>
          <t>High</t>
        </is>
      </c>
      <c r="Y567" t="inlineStr">
        <is>
          <t>None</t>
        </is>
      </c>
      <c r="Z567" t="inlineStr">
        <is>
          <t>Valid</t>
        </is>
      </c>
      <c r="AA567" t="n">
        <v>2030</v>
      </c>
      <c r="AB567" t="inlineStr">
        <is>
          <t>Industry Haircut Pathway</t>
        </is>
      </c>
      <c r="AC567" t="n">
        <v>25179.2865</v>
      </c>
      <c r="AD567" t="n">
        <v>15480.2253</v>
      </c>
      <c r="AE567" t="n">
        <v>15480.2253</v>
      </c>
      <c r="AF567" t="n">
        <v>15480.2253</v>
      </c>
      <c r="AG567" t="n">
        <v>9699.0612</v>
      </c>
      <c r="AH567" t="n">
        <v>0.00039436</v>
      </c>
      <c r="AI567" t="n">
        <v>0.3852</v>
      </c>
      <c r="AJ567" t="n">
        <v>0</v>
      </c>
      <c r="AK567" t="n">
        <v>646.6041</v>
      </c>
      <c r="AL567" t="n">
        <v>-9699.061299999999</v>
      </c>
      <c r="AM567" t="n">
        <v>102580.4131</v>
      </c>
      <c r="AN567" t="n">
        <v>0.95</v>
      </c>
      <c r="AO567" t="inlineStr">
        <is>
          <t>Low</t>
        </is>
      </c>
      <c r="AP567" t="inlineStr">
        <is>
          <t>On Track</t>
        </is>
      </c>
    </row>
    <row r="568">
      <c r="A568" t="inlineStr">
        <is>
          <t>SUP-0036</t>
        </is>
      </c>
      <c r="B568" t="inlineStr">
        <is>
          <t>Metals Supplier 036</t>
        </is>
      </c>
      <c r="C568" t="inlineStr">
        <is>
          <t>Metals</t>
        </is>
      </c>
      <c r="D568" t="n">
        <v>2024</v>
      </c>
      <c r="E568" t="n">
        <v>2015</v>
      </c>
      <c r="F568" t="n">
        <v>2030</v>
      </c>
      <c r="G568" t="n">
        <v>38687.7856</v>
      </c>
      <c r="H568" t="n">
        <v>7578.5332</v>
      </c>
      <c r="I568" t="n">
        <v>2713.8883</v>
      </c>
      <c r="J568" t="n">
        <v>28678.0905</v>
      </c>
      <c r="K568" t="n">
        <v>39253784.89</v>
      </c>
      <c r="L568" t="n">
        <v>132900679.86</v>
      </c>
      <c r="M568" t="n">
        <v>38687.7856</v>
      </c>
      <c r="N568" t="inlineStr">
        <is>
          <t>Provided Total Emissions</t>
        </is>
      </c>
      <c r="O568" t="b">
        <v>1</v>
      </c>
      <c r="P568" t="n">
        <v>0.04888</v>
      </c>
      <c r="Q568" t="n">
        <v>0.054403</v>
      </c>
      <c r="R568" t="n">
        <v>39526.5987</v>
      </c>
      <c r="S568" t="n">
        <v>86396.07399999999</v>
      </c>
      <c r="T568" t="n">
        <v>838.8131</v>
      </c>
      <c r="U568" t="n">
        <v>47708.2884</v>
      </c>
      <c r="V568" t="n">
        <v>0.021682</v>
      </c>
      <c r="W568" t="n">
        <v>1.233162</v>
      </c>
      <c r="X568" t="inlineStr">
        <is>
          <t>High</t>
        </is>
      </c>
      <c r="Y568" t="inlineStr">
        <is>
          <t>None</t>
        </is>
      </c>
      <c r="Z568" t="inlineStr">
        <is>
          <t>Valid</t>
        </is>
      </c>
      <c r="AA568" t="n">
        <v>2031</v>
      </c>
      <c r="AB568" t="inlineStr">
        <is>
          <t>Industry Haircut Pathway</t>
        </is>
      </c>
      <c r="AC568" t="n">
        <v>25179.2865</v>
      </c>
      <c r="AD568" t="n">
        <v>15480.2253</v>
      </c>
      <c r="AE568" t="n">
        <v>15480.2253</v>
      </c>
      <c r="AF568" t="n">
        <v>15480.2253</v>
      </c>
      <c r="AG568" t="n">
        <v>9699.0612</v>
      </c>
      <c r="AH568" t="n">
        <v>0.00039436</v>
      </c>
      <c r="AI568" t="n">
        <v>0.3852</v>
      </c>
      <c r="AJ568" t="n">
        <v>0</v>
      </c>
      <c r="AK568" t="n">
        <v>646.6041</v>
      </c>
      <c r="AL568" t="n">
        <v>-25179.2866</v>
      </c>
      <c r="AM568" t="n">
        <v>118060.6384</v>
      </c>
      <c r="AN568" t="n">
        <v>0.95</v>
      </c>
      <c r="AO568" t="inlineStr">
        <is>
          <t>Low</t>
        </is>
      </c>
      <c r="AP568" t="inlineStr">
        <is>
          <t>On Track</t>
        </is>
      </c>
    </row>
    <row r="569">
      <c r="A569" t="inlineStr">
        <is>
          <t>SUP-0036</t>
        </is>
      </c>
      <c r="B569" t="inlineStr">
        <is>
          <t>Metals Supplier 036</t>
        </is>
      </c>
      <c r="C569" t="inlineStr">
        <is>
          <t>Metals</t>
        </is>
      </c>
      <c r="D569" t="n">
        <v>2024</v>
      </c>
      <c r="E569" t="n">
        <v>2015</v>
      </c>
      <c r="F569" t="n">
        <v>2030</v>
      </c>
      <c r="G569" t="n">
        <v>38687.7856</v>
      </c>
      <c r="H569" t="n">
        <v>7578.5332</v>
      </c>
      <c r="I569" t="n">
        <v>2713.8883</v>
      </c>
      <c r="J569" t="n">
        <v>28678.0905</v>
      </c>
      <c r="K569" t="n">
        <v>39253784.89</v>
      </c>
      <c r="L569" t="n">
        <v>132900679.86</v>
      </c>
      <c r="M569" t="n">
        <v>38687.7856</v>
      </c>
      <c r="N569" t="inlineStr">
        <is>
          <t>Provided Total Emissions</t>
        </is>
      </c>
      <c r="O569" t="b">
        <v>1</v>
      </c>
      <c r="P569" t="n">
        <v>0.04888</v>
      </c>
      <c r="Q569" t="n">
        <v>0.054403</v>
      </c>
      <c r="R569" t="n">
        <v>39526.5987</v>
      </c>
      <c r="S569" t="n">
        <v>86396.07399999999</v>
      </c>
      <c r="T569" t="n">
        <v>838.8131</v>
      </c>
      <c r="U569" t="n">
        <v>47708.2884</v>
      </c>
      <c r="V569" t="n">
        <v>0.021682</v>
      </c>
      <c r="W569" t="n">
        <v>1.233162</v>
      </c>
      <c r="X569" t="inlineStr">
        <is>
          <t>High</t>
        </is>
      </c>
      <c r="Y569" t="inlineStr">
        <is>
          <t>None</t>
        </is>
      </c>
      <c r="Z569" t="inlineStr">
        <is>
          <t>Valid</t>
        </is>
      </c>
      <c r="AA569" t="n">
        <v>2032</v>
      </c>
      <c r="AB569" t="inlineStr">
        <is>
          <t>Industry Haircut Pathway</t>
        </is>
      </c>
      <c r="AC569" t="n">
        <v>25179.2865</v>
      </c>
      <c r="AD569" t="n">
        <v>15480.2253</v>
      </c>
      <c r="AE569" t="n">
        <v>15480.2253</v>
      </c>
      <c r="AF569" t="n">
        <v>15480.2253</v>
      </c>
      <c r="AG569" t="n">
        <v>9699.0612</v>
      </c>
      <c r="AH569" t="n">
        <v>0.00039436</v>
      </c>
      <c r="AI569" t="n">
        <v>0.3852</v>
      </c>
      <c r="AJ569" t="n">
        <v>0</v>
      </c>
      <c r="AK569" t="n">
        <v>646.6041</v>
      </c>
      <c r="AL569" t="n">
        <v>-40659.5119</v>
      </c>
      <c r="AM569" t="n">
        <v>133540.8637</v>
      </c>
      <c r="AN569" t="n">
        <v>0.95</v>
      </c>
      <c r="AO569" t="inlineStr">
        <is>
          <t>Low</t>
        </is>
      </c>
      <c r="AP569" t="inlineStr">
        <is>
          <t>On Track</t>
        </is>
      </c>
    </row>
    <row r="570">
      <c r="A570" t="inlineStr">
        <is>
          <t>SUP-0036</t>
        </is>
      </c>
      <c r="B570" t="inlineStr">
        <is>
          <t>Metals Supplier 036</t>
        </is>
      </c>
      <c r="C570" t="inlineStr">
        <is>
          <t>Metals</t>
        </is>
      </c>
      <c r="D570" t="n">
        <v>2024</v>
      </c>
      <c r="E570" t="n">
        <v>2015</v>
      </c>
      <c r="F570" t="n">
        <v>2030</v>
      </c>
      <c r="G570" t="n">
        <v>38687.7856</v>
      </c>
      <c r="H570" t="n">
        <v>7578.5332</v>
      </c>
      <c r="I570" t="n">
        <v>2713.8883</v>
      </c>
      <c r="J570" t="n">
        <v>28678.0905</v>
      </c>
      <c r="K570" t="n">
        <v>39253784.89</v>
      </c>
      <c r="L570" t="n">
        <v>132900679.86</v>
      </c>
      <c r="M570" t="n">
        <v>38687.7856</v>
      </c>
      <c r="N570" t="inlineStr">
        <is>
          <t>Provided Total Emissions</t>
        </is>
      </c>
      <c r="O570" t="b">
        <v>1</v>
      </c>
      <c r="P570" t="n">
        <v>0.04888</v>
      </c>
      <c r="Q570" t="n">
        <v>0.054403</v>
      </c>
      <c r="R570" t="n">
        <v>39526.5987</v>
      </c>
      <c r="S570" t="n">
        <v>86396.07399999999</v>
      </c>
      <c r="T570" t="n">
        <v>838.8131</v>
      </c>
      <c r="U570" t="n">
        <v>47708.2884</v>
      </c>
      <c r="V570" t="n">
        <v>0.021682</v>
      </c>
      <c r="W570" t="n">
        <v>1.233162</v>
      </c>
      <c r="X570" t="inlineStr">
        <is>
          <t>High</t>
        </is>
      </c>
      <c r="Y570" t="inlineStr">
        <is>
          <t>None</t>
        </is>
      </c>
      <c r="Z570" t="inlineStr">
        <is>
          <t>Valid</t>
        </is>
      </c>
      <c r="AA570" t="n">
        <v>2033</v>
      </c>
      <c r="AB570" t="inlineStr">
        <is>
          <t>Industry Haircut Pathway</t>
        </is>
      </c>
      <c r="AC570" t="n">
        <v>25179.2865</v>
      </c>
      <c r="AD570" t="n">
        <v>15480.2253</v>
      </c>
      <c r="AE570" t="n">
        <v>15480.2253</v>
      </c>
      <c r="AF570" t="n">
        <v>15480.2253</v>
      </c>
      <c r="AG570" t="n">
        <v>9699.0612</v>
      </c>
      <c r="AH570" t="n">
        <v>0.00039436</v>
      </c>
      <c r="AI570" t="n">
        <v>0.3852</v>
      </c>
      <c r="AJ570" t="n">
        <v>0</v>
      </c>
      <c r="AK570" t="n">
        <v>646.6041</v>
      </c>
      <c r="AL570" t="n">
        <v>-56139.7372</v>
      </c>
      <c r="AM570" t="n">
        <v>149021.089</v>
      </c>
      <c r="AN570" t="n">
        <v>0.95</v>
      </c>
      <c r="AO570" t="inlineStr">
        <is>
          <t>Low</t>
        </is>
      </c>
      <c r="AP570" t="inlineStr">
        <is>
          <t>On Track</t>
        </is>
      </c>
    </row>
    <row r="571">
      <c r="A571" t="inlineStr">
        <is>
          <t>SUP-0036</t>
        </is>
      </c>
      <c r="B571" t="inlineStr">
        <is>
          <t>Metals Supplier 036</t>
        </is>
      </c>
      <c r="C571" t="inlineStr">
        <is>
          <t>Metals</t>
        </is>
      </c>
      <c r="D571" t="n">
        <v>2024</v>
      </c>
      <c r="E571" t="n">
        <v>2015</v>
      </c>
      <c r="F571" t="n">
        <v>2030</v>
      </c>
      <c r="G571" t="n">
        <v>38687.7856</v>
      </c>
      <c r="H571" t="n">
        <v>7578.5332</v>
      </c>
      <c r="I571" t="n">
        <v>2713.8883</v>
      </c>
      <c r="J571" t="n">
        <v>28678.0905</v>
      </c>
      <c r="K571" t="n">
        <v>39253784.89</v>
      </c>
      <c r="L571" t="n">
        <v>132900679.86</v>
      </c>
      <c r="M571" t="n">
        <v>38687.7856</v>
      </c>
      <c r="N571" t="inlineStr">
        <is>
          <t>Provided Total Emissions</t>
        </is>
      </c>
      <c r="O571" t="b">
        <v>1</v>
      </c>
      <c r="P571" t="n">
        <v>0.04888</v>
      </c>
      <c r="Q571" t="n">
        <v>0.054403</v>
      </c>
      <c r="R571" t="n">
        <v>39526.5987</v>
      </c>
      <c r="S571" t="n">
        <v>86396.07399999999</v>
      </c>
      <c r="T571" t="n">
        <v>838.8131</v>
      </c>
      <c r="U571" t="n">
        <v>47708.2884</v>
      </c>
      <c r="V571" t="n">
        <v>0.021682</v>
      </c>
      <c r="W571" t="n">
        <v>1.233162</v>
      </c>
      <c r="X571" t="inlineStr">
        <is>
          <t>High</t>
        </is>
      </c>
      <c r="Y571" t="inlineStr">
        <is>
          <t>None</t>
        </is>
      </c>
      <c r="Z571" t="inlineStr">
        <is>
          <t>Valid</t>
        </is>
      </c>
      <c r="AA571" t="n">
        <v>2034</v>
      </c>
      <c r="AB571" t="inlineStr">
        <is>
          <t>Industry Haircut Pathway</t>
        </is>
      </c>
      <c r="AC571" t="n">
        <v>25179.2865</v>
      </c>
      <c r="AD571" t="n">
        <v>15480.2253</v>
      </c>
      <c r="AE571" t="n">
        <v>15480.2253</v>
      </c>
      <c r="AF571" t="n">
        <v>15480.2253</v>
      </c>
      <c r="AG571" t="n">
        <v>9699.0612</v>
      </c>
      <c r="AH571" t="n">
        <v>0.00039436</v>
      </c>
      <c r="AI571" t="n">
        <v>0.3852</v>
      </c>
      <c r="AJ571" t="n">
        <v>0</v>
      </c>
      <c r="AK571" t="n">
        <v>646.6041</v>
      </c>
      <c r="AL571" t="n">
        <v>-71619.96249999999</v>
      </c>
      <c r="AM571" t="n">
        <v>164501.3143</v>
      </c>
      <c r="AN571" t="n">
        <v>0.95</v>
      </c>
      <c r="AO571" t="inlineStr">
        <is>
          <t>Low</t>
        </is>
      </c>
      <c r="AP571" t="inlineStr">
        <is>
          <t>On Track</t>
        </is>
      </c>
    </row>
    <row r="572">
      <c r="A572" t="inlineStr">
        <is>
          <t>SUP-0036</t>
        </is>
      </c>
      <c r="B572" t="inlineStr">
        <is>
          <t>Metals Supplier 036</t>
        </is>
      </c>
      <c r="C572" t="inlineStr">
        <is>
          <t>Metals</t>
        </is>
      </c>
      <c r="D572" t="n">
        <v>2024</v>
      </c>
      <c r="E572" t="n">
        <v>2015</v>
      </c>
      <c r="F572" t="n">
        <v>2030</v>
      </c>
      <c r="G572" t="n">
        <v>38687.7856</v>
      </c>
      <c r="H572" t="n">
        <v>7578.5332</v>
      </c>
      <c r="I572" t="n">
        <v>2713.8883</v>
      </c>
      <c r="J572" t="n">
        <v>28678.0905</v>
      </c>
      <c r="K572" t="n">
        <v>39253784.89</v>
      </c>
      <c r="L572" t="n">
        <v>132900679.86</v>
      </c>
      <c r="M572" t="n">
        <v>38687.7856</v>
      </c>
      <c r="N572" t="inlineStr">
        <is>
          <t>Provided Total Emissions</t>
        </is>
      </c>
      <c r="O572" t="b">
        <v>1</v>
      </c>
      <c r="P572" t="n">
        <v>0.04888</v>
      </c>
      <c r="Q572" t="n">
        <v>0.054403</v>
      </c>
      <c r="R572" t="n">
        <v>39526.5987</v>
      </c>
      <c r="S572" t="n">
        <v>86396.07399999999</v>
      </c>
      <c r="T572" t="n">
        <v>838.8131</v>
      </c>
      <c r="U572" t="n">
        <v>47708.2884</v>
      </c>
      <c r="V572" t="n">
        <v>0.021682</v>
      </c>
      <c r="W572" t="n">
        <v>1.233162</v>
      </c>
      <c r="X572" t="inlineStr">
        <is>
          <t>High</t>
        </is>
      </c>
      <c r="Y572" t="inlineStr">
        <is>
          <t>None</t>
        </is>
      </c>
      <c r="Z572" t="inlineStr">
        <is>
          <t>Valid</t>
        </is>
      </c>
      <c r="AA572" t="n">
        <v>2035</v>
      </c>
      <c r="AB572" t="inlineStr">
        <is>
          <t>Industry Haircut Pathway</t>
        </is>
      </c>
      <c r="AC572" t="n">
        <v>25179.2865</v>
      </c>
      <c r="AD572" t="n">
        <v>15480.2253</v>
      </c>
      <c r="AE572" t="n">
        <v>15480.2253</v>
      </c>
      <c r="AF572" t="n">
        <v>15480.2253</v>
      </c>
      <c r="AG572" t="n">
        <v>9699.0612</v>
      </c>
      <c r="AH572" t="n">
        <v>0.00039436</v>
      </c>
      <c r="AI572" t="n">
        <v>0.3852</v>
      </c>
      <c r="AJ572" t="n">
        <v>0</v>
      </c>
      <c r="AK572" t="n">
        <v>646.6041</v>
      </c>
      <c r="AL572" t="n">
        <v>-87100.1878</v>
      </c>
      <c r="AM572" t="n">
        <v>179981.5396</v>
      </c>
      <c r="AN572" t="n">
        <v>0.95</v>
      </c>
      <c r="AO572" t="inlineStr">
        <is>
          <t>Low</t>
        </is>
      </c>
      <c r="AP572" t="inlineStr">
        <is>
          <t>On Track</t>
        </is>
      </c>
    </row>
    <row r="573">
      <c r="A573" t="inlineStr">
        <is>
          <t>SUP-0036</t>
        </is>
      </c>
      <c r="B573" t="inlineStr">
        <is>
          <t>Metals Supplier 036</t>
        </is>
      </c>
      <c r="C573" t="inlineStr">
        <is>
          <t>Metals</t>
        </is>
      </c>
      <c r="D573" t="n">
        <v>2024</v>
      </c>
      <c r="E573" t="n">
        <v>2015</v>
      </c>
      <c r="F573" t="n">
        <v>2030</v>
      </c>
      <c r="G573" t="n">
        <v>38687.7856</v>
      </c>
      <c r="H573" t="n">
        <v>7578.5332</v>
      </c>
      <c r="I573" t="n">
        <v>2713.8883</v>
      </c>
      <c r="J573" t="n">
        <v>28678.0905</v>
      </c>
      <c r="K573" t="n">
        <v>39253784.89</v>
      </c>
      <c r="L573" t="n">
        <v>132900679.86</v>
      </c>
      <c r="M573" t="n">
        <v>38687.7856</v>
      </c>
      <c r="N573" t="inlineStr">
        <is>
          <t>Provided Total Emissions</t>
        </is>
      </c>
      <c r="O573" t="b">
        <v>1</v>
      </c>
      <c r="P573" t="n">
        <v>0.04888</v>
      </c>
      <c r="Q573" t="n">
        <v>0.054403</v>
      </c>
      <c r="R573" t="n">
        <v>39526.5987</v>
      </c>
      <c r="S573" t="n">
        <v>86396.07399999999</v>
      </c>
      <c r="T573" t="n">
        <v>838.8131</v>
      </c>
      <c r="U573" t="n">
        <v>47708.2884</v>
      </c>
      <c r="V573" t="n">
        <v>0.021682</v>
      </c>
      <c r="W573" t="n">
        <v>1.233162</v>
      </c>
      <c r="X573" t="inlineStr">
        <is>
          <t>High</t>
        </is>
      </c>
      <c r="Y573" t="inlineStr">
        <is>
          <t>None</t>
        </is>
      </c>
      <c r="Z573" t="inlineStr">
        <is>
          <t>Valid</t>
        </is>
      </c>
      <c r="AA573" t="n">
        <v>2036</v>
      </c>
      <c r="AB573" t="inlineStr">
        <is>
          <t>Industry Haircut Pathway</t>
        </is>
      </c>
      <c r="AC573" t="n">
        <v>25179.2865</v>
      </c>
      <c r="AD573" t="n">
        <v>15480.2253</v>
      </c>
      <c r="AE573" t="n">
        <v>15480.2253</v>
      </c>
      <c r="AF573" t="n">
        <v>15480.2253</v>
      </c>
      <c r="AG573" t="n">
        <v>9699.0612</v>
      </c>
      <c r="AH573" t="n">
        <v>0.00039436</v>
      </c>
      <c r="AI573" t="n">
        <v>0.3852</v>
      </c>
      <c r="AJ573" t="n">
        <v>0</v>
      </c>
      <c r="AK573" t="n">
        <v>646.6041</v>
      </c>
      <c r="AL573" t="n">
        <v>-102580.4131</v>
      </c>
      <c r="AM573" t="n">
        <v>195461.7649</v>
      </c>
      <c r="AN573" t="n">
        <v>0.95</v>
      </c>
      <c r="AO573" t="inlineStr">
        <is>
          <t>Low</t>
        </is>
      </c>
      <c r="AP573" t="inlineStr">
        <is>
          <t>On Track</t>
        </is>
      </c>
    </row>
    <row r="574">
      <c r="A574" t="inlineStr">
        <is>
          <t>SUP-0036</t>
        </is>
      </c>
      <c r="B574" t="inlineStr">
        <is>
          <t>Metals Supplier 036</t>
        </is>
      </c>
      <c r="C574" t="inlineStr">
        <is>
          <t>Metals</t>
        </is>
      </c>
      <c r="D574" t="n">
        <v>2024</v>
      </c>
      <c r="E574" t="n">
        <v>2015</v>
      </c>
      <c r="F574" t="n">
        <v>2030</v>
      </c>
      <c r="G574" t="n">
        <v>38687.7856</v>
      </c>
      <c r="H574" t="n">
        <v>7578.5332</v>
      </c>
      <c r="I574" t="n">
        <v>2713.8883</v>
      </c>
      <c r="J574" t="n">
        <v>28678.0905</v>
      </c>
      <c r="K574" t="n">
        <v>39253784.89</v>
      </c>
      <c r="L574" t="n">
        <v>132900679.86</v>
      </c>
      <c r="M574" t="n">
        <v>38687.7856</v>
      </c>
      <c r="N574" t="inlineStr">
        <is>
          <t>Provided Total Emissions</t>
        </is>
      </c>
      <c r="O574" t="b">
        <v>1</v>
      </c>
      <c r="P574" t="n">
        <v>0.04888</v>
      </c>
      <c r="Q574" t="n">
        <v>0.054403</v>
      </c>
      <c r="R574" t="n">
        <v>39526.5987</v>
      </c>
      <c r="S574" t="n">
        <v>86396.07399999999</v>
      </c>
      <c r="T574" t="n">
        <v>838.8131</v>
      </c>
      <c r="U574" t="n">
        <v>47708.2884</v>
      </c>
      <c r="V574" t="n">
        <v>0.021682</v>
      </c>
      <c r="W574" t="n">
        <v>1.233162</v>
      </c>
      <c r="X574" t="inlineStr">
        <is>
          <t>High</t>
        </is>
      </c>
      <c r="Y574" t="inlineStr">
        <is>
          <t>None</t>
        </is>
      </c>
      <c r="Z574" t="inlineStr">
        <is>
          <t>Valid</t>
        </is>
      </c>
      <c r="AA574" t="n">
        <v>2037</v>
      </c>
      <c r="AB574" t="inlineStr">
        <is>
          <t>Industry Haircut Pathway</t>
        </is>
      </c>
      <c r="AC574" t="n">
        <v>25179.2865</v>
      </c>
      <c r="AD574" t="n">
        <v>15480.2253</v>
      </c>
      <c r="AE574" t="n">
        <v>15480.2253</v>
      </c>
      <c r="AF574" t="n">
        <v>15480.2253</v>
      </c>
      <c r="AG574" t="n">
        <v>9699.0612</v>
      </c>
      <c r="AH574" t="n">
        <v>0.00039436</v>
      </c>
      <c r="AI574" t="n">
        <v>0.3852</v>
      </c>
      <c r="AJ574" t="n">
        <v>0</v>
      </c>
      <c r="AK574" t="n">
        <v>646.6041</v>
      </c>
      <c r="AL574" t="n">
        <v>-118060.6384</v>
      </c>
      <c r="AM574" t="n">
        <v>210941.9902</v>
      </c>
      <c r="AN574" t="n">
        <v>0.95</v>
      </c>
      <c r="AO574" t="inlineStr">
        <is>
          <t>Low</t>
        </is>
      </c>
      <c r="AP574" t="inlineStr">
        <is>
          <t>On Track</t>
        </is>
      </c>
    </row>
    <row r="575">
      <c r="A575" t="inlineStr">
        <is>
          <t>SUP-0036</t>
        </is>
      </c>
      <c r="B575" t="inlineStr">
        <is>
          <t>Metals Supplier 036</t>
        </is>
      </c>
      <c r="C575" t="inlineStr">
        <is>
          <t>Metals</t>
        </is>
      </c>
      <c r="D575" t="n">
        <v>2024</v>
      </c>
      <c r="E575" t="n">
        <v>2015</v>
      </c>
      <c r="F575" t="n">
        <v>2030</v>
      </c>
      <c r="G575" t="n">
        <v>38687.7856</v>
      </c>
      <c r="H575" t="n">
        <v>7578.5332</v>
      </c>
      <c r="I575" t="n">
        <v>2713.8883</v>
      </c>
      <c r="J575" t="n">
        <v>28678.0905</v>
      </c>
      <c r="K575" t="n">
        <v>39253784.89</v>
      </c>
      <c r="L575" t="n">
        <v>132900679.86</v>
      </c>
      <c r="M575" t="n">
        <v>38687.7856</v>
      </c>
      <c r="N575" t="inlineStr">
        <is>
          <t>Provided Total Emissions</t>
        </is>
      </c>
      <c r="O575" t="b">
        <v>1</v>
      </c>
      <c r="P575" t="n">
        <v>0.04888</v>
      </c>
      <c r="Q575" t="n">
        <v>0.054403</v>
      </c>
      <c r="R575" t="n">
        <v>39526.5987</v>
      </c>
      <c r="S575" t="n">
        <v>86396.07399999999</v>
      </c>
      <c r="T575" t="n">
        <v>838.8131</v>
      </c>
      <c r="U575" t="n">
        <v>47708.2884</v>
      </c>
      <c r="V575" t="n">
        <v>0.021682</v>
      </c>
      <c r="W575" t="n">
        <v>1.233162</v>
      </c>
      <c r="X575" t="inlineStr">
        <is>
          <t>High</t>
        </is>
      </c>
      <c r="Y575" t="inlineStr">
        <is>
          <t>None</t>
        </is>
      </c>
      <c r="Z575" t="inlineStr">
        <is>
          <t>Valid</t>
        </is>
      </c>
      <c r="AA575" t="n">
        <v>2038</v>
      </c>
      <c r="AB575" t="inlineStr">
        <is>
          <t>Industry Haircut Pathway</t>
        </is>
      </c>
      <c r="AC575" t="n">
        <v>25179.2865</v>
      </c>
      <c r="AD575" t="n">
        <v>15480.2253</v>
      </c>
      <c r="AE575" t="n">
        <v>15480.2253</v>
      </c>
      <c r="AF575" t="n">
        <v>15480.2253</v>
      </c>
      <c r="AG575" t="n">
        <v>9699.0612</v>
      </c>
      <c r="AH575" t="n">
        <v>0.00039436</v>
      </c>
      <c r="AI575" t="n">
        <v>0.3852</v>
      </c>
      <c r="AJ575" t="n">
        <v>0</v>
      </c>
      <c r="AK575" t="n">
        <v>646.6041</v>
      </c>
      <c r="AL575" t="n">
        <v>-133540.8637</v>
      </c>
      <c r="AM575" t="n">
        <v>226422.2155</v>
      </c>
      <c r="AN575" t="n">
        <v>0.95</v>
      </c>
      <c r="AO575" t="inlineStr">
        <is>
          <t>Low</t>
        </is>
      </c>
      <c r="AP575" t="inlineStr">
        <is>
          <t>On Track</t>
        </is>
      </c>
    </row>
    <row r="576">
      <c r="A576" t="inlineStr">
        <is>
          <t>SUP-0036</t>
        </is>
      </c>
      <c r="B576" t="inlineStr">
        <is>
          <t>Metals Supplier 036</t>
        </is>
      </c>
      <c r="C576" t="inlineStr">
        <is>
          <t>Metals</t>
        </is>
      </c>
      <c r="D576" t="n">
        <v>2024</v>
      </c>
      <c r="E576" t="n">
        <v>2015</v>
      </c>
      <c r="F576" t="n">
        <v>2030</v>
      </c>
      <c r="G576" t="n">
        <v>38687.7856</v>
      </c>
      <c r="H576" t="n">
        <v>7578.5332</v>
      </c>
      <c r="I576" t="n">
        <v>2713.8883</v>
      </c>
      <c r="J576" t="n">
        <v>28678.0905</v>
      </c>
      <c r="K576" t="n">
        <v>39253784.89</v>
      </c>
      <c r="L576" t="n">
        <v>132900679.86</v>
      </c>
      <c r="M576" t="n">
        <v>38687.7856</v>
      </c>
      <c r="N576" t="inlineStr">
        <is>
          <t>Provided Total Emissions</t>
        </is>
      </c>
      <c r="O576" t="b">
        <v>1</v>
      </c>
      <c r="P576" t="n">
        <v>0.04888</v>
      </c>
      <c r="Q576" t="n">
        <v>0.054403</v>
      </c>
      <c r="R576" t="n">
        <v>39526.5987</v>
      </c>
      <c r="S576" t="n">
        <v>86396.07399999999</v>
      </c>
      <c r="T576" t="n">
        <v>838.8131</v>
      </c>
      <c r="U576" t="n">
        <v>47708.2884</v>
      </c>
      <c r="V576" t="n">
        <v>0.021682</v>
      </c>
      <c r="W576" t="n">
        <v>1.233162</v>
      </c>
      <c r="X576" t="inlineStr">
        <is>
          <t>High</t>
        </is>
      </c>
      <c r="Y576" t="inlineStr">
        <is>
          <t>None</t>
        </is>
      </c>
      <c r="Z576" t="inlineStr">
        <is>
          <t>Valid</t>
        </is>
      </c>
      <c r="AA576" t="n">
        <v>2039</v>
      </c>
      <c r="AB576" t="inlineStr">
        <is>
          <t>Industry Haircut Pathway</t>
        </is>
      </c>
      <c r="AC576" t="n">
        <v>25179.2865</v>
      </c>
      <c r="AD576" t="n">
        <v>15480.2253</v>
      </c>
      <c r="AE576" t="n">
        <v>15480.2253</v>
      </c>
      <c r="AF576" t="n">
        <v>15480.2253</v>
      </c>
      <c r="AG576" t="n">
        <v>9699.0612</v>
      </c>
      <c r="AH576" t="n">
        <v>0.00039436</v>
      </c>
      <c r="AI576" t="n">
        <v>0.3852</v>
      </c>
      <c r="AJ576" t="n">
        <v>0</v>
      </c>
      <c r="AK576" t="n">
        <v>646.6041</v>
      </c>
      <c r="AL576" t="n">
        <v>-149021.089</v>
      </c>
      <c r="AM576" t="n">
        <v>241902.4408</v>
      </c>
      <c r="AN576" t="n">
        <v>0.95</v>
      </c>
      <c r="AO576" t="inlineStr">
        <is>
          <t>Low</t>
        </is>
      </c>
      <c r="AP576" t="inlineStr">
        <is>
          <t>On Track</t>
        </is>
      </c>
    </row>
    <row r="577">
      <c r="A577" t="inlineStr">
        <is>
          <t>SUP-0036</t>
        </is>
      </c>
      <c r="B577" t="inlineStr">
        <is>
          <t>Metals Supplier 036</t>
        </is>
      </c>
      <c r="C577" t="inlineStr">
        <is>
          <t>Metals</t>
        </is>
      </c>
      <c r="D577" t="n">
        <v>2024</v>
      </c>
      <c r="E577" t="n">
        <v>2015</v>
      </c>
      <c r="F577" t="n">
        <v>2030</v>
      </c>
      <c r="G577" t="n">
        <v>38687.7856</v>
      </c>
      <c r="H577" t="n">
        <v>7578.5332</v>
      </c>
      <c r="I577" t="n">
        <v>2713.8883</v>
      </c>
      <c r="J577" t="n">
        <v>28678.0905</v>
      </c>
      <c r="K577" t="n">
        <v>39253784.89</v>
      </c>
      <c r="L577" t="n">
        <v>132900679.86</v>
      </c>
      <c r="M577" t="n">
        <v>38687.7856</v>
      </c>
      <c r="N577" t="inlineStr">
        <is>
          <t>Provided Total Emissions</t>
        </is>
      </c>
      <c r="O577" t="b">
        <v>1</v>
      </c>
      <c r="P577" t="n">
        <v>0.04888</v>
      </c>
      <c r="Q577" t="n">
        <v>0.054403</v>
      </c>
      <c r="R577" t="n">
        <v>39526.5987</v>
      </c>
      <c r="S577" t="n">
        <v>86396.07399999999</v>
      </c>
      <c r="T577" t="n">
        <v>838.8131</v>
      </c>
      <c r="U577" t="n">
        <v>47708.2884</v>
      </c>
      <c r="V577" t="n">
        <v>0.021682</v>
      </c>
      <c r="W577" t="n">
        <v>1.233162</v>
      </c>
      <c r="X577" t="inlineStr">
        <is>
          <t>High</t>
        </is>
      </c>
      <c r="Y577" t="inlineStr">
        <is>
          <t>None</t>
        </is>
      </c>
      <c r="Z577" t="inlineStr">
        <is>
          <t>Valid</t>
        </is>
      </c>
      <c r="AA577" t="n">
        <v>2040</v>
      </c>
      <c r="AB577" t="inlineStr">
        <is>
          <t>Industry Haircut Pathway</t>
        </is>
      </c>
      <c r="AC577" t="n">
        <v>25179.2865</v>
      </c>
      <c r="AD577" t="n">
        <v>15480.2253</v>
      </c>
      <c r="AE577" t="n">
        <v>15480.2253</v>
      </c>
      <c r="AF577" t="n">
        <v>15480.2253</v>
      </c>
      <c r="AG577" t="n">
        <v>9699.0612</v>
      </c>
      <c r="AH577" t="n">
        <v>0.00039436</v>
      </c>
      <c r="AI577" t="n">
        <v>0.3852</v>
      </c>
      <c r="AJ577" t="n">
        <v>0</v>
      </c>
      <c r="AK577" t="n">
        <v>646.6041</v>
      </c>
      <c r="AL577" t="n">
        <v>-164501.3143</v>
      </c>
      <c r="AM577" t="n">
        <v>257382.6661</v>
      </c>
      <c r="AN577" t="n">
        <v>0.95</v>
      </c>
      <c r="AO577" t="inlineStr">
        <is>
          <t>Low</t>
        </is>
      </c>
      <c r="AP577" t="inlineStr">
        <is>
          <t>On Track</t>
        </is>
      </c>
    </row>
    <row r="578">
      <c r="A578" t="inlineStr">
        <is>
          <t>SUP-0037</t>
        </is>
      </c>
      <c r="B578" t="inlineStr">
        <is>
          <t>Agriculture Supplier 037</t>
        </is>
      </c>
      <c r="C578" t="inlineStr">
        <is>
          <t>Agriculture</t>
        </is>
      </c>
      <c r="D578" t="n">
        <v>2024</v>
      </c>
      <c r="E578" t="n">
        <v>2019</v>
      </c>
      <c r="F578" t="n">
        <v>2035</v>
      </c>
      <c r="G578" t="n">
        <v>13051.2434</v>
      </c>
      <c r="H578" t="n">
        <v>3284.9472</v>
      </c>
      <c r="I578" t="n">
        <v>1144.4694</v>
      </c>
      <c r="J578" t="n">
        <v>9280.322700000001</v>
      </c>
      <c r="K578" t="n">
        <v>26483300.15</v>
      </c>
      <c r="L578" t="n">
        <v>57053590.24</v>
      </c>
      <c r="M578" t="n">
        <v>13051.2434</v>
      </c>
      <c r="N578" t="inlineStr">
        <is>
          <t>Provided Total Emissions</t>
        </is>
      </c>
      <c r="O578" t="b">
        <v>1</v>
      </c>
      <c r="P578" t="n">
        <v>-0.042476</v>
      </c>
      <c r="Q578" t="n">
        <v>0.001549</v>
      </c>
      <c r="R578" t="n">
        <v>24209.1792</v>
      </c>
      <c r="S578" t="n">
        <v>55292.3459</v>
      </c>
      <c r="T578" t="n">
        <v>11157.9358</v>
      </c>
      <c r="U578" t="n">
        <v>42241.1025</v>
      </c>
      <c r="V578" t="n">
        <v>0.8549330000000001</v>
      </c>
      <c r="W578" t="n">
        <v>3.236558</v>
      </c>
      <c r="X578" t="inlineStr">
        <is>
          <t>High</t>
        </is>
      </c>
      <c r="Y578" t="inlineStr">
        <is>
          <t>None</t>
        </is>
      </c>
      <c r="Z578" t="inlineStr">
        <is>
          <t>Valid</t>
        </is>
      </c>
      <c r="AA578" t="n">
        <v>2025</v>
      </c>
      <c r="AB578" t="inlineStr">
        <is>
          <t>Supplier Target Pathway</t>
        </is>
      </c>
      <c r="AC578" t="n">
        <v>15786.4995</v>
      </c>
      <c r="AD578" t="n">
        <v>7105.5034</v>
      </c>
      <c r="AE578" t="n">
        <v>12531.126</v>
      </c>
      <c r="AF578" t="n">
        <v>12531.126</v>
      </c>
      <c r="AG578" t="n">
        <v>3255.3735</v>
      </c>
      <c r="AH578" t="n">
        <v>0.00047317</v>
      </c>
      <c r="AI578" t="n">
        <v>0.206212</v>
      </c>
      <c r="AJ578" t="n">
        <v>5425.6225</v>
      </c>
      <c r="AK578" t="n">
        <v>542.5623000000001</v>
      </c>
      <c r="AL578" t="n">
        <v>65629.4114</v>
      </c>
      <c r="AM578" t="n">
        <v>12531.126</v>
      </c>
      <c r="AN578" t="n">
        <v>0.99</v>
      </c>
      <c r="AO578" t="inlineStr">
        <is>
          <t>Critical</t>
        </is>
      </c>
      <c r="AP578" t="inlineStr">
        <is>
          <t>On Track to Glide Path</t>
        </is>
      </c>
    </row>
    <row r="579">
      <c r="A579" t="inlineStr">
        <is>
          <t>SUP-0037</t>
        </is>
      </c>
      <c r="B579" t="inlineStr">
        <is>
          <t>Agriculture Supplier 037</t>
        </is>
      </c>
      <c r="C579" t="inlineStr">
        <is>
          <t>Agriculture</t>
        </is>
      </c>
      <c r="D579" t="n">
        <v>2024</v>
      </c>
      <c r="E579" t="n">
        <v>2019</v>
      </c>
      <c r="F579" t="n">
        <v>2035</v>
      </c>
      <c r="G579" t="n">
        <v>13051.2434</v>
      </c>
      <c r="H579" t="n">
        <v>3284.9472</v>
      </c>
      <c r="I579" t="n">
        <v>1144.4694</v>
      </c>
      <c r="J579" t="n">
        <v>9280.322700000001</v>
      </c>
      <c r="K579" t="n">
        <v>26483300.15</v>
      </c>
      <c r="L579" t="n">
        <v>57053590.24</v>
      </c>
      <c r="M579" t="n">
        <v>13051.2434</v>
      </c>
      <c r="N579" t="inlineStr">
        <is>
          <t>Provided Total Emissions</t>
        </is>
      </c>
      <c r="O579" t="b">
        <v>1</v>
      </c>
      <c r="P579" t="n">
        <v>-0.042476</v>
      </c>
      <c r="Q579" t="n">
        <v>0.001549</v>
      </c>
      <c r="R579" t="n">
        <v>24209.1792</v>
      </c>
      <c r="S579" t="n">
        <v>55292.3459</v>
      </c>
      <c r="T579" t="n">
        <v>11157.9358</v>
      </c>
      <c r="U579" t="n">
        <v>42241.1025</v>
      </c>
      <c r="V579" t="n">
        <v>0.8549330000000001</v>
      </c>
      <c r="W579" t="n">
        <v>3.236558</v>
      </c>
      <c r="X579" t="inlineStr">
        <is>
          <t>High</t>
        </is>
      </c>
      <c r="Y579" t="inlineStr">
        <is>
          <t>None</t>
        </is>
      </c>
      <c r="Z579" t="inlineStr">
        <is>
          <t>Valid</t>
        </is>
      </c>
      <c r="AA579" t="n">
        <v>2026</v>
      </c>
      <c r="AB579" t="inlineStr">
        <is>
          <t>Supplier Target Pathway</t>
        </is>
      </c>
      <c r="AC579" t="n">
        <v>15786.4995</v>
      </c>
      <c r="AD579" t="n">
        <v>7105.5034</v>
      </c>
      <c r="AE579" t="n">
        <v>11988.5637</v>
      </c>
      <c r="AF579" t="n">
        <v>11988.5637</v>
      </c>
      <c r="AG579" t="n">
        <v>3797.9358</v>
      </c>
      <c r="AH579" t="n">
        <v>0.00045268</v>
      </c>
      <c r="AI579" t="n">
        <v>0.240581</v>
      </c>
      <c r="AJ579" t="n">
        <v>4883.0603</v>
      </c>
      <c r="AK579" t="n">
        <v>542.5623000000001</v>
      </c>
      <c r="AL579" t="n">
        <v>53640.8477</v>
      </c>
      <c r="AM579" t="n">
        <v>24519.6897</v>
      </c>
      <c r="AN579" t="n">
        <v>0.99</v>
      </c>
      <c r="AO579" t="inlineStr">
        <is>
          <t>Critical</t>
        </is>
      </c>
      <c r="AP579" t="inlineStr">
        <is>
          <t>On Track to Glide Path</t>
        </is>
      </c>
    </row>
    <row r="580">
      <c r="A580" t="inlineStr">
        <is>
          <t>SUP-0037</t>
        </is>
      </c>
      <c r="B580" t="inlineStr">
        <is>
          <t>Agriculture Supplier 037</t>
        </is>
      </c>
      <c r="C580" t="inlineStr">
        <is>
          <t>Agriculture</t>
        </is>
      </c>
      <c r="D580" t="n">
        <v>2024</v>
      </c>
      <c r="E580" t="n">
        <v>2019</v>
      </c>
      <c r="F580" t="n">
        <v>2035</v>
      </c>
      <c r="G580" t="n">
        <v>13051.2434</v>
      </c>
      <c r="H580" t="n">
        <v>3284.9472</v>
      </c>
      <c r="I580" t="n">
        <v>1144.4694</v>
      </c>
      <c r="J580" t="n">
        <v>9280.322700000001</v>
      </c>
      <c r="K580" t="n">
        <v>26483300.15</v>
      </c>
      <c r="L580" t="n">
        <v>57053590.24</v>
      </c>
      <c r="M580" t="n">
        <v>13051.2434</v>
      </c>
      <c r="N580" t="inlineStr">
        <is>
          <t>Provided Total Emissions</t>
        </is>
      </c>
      <c r="O580" t="b">
        <v>1</v>
      </c>
      <c r="P580" t="n">
        <v>-0.042476</v>
      </c>
      <c r="Q580" t="n">
        <v>0.001549</v>
      </c>
      <c r="R580" t="n">
        <v>24209.1792</v>
      </c>
      <c r="S580" t="n">
        <v>55292.3459</v>
      </c>
      <c r="T580" t="n">
        <v>11157.9358</v>
      </c>
      <c r="U580" t="n">
        <v>42241.1025</v>
      </c>
      <c r="V580" t="n">
        <v>0.8549330000000001</v>
      </c>
      <c r="W580" t="n">
        <v>3.236558</v>
      </c>
      <c r="X580" t="inlineStr">
        <is>
          <t>High</t>
        </is>
      </c>
      <c r="Y580" t="inlineStr">
        <is>
          <t>None</t>
        </is>
      </c>
      <c r="Z580" t="inlineStr">
        <is>
          <t>Valid</t>
        </is>
      </c>
      <c r="AA580" t="n">
        <v>2027</v>
      </c>
      <c r="AB580" t="inlineStr">
        <is>
          <t>Supplier Target Pathway</t>
        </is>
      </c>
      <c r="AC580" t="n">
        <v>15786.4995</v>
      </c>
      <c r="AD580" t="n">
        <v>7105.5034</v>
      </c>
      <c r="AE580" t="n">
        <v>11446.0015</v>
      </c>
      <c r="AF580" t="n">
        <v>11446.0015</v>
      </c>
      <c r="AG580" t="n">
        <v>4340.498</v>
      </c>
      <c r="AH580" t="n">
        <v>0.0004322</v>
      </c>
      <c r="AI580" t="n">
        <v>0.27495</v>
      </c>
      <c r="AJ580" t="n">
        <v>4340.498</v>
      </c>
      <c r="AK580" t="n">
        <v>542.5623000000001</v>
      </c>
      <c r="AL580" t="n">
        <v>42194.8462</v>
      </c>
      <c r="AM580" t="n">
        <v>35965.6912</v>
      </c>
      <c r="AN580" t="n">
        <v>0.99</v>
      </c>
      <c r="AO580" t="inlineStr">
        <is>
          <t>Critical</t>
        </is>
      </c>
      <c r="AP580" t="inlineStr">
        <is>
          <t>On Track to Glide Path</t>
        </is>
      </c>
    </row>
    <row r="581">
      <c r="A581" t="inlineStr">
        <is>
          <t>SUP-0037</t>
        </is>
      </c>
      <c r="B581" t="inlineStr">
        <is>
          <t>Agriculture Supplier 037</t>
        </is>
      </c>
      <c r="C581" t="inlineStr">
        <is>
          <t>Agriculture</t>
        </is>
      </c>
      <c r="D581" t="n">
        <v>2024</v>
      </c>
      <c r="E581" t="n">
        <v>2019</v>
      </c>
      <c r="F581" t="n">
        <v>2035</v>
      </c>
      <c r="G581" t="n">
        <v>13051.2434</v>
      </c>
      <c r="H581" t="n">
        <v>3284.9472</v>
      </c>
      <c r="I581" t="n">
        <v>1144.4694</v>
      </c>
      <c r="J581" t="n">
        <v>9280.322700000001</v>
      </c>
      <c r="K581" t="n">
        <v>26483300.15</v>
      </c>
      <c r="L581" t="n">
        <v>57053590.24</v>
      </c>
      <c r="M581" t="n">
        <v>13051.2434</v>
      </c>
      <c r="N581" t="inlineStr">
        <is>
          <t>Provided Total Emissions</t>
        </is>
      </c>
      <c r="O581" t="b">
        <v>1</v>
      </c>
      <c r="P581" t="n">
        <v>-0.042476</v>
      </c>
      <c r="Q581" t="n">
        <v>0.001549</v>
      </c>
      <c r="R581" t="n">
        <v>24209.1792</v>
      </c>
      <c r="S581" t="n">
        <v>55292.3459</v>
      </c>
      <c r="T581" t="n">
        <v>11157.9358</v>
      </c>
      <c r="U581" t="n">
        <v>42241.1025</v>
      </c>
      <c r="V581" t="n">
        <v>0.8549330000000001</v>
      </c>
      <c r="W581" t="n">
        <v>3.236558</v>
      </c>
      <c r="X581" t="inlineStr">
        <is>
          <t>High</t>
        </is>
      </c>
      <c r="Y581" t="inlineStr">
        <is>
          <t>None</t>
        </is>
      </c>
      <c r="Z581" t="inlineStr">
        <is>
          <t>Valid</t>
        </is>
      </c>
      <c r="AA581" t="n">
        <v>2028</v>
      </c>
      <c r="AB581" t="inlineStr">
        <is>
          <t>Supplier Target Pathway</t>
        </is>
      </c>
      <c r="AC581" t="n">
        <v>15786.4995</v>
      </c>
      <c r="AD581" t="n">
        <v>7105.5034</v>
      </c>
      <c r="AE581" t="n">
        <v>10903.4392</v>
      </c>
      <c r="AF581" t="n">
        <v>10903.4392</v>
      </c>
      <c r="AG581" t="n">
        <v>4883.0603</v>
      </c>
      <c r="AH581" t="n">
        <v>0.00041171</v>
      </c>
      <c r="AI581" t="n">
        <v>0.309319</v>
      </c>
      <c r="AJ581" t="n">
        <v>3797.9358</v>
      </c>
      <c r="AK581" t="n">
        <v>542.5623000000001</v>
      </c>
      <c r="AL581" t="n">
        <v>31291.407</v>
      </c>
      <c r="AM581" t="n">
        <v>46869.1304</v>
      </c>
      <c r="AN581" t="n">
        <v>0.99</v>
      </c>
      <c r="AO581" t="inlineStr">
        <is>
          <t>Critical</t>
        </is>
      </c>
      <c r="AP581" t="inlineStr">
        <is>
          <t>On Track to Glide Path</t>
        </is>
      </c>
    </row>
    <row r="582">
      <c r="A582" t="inlineStr">
        <is>
          <t>SUP-0037</t>
        </is>
      </c>
      <c r="B582" t="inlineStr">
        <is>
          <t>Agriculture Supplier 037</t>
        </is>
      </c>
      <c r="C582" t="inlineStr">
        <is>
          <t>Agriculture</t>
        </is>
      </c>
      <c r="D582" t="n">
        <v>2024</v>
      </c>
      <c r="E582" t="n">
        <v>2019</v>
      </c>
      <c r="F582" t="n">
        <v>2035</v>
      </c>
      <c r="G582" t="n">
        <v>13051.2434</v>
      </c>
      <c r="H582" t="n">
        <v>3284.9472</v>
      </c>
      <c r="I582" t="n">
        <v>1144.4694</v>
      </c>
      <c r="J582" t="n">
        <v>9280.322700000001</v>
      </c>
      <c r="K582" t="n">
        <v>26483300.15</v>
      </c>
      <c r="L582" t="n">
        <v>57053590.24</v>
      </c>
      <c r="M582" t="n">
        <v>13051.2434</v>
      </c>
      <c r="N582" t="inlineStr">
        <is>
          <t>Provided Total Emissions</t>
        </is>
      </c>
      <c r="O582" t="b">
        <v>1</v>
      </c>
      <c r="P582" t="n">
        <v>-0.042476</v>
      </c>
      <c r="Q582" t="n">
        <v>0.001549</v>
      </c>
      <c r="R582" t="n">
        <v>24209.1792</v>
      </c>
      <c r="S582" t="n">
        <v>55292.3459</v>
      </c>
      <c r="T582" t="n">
        <v>11157.9358</v>
      </c>
      <c r="U582" t="n">
        <v>42241.1025</v>
      </c>
      <c r="V582" t="n">
        <v>0.8549330000000001</v>
      </c>
      <c r="W582" t="n">
        <v>3.236558</v>
      </c>
      <c r="X582" t="inlineStr">
        <is>
          <t>High</t>
        </is>
      </c>
      <c r="Y582" t="inlineStr">
        <is>
          <t>None</t>
        </is>
      </c>
      <c r="Z582" t="inlineStr">
        <is>
          <t>Valid</t>
        </is>
      </c>
      <c r="AA582" t="n">
        <v>2029</v>
      </c>
      <c r="AB582" t="inlineStr">
        <is>
          <t>Supplier Target Pathway</t>
        </is>
      </c>
      <c r="AC582" t="n">
        <v>15786.4995</v>
      </c>
      <c r="AD582" t="n">
        <v>7105.5034</v>
      </c>
      <c r="AE582" t="n">
        <v>10360.877</v>
      </c>
      <c r="AF582" t="n">
        <v>10360.877</v>
      </c>
      <c r="AG582" t="n">
        <v>5425.6225</v>
      </c>
      <c r="AH582" t="n">
        <v>0.00039122</v>
      </c>
      <c r="AI582" t="n">
        <v>0.343687</v>
      </c>
      <c r="AJ582" t="n">
        <v>3255.3735</v>
      </c>
      <c r="AK582" t="n">
        <v>542.5623000000001</v>
      </c>
      <c r="AL582" t="n">
        <v>20930.53</v>
      </c>
      <c r="AM582" t="n">
        <v>57230.0074</v>
      </c>
      <c r="AN582" t="n">
        <v>0.99</v>
      </c>
      <c r="AO582" t="inlineStr">
        <is>
          <t>Critical</t>
        </is>
      </c>
      <c r="AP582" t="inlineStr">
        <is>
          <t>On Track to Glide Path</t>
        </is>
      </c>
    </row>
    <row r="583">
      <c r="A583" t="inlineStr">
        <is>
          <t>SUP-0037</t>
        </is>
      </c>
      <c r="B583" t="inlineStr">
        <is>
          <t>Agriculture Supplier 037</t>
        </is>
      </c>
      <c r="C583" t="inlineStr">
        <is>
          <t>Agriculture</t>
        </is>
      </c>
      <c r="D583" t="n">
        <v>2024</v>
      </c>
      <c r="E583" t="n">
        <v>2019</v>
      </c>
      <c r="F583" t="n">
        <v>2035</v>
      </c>
      <c r="G583" t="n">
        <v>13051.2434</v>
      </c>
      <c r="H583" t="n">
        <v>3284.9472</v>
      </c>
      <c r="I583" t="n">
        <v>1144.4694</v>
      </c>
      <c r="J583" t="n">
        <v>9280.322700000001</v>
      </c>
      <c r="K583" t="n">
        <v>26483300.15</v>
      </c>
      <c r="L583" t="n">
        <v>57053590.24</v>
      </c>
      <c r="M583" t="n">
        <v>13051.2434</v>
      </c>
      <c r="N583" t="inlineStr">
        <is>
          <t>Provided Total Emissions</t>
        </is>
      </c>
      <c r="O583" t="b">
        <v>1</v>
      </c>
      <c r="P583" t="n">
        <v>-0.042476</v>
      </c>
      <c r="Q583" t="n">
        <v>0.001549</v>
      </c>
      <c r="R583" t="n">
        <v>24209.1792</v>
      </c>
      <c r="S583" t="n">
        <v>55292.3459</v>
      </c>
      <c r="T583" t="n">
        <v>11157.9358</v>
      </c>
      <c r="U583" t="n">
        <v>42241.1025</v>
      </c>
      <c r="V583" t="n">
        <v>0.8549330000000001</v>
      </c>
      <c r="W583" t="n">
        <v>3.236558</v>
      </c>
      <c r="X583" t="inlineStr">
        <is>
          <t>High</t>
        </is>
      </c>
      <c r="Y583" t="inlineStr">
        <is>
          <t>None</t>
        </is>
      </c>
      <c r="Z583" t="inlineStr">
        <is>
          <t>Valid</t>
        </is>
      </c>
      <c r="AA583" t="n">
        <v>2030</v>
      </c>
      <c r="AB583" t="inlineStr">
        <is>
          <t>Supplier Target Pathway</t>
        </is>
      </c>
      <c r="AC583" t="n">
        <v>15786.4995</v>
      </c>
      <c r="AD583" t="n">
        <v>7105.5034</v>
      </c>
      <c r="AE583" t="n">
        <v>9818.314700000001</v>
      </c>
      <c r="AF583" t="n">
        <v>9818.314700000001</v>
      </c>
      <c r="AG583" t="n">
        <v>5968.1848</v>
      </c>
      <c r="AH583" t="n">
        <v>0.00037074</v>
      </c>
      <c r="AI583" t="n">
        <v>0.378056</v>
      </c>
      <c r="AJ583" t="n">
        <v>2712.8113</v>
      </c>
      <c r="AK583" t="n">
        <v>542.5623000000001</v>
      </c>
      <c r="AL583" t="n">
        <v>11112.2153</v>
      </c>
      <c r="AM583" t="n">
        <v>67048.3221</v>
      </c>
      <c r="AN583" t="n">
        <v>0.99</v>
      </c>
      <c r="AO583" t="inlineStr">
        <is>
          <t>Critical</t>
        </is>
      </c>
      <c r="AP583" t="inlineStr">
        <is>
          <t>On Track to Glide Path</t>
        </is>
      </c>
    </row>
    <row r="584">
      <c r="A584" t="inlineStr">
        <is>
          <t>SUP-0037</t>
        </is>
      </c>
      <c r="B584" t="inlineStr">
        <is>
          <t>Agriculture Supplier 037</t>
        </is>
      </c>
      <c r="C584" t="inlineStr">
        <is>
          <t>Agriculture</t>
        </is>
      </c>
      <c r="D584" t="n">
        <v>2024</v>
      </c>
      <c r="E584" t="n">
        <v>2019</v>
      </c>
      <c r="F584" t="n">
        <v>2035</v>
      </c>
      <c r="G584" t="n">
        <v>13051.2434</v>
      </c>
      <c r="H584" t="n">
        <v>3284.9472</v>
      </c>
      <c r="I584" t="n">
        <v>1144.4694</v>
      </c>
      <c r="J584" t="n">
        <v>9280.322700000001</v>
      </c>
      <c r="K584" t="n">
        <v>26483300.15</v>
      </c>
      <c r="L584" t="n">
        <v>57053590.24</v>
      </c>
      <c r="M584" t="n">
        <v>13051.2434</v>
      </c>
      <c r="N584" t="inlineStr">
        <is>
          <t>Provided Total Emissions</t>
        </is>
      </c>
      <c r="O584" t="b">
        <v>1</v>
      </c>
      <c r="P584" t="n">
        <v>-0.042476</v>
      </c>
      <c r="Q584" t="n">
        <v>0.001549</v>
      </c>
      <c r="R584" t="n">
        <v>24209.1792</v>
      </c>
      <c r="S584" t="n">
        <v>55292.3459</v>
      </c>
      <c r="T584" t="n">
        <v>11157.9358</v>
      </c>
      <c r="U584" t="n">
        <v>42241.1025</v>
      </c>
      <c r="V584" t="n">
        <v>0.8549330000000001</v>
      </c>
      <c r="W584" t="n">
        <v>3.236558</v>
      </c>
      <c r="X584" t="inlineStr">
        <is>
          <t>High</t>
        </is>
      </c>
      <c r="Y584" t="inlineStr">
        <is>
          <t>None</t>
        </is>
      </c>
      <c r="Z584" t="inlineStr">
        <is>
          <t>Valid</t>
        </is>
      </c>
      <c r="AA584" t="n">
        <v>2031</v>
      </c>
      <c r="AB584" t="inlineStr">
        <is>
          <t>Supplier Target Pathway</t>
        </is>
      </c>
      <c r="AC584" t="n">
        <v>15786.4995</v>
      </c>
      <c r="AD584" t="n">
        <v>7105.5034</v>
      </c>
      <c r="AE584" t="n">
        <v>9275.752399999999</v>
      </c>
      <c r="AF584" t="n">
        <v>9275.752399999999</v>
      </c>
      <c r="AG584" t="n">
        <v>6510.7471</v>
      </c>
      <c r="AH584" t="n">
        <v>0.00035025</v>
      </c>
      <c r="AI584" t="n">
        <v>0.412425</v>
      </c>
      <c r="AJ584" t="n">
        <v>2170.249</v>
      </c>
      <c r="AK584" t="n">
        <v>542.5623000000001</v>
      </c>
      <c r="AL584" t="n">
        <v>1836.4629</v>
      </c>
      <c r="AM584" t="n">
        <v>76324.0745</v>
      </c>
      <c r="AN584" t="n">
        <v>0.99</v>
      </c>
      <c r="AO584" t="inlineStr">
        <is>
          <t>High</t>
        </is>
      </c>
      <c r="AP584" t="inlineStr">
        <is>
          <t>On Track to Glide Path</t>
        </is>
      </c>
    </row>
    <row r="585">
      <c r="A585" t="inlineStr">
        <is>
          <t>SUP-0037</t>
        </is>
      </c>
      <c r="B585" t="inlineStr">
        <is>
          <t>Agriculture Supplier 037</t>
        </is>
      </c>
      <c r="C585" t="inlineStr">
        <is>
          <t>Agriculture</t>
        </is>
      </c>
      <c r="D585" t="n">
        <v>2024</v>
      </c>
      <c r="E585" t="n">
        <v>2019</v>
      </c>
      <c r="F585" t="n">
        <v>2035</v>
      </c>
      <c r="G585" t="n">
        <v>13051.2434</v>
      </c>
      <c r="H585" t="n">
        <v>3284.9472</v>
      </c>
      <c r="I585" t="n">
        <v>1144.4694</v>
      </c>
      <c r="J585" t="n">
        <v>9280.322700000001</v>
      </c>
      <c r="K585" t="n">
        <v>26483300.15</v>
      </c>
      <c r="L585" t="n">
        <v>57053590.24</v>
      </c>
      <c r="M585" t="n">
        <v>13051.2434</v>
      </c>
      <c r="N585" t="inlineStr">
        <is>
          <t>Provided Total Emissions</t>
        </is>
      </c>
      <c r="O585" t="b">
        <v>1</v>
      </c>
      <c r="P585" t="n">
        <v>-0.042476</v>
      </c>
      <c r="Q585" t="n">
        <v>0.001549</v>
      </c>
      <c r="R585" t="n">
        <v>24209.1792</v>
      </c>
      <c r="S585" t="n">
        <v>55292.3459</v>
      </c>
      <c r="T585" t="n">
        <v>11157.9358</v>
      </c>
      <c r="U585" t="n">
        <v>42241.1025</v>
      </c>
      <c r="V585" t="n">
        <v>0.8549330000000001</v>
      </c>
      <c r="W585" t="n">
        <v>3.236558</v>
      </c>
      <c r="X585" t="inlineStr">
        <is>
          <t>High</t>
        </is>
      </c>
      <c r="Y585" t="inlineStr">
        <is>
          <t>None</t>
        </is>
      </c>
      <c r="Z585" t="inlineStr">
        <is>
          <t>Valid</t>
        </is>
      </c>
      <c r="AA585" t="n">
        <v>2032</v>
      </c>
      <c r="AB585" t="inlineStr">
        <is>
          <t>Supplier Target Pathway</t>
        </is>
      </c>
      <c r="AC585" t="n">
        <v>15786.4995</v>
      </c>
      <c r="AD585" t="n">
        <v>7105.5034</v>
      </c>
      <c r="AE585" t="n">
        <v>8733.190199999999</v>
      </c>
      <c r="AF585" t="n">
        <v>8733.190199999999</v>
      </c>
      <c r="AG585" t="n">
        <v>7053.3093</v>
      </c>
      <c r="AH585" t="n">
        <v>0.00032976</v>
      </c>
      <c r="AI585" t="n">
        <v>0.446794</v>
      </c>
      <c r="AJ585" t="n">
        <v>1627.6868</v>
      </c>
      <c r="AK585" t="n">
        <v>542.5623000000001</v>
      </c>
      <c r="AL585" t="n">
        <v>-6896.7273</v>
      </c>
      <c r="AM585" t="n">
        <v>85057.2647</v>
      </c>
      <c r="AN585" t="n">
        <v>0.99</v>
      </c>
      <c r="AO585" t="inlineStr">
        <is>
          <t>High</t>
        </is>
      </c>
      <c r="AP585" t="inlineStr">
        <is>
          <t>On Track to Glide Path</t>
        </is>
      </c>
    </row>
    <row r="586">
      <c r="A586" t="inlineStr">
        <is>
          <t>SUP-0037</t>
        </is>
      </c>
      <c r="B586" t="inlineStr">
        <is>
          <t>Agriculture Supplier 037</t>
        </is>
      </c>
      <c r="C586" t="inlineStr">
        <is>
          <t>Agriculture</t>
        </is>
      </c>
      <c r="D586" t="n">
        <v>2024</v>
      </c>
      <c r="E586" t="n">
        <v>2019</v>
      </c>
      <c r="F586" t="n">
        <v>2035</v>
      </c>
      <c r="G586" t="n">
        <v>13051.2434</v>
      </c>
      <c r="H586" t="n">
        <v>3284.9472</v>
      </c>
      <c r="I586" t="n">
        <v>1144.4694</v>
      </c>
      <c r="J586" t="n">
        <v>9280.322700000001</v>
      </c>
      <c r="K586" t="n">
        <v>26483300.15</v>
      </c>
      <c r="L586" t="n">
        <v>57053590.24</v>
      </c>
      <c r="M586" t="n">
        <v>13051.2434</v>
      </c>
      <c r="N586" t="inlineStr">
        <is>
          <t>Provided Total Emissions</t>
        </is>
      </c>
      <c r="O586" t="b">
        <v>1</v>
      </c>
      <c r="P586" t="n">
        <v>-0.042476</v>
      </c>
      <c r="Q586" t="n">
        <v>0.001549</v>
      </c>
      <c r="R586" t="n">
        <v>24209.1792</v>
      </c>
      <c r="S586" t="n">
        <v>55292.3459</v>
      </c>
      <c r="T586" t="n">
        <v>11157.9358</v>
      </c>
      <c r="U586" t="n">
        <v>42241.1025</v>
      </c>
      <c r="V586" t="n">
        <v>0.8549330000000001</v>
      </c>
      <c r="W586" t="n">
        <v>3.236558</v>
      </c>
      <c r="X586" t="inlineStr">
        <is>
          <t>High</t>
        </is>
      </c>
      <c r="Y586" t="inlineStr">
        <is>
          <t>None</t>
        </is>
      </c>
      <c r="Z586" t="inlineStr">
        <is>
          <t>Valid</t>
        </is>
      </c>
      <c r="AA586" t="n">
        <v>2033</v>
      </c>
      <c r="AB586" t="inlineStr">
        <is>
          <t>Supplier Target Pathway</t>
        </is>
      </c>
      <c r="AC586" t="n">
        <v>15786.4995</v>
      </c>
      <c r="AD586" t="n">
        <v>7105.5034</v>
      </c>
      <c r="AE586" t="n">
        <v>8190.6279</v>
      </c>
      <c r="AF586" t="n">
        <v>8190.6279</v>
      </c>
      <c r="AG586" t="n">
        <v>7595.8716</v>
      </c>
      <c r="AH586" t="n">
        <v>0.00030928</v>
      </c>
      <c r="AI586" t="n">
        <v>0.481162</v>
      </c>
      <c r="AJ586" t="n">
        <v>1085.1245</v>
      </c>
      <c r="AK586" t="n">
        <v>542.5623000000001</v>
      </c>
      <c r="AL586" t="n">
        <v>-15087.3552</v>
      </c>
      <c r="AM586" t="n">
        <v>93247.89260000001</v>
      </c>
      <c r="AN586" t="n">
        <v>0.99</v>
      </c>
      <c r="AO586" t="inlineStr">
        <is>
          <t>High</t>
        </is>
      </c>
      <c r="AP586" t="inlineStr">
        <is>
          <t>On Track to Glide Path</t>
        </is>
      </c>
    </row>
    <row r="587">
      <c r="A587" t="inlineStr">
        <is>
          <t>SUP-0037</t>
        </is>
      </c>
      <c r="B587" t="inlineStr">
        <is>
          <t>Agriculture Supplier 037</t>
        </is>
      </c>
      <c r="C587" t="inlineStr">
        <is>
          <t>Agriculture</t>
        </is>
      </c>
      <c r="D587" t="n">
        <v>2024</v>
      </c>
      <c r="E587" t="n">
        <v>2019</v>
      </c>
      <c r="F587" t="n">
        <v>2035</v>
      </c>
      <c r="G587" t="n">
        <v>13051.2434</v>
      </c>
      <c r="H587" t="n">
        <v>3284.9472</v>
      </c>
      <c r="I587" t="n">
        <v>1144.4694</v>
      </c>
      <c r="J587" t="n">
        <v>9280.322700000001</v>
      </c>
      <c r="K587" t="n">
        <v>26483300.15</v>
      </c>
      <c r="L587" t="n">
        <v>57053590.24</v>
      </c>
      <c r="M587" t="n">
        <v>13051.2434</v>
      </c>
      <c r="N587" t="inlineStr">
        <is>
          <t>Provided Total Emissions</t>
        </is>
      </c>
      <c r="O587" t="b">
        <v>1</v>
      </c>
      <c r="P587" t="n">
        <v>-0.042476</v>
      </c>
      <c r="Q587" t="n">
        <v>0.001549</v>
      </c>
      <c r="R587" t="n">
        <v>24209.1792</v>
      </c>
      <c r="S587" t="n">
        <v>55292.3459</v>
      </c>
      <c r="T587" t="n">
        <v>11157.9358</v>
      </c>
      <c r="U587" t="n">
        <v>42241.1025</v>
      </c>
      <c r="V587" t="n">
        <v>0.8549330000000001</v>
      </c>
      <c r="W587" t="n">
        <v>3.236558</v>
      </c>
      <c r="X587" t="inlineStr">
        <is>
          <t>High</t>
        </is>
      </c>
      <c r="Y587" t="inlineStr">
        <is>
          <t>None</t>
        </is>
      </c>
      <c r="Z587" t="inlineStr">
        <is>
          <t>Valid</t>
        </is>
      </c>
      <c r="AA587" t="n">
        <v>2034</v>
      </c>
      <c r="AB587" t="inlineStr">
        <is>
          <t>Supplier Target Pathway</t>
        </is>
      </c>
      <c r="AC587" t="n">
        <v>15786.4995</v>
      </c>
      <c r="AD587" t="n">
        <v>7105.5034</v>
      </c>
      <c r="AE587" t="n">
        <v>7648.0657</v>
      </c>
      <c r="AF587" t="n">
        <v>7648.0657</v>
      </c>
      <c r="AG587" t="n">
        <v>8138.4338</v>
      </c>
      <c r="AH587" t="n">
        <v>0.00028879</v>
      </c>
      <c r="AI587" t="n">
        <v>0.515531</v>
      </c>
      <c r="AJ587" t="n">
        <v>542.5623000000001</v>
      </c>
      <c r="AK587" t="n">
        <v>542.5623000000001</v>
      </c>
      <c r="AL587" t="n">
        <v>-22735.4209</v>
      </c>
      <c r="AM587" t="n">
        <v>100895.9583</v>
      </c>
      <c r="AN587" t="n">
        <v>0.99</v>
      </c>
      <c r="AO587" t="inlineStr">
        <is>
          <t>Medium</t>
        </is>
      </c>
      <c r="AP587" t="inlineStr">
        <is>
          <t>On Track to Glide Path</t>
        </is>
      </c>
    </row>
    <row r="588">
      <c r="A588" t="inlineStr">
        <is>
          <t>SUP-0037</t>
        </is>
      </c>
      <c r="B588" t="inlineStr">
        <is>
          <t>Agriculture Supplier 037</t>
        </is>
      </c>
      <c r="C588" t="inlineStr">
        <is>
          <t>Agriculture</t>
        </is>
      </c>
      <c r="D588" t="n">
        <v>2024</v>
      </c>
      <c r="E588" t="n">
        <v>2019</v>
      </c>
      <c r="F588" t="n">
        <v>2035</v>
      </c>
      <c r="G588" t="n">
        <v>13051.2434</v>
      </c>
      <c r="H588" t="n">
        <v>3284.9472</v>
      </c>
      <c r="I588" t="n">
        <v>1144.4694</v>
      </c>
      <c r="J588" t="n">
        <v>9280.322700000001</v>
      </c>
      <c r="K588" t="n">
        <v>26483300.15</v>
      </c>
      <c r="L588" t="n">
        <v>57053590.24</v>
      </c>
      <c r="M588" t="n">
        <v>13051.2434</v>
      </c>
      <c r="N588" t="inlineStr">
        <is>
          <t>Provided Total Emissions</t>
        </is>
      </c>
      <c r="O588" t="b">
        <v>1</v>
      </c>
      <c r="P588" t="n">
        <v>-0.042476</v>
      </c>
      <c r="Q588" t="n">
        <v>0.001549</v>
      </c>
      <c r="R588" t="n">
        <v>24209.1792</v>
      </c>
      <c r="S588" t="n">
        <v>55292.3459</v>
      </c>
      <c r="T588" t="n">
        <v>11157.9358</v>
      </c>
      <c r="U588" t="n">
        <v>42241.1025</v>
      </c>
      <c r="V588" t="n">
        <v>0.8549330000000001</v>
      </c>
      <c r="W588" t="n">
        <v>3.236558</v>
      </c>
      <c r="X588" t="inlineStr">
        <is>
          <t>High</t>
        </is>
      </c>
      <c r="Y588" t="inlineStr">
        <is>
          <t>None</t>
        </is>
      </c>
      <c r="Z588" t="inlineStr">
        <is>
          <t>Valid</t>
        </is>
      </c>
      <c r="AA588" t="n">
        <v>2035</v>
      </c>
      <c r="AB588" t="inlineStr">
        <is>
          <t>Supplier Target Pathway</t>
        </is>
      </c>
      <c r="AC588" t="n">
        <v>15786.4995</v>
      </c>
      <c r="AD588" t="n">
        <v>7105.5034</v>
      </c>
      <c r="AE588" t="n">
        <v>7105.5034</v>
      </c>
      <c r="AF588" t="n">
        <v>7105.5034</v>
      </c>
      <c r="AG588" t="n">
        <v>8680.9961</v>
      </c>
      <c r="AH588" t="n">
        <v>0.0002683</v>
      </c>
      <c r="AI588" t="n">
        <v>0.5499000000000001</v>
      </c>
      <c r="AJ588" t="n">
        <v>0</v>
      </c>
      <c r="AK588" t="n">
        <v>542.5623000000001</v>
      </c>
      <c r="AL588" t="n">
        <v>-29840.9243</v>
      </c>
      <c r="AM588" t="n">
        <v>108001.4617</v>
      </c>
      <c r="AN588" t="n">
        <v>0.99</v>
      </c>
      <c r="AO588" t="inlineStr">
        <is>
          <t>Low</t>
        </is>
      </c>
      <c r="AP588" t="inlineStr">
        <is>
          <t>On Track</t>
        </is>
      </c>
    </row>
    <row r="589">
      <c r="A589" t="inlineStr">
        <is>
          <t>SUP-0037</t>
        </is>
      </c>
      <c r="B589" t="inlineStr">
        <is>
          <t>Agriculture Supplier 037</t>
        </is>
      </c>
      <c r="C589" t="inlineStr">
        <is>
          <t>Agriculture</t>
        </is>
      </c>
      <c r="D589" t="n">
        <v>2024</v>
      </c>
      <c r="E589" t="n">
        <v>2019</v>
      </c>
      <c r="F589" t="n">
        <v>2035</v>
      </c>
      <c r="G589" t="n">
        <v>13051.2434</v>
      </c>
      <c r="H589" t="n">
        <v>3284.9472</v>
      </c>
      <c r="I589" t="n">
        <v>1144.4694</v>
      </c>
      <c r="J589" t="n">
        <v>9280.322700000001</v>
      </c>
      <c r="K589" t="n">
        <v>26483300.15</v>
      </c>
      <c r="L589" t="n">
        <v>57053590.24</v>
      </c>
      <c r="M589" t="n">
        <v>13051.2434</v>
      </c>
      <c r="N589" t="inlineStr">
        <is>
          <t>Provided Total Emissions</t>
        </is>
      </c>
      <c r="O589" t="b">
        <v>1</v>
      </c>
      <c r="P589" t="n">
        <v>-0.042476</v>
      </c>
      <c r="Q589" t="n">
        <v>0.001549</v>
      </c>
      <c r="R589" t="n">
        <v>24209.1792</v>
      </c>
      <c r="S589" t="n">
        <v>55292.3459</v>
      </c>
      <c r="T589" t="n">
        <v>11157.9358</v>
      </c>
      <c r="U589" t="n">
        <v>42241.1025</v>
      </c>
      <c r="V589" t="n">
        <v>0.8549330000000001</v>
      </c>
      <c r="W589" t="n">
        <v>3.236558</v>
      </c>
      <c r="X589" t="inlineStr">
        <is>
          <t>High</t>
        </is>
      </c>
      <c r="Y589" t="inlineStr">
        <is>
          <t>None</t>
        </is>
      </c>
      <c r="Z589" t="inlineStr">
        <is>
          <t>Valid</t>
        </is>
      </c>
      <c r="AA589" t="n">
        <v>2036</v>
      </c>
      <c r="AB589" t="inlineStr">
        <is>
          <t>Supplier Target Pathway</t>
        </is>
      </c>
      <c r="AC589" t="n">
        <v>15786.4995</v>
      </c>
      <c r="AD589" t="n">
        <v>7105.5034</v>
      </c>
      <c r="AE589" t="n">
        <v>7105.5034</v>
      </c>
      <c r="AF589" t="n">
        <v>7105.5034</v>
      </c>
      <c r="AG589" t="n">
        <v>8680.9961</v>
      </c>
      <c r="AH589" t="n">
        <v>0.0002683</v>
      </c>
      <c r="AI589" t="n">
        <v>0.5499000000000001</v>
      </c>
      <c r="AJ589" t="n">
        <v>0</v>
      </c>
      <c r="AK589" t="n">
        <v>542.5623000000001</v>
      </c>
      <c r="AL589" t="n">
        <v>-36946.4277</v>
      </c>
      <c r="AM589" t="n">
        <v>115106.9651</v>
      </c>
      <c r="AN589" t="n">
        <v>0.99</v>
      </c>
      <c r="AO589" t="inlineStr">
        <is>
          <t>Low</t>
        </is>
      </c>
      <c r="AP589" t="inlineStr">
        <is>
          <t>On Track</t>
        </is>
      </c>
    </row>
    <row r="590">
      <c r="A590" t="inlineStr">
        <is>
          <t>SUP-0037</t>
        </is>
      </c>
      <c r="B590" t="inlineStr">
        <is>
          <t>Agriculture Supplier 037</t>
        </is>
      </c>
      <c r="C590" t="inlineStr">
        <is>
          <t>Agriculture</t>
        </is>
      </c>
      <c r="D590" t="n">
        <v>2024</v>
      </c>
      <c r="E590" t="n">
        <v>2019</v>
      </c>
      <c r="F590" t="n">
        <v>2035</v>
      </c>
      <c r="G590" t="n">
        <v>13051.2434</v>
      </c>
      <c r="H590" t="n">
        <v>3284.9472</v>
      </c>
      <c r="I590" t="n">
        <v>1144.4694</v>
      </c>
      <c r="J590" t="n">
        <v>9280.322700000001</v>
      </c>
      <c r="K590" t="n">
        <v>26483300.15</v>
      </c>
      <c r="L590" t="n">
        <v>57053590.24</v>
      </c>
      <c r="M590" t="n">
        <v>13051.2434</v>
      </c>
      <c r="N590" t="inlineStr">
        <is>
          <t>Provided Total Emissions</t>
        </is>
      </c>
      <c r="O590" t="b">
        <v>1</v>
      </c>
      <c r="P590" t="n">
        <v>-0.042476</v>
      </c>
      <c r="Q590" t="n">
        <v>0.001549</v>
      </c>
      <c r="R590" t="n">
        <v>24209.1792</v>
      </c>
      <c r="S590" t="n">
        <v>55292.3459</v>
      </c>
      <c r="T590" t="n">
        <v>11157.9358</v>
      </c>
      <c r="U590" t="n">
        <v>42241.1025</v>
      </c>
      <c r="V590" t="n">
        <v>0.8549330000000001</v>
      </c>
      <c r="W590" t="n">
        <v>3.236558</v>
      </c>
      <c r="X590" t="inlineStr">
        <is>
          <t>High</t>
        </is>
      </c>
      <c r="Y590" t="inlineStr">
        <is>
          <t>None</t>
        </is>
      </c>
      <c r="Z590" t="inlineStr">
        <is>
          <t>Valid</t>
        </is>
      </c>
      <c r="AA590" t="n">
        <v>2037</v>
      </c>
      <c r="AB590" t="inlineStr">
        <is>
          <t>Supplier Target Pathway</t>
        </is>
      </c>
      <c r="AC590" t="n">
        <v>15786.4995</v>
      </c>
      <c r="AD590" t="n">
        <v>7105.5034</v>
      </c>
      <c r="AE590" t="n">
        <v>7105.5034</v>
      </c>
      <c r="AF590" t="n">
        <v>7105.5034</v>
      </c>
      <c r="AG590" t="n">
        <v>8680.9961</v>
      </c>
      <c r="AH590" t="n">
        <v>0.0002683</v>
      </c>
      <c r="AI590" t="n">
        <v>0.5499000000000001</v>
      </c>
      <c r="AJ590" t="n">
        <v>0</v>
      </c>
      <c r="AK590" t="n">
        <v>542.5623000000001</v>
      </c>
      <c r="AL590" t="n">
        <v>-44051.9311</v>
      </c>
      <c r="AM590" t="n">
        <v>122212.4685</v>
      </c>
      <c r="AN590" t="n">
        <v>0.99</v>
      </c>
      <c r="AO590" t="inlineStr">
        <is>
          <t>Low</t>
        </is>
      </c>
      <c r="AP590" t="inlineStr">
        <is>
          <t>On Track</t>
        </is>
      </c>
    </row>
    <row r="591">
      <c r="A591" t="inlineStr">
        <is>
          <t>SUP-0037</t>
        </is>
      </c>
      <c r="B591" t="inlineStr">
        <is>
          <t>Agriculture Supplier 037</t>
        </is>
      </c>
      <c r="C591" t="inlineStr">
        <is>
          <t>Agriculture</t>
        </is>
      </c>
      <c r="D591" t="n">
        <v>2024</v>
      </c>
      <c r="E591" t="n">
        <v>2019</v>
      </c>
      <c r="F591" t="n">
        <v>2035</v>
      </c>
      <c r="G591" t="n">
        <v>13051.2434</v>
      </c>
      <c r="H591" t="n">
        <v>3284.9472</v>
      </c>
      <c r="I591" t="n">
        <v>1144.4694</v>
      </c>
      <c r="J591" t="n">
        <v>9280.322700000001</v>
      </c>
      <c r="K591" t="n">
        <v>26483300.15</v>
      </c>
      <c r="L591" t="n">
        <v>57053590.24</v>
      </c>
      <c r="M591" t="n">
        <v>13051.2434</v>
      </c>
      <c r="N591" t="inlineStr">
        <is>
          <t>Provided Total Emissions</t>
        </is>
      </c>
      <c r="O591" t="b">
        <v>1</v>
      </c>
      <c r="P591" t="n">
        <v>-0.042476</v>
      </c>
      <c r="Q591" t="n">
        <v>0.001549</v>
      </c>
      <c r="R591" t="n">
        <v>24209.1792</v>
      </c>
      <c r="S591" t="n">
        <v>55292.3459</v>
      </c>
      <c r="T591" t="n">
        <v>11157.9358</v>
      </c>
      <c r="U591" t="n">
        <v>42241.1025</v>
      </c>
      <c r="V591" t="n">
        <v>0.8549330000000001</v>
      </c>
      <c r="W591" t="n">
        <v>3.236558</v>
      </c>
      <c r="X591" t="inlineStr">
        <is>
          <t>High</t>
        </is>
      </c>
      <c r="Y591" t="inlineStr">
        <is>
          <t>None</t>
        </is>
      </c>
      <c r="Z591" t="inlineStr">
        <is>
          <t>Valid</t>
        </is>
      </c>
      <c r="AA591" t="n">
        <v>2038</v>
      </c>
      <c r="AB591" t="inlineStr">
        <is>
          <t>Supplier Target Pathway</t>
        </is>
      </c>
      <c r="AC591" t="n">
        <v>15786.4995</v>
      </c>
      <c r="AD591" t="n">
        <v>7105.5034</v>
      </c>
      <c r="AE591" t="n">
        <v>7105.5034</v>
      </c>
      <c r="AF591" t="n">
        <v>7105.5034</v>
      </c>
      <c r="AG591" t="n">
        <v>8680.9961</v>
      </c>
      <c r="AH591" t="n">
        <v>0.0002683</v>
      </c>
      <c r="AI591" t="n">
        <v>0.5499000000000001</v>
      </c>
      <c r="AJ591" t="n">
        <v>0</v>
      </c>
      <c r="AK591" t="n">
        <v>542.5623000000001</v>
      </c>
      <c r="AL591" t="n">
        <v>-51157.4345</v>
      </c>
      <c r="AM591" t="n">
        <v>129317.9719</v>
      </c>
      <c r="AN591" t="n">
        <v>0.99</v>
      </c>
      <c r="AO591" t="inlineStr">
        <is>
          <t>Low</t>
        </is>
      </c>
      <c r="AP591" t="inlineStr">
        <is>
          <t>On Track</t>
        </is>
      </c>
    </row>
    <row r="592">
      <c r="A592" t="inlineStr">
        <is>
          <t>SUP-0037</t>
        </is>
      </c>
      <c r="B592" t="inlineStr">
        <is>
          <t>Agriculture Supplier 037</t>
        </is>
      </c>
      <c r="C592" t="inlineStr">
        <is>
          <t>Agriculture</t>
        </is>
      </c>
      <c r="D592" t="n">
        <v>2024</v>
      </c>
      <c r="E592" t="n">
        <v>2019</v>
      </c>
      <c r="F592" t="n">
        <v>2035</v>
      </c>
      <c r="G592" t="n">
        <v>13051.2434</v>
      </c>
      <c r="H592" t="n">
        <v>3284.9472</v>
      </c>
      <c r="I592" t="n">
        <v>1144.4694</v>
      </c>
      <c r="J592" t="n">
        <v>9280.322700000001</v>
      </c>
      <c r="K592" t="n">
        <v>26483300.15</v>
      </c>
      <c r="L592" t="n">
        <v>57053590.24</v>
      </c>
      <c r="M592" t="n">
        <v>13051.2434</v>
      </c>
      <c r="N592" t="inlineStr">
        <is>
          <t>Provided Total Emissions</t>
        </is>
      </c>
      <c r="O592" t="b">
        <v>1</v>
      </c>
      <c r="P592" t="n">
        <v>-0.042476</v>
      </c>
      <c r="Q592" t="n">
        <v>0.001549</v>
      </c>
      <c r="R592" t="n">
        <v>24209.1792</v>
      </c>
      <c r="S592" t="n">
        <v>55292.3459</v>
      </c>
      <c r="T592" t="n">
        <v>11157.9358</v>
      </c>
      <c r="U592" t="n">
        <v>42241.1025</v>
      </c>
      <c r="V592" t="n">
        <v>0.8549330000000001</v>
      </c>
      <c r="W592" t="n">
        <v>3.236558</v>
      </c>
      <c r="X592" t="inlineStr">
        <is>
          <t>High</t>
        </is>
      </c>
      <c r="Y592" t="inlineStr">
        <is>
          <t>None</t>
        </is>
      </c>
      <c r="Z592" t="inlineStr">
        <is>
          <t>Valid</t>
        </is>
      </c>
      <c r="AA592" t="n">
        <v>2039</v>
      </c>
      <c r="AB592" t="inlineStr">
        <is>
          <t>Supplier Target Pathway</t>
        </is>
      </c>
      <c r="AC592" t="n">
        <v>15786.4995</v>
      </c>
      <c r="AD592" t="n">
        <v>7105.5034</v>
      </c>
      <c r="AE592" t="n">
        <v>7105.5034</v>
      </c>
      <c r="AF592" t="n">
        <v>7105.5034</v>
      </c>
      <c r="AG592" t="n">
        <v>8680.9961</v>
      </c>
      <c r="AH592" t="n">
        <v>0.0002683</v>
      </c>
      <c r="AI592" t="n">
        <v>0.5499000000000001</v>
      </c>
      <c r="AJ592" t="n">
        <v>0</v>
      </c>
      <c r="AK592" t="n">
        <v>542.5623000000001</v>
      </c>
      <c r="AL592" t="n">
        <v>-58262.9379</v>
      </c>
      <c r="AM592" t="n">
        <v>136423.4753</v>
      </c>
      <c r="AN592" t="n">
        <v>0.99</v>
      </c>
      <c r="AO592" t="inlineStr">
        <is>
          <t>Low</t>
        </is>
      </c>
      <c r="AP592" t="inlineStr">
        <is>
          <t>On Track</t>
        </is>
      </c>
    </row>
    <row r="593">
      <c r="A593" t="inlineStr">
        <is>
          <t>SUP-0037</t>
        </is>
      </c>
      <c r="B593" t="inlineStr">
        <is>
          <t>Agriculture Supplier 037</t>
        </is>
      </c>
      <c r="C593" t="inlineStr">
        <is>
          <t>Agriculture</t>
        </is>
      </c>
      <c r="D593" t="n">
        <v>2024</v>
      </c>
      <c r="E593" t="n">
        <v>2019</v>
      </c>
      <c r="F593" t="n">
        <v>2035</v>
      </c>
      <c r="G593" t="n">
        <v>13051.2434</v>
      </c>
      <c r="H593" t="n">
        <v>3284.9472</v>
      </c>
      <c r="I593" t="n">
        <v>1144.4694</v>
      </c>
      <c r="J593" t="n">
        <v>9280.322700000001</v>
      </c>
      <c r="K593" t="n">
        <v>26483300.15</v>
      </c>
      <c r="L593" t="n">
        <v>57053590.24</v>
      </c>
      <c r="M593" t="n">
        <v>13051.2434</v>
      </c>
      <c r="N593" t="inlineStr">
        <is>
          <t>Provided Total Emissions</t>
        </is>
      </c>
      <c r="O593" t="b">
        <v>1</v>
      </c>
      <c r="P593" t="n">
        <v>-0.042476</v>
      </c>
      <c r="Q593" t="n">
        <v>0.001549</v>
      </c>
      <c r="R593" t="n">
        <v>24209.1792</v>
      </c>
      <c r="S593" t="n">
        <v>55292.3459</v>
      </c>
      <c r="T593" t="n">
        <v>11157.9358</v>
      </c>
      <c r="U593" t="n">
        <v>42241.1025</v>
      </c>
      <c r="V593" t="n">
        <v>0.8549330000000001</v>
      </c>
      <c r="W593" t="n">
        <v>3.236558</v>
      </c>
      <c r="X593" t="inlineStr">
        <is>
          <t>High</t>
        </is>
      </c>
      <c r="Y593" t="inlineStr">
        <is>
          <t>None</t>
        </is>
      </c>
      <c r="Z593" t="inlineStr">
        <is>
          <t>Valid</t>
        </is>
      </c>
      <c r="AA593" t="n">
        <v>2040</v>
      </c>
      <c r="AB593" t="inlineStr">
        <is>
          <t>Supplier Target Pathway</t>
        </is>
      </c>
      <c r="AC593" t="n">
        <v>15786.4995</v>
      </c>
      <c r="AD593" t="n">
        <v>7105.5034</v>
      </c>
      <c r="AE593" t="n">
        <v>7105.5034</v>
      </c>
      <c r="AF593" t="n">
        <v>7105.5034</v>
      </c>
      <c r="AG593" t="n">
        <v>8680.9961</v>
      </c>
      <c r="AH593" t="n">
        <v>0.0002683</v>
      </c>
      <c r="AI593" t="n">
        <v>0.5499000000000001</v>
      </c>
      <c r="AJ593" t="n">
        <v>0</v>
      </c>
      <c r="AK593" t="n">
        <v>542.5623000000001</v>
      </c>
      <c r="AL593" t="n">
        <v>-65368.4413</v>
      </c>
      <c r="AM593" t="n">
        <v>143528.9787</v>
      </c>
      <c r="AN593" t="n">
        <v>0.99</v>
      </c>
      <c r="AO593" t="inlineStr">
        <is>
          <t>Low</t>
        </is>
      </c>
      <c r="AP593" t="inlineStr">
        <is>
          <t>On Track</t>
        </is>
      </c>
    </row>
    <row r="594">
      <c r="A594" t="inlineStr">
        <is>
          <t>SUP-0038</t>
        </is>
      </c>
      <c r="B594" t="inlineStr">
        <is>
          <t>Agriculture Supplier 038</t>
        </is>
      </c>
      <c r="C594" t="inlineStr">
        <is>
          <t>Agriculture</t>
        </is>
      </c>
      <c r="D594" t="n">
        <v>2024</v>
      </c>
      <c r="E594" t="n">
        <v>2020</v>
      </c>
      <c r="F594" t="n">
        <v>2040</v>
      </c>
      <c r="G594" t="n">
        <v>16071.1844</v>
      </c>
      <c r="H594" t="n">
        <v>2142.4139</v>
      </c>
      <c r="I594" t="n">
        <v>2355.7957</v>
      </c>
      <c r="J594" t="n">
        <v>10997.5378</v>
      </c>
      <c r="K594" t="n">
        <v>13831452.9</v>
      </c>
      <c r="L594" t="n">
        <v>33834276.85</v>
      </c>
      <c r="M594" t="n">
        <v>16071.1844</v>
      </c>
      <c r="N594" t="inlineStr">
        <is>
          <t>Provided Total Emissions</t>
        </is>
      </c>
      <c r="O594" t="b">
        <v>1</v>
      </c>
      <c r="P594" t="n">
        <v>-0.038473</v>
      </c>
      <c r="Q594" t="n">
        <v>-0.007531</v>
      </c>
      <c r="R594" t="n">
        <v>12643.746</v>
      </c>
      <c r="S594" t="n">
        <v>32789.8127</v>
      </c>
      <c r="T594" t="n">
        <v>-3427.4384</v>
      </c>
      <c r="U594" t="n">
        <v>16718.6283</v>
      </c>
      <c r="V594" t="n">
        <v>-0.213266</v>
      </c>
      <c r="W594" t="n">
        <v>1.040286</v>
      </c>
      <c r="X594" t="inlineStr">
        <is>
          <t>High</t>
        </is>
      </c>
      <c r="Y594" t="inlineStr">
        <is>
          <t>None</t>
        </is>
      </c>
      <c r="Z594" t="inlineStr">
        <is>
          <t>Valid</t>
        </is>
      </c>
      <c r="AA594" t="n">
        <v>2025</v>
      </c>
      <c r="AB594" t="inlineStr">
        <is>
          <t>Supplier Target Pathway</t>
        </is>
      </c>
      <c r="AC594" t="n">
        <v>13839.7149</v>
      </c>
      <c r="AD594" t="n">
        <v>4406.5652</v>
      </c>
      <c r="AE594" t="n">
        <v>11481.4275</v>
      </c>
      <c r="AF594" t="n">
        <v>11481.4275</v>
      </c>
      <c r="AG594" t="n">
        <v>2358.2874</v>
      </c>
      <c r="AH594" t="n">
        <v>0.0008301</v>
      </c>
      <c r="AI594" t="n">
        <v>0.1704</v>
      </c>
      <c r="AJ594" t="n">
        <v>7074.8623</v>
      </c>
      <c r="AK594" t="n">
        <v>471.6575</v>
      </c>
      <c r="AL594" t="n">
        <v>59023.6157</v>
      </c>
      <c r="AM594" t="n">
        <v>11481.4275</v>
      </c>
      <c r="AN594" t="n">
        <v>0.99</v>
      </c>
      <c r="AO594" t="inlineStr">
        <is>
          <t>Critical</t>
        </is>
      </c>
      <c r="AP594" t="inlineStr">
        <is>
          <t>On Track to Glide Path</t>
        </is>
      </c>
    </row>
    <row r="595">
      <c r="A595" t="inlineStr">
        <is>
          <t>SUP-0038</t>
        </is>
      </c>
      <c r="B595" t="inlineStr">
        <is>
          <t>Agriculture Supplier 038</t>
        </is>
      </c>
      <c r="C595" t="inlineStr">
        <is>
          <t>Agriculture</t>
        </is>
      </c>
      <c r="D595" t="n">
        <v>2024</v>
      </c>
      <c r="E595" t="n">
        <v>2020</v>
      </c>
      <c r="F595" t="n">
        <v>2040</v>
      </c>
      <c r="G595" t="n">
        <v>16071.1844</v>
      </c>
      <c r="H595" t="n">
        <v>2142.4139</v>
      </c>
      <c r="I595" t="n">
        <v>2355.7957</v>
      </c>
      <c r="J595" t="n">
        <v>10997.5378</v>
      </c>
      <c r="K595" t="n">
        <v>13831452.9</v>
      </c>
      <c r="L595" t="n">
        <v>33834276.85</v>
      </c>
      <c r="M595" t="n">
        <v>16071.1844</v>
      </c>
      <c r="N595" t="inlineStr">
        <is>
          <t>Provided Total Emissions</t>
        </is>
      </c>
      <c r="O595" t="b">
        <v>1</v>
      </c>
      <c r="P595" t="n">
        <v>-0.038473</v>
      </c>
      <c r="Q595" t="n">
        <v>-0.007531</v>
      </c>
      <c r="R595" t="n">
        <v>12643.746</v>
      </c>
      <c r="S595" t="n">
        <v>32789.8127</v>
      </c>
      <c r="T595" t="n">
        <v>-3427.4384</v>
      </c>
      <c r="U595" t="n">
        <v>16718.6283</v>
      </c>
      <c r="V595" t="n">
        <v>-0.213266</v>
      </c>
      <c r="W595" t="n">
        <v>1.040286</v>
      </c>
      <c r="X595" t="inlineStr">
        <is>
          <t>High</t>
        </is>
      </c>
      <c r="Y595" t="inlineStr">
        <is>
          <t>None</t>
        </is>
      </c>
      <c r="Z595" t="inlineStr">
        <is>
          <t>Valid</t>
        </is>
      </c>
      <c r="AA595" t="n">
        <v>2026</v>
      </c>
      <c r="AB595" t="inlineStr">
        <is>
          <t>Supplier Target Pathway</t>
        </is>
      </c>
      <c r="AC595" t="n">
        <v>13839.7149</v>
      </c>
      <c r="AD595" t="n">
        <v>4406.5652</v>
      </c>
      <c r="AE595" t="n">
        <v>11009.77</v>
      </c>
      <c r="AF595" t="n">
        <v>11009.77</v>
      </c>
      <c r="AG595" t="n">
        <v>2829.9449</v>
      </c>
      <c r="AH595" t="n">
        <v>0.000796</v>
      </c>
      <c r="AI595" t="n">
        <v>0.20448</v>
      </c>
      <c r="AJ595" t="n">
        <v>6603.2048</v>
      </c>
      <c r="AK595" t="n">
        <v>471.6575</v>
      </c>
      <c r="AL595" t="n">
        <v>48013.8457</v>
      </c>
      <c r="AM595" t="n">
        <v>22491.1975</v>
      </c>
      <c r="AN595" t="n">
        <v>0.99</v>
      </c>
      <c r="AO595" t="inlineStr">
        <is>
          <t>Critical</t>
        </is>
      </c>
      <c r="AP595" t="inlineStr">
        <is>
          <t>On Track to Glide Path</t>
        </is>
      </c>
    </row>
    <row r="596">
      <c r="A596" t="inlineStr">
        <is>
          <t>SUP-0038</t>
        </is>
      </c>
      <c r="B596" t="inlineStr">
        <is>
          <t>Agriculture Supplier 038</t>
        </is>
      </c>
      <c r="C596" t="inlineStr">
        <is>
          <t>Agriculture</t>
        </is>
      </c>
      <c r="D596" t="n">
        <v>2024</v>
      </c>
      <c r="E596" t="n">
        <v>2020</v>
      </c>
      <c r="F596" t="n">
        <v>2040</v>
      </c>
      <c r="G596" t="n">
        <v>16071.1844</v>
      </c>
      <c r="H596" t="n">
        <v>2142.4139</v>
      </c>
      <c r="I596" t="n">
        <v>2355.7957</v>
      </c>
      <c r="J596" t="n">
        <v>10997.5378</v>
      </c>
      <c r="K596" t="n">
        <v>13831452.9</v>
      </c>
      <c r="L596" t="n">
        <v>33834276.85</v>
      </c>
      <c r="M596" t="n">
        <v>16071.1844</v>
      </c>
      <c r="N596" t="inlineStr">
        <is>
          <t>Provided Total Emissions</t>
        </is>
      </c>
      <c r="O596" t="b">
        <v>1</v>
      </c>
      <c r="P596" t="n">
        <v>-0.038473</v>
      </c>
      <c r="Q596" t="n">
        <v>-0.007531</v>
      </c>
      <c r="R596" t="n">
        <v>12643.746</v>
      </c>
      <c r="S596" t="n">
        <v>32789.8127</v>
      </c>
      <c r="T596" t="n">
        <v>-3427.4384</v>
      </c>
      <c r="U596" t="n">
        <v>16718.6283</v>
      </c>
      <c r="V596" t="n">
        <v>-0.213266</v>
      </c>
      <c r="W596" t="n">
        <v>1.040286</v>
      </c>
      <c r="X596" t="inlineStr">
        <is>
          <t>High</t>
        </is>
      </c>
      <c r="Y596" t="inlineStr">
        <is>
          <t>None</t>
        </is>
      </c>
      <c r="Z596" t="inlineStr">
        <is>
          <t>Valid</t>
        </is>
      </c>
      <c r="AA596" t="n">
        <v>2027</v>
      </c>
      <c r="AB596" t="inlineStr">
        <is>
          <t>Supplier Target Pathway</t>
        </is>
      </c>
      <c r="AC596" t="n">
        <v>13839.7149</v>
      </c>
      <c r="AD596" t="n">
        <v>4406.5652</v>
      </c>
      <c r="AE596" t="n">
        <v>10538.1125</v>
      </c>
      <c r="AF596" t="n">
        <v>10538.1125</v>
      </c>
      <c r="AG596" t="n">
        <v>3301.6024</v>
      </c>
      <c r="AH596" t="n">
        <v>0.00076189</v>
      </c>
      <c r="AI596" t="n">
        <v>0.23856</v>
      </c>
      <c r="AJ596" t="n">
        <v>6131.5473</v>
      </c>
      <c r="AK596" t="n">
        <v>471.6575</v>
      </c>
      <c r="AL596" t="n">
        <v>37475.7332</v>
      </c>
      <c r="AM596" t="n">
        <v>33029.31</v>
      </c>
      <c r="AN596" t="n">
        <v>0.99</v>
      </c>
      <c r="AO596" t="inlineStr">
        <is>
          <t>Critical</t>
        </is>
      </c>
      <c r="AP596" t="inlineStr">
        <is>
          <t>On Track to Glide Path</t>
        </is>
      </c>
    </row>
    <row r="597">
      <c r="A597" t="inlineStr">
        <is>
          <t>SUP-0038</t>
        </is>
      </c>
      <c r="B597" t="inlineStr">
        <is>
          <t>Agriculture Supplier 038</t>
        </is>
      </c>
      <c r="C597" t="inlineStr">
        <is>
          <t>Agriculture</t>
        </is>
      </c>
      <c r="D597" t="n">
        <v>2024</v>
      </c>
      <c r="E597" t="n">
        <v>2020</v>
      </c>
      <c r="F597" t="n">
        <v>2040</v>
      </c>
      <c r="G597" t="n">
        <v>16071.1844</v>
      </c>
      <c r="H597" t="n">
        <v>2142.4139</v>
      </c>
      <c r="I597" t="n">
        <v>2355.7957</v>
      </c>
      <c r="J597" t="n">
        <v>10997.5378</v>
      </c>
      <c r="K597" t="n">
        <v>13831452.9</v>
      </c>
      <c r="L597" t="n">
        <v>33834276.85</v>
      </c>
      <c r="M597" t="n">
        <v>16071.1844</v>
      </c>
      <c r="N597" t="inlineStr">
        <is>
          <t>Provided Total Emissions</t>
        </is>
      </c>
      <c r="O597" t="b">
        <v>1</v>
      </c>
      <c r="P597" t="n">
        <v>-0.038473</v>
      </c>
      <c r="Q597" t="n">
        <v>-0.007531</v>
      </c>
      <c r="R597" t="n">
        <v>12643.746</v>
      </c>
      <c r="S597" t="n">
        <v>32789.8127</v>
      </c>
      <c r="T597" t="n">
        <v>-3427.4384</v>
      </c>
      <c r="U597" t="n">
        <v>16718.6283</v>
      </c>
      <c r="V597" t="n">
        <v>-0.213266</v>
      </c>
      <c r="W597" t="n">
        <v>1.040286</v>
      </c>
      <c r="X597" t="inlineStr">
        <is>
          <t>High</t>
        </is>
      </c>
      <c r="Y597" t="inlineStr">
        <is>
          <t>None</t>
        </is>
      </c>
      <c r="Z597" t="inlineStr">
        <is>
          <t>Valid</t>
        </is>
      </c>
      <c r="AA597" t="n">
        <v>2028</v>
      </c>
      <c r="AB597" t="inlineStr">
        <is>
          <t>Supplier Target Pathway</t>
        </is>
      </c>
      <c r="AC597" t="n">
        <v>13839.7149</v>
      </c>
      <c r="AD597" t="n">
        <v>4406.5652</v>
      </c>
      <c r="AE597" t="n">
        <v>10066.455</v>
      </c>
      <c r="AF597" t="n">
        <v>10066.455</v>
      </c>
      <c r="AG597" t="n">
        <v>3773.2599</v>
      </c>
      <c r="AH597" t="n">
        <v>0.00072779</v>
      </c>
      <c r="AI597" t="n">
        <v>0.27264</v>
      </c>
      <c r="AJ597" t="n">
        <v>5659.8898</v>
      </c>
      <c r="AK597" t="n">
        <v>471.6575</v>
      </c>
      <c r="AL597" t="n">
        <v>27409.2782</v>
      </c>
      <c r="AM597" t="n">
        <v>43095.765</v>
      </c>
      <c r="AN597" t="n">
        <v>0.99</v>
      </c>
      <c r="AO597" t="inlineStr">
        <is>
          <t>Critical</t>
        </is>
      </c>
      <c r="AP597" t="inlineStr">
        <is>
          <t>On Track to Glide Path</t>
        </is>
      </c>
    </row>
    <row r="598">
      <c r="A598" t="inlineStr">
        <is>
          <t>SUP-0038</t>
        </is>
      </c>
      <c r="B598" t="inlineStr">
        <is>
          <t>Agriculture Supplier 038</t>
        </is>
      </c>
      <c r="C598" t="inlineStr">
        <is>
          <t>Agriculture</t>
        </is>
      </c>
      <c r="D598" t="n">
        <v>2024</v>
      </c>
      <c r="E598" t="n">
        <v>2020</v>
      </c>
      <c r="F598" t="n">
        <v>2040</v>
      </c>
      <c r="G598" t="n">
        <v>16071.1844</v>
      </c>
      <c r="H598" t="n">
        <v>2142.4139</v>
      </c>
      <c r="I598" t="n">
        <v>2355.7957</v>
      </c>
      <c r="J598" t="n">
        <v>10997.5378</v>
      </c>
      <c r="K598" t="n">
        <v>13831452.9</v>
      </c>
      <c r="L598" t="n">
        <v>33834276.85</v>
      </c>
      <c r="M598" t="n">
        <v>16071.1844</v>
      </c>
      <c r="N598" t="inlineStr">
        <is>
          <t>Provided Total Emissions</t>
        </is>
      </c>
      <c r="O598" t="b">
        <v>1</v>
      </c>
      <c r="P598" t="n">
        <v>-0.038473</v>
      </c>
      <c r="Q598" t="n">
        <v>-0.007531</v>
      </c>
      <c r="R598" t="n">
        <v>12643.746</v>
      </c>
      <c r="S598" t="n">
        <v>32789.8127</v>
      </c>
      <c r="T598" t="n">
        <v>-3427.4384</v>
      </c>
      <c r="U598" t="n">
        <v>16718.6283</v>
      </c>
      <c r="V598" t="n">
        <v>-0.213266</v>
      </c>
      <c r="W598" t="n">
        <v>1.040286</v>
      </c>
      <c r="X598" t="inlineStr">
        <is>
          <t>High</t>
        </is>
      </c>
      <c r="Y598" t="inlineStr">
        <is>
          <t>None</t>
        </is>
      </c>
      <c r="Z598" t="inlineStr">
        <is>
          <t>Valid</t>
        </is>
      </c>
      <c r="AA598" t="n">
        <v>2029</v>
      </c>
      <c r="AB598" t="inlineStr">
        <is>
          <t>Supplier Target Pathway</t>
        </is>
      </c>
      <c r="AC598" t="n">
        <v>13839.7149</v>
      </c>
      <c r="AD598" t="n">
        <v>4406.5652</v>
      </c>
      <c r="AE598" t="n">
        <v>9594.797500000001</v>
      </c>
      <c r="AF598" t="n">
        <v>9594.797500000001</v>
      </c>
      <c r="AG598" t="n">
        <v>4244.9174</v>
      </c>
      <c r="AH598" t="n">
        <v>0.00069369</v>
      </c>
      <c r="AI598" t="n">
        <v>0.30672</v>
      </c>
      <c r="AJ598" t="n">
        <v>5188.2323</v>
      </c>
      <c r="AK598" t="n">
        <v>471.6575</v>
      </c>
      <c r="AL598" t="n">
        <v>17814.4807</v>
      </c>
      <c r="AM598" t="n">
        <v>52690.5625</v>
      </c>
      <c r="AN598" t="n">
        <v>0.99</v>
      </c>
      <c r="AO598" t="inlineStr">
        <is>
          <t>Critical</t>
        </is>
      </c>
      <c r="AP598" t="inlineStr">
        <is>
          <t>On Track to Glide Path</t>
        </is>
      </c>
    </row>
    <row r="599">
      <c r="A599" t="inlineStr">
        <is>
          <t>SUP-0038</t>
        </is>
      </c>
      <c r="B599" t="inlineStr">
        <is>
          <t>Agriculture Supplier 038</t>
        </is>
      </c>
      <c r="C599" t="inlineStr">
        <is>
          <t>Agriculture</t>
        </is>
      </c>
      <c r="D599" t="n">
        <v>2024</v>
      </c>
      <c r="E599" t="n">
        <v>2020</v>
      </c>
      <c r="F599" t="n">
        <v>2040</v>
      </c>
      <c r="G599" t="n">
        <v>16071.1844</v>
      </c>
      <c r="H599" t="n">
        <v>2142.4139</v>
      </c>
      <c r="I599" t="n">
        <v>2355.7957</v>
      </c>
      <c r="J599" t="n">
        <v>10997.5378</v>
      </c>
      <c r="K599" t="n">
        <v>13831452.9</v>
      </c>
      <c r="L599" t="n">
        <v>33834276.85</v>
      </c>
      <c r="M599" t="n">
        <v>16071.1844</v>
      </c>
      <c r="N599" t="inlineStr">
        <is>
          <t>Provided Total Emissions</t>
        </is>
      </c>
      <c r="O599" t="b">
        <v>1</v>
      </c>
      <c r="P599" t="n">
        <v>-0.038473</v>
      </c>
      <c r="Q599" t="n">
        <v>-0.007531</v>
      </c>
      <c r="R599" t="n">
        <v>12643.746</v>
      </c>
      <c r="S599" t="n">
        <v>32789.8127</v>
      </c>
      <c r="T599" t="n">
        <v>-3427.4384</v>
      </c>
      <c r="U599" t="n">
        <v>16718.6283</v>
      </c>
      <c r="V599" t="n">
        <v>-0.213266</v>
      </c>
      <c r="W599" t="n">
        <v>1.040286</v>
      </c>
      <c r="X599" t="inlineStr">
        <is>
          <t>High</t>
        </is>
      </c>
      <c r="Y599" t="inlineStr">
        <is>
          <t>None</t>
        </is>
      </c>
      <c r="Z599" t="inlineStr">
        <is>
          <t>Valid</t>
        </is>
      </c>
      <c r="AA599" t="n">
        <v>2030</v>
      </c>
      <c r="AB599" t="inlineStr">
        <is>
          <t>Supplier Target Pathway</t>
        </is>
      </c>
      <c r="AC599" t="n">
        <v>13839.7149</v>
      </c>
      <c r="AD599" t="n">
        <v>4406.5652</v>
      </c>
      <c r="AE599" t="n">
        <v>9123.140100000001</v>
      </c>
      <c r="AF599" t="n">
        <v>9123.140100000001</v>
      </c>
      <c r="AG599" t="n">
        <v>4716.5748</v>
      </c>
      <c r="AH599" t="n">
        <v>0.00065959</v>
      </c>
      <c r="AI599" t="n">
        <v>0.3408</v>
      </c>
      <c r="AJ599" t="n">
        <v>4716.5748</v>
      </c>
      <c r="AK599" t="n">
        <v>471.6575</v>
      </c>
      <c r="AL599" t="n">
        <v>8691.3406</v>
      </c>
      <c r="AM599" t="n">
        <v>61813.7026</v>
      </c>
      <c r="AN599" t="n">
        <v>0.99</v>
      </c>
      <c r="AO599" t="inlineStr">
        <is>
          <t>Critical</t>
        </is>
      </c>
      <c r="AP599" t="inlineStr">
        <is>
          <t>On Track to Glide Path</t>
        </is>
      </c>
    </row>
    <row r="600">
      <c r="A600" t="inlineStr">
        <is>
          <t>SUP-0038</t>
        </is>
      </c>
      <c r="B600" t="inlineStr">
        <is>
          <t>Agriculture Supplier 038</t>
        </is>
      </c>
      <c r="C600" t="inlineStr">
        <is>
          <t>Agriculture</t>
        </is>
      </c>
      <c r="D600" t="n">
        <v>2024</v>
      </c>
      <c r="E600" t="n">
        <v>2020</v>
      </c>
      <c r="F600" t="n">
        <v>2040</v>
      </c>
      <c r="G600" t="n">
        <v>16071.1844</v>
      </c>
      <c r="H600" t="n">
        <v>2142.4139</v>
      </c>
      <c r="I600" t="n">
        <v>2355.7957</v>
      </c>
      <c r="J600" t="n">
        <v>10997.5378</v>
      </c>
      <c r="K600" t="n">
        <v>13831452.9</v>
      </c>
      <c r="L600" t="n">
        <v>33834276.85</v>
      </c>
      <c r="M600" t="n">
        <v>16071.1844</v>
      </c>
      <c r="N600" t="inlineStr">
        <is>
          <t>Provided Total Emissions</t>
        </is>
      </c>
      <c r="O600" t="b">
        <v>1</v>
      </c>
      <c r="P600" t="n">
        <v>-0.038473</v>
      </c>
      <c r="Q600" t="n">
        <v>-0.007531</v>
      </c>
      <c r="R600" t="n">
        <v>12643.746</v>
      </c>
      <c r="S600" t="n">
        <v>32789.8127</v>
      </c>
      <c r="T600" t="n">
        <v>-3427.4384</v>
      </c>
      <c r="U600" t="n">
        <v>16718.6283</v>
      </c>
      <c r="V600" t="n">
        <v>-0.213266</v>
      </c>
      <c r="W600" t="n">
        <v>1.040286</v>
      </c>
      <c r="X600" t="inlineStr">
        <is>
          <t>High</t>
        </is>
      </c>
      <c r="Y600" t="inlineStr">
        <is>
          <t>None</t>
        </is>
      </c>
      <c r="Z600" t="inlineStr">
        <is>
          <t>Valid</t>
        </is>
      </c>
      <c r="AA600" t="n">
        <v>2031</v>
      </c>
      <c r="AB600" t="inlineStr">
        <is>
          <t>Supplier Target Pathway</t>
        </is>
      </c>
      <c r="AC600" t="n">
        <v>13839.7149</v>
      </c>
      <c r="AD600" t="n">
        <v>4406.5652</v>
      </c>
      <c r="AE600" t="n">
        <v>8651.482599999999</v>
      </c>
      <c r="AF600" t="n">
        <v>8651.482599999999</v>
      </c>
      <c r="AG600" t="n">
        <v>5188.2323</v>
      </c>
      <c r="AH600" t="n">
        <v>0.00062549</v>
      </c>
      <c r="AI600" t="n">
        <v>0.37488</v>
      </c>
      <c r="AJ600" t="n">
        <v>4244.9174</v>
      </c>
      <c r="AK600" t="n">
        <v>471.6575</v>
      </c>
      <c r="AL600" t="n">
        <v>39.858</v>
      </c>
      <c r="AM600" t="n">
        <v>70465.18520000001</v>
      </c>
      <c r="AN600" t="n">
        <v>0.99</v>
      </c>
      <c r="AO600" t="inlineStr">
        <is>
          <t>Critical</t>
        </is>
      </c>
      <c r="AP600" t="inlineStr">
        <is>
          <t>On Track to Glide Path</t>
        </is>
      </c>
    </row>
    <row r="601">
      <c r="A601" t="inlineStr">
        <is>
          <t>SUP-0038</t>
        </is>
      </c>
      <c r="B601" t="inlineStr">
        <is>
          <t>Agriculture Supplier 038</t>
        </is>
      </c>
      <c r="C601" t="inlineStr">
        <is>
          <t>Agriculture</t>
        </is>
      </c>
      <c r="D601" t="n">
        <v>2024</v>
      </c>
      <c r="E601" t="n">
        <v>2020</v>
      </c>
      <c r="F601" t="n">
        <v>2040</v>
      </c>
      <c r="G601" t="n">
        <v>16071.1844</v>
      </c>
      <c r="H601" t="n">
        <v>2142.4139</v>
      </c>
      <c r="I601" t="n">
        <v>2355.7957</v>
      </c>
      <c r="J601" t="n">
        <v>10997.5378</v>
      </c>
      <c r="K601" t="n">
        <v>13831452.9</v>
      </c>
      <c r="L601" t="n">
        <v>33834276.85</v>
      </c>
      <c r="M601" t="n">
        <v>16071.1844</v>
      </c>
      <c r="N601" t="inlineStr">
        <is>
          <t>Provided Total Emissions</t>
        </is>
      </c>
      <c r="O601" t="b">
        <v>1</v>
      </c>
      <c r="P601" t="n">
        <v>-0.038473</v>
      </c>
      <c r="Q601" t="n">
        <v>-0.007531</v>
      </c>
      <c r="R601" t="n">
        <v>12643.746</v>
      </c>
      <c r="S601" t="n">
        <v>32789.8127</v>
      </c>
      <c r="T601" t="n">
        <v>-3427.4384</v>
      </c>
      <c r="U601" t="n">
        <v>16718.6283</v>
      </c>
      <c r="V601" t="n">
        <v>-0.213266</v>
      </c>
      <c r="W601" t="n">
        <v>1.040286</v>
      </c>
      <c r="X601" t="inlineStr">
        <is>
          <t>High</t>
        </is>
      </c>
      <c r="Y601" t="inlineStr">
        <is>
          <t>None</t>
        </is>
      </c>
      <c r="Z601" t="inlineStr">
        <is>
          <t>Valid</t>
        </is>
      </c>
      <c r="AA601" t="n">
        <v>2032</v>
      </c>
      <c r="AB601" t="inlineStr">
        <is>
          <t>Supplier Target Pathway</t>
        </is>
      </c>
      <c r="AC601" t="n">
        <v>13839.7149</v>
      </c>
      <c r="AD601" t="n">
        <v>4406.5652</v>
      </c>
      <c r="AE601" t="n">
        <v>8179.8251</v>
      </c>
      <c r="AF601" t="n">
        <v>8179.8251</v>
      </c>
      <c r="AG601" t="n">
        <v>5659.8898</v>
      </c>
      <c r="AH601" t="n">
        <v>0.00059139</v>
      </c>
      <c r="AI601" t="n">
        <v>0.40896</v>
      </c>
      <c r="AJ601" t="n">
        <v>3773.2599</v>
      </c>
      <c r="AK601" t="n">
        <v>471.6575</v>
      </c>
      <c r="AL601" t="n">
        <v>-8139.9671</v>
      </c>
      <c r="AM601" t="n">
        <v>78645.01029999999</v>
      </c>
      <c r="AN601" t="n">
        <v>0.99</v>
      </c>
      <c r="AO601" t="inlineStr">
        <is>
          <t>Critical</t>
        </is>
      </c>
      <c r="AP601" t="inlineStr">
        <is>
          <t>On Track to Glide Path</t>
        </is>
      </c>
    </row>
    <row r="602">
      <c r="A602" t="inlineStr">
        <is>
          <t>SUP-0038</t>
        </is>
      </c>
      <c r="B602" t="inlineStr">
        <is>
          <t>Agriculture Supplier 038</t>
        </is>
      </c>
      <c r="C602" t="inlineStr">
        <is>
          <t>Agriculture</t>
        </is>
      </c>
      <c r="D602" t="n">
        <v>2024</v>
      </c>
      <c r="E602" t="n">
        <v>2020</v>
      </c>
      <c r="F602" t="n">
        <v>2040</v>
      </c>
      <c r="G602" t="n">
        <v>16071.1844</v>
      </c>
      <c r="H602" t="n">
        <v>2142.4139</v>
      </c>
      <c r="I602" t="n">
        <v>2355.7957</v>
      </c>
      <c r="J602" t="n">
        <v>10997.5378</v>
      </c>
      <c r="K602" t="n">
        <v>13831452.9</v>
      </c>
      <c r="L602" t="n">
        <v>33834276.85</v>
      </c>
      <c r="M602" t="n">
        <v>16071.1844</v>
      </c>
      <c r="N602" t="inlineStr">
        <is>
          <t>Provided Total Emissions</t>
        </is>
      </c>
      <c r="O602" t="b">
        <v>1</v>
      </c>
      <c r="P602" t="n">
        <v>-0.038473</v>
      </c>
      <c r="Q602" t="n">
        <v>-0.007531</v>
      </c>
      <c r="R602" t="n">
        <v>12643.746</v>
      </c>
      <c r="S602" t="n">
        <v>32789.8127</v>
      </c>
      <c r="T602" t="n">
        <v>-3427.4384</v>
      </c>
      <c r="U602" t="n">
        <v>16718.6283</v>
      </c>
      <c r="V602" t="n">
        <v>-0.213266</v>
      </c>
      <c r="W602" t="n">
        <v>1.040286</v>
      </c>
      <c r="X602" t="inlineStr">
        <is>
          <t>High</t>
        </is>
      </c>
      <c r="Y602" t="inlineStr">
        <is>
          <t>None</t>
        </is>
      </c>
      <c r="Z602" t="inlineStr">
        <is>
          <t>Valid</t>
        </is>
      </c>
      <c r="AA602" t="n">
        <v>2033</v>
      </c>
      <c r="AB602" t="inlineStr">
        <is>
          <t>Supplier Target Pathway</t>
        </is>
      </c>
      <c r="AC602" t="n">
        <v>13839.7149</v>
      </c>
      <c r="AD602" t="n">
        <v>4406.5652</v>
      </c>
      <c r="AE602" t="n">
        <v>7708.1676</v>
      </c>
      <c r="AF602" t="n">
        <v>7708.1676</v>
      </c>
      <c r="AG602" t="n">
        <v>6131.5473</v>
      </c>
      <c r="AH602" t="n">
        <v>0.00055729</v>
      </c>
      <c r="AI602" t="n">
        <v>0.44304</v>
      </c>
      <c r="AJ602" t="n">
        <v>3301.6024</v>
      </c>
      <c r="AK602" t="n">
        <v>471.6575</v>
      </c>
      <c r="AL602" t="n">
        <v>-15848.1347</v>
      </c>
      <c r="AM602" t="n">
        <v>86353.1779</v>
      </c>
      <c r="AN602" t="n">
        <v>0.99</v>
      </c>
      <c r="AO602" t="inlineStr">
        <is>
          <t>Critical</t>
        </is>
      </c>
      <c r="AP602" t="inlineStr">
        <is>
          <t>On Track to Glide Path</t>
        </is>
      </c>
    </row>
    <row r="603">
      <c r="A603" t="inlineStr">
        <is>
          <t>SUP-0038</t>
        </is>
      </c>
      <c r="B603" t="inlineStr">
        <is>
          <t>Agriculture Supplier 038</t>
        </is>
      </c>
      <c r="C603" t="inlineStr">
        <is>
          <t>Agriculture</t>
        </is>
      </c>
      <c r="D603" t="n">
        <v>2024</v>
      </c>
      <c r="E603" t="n">
        <v>2020</v>
      </c>
      <c r="F603" t="n">
        <v>2040</v>
      </c>
      <c r="G603" t="n">
        <v>16071.1844</v>
      </c>
      <c r="H603" t="n">
        <v>2142.4139</v>
      </c>
      <c r="I603" t="n">
        <v>2355.7957</v>
      </c>
      <c r="J603" t="n">
        <v>10997.5378</v>
      </c>
      <c r="K603" t="n">
        <v>13831452.9</v>
      </c>
      <c r="L603" t="n">
        <v>33834276.85</v>
      </c>
      <c r="M603" t="n">
        <v>16071.1844</v>
      </c>
      <c r="N603" t="inlineStr">
        <is>
          <t>Provided Total Emissions</t>
        </is>
      </c>
      <c r="O603" t="b">
        <v>1</v>
      </c>
      <c r="P603" t="n">
        <v>-0.038473</v>
      </c>
      <c r="Q603" t="n">
        <v>-0.007531</v>
      </c>
      <c r="R603" t="n">
        <v>12643.746</v>
      </c>
      <c r="S603" t="n">
        <v>32789.8127</v>
      </c>
      <c r="T603" t="n">
        <v>-3427.4384</v>
      </c>
      <c r="U603" t="n">
        <v>16718.6283</v>
      </c>
      <c r="V603" t="n">
        <v>-0.213266</v>
      </c>
      <c r="W603" t="n">
        <v>1.040286</v>
      </c>
      <c r="X603" t="inlineStr">
        <is>
          <t>High</t>
        </is>
      </c>
      <c r="Y603" t="inlineStr">
        <is>
          <t>None</t>
        </is>
      </c>
      <c r="Z603" t="inlineStr">
        <is>
          <t>Valid</t>
        </is>
      </c>
      <c r="AA603" t="n">
        <v>2034</v>
      </c>
      <c r="AB603" t="inlineStr">
        <is>
          <t>Supplier Target Pathway</t>
        </is>
      </c>
      <c r="AC603" t="n">
        <v>13839.7149</v>
      </c>
      <c r="AD603" t="n">
        <v>4406.5652</v>
      </c>
      <c r="AE603" t="n">
        <v>7236.5101</v>
      </c>
      <c r="AF603" t="n">
        <v>7236.5101</v>
      </c>
      <c r="AG603" t="n">
        <v>6603.2048</v>
      </c>
      <c r="AH603" t="n">
        <v>0.00052319</v>
      </c>
      <c r="AI603" t="n">
        <v>0.47712</v>
      </c>
      <c r="AJ603" t="n">
        <v>2829.9449</v>
      </c>
      <c r="AK603" t="n">
        <v>471.6575</v>
      </c>
      <c r="AL603" t="n">
        <v>-23084.6448</v>
      </c>
      <c r="AM603" t="n">
        <v>93589.68799999999</v>
      </c>
      <c r="AN603" t="n">
        <v>0.99</v>
      </c>
      <c r="AO603" t="inlineStr">
        <is>
          <t>Critical</t>
        </is>
      </c>
      <c r="AP603" t="inlineStr">
        <is>
          <t>On Track to Glide Path</t>
        </is>
      </c>
    </row>
    <row r="604">
      <c r="A604" t="inlineStr">
        <is>
          <t>SUP-0038</t>
        </is>
      </c>
      <c r="B604" t="inlineStr">
        <is>
          <t>Agriculture Supplier 038</t>
        </is>
      </c>
      <c r="C604" t="inlineStr">
        <is>
          <t>Agriculture</t>
        </is>
      </c>
      <c r="D604" t="n">
        <v>2024</v>
      </c>
      <c r="E604" t="n">
        <v>2020</v>
      </c>
      <c r="F604" t="n">
        <v>2040</v>
      </c>
      <c r="G604" t="n">
        <v>16071.1844</v>
      </c>
      <c r="H604" t="n">
        <v>2142.4139</v>
      </c>
      <c r="I604" t="n">
        <v>2355.7957</v>
      </c>
      <c r="J604" t="n">
        <v>10997.5378</v>
      </c>
      <c r="K604" t="n">
        <v>13831452.9</v>
      </c>
      <c r="L604" t="n">
        <v>33834276.85</v>
      </c>
      <c r="M604" t="n">
        <v>16071.1844</v>
      </c>
      <c r="N604" t="inlineStr">
        <is>
          <t>Provided Total Emissions</t>
        </is>
      </c>
      <c r="O604" t="b">
        <v>1</v>
      </c>
      <c r="P604" t="n">
        <v>-0.038473</v>
      </c>
      <c r="Q604" t="n">
        <v>-0.007531</v>
      </c>
      <c r="R604" t="n">
        <v>12643.746</v>
      </c>
      <c r="S604" t="n">
        <v>32789.8127</v>
      </c>
      <c r="T604" t="n">
        <v>-3427.4384</v>
      </c>
      <c r="U604" t="n">
        <v>16718.6283</v>
      </c>
      <c r="V604" t="n">
        <v>-0.213266</v>
      </c>
      <c r="W604" t="n">
        <v>1.040286</v>
      </c>
      <c r="X604" t="inlineStr">
        <is>
          <t>High</t>
        </is>
      </c>
      <c r="Y604" t="inlineStr">
        <is>
          <t>None</t>
        </is>
      </c>
      <c r="Z604" t="inlineStr">
        <is>
          <t>Valid</t>
        </is>
      </c>
      <c r="AA604" t="n">
        <v>2035</v>
      </c>
      <c r="AB604" t="inlineStr">
        <is>
          <t>Supplier Target Pathway</t>
        </is>
      </c>
      <c r="AC604" t="n">
        <v>13839.7149</v>
      </c>
      <c r="AD604" t="n">
        <v>4406.5652</v>
      </c>
      <c r="AE604" t="n">
        <v>6764.8526</v>
      </c>
      <c r="AF604" t="n">
        <v>6764.8526</v>
      </c>
      <c r="AG604" t="n">
        <v>7074.8623</v>
      </c>
      <c r="AH604" t="n">
        <v>0.00048909</v>
      </c>
      <c r="AI604" t="n">
        <v>0.5112</v>
      </c>
      <c r="AJ604" t="n">
        <v>2358.2874</v>
      </c>
      <c r="AK604" t="n">
        <v>471.6575</v>
      </c>
      <c r="AL604" t="n">
        <v>-29849.4974</v>
      </c>
      <c r="AM604" t="n">
        <v>100354.5406</v>
      </c>
      <c r="AN604" t="n">
        <v>0.99</v>
      </c>
      <c r="AO604" t="inlineStr">
        <is>
          <t>Critical</t>
        </is>
      </c>
      <c r="AP604" t="inlineStr">
        <is>
          <t>On Track to Glide Path</t>
        </is>
      </c>
    </row>
    <row r="605">
      <c r="A605" t="inlineStr">
        <is>
          <t>SUP-0038</t>
        </is>
      </c>
      <c r="B605" t="inlineStr">
        <is>
          <t>Agriculture Supplier 038</t>
        </is>
      </c>
      <c r="C605" t="inlineStr">
        <is>
          <t>Agriculture</t>
        </is>
      </c>
      <c r="D605" t="n">
        <v>2024</v>
      </c>
      <c r="E605" t="n">
        <v>2020</v>
      </c>
      <c r="F605" t="n">
        <v>2040</v>
      </c>
      <c r="G605" t="n">
        <v>16071.1844</v>
      </c>
      <c r="H605" t="n">
        <v>2142.4139</v>
      </c>
      <c r="I605" t="n">
        <v>2355.7957</v>
      </c>
      <c r="J605" t="n">
        <v>10997.5378</v>
      </c>
      <c r="K605" t="n">
        <v>13831452.9</v>
      </c>
      <c r="L605" t="n">
        <v>33834276.85</v>
      </c>
      <c r="M605" t="n">
        <v>16071.1844</v>
      </c>
      <c r="N605" t="inlineStr">
        <is>
          <t>Provided Total Emissions</t>
        </is>
      </c>
      <c r="O605" t="b">
        <v>1</v>
      </c>
      <c r="P605" t="n">
        <v>-0.038473</v>
      </c>
      <c r="Q605" t="n">
        <v>-0.007531</v>
      </c>
      <c r="R605" t="n">
        <v>12643.746</v>
      </c>
      <c r="S605" t="n">
        <v>32789.8127</v>
      </c>
      <c r="T605" t="n">
        <v>-3427.4384</v>
      </c>
      <c r="U605" t="n">
        <v>16718.6283</v>
      </c>
      <c r="V605" t="n">
        <v>-0.213266</v>
      </c>
      <c r="W605" t="n">
        <v>1.040286</v>
      </c>
      <c r="X605" t="inlineStr">
        <is>
          <t>High</t>
        </is>
      </c>
      <c r="Y605" t="inlineStr">
        <is>
          <t>None</t>
        </is>
      </c>
      <c r="Z605" t="inlineStr">
        <is>
          <t>Valid</t>
        </is>
      </c>
      <c r="AA605" t="n">
        <v>2036</v>
      </c>
      <c r="AB605" t="inlineStr">
        <is>
          <t>Supplier Target Pathway</t>
        </is>
      </c>
      <c r="AC605" t="n">
        <v>13839.7149</v>
      </c>
      <c r="AD605" t="n">
        <v>4406.5652</v>
      </c>
      <c r="AE605" t="n">
        <v>6293.1952</v>
      </c>
      <c r="AF605" t="n">
        <v>6293.1952</v>
      </c>
      <c r="AG605" t="n">
        <v>7546.5197</v>
      </c>
      <c r="AH605" t="n">
        <v>0.00045499</v>
      </c>
      <c r="AI605" t="n">
        <v>0.54528</v>
      </c>
      <c r="AJ605" t="n">
        <v>1886.6299</v>
      </c>
      <c r="AK605" t="n">
        <v>471.6575</v>
      </c>
      <c r="AL605" t="n">
        <v>-36142.6926</v>
      </c>
      <c r="AM605" t="n">
        <v>106647.7358</v>
      </c>
      <c r="AN605" t="n">
        <v>0.99</v>
      </c>
      <c r="AO605" t="inlineStr">
        <is>
          <t>Critical</t>
        </is>
      </c>
      <c r="AP605" t="inlineStr">
        <is>
          <t>On Track to Glide Path</t>
        </is>
      </c>
    </row>
    <row r="606">
      <c r="A606" t="inlineStr">
        <is>
          <t>SUP-0038</t>
        </is>
      </c>
      <c r="B606" t="inlineStr">
        <is>
          <t>Agriculture Supplier 038</t>
        </is>
      </c>
      <c r="C606" t="inlineStr">
        <is>
          <t>Agriculture</t>
        </is>
      </c>
      <c r="D606" t="n">
        <v>2024</v>
      </c>
      <c r="E606" t="n">
        <v>2020</v>
      </c>
      <c r="F606" t="n">
        <v>2040</v>
      </c>
      <c r="G606" t="n">
        <v>16071.1844</v>
      </c>
      <c r="H606" t="n">
        <v>2142.4139</v>
      </c>
      <c r="I606" t="n">
        <v>2355.7957</v>
      </c>
      <c r="J606" t="n">
        <v>10997.5378</v>
      </c>
      <c r="K606" t="n">
        <v>13831452.9</v>
      </c>
      <c r="L606" t="n">
        <v>33834276.85</v>
      </c>
      <c r="M606" t="n">
        <v>16071.1844</v>
      </c>
      <c r="N606" t="inlineStr">
        <is>
          <t>Provided Total Emissions</t>
        </is>
      </c>
      <c r="O606" t="b">
        <v>1</v>
      </c>
      <c r="P606" t="n">
        <v>-0.038473</v>
      </c>
      <c r="Q606" t="n">
        <v>-0.007531</v>
      </c>
      <c r="R606" t="n">
        <v>12643.746</v>
      </c>
      <c r="S606" t="n">
        <v>32789.8127</v>
      </c>
      <c r="T606" t="n">
        <v>-3427.4384</v>
      </c>
      <c r="U606" t="n">
        <v>16718.6283</v>
      </c>
      <c r="V606" t="n">
        <v>-0.213266</v>
      </c>
      <c r="W606" t="n">
        <v>1.040286</v>
      </c>
      <c r="X606" t="inlineStr">
        <is>
          <t>High</t>
        </is>
      </c>
      <c r="Y606" t="inlineStr">
        <is>
          <t>None</t>
        </is>
      </c>
      <c r="Z606" t="inlineStr">
        <is>
          <t>Valid</t>
        </is>
      </c>
      <c r="AA606" t="n">
        <v>2037</v>
      </c>
      <c r="AB606" t="inlineStr">
        <is>
          <t>Supplier Target Pathway</t>
        </is>
      </c>
      <c r="AC606" t="n">
        <v>13839.7149</v>
      </c>
      <c r="AD606" t="n">
        <v>4406.5652</v>
      </c>
      <c r="AE606" t="n">
        <v>5821.5377</v>
      </c>
      <c r="AF606" t="n">
        <v>5821.5377</v>
      </c>
      <c r="AG606" t="n">
        <v>8018.1772</v>
      </c>
      <c r="AH606" t="n">
        <v>0.00042089</v>
      </c>
      <c r="AI606" t="n">
        <v>0.57936</v>
      </c>
      <c r="AJ606" t="n">
        <v>1414.9725</v>
      </c>
      <c r="AK606" t="n">
        <v>471.6575</v>
      </c>
      <c r="AL606" t="n">
        <v>-41964.2303</v>
      </c>
      <c r="AM606" t="n">
        <v>112469.2735</v>
      </c>
      <c r="AN606" t="n">
        <v>0.99</v>
      </c>
      <c r="AO606" t="inlineStr">
        <is>
          <t>High</t>
        </is>
      </c>
      <c r="AP606" t="inlineStr">
        <is>
          <t>On Track to Glide Path</t>
        </is>
      </c>
    </row>
    <row r="607">
      <c r="A607" t="inlineStr">
        <is>
          <t>SUP-0038</t>
        </is>
      </c>
      <c r="B607" t="inlineStr">
        <is>
          <t>Agriculture Supplier 038</t>
        </is>
      </c>
      <c r="C607" t="inlineStr">
        <is>
          <t>Agriculture</t>
        </is>
      </c>
      <c r="D607" t="n">
        <v>2024</v>
      </c>
      <c r="E607" t="n">
        <v>2020</v>
      </c>
      <c r="F607" t="n">
        <v>2040</v>
      </c>
      <c r="G607" t="n">
        <v>16071.1844</v>
      </c>
      <c r="H607" t="n">
        <v>2142.4139</v>
      </c>
      <c r="I607" t="n">
        <v>2355.7957</v>
      </c>
      <c r="J607" t="n">
        <v>10997.5378</v>
      </c>
      <c r="K607" t="n">
        <v>13831452.9</v>
      </c>
      <c r="L607" t="n">
        <v>33834276.85</v>
      </c>
      <c r="M607" t="n">
        <v>16071.1844</v>
      </c>
      <c r="N607" t="inlineStr">
        <is>
          <t>Provided Total Emissions</t>
        </is>
      </c>
      <c r="O607" t="b">
        <v>1</v>
      </c>
      <c r="P607" t="n">
        <v>-0.038473</v>
      </c>
      <c r="Q607" t="n">
        <v>-0.007531</v>
      </c>
      <c r="R607" t="n">
        <v>12643.746</v>
      </c>
      <c r="S607" t="n">
        <v>32789.8127</v>
      </c>
      <c r="T607" t="n">
        <v>-3427.4384</v>
      </c>
      <c r="U607" t="n">
        <v>16718.6283</v>
      </c>
      <c r="V607" t="n">
        <v>-0.213266</v>
      </c>
      <c r="W607" t="n">
        <v>1.040286</v>
      </c>
      <c r="X607" t="inlineStr">
        <is>
          <t>High</t>
        </is>
      </c>
      <c r="Y607" t="inlineStr">
        <is>
          <t>None</t>
        </is>
      </c>
      <c r="Z607" t="inlineStr">
        <is>
          <t>Valid</t>
        </is>
      </c>
      <c r="AA607" t="n">
        <v>2038</v>
      </c>
      <c r="AB607" t="inlineStr">
        <is>
          <t>Supplier Target Pathway</t>
        </is>
      </c>
      <c r="AC607" t="n">
        <v>13839.7149</v>
      </c>
      <c r="AD607" t="n">
        <v>4406.5652</v>
      </c>
      <c r="AE607" t="n">
        <v>5349.8802</v>
      </c>
      <c r="AF607" t="n">
        <v>5349.8802</v>
      </c>
      <c r="AG607" t="n">
        <v>8489.834699999999</v>
      </c>
      <c r="AH607" t="n">
        <v>0.00038679</v>
      </c>
      <c r="AI607" t="n">
        <v>0.61344</v>
      </c>
      <c r="AJ607" t="n">
        <v>943.3150000000001</v>
      </c>
      <c r="AK607" t="n">
        <v>471.6575</v>
      </c>
      <c r="AL607" t="n">
        <v>-47314.1105</v>
      </c>
      <c r="AM607" t="n">
        <v>117819.1537</v>
      </c>
      <c r="AN607" t="n">
        <v>0.99</v>
      </c>
      <c r="AO607" t="inlineStr">
        <is>
          <t>High</t>
        </is>
      </c>
      <c r="AP607" t="inlineStr">
        <is>
          <t>On Track to Glide Path</t>
        </is>
      </c>
    </row>
    <row r="608">
      <c r="A608" t="inlineStr">
        <is>
          <t>SUP-0038</t>
        </is>
      </c>
      <c r="B608" t="inlineStr">
        <is>
          <t>Agriculture Supplier 038</t>
        </is>
      </c>
      <c r="C608" t="inlineStr">
        <is>
          <t>Agriculture</t>
        </is>
      </c>
      <c r="D608" t="n">
        <v>2024</v>
      </c>
      <c r="E608" t="n">
        <v>2020</v>
      </c>
      <c r="F608" t="n">
        <v>2040</v>
      </c>
      <c r="G608" t="n">
        <v>16071.1844</v>
      </c>
      <c r="H608" t="n">
        <v>2142.4139</v>
      </c>
      <c r="I608" t="n">
        <v>2355.7957</v>
      </c>
      <c r="J608" t="n">
        <v>10997.5378</v>
      </c>
      <c r="K608" t="n">
        <v>13831452.9</v>
      </c>
      <c r="L608" t="n">
        <v>33834276.85</v>
      </c>
      <c r="M608" t="n">
        <v>16071.1844</v>
      </c>
      <c r="N608" t="inlineStr">
        <is>
          <t>Provided Total Emissions</t>
        </is>
      </c>
      <c r="O608" t="b">
        <v>1</v>
      </c>
      <c r="P608" t="n">
        <v>-0.038473</v>
      </c>
      <c r="Q608" t="n">
        <v>-0.007531</v>
      </c>
      <c r="R608" t="n">
        <v>12643.746</v>
      </c>
      <c r="S608" t="n">
        <v>32789.8127</v>
      </c>
      <c r="T608" t="n">
        <v>-3427.4384</v>
      </c>
      <c r="U608" t="n">
        <v>16718.6283</v>
      </c>
      <c r="V608" t="n">
        <v>-0.213266</v>
      </c>
      <c r="W608" t="n">
        <v>1.040286</v>
      </c>
      <c r="X608" t="inlineStr">
        <is>
          <t>High</t>
        </is>
      </c>
      <c r="Y608" t="inlineStr">
        <is>
          <t>None</t>
        </is>
      </c>
      <c r="Z608" t="inlineStr">
        <is>
          <t>Valid</t>
        </is>
      </c>
      <c r="AA608" t="n">
        <v>2039</v>
      </c>
      <c r="AB608" t="inlineStr">
        <is>
          <t>Supplier Target Pathway</t>
        </is>
      </c>
      <c r="AC608" t="n">
        <v>13839.7149</v>
      </c>
      <c r="AD608" t="n">
        <v>4406.5652</v>
      </c>
      <c r="AE608" t="n">
        <v>4878.2227</v>
      </c>
      <c r="AF608" t="n">
        <v>4878.2227</v>
      </c>
      <c r="AG608" t="n">
        <v>8961.492200000001</v>
      </c>
      <c r="AH608" t="n">
        <v>0.00035269</v>
      </c>
      <c r="AI608" t="n">
        <v>0.64752</v>
      </c>
      <c r="AJ608" t="n">
        <v>471.6575</v>
      </c>
      <c r="AK608" t="n">
        <v>471.6575</v>
      </c>
      <c r="AL608" t="n">
        <v>-52192.3332</v>
      </c>
      <c r="AM608" t="n">
        <v>122697.3764</v>
      </c>
      <c r="AN608" t="n">
        <v>0.99</v>
      </c>
      <c r="AO608" t="inlineStr">
        <is>
          <t>Medium</t>
        </is>
      </c>
      <c r="AP608" t="inlineStr">
        <is>
          <t>On Track to Glide Path</t>
        </is>
      </c>
    </row>
    <row r="609">
      <c r="A609" t="inlineStr">
        <is>
          <t>SUP-0038</t>
        </is>
      </c>
      <c r="B609" t="inlineStr">
        <is>
          <t>Agriculture Supplier 038</t>
        </is>
      </c>
      <c r="C609" t="inlineStr">
        <is>
          <t>Agriculture</t>
        </is>
      </c>
      <c r="D609" t="n">
        <v>2024</v>
      </c>
      <c r="E609" t="n">
        <v>2020</v>
      </c>
      <c r="F609" t="n">
        <v>2040</v>
      </c>
      <c r="G609" t="n">
        <v>16071.1844</v>
      </c>
      <c r="H609" t="n">
        <v>2142.4139</v>
      </c>
      <c r="I609" t="n">
        <v>2355.7957</v>
      </c>
      <c r="J609" t="n">
        <v>10997.5378</v>
      </c>
      <c r="K609" t="n">
        <v>13831452.9</v>
      </c>
      <c r="L609" t="n">
        <v>33834276.85</v>
      </c>
      <c r="M609" t="n">
        <v>16071.1844</v>
      </c>
      <c r="N609" t="inlineStr">
        <is>
          <t>Provided Total Emissions</t>
        </is>
      </c>
      <c r="O609" t="b">
        <v>1</v>
      </c>
      <c r="P609" t="n">
        <v>-0.038473</v>
      </c>
      <c r="Q609" t="n">
        <v>-0.007531</v>
      </c>
      <c r="R609" t="n">
        <v>12643.746</v>
      </c>
      <c r="S609" t="n">
        <v>32789.8127</v>
      </c>
      <c r="T609" t="n">
        <v>-3427.4384</v>
      </c>
      <c r="U609" t="n">
        <v>16718.6283</v>
      </c>
      <c r="V609" t="n">
        <v>-0.213266</v>
      </c>
      <c r="W609" t="n">
        <v>1.040286</v>
      </c>
      <c r="X609" t="inlineStr">
        <is>
          <t>High</t>
        </is>
      </c>
      <c r="Y609" t="inlineStr">
        <is>
          <t>None</t>
        </is>
      </c>
      <c r="Z609" t="inlineStr">
        <is>
          <t>Valid</t>
        </is>
      </c>
      <c r="AA609" t="n">
        <v>2040</v>
      </c>
      <c r="AB609" t="inlineStr">
        <is>
          <t>Supplier Target Pathway</t>
        </is>
      </c>
      <c r="AC609" t="n">
        <v>13839.7149</v>
      </c>
      <c r="AD609" t="n">
        <v>4406.5652</v>
      </c>
      <c r="AE609" t="n">
        <v>4406.5652</v>
      </c>
      <c r="AF609" t="n">
        <v>4406.5652</v>
      </c>
      <c r="AG609" t="n">
        <v>9433.1497</v>
      </c>
      <c r="AH609" t="n">
        <v>0.00031859</v>
      </c>
      <c r="AI609" t="n">
        <v>0.6816</v>
      </c>
      <c r="AJ609" t="n">
        <v>0</v>
      </c>
      <c r="AK609" t="n">
        <v>471.6575</v>
      </c>
      <c r="AL609" t="n">
        <v>-56598.8984</v>
      </c>
      <c r="AM609" t="n">
        <v>127103.9416</v>
      </c>
      <c r="AN609" t="n">
        <v>0.99</v>
      </c>
      <c r="AO609" t="inlineStr">
        <is>
          <t>Low</t>
        </is>
      </c>
      <c r="AP609" t="inlineStr">
        <is>
          <t>On Track</t>
        </is>
      </c>
    </row>
    <row r="610">
      <c r="A610" t="inlineStr">
        <is>
          <t>SUP-0039</t>
        </is>
      </c>
      <c r="B610" t="inlineStr">
        <is>
          <t>Electronics Supplier 039</t>
        </is>
      </c>
      <c r="C610" t="inlineStr">
        <is>
          <t>Electronics</t>
        </is>
      </c>
      <c r="D610" t="n">
        <v>2024</v>
      </c>
      <c r="E610" t="n">
        <v>2015</v>
      </c>
      <c r="F610" t="n">
        <v>2040</v>
      </c>
      <c r="G610" t="n">
        <v>16018.6447</v>
      </c>
      <c r="H610" t="n">
        <v>3392.6745</v>
      </c>
      <c r="I610" t="n">
        <v>3419.1994</v>
      </c>
      <c r="J610" t="n">
        <v>8856.776900000001</v>
      </c>
      <c r="K610" t="n">
        <v>35278962.72</v>
      </c>
      <c r="L610" t="n">
        <v>405077060.74</v>
      </c>
      <c r="M610" t="n">
        <v>16018.6447</v>
      </c>
      <c r="N610" t="inlineStr">
        <is>
          <t>Provided Total Emissions</t>
        </is>
      </c>
      <c r="O610" t="b">
        <v>1</v>
      </c>
      <c r="P610" t="n">
        <v>0.011631</v>
      </c>
      <c r="Q610" t="n">
        <v>0.050464</v>
      </c>
      <c r="R610" t="n">
        <v>30376.9509</v>
      </c>
      <c r="S610" t="n">
        <v>56496.0977</v>
      </c>
      <c r="T610" t="n">
        <v>14358.3062</v>
      </c>
      <c r="U610" t="n">
        <v>40477.453</v>
      </c>
      <c r="V610" t="n">
        <v>0.89635</v>
      </c>
      <c r="W610" t="n">
        <v>2.526896</v>
      </c>
      <c r="X610" t="inlineStr">
        <is>
          <t>High</t>
        </is>
      </c>
      <c r="Y610" t="inlineStr">
        <is>
          <t>None</t>
        </is>
      </c>
      <c r="Z610" t="inlineStr">
        <is>
          <t>Valid</t>
        </is>
      </c>
      <c r="AA610" t="n">
        <v>2025</v>
      </c>
      <c r="AB610" t="inlineStr">
        <is>
          <t>Industry Haircut Pathway</t>
        </is>
      </c>
      <c r="AC610" t="n">
        <v>14435.294</v>
      </c>
      <c r="AD610" t="n">
        <v>9492.649299999999</v>
      </c>
      <c r="AE610" t="n">
        <v>12458.2361</v>
      </c>
      <c r="AF610" t="n">
        <v>12458.2361</v>
      </c>
      <c r="AG610" t="n">
        <v>1977.0579</v>
      </c>
      <c r="AH610" t="n">
        <v>0.00035313</v>
      </c>
      <c r="AI610" t="n">
        <v>0.13696</v>
      </c>
      <c r="AJ610" t="n">
        <v>2965.5868</v>
      </c>
      <c r="AK610" t="n">
        <v>197.7058</v>
      </c>
      <c r="AL610" t="n">
        <v>139424.1527</v>
      </c>
      <c r="AM610" t="n">
        <v>12458.2361</v>
      </c>
      <c r="AN610" t="n">
        <v>0.95</v>
      </c>
      <c r="AO610" t="inlineStr">
        <is>
          <t>High</t>
        </is>
      </c>
      <c r="AP610" t="inlineStr">
        <is>
          <t>On Track to Glide Path</t>
        </is>
      </c>
    </row>
    <row r="611">
      <c r="A611" t="inlineStr">
        <is>
          <t>SUP-0039</t>
        </is>
      </c>
      <c r="B611" t="inlineStr">
        <is>
          <t>Electronics Supplier 039</t>
        </is>
      </c>
      <c r="C611" t="inlineStr">
        <is>
          <t>Electronics</t>
        </is>
      </c>
      <c r="D611" t="n">
        <v>2024</v>
      </c>
      <c r="E611" t="n">
        <v>2015</v>
      </c>
      <c r="F611" t="n">
        <v>2040</v>
      </c>
      <c r="G611" t="n">
        <v>16018.6447</v>
      </c>
      <c r="H611" t="n">
        <v>3392.6745</v>
      </c>
      <c r="I611" t="n">
        <v>3419.1994</v>
      </c>
      <c r="J611" t="n">
        <v>8856.776900000001</v>
      </c>
      <c r="K611" t="n">
        <v>35278962.72</v>
      </c>
      <c r="L611" t="n">
        <v>405077060.74</v>
      </c>
      <c r="M611" t="n">
        <v>16018.6447</v>
      </c>
      <c r="N611" t="inlineStr">
        <is>
          <t>Provided Total Emissions</t>
        </is>
      </c>
      <c r="O611" t="b">
        <v>1</v>
      </c>
      <c r="P611" t="n">
        <v>0.011631</v>
      </c>
      <c r="Q611" t="n">
        <v>0.050464</v>
      </c>
      <c r="R611" t="n">
        <v>30376.9509</v>
      </c>
      <c r="S611" t="n">
        <v>56496.0977</v>
      </c>
      <c r="T611" t="n">
        <v>14358.3062</v>
      </c>
      <c r="U611" t="n">
        <v>40477.453</v>
      </c>
      <c r="V611" t="n">
        <v>0.89635</v>
      </c>
      <c r="W611" t="n">
        <v>2.526896</v>
      </c>
      <c r="X611" t="inlineStr">
        <is>
          <t>High</t>
        </is>
      </c>
      <c r="Y611" t="inlineStr">
        <is>
          <t>None</t>
        </is>
      </c>
      <c r="Z611" t="inlineStr">
        <is>
          <t>Valid</t>
        </is>
      </c>
      <c r="AA611" t="n">
        <v>2026</v>
      </c>
      <c r="AB611" t="inlineStr">
        <is>
          <t>Industry Haircut Pathway</t>
        </is>
      </c>
      <c r="AC611" t="n">
        <v>14435.294</v>
      </c>
      <c r="AD611" t="n">
        <v>9492.649299999999</v>
      </c>
      <c r="AE611" t="n">
        <v>12260.5303</v>
      </c>
      <c r="AF611" t="n">
        <v>12260.5303</v>
      </c>
      <c r="AG611" t="n">
        <v>2174.7637</v>
      </c>
      <c r="AH611" t="n">
        <v>0.00034753</v>
      </c>
      <c r="AI611" t="n">
        <v>0.150656</v>
      </c>
      <c r="AJ611" t="n">
        <v>2767.881</v>
      </c>
      <c r="AK611" t="n">
        <v>197.7058</v>
      </c>
      <c r="AL611" t="n">
        <v>127163.6224</v>
      </c>
      <c r="AM611" t="n">
        <v>24718.7664</v>
      </c>
      <c r="AN611" t="n">
        <v>0.95</v>
      </c>
      <c r="AO611" t="inlineStr">
        <is>
          <t>High</t>
        </is>
      </c>
      <c r="AP611" t="inlineStr">
        <is>
          <t>On Track to Glide Path</t>
        </is>
      </c>
    </row>
    <row r="612">
      <c r="A612" t="inlineStr">
        <is>
          <t>SUP-0039</t>
        </is>
      </c>
      <c r="B612" t="inlineStr">
        <is>
          <t>Electronics Supplier 039</t>
        </is>
      </c>
      <c r="C612" t="inlineStr">
        <is>
          <t>Electronics</t>
        </is>
      </c>
      <c r="D612" t="n">
        <v>2024</v>
      </c>
      <c r="E612" t="n">
        <v>2015</v>
      </c>
      <c r="F612" t="n">
        <v>2040</v>
      </c>
      <c r="G612" t="n">
        <v>16018.6447</v>
      </c>
      <c r="H612" t="n">
        <v>3392.6745</v>
      </c>
      <c r="I612" t="n">
        <v>3419.1994</v>
      </c>
      <c r="J612" t="n">
        <v>8856.776900000001</v>
      </c>
      <c r="K612" t="n">
        <v>35278962.72</v>
      </c>
      <c r="L612" t="n">
        <v>405077060.74</v>
      </c>
      <c r="M612" t="n">
        <v>16018.6447</v>
      </c>
      <c r="N612" t="inlineStr">
        <is>
          <t>Provided Total Emissions</t>
        </is>
      </c>
      <c r="O612" t="b">
        <v>1</v>
      </c>
      <c r="P612" t="n">
        <v>0.011631</v>
      </c>
      <c r="Q612" t="n">
        <v>0.050464</v>
      </c>
      <c r="R612" t="n">
        <v>30376.9509</v>
      </c>
      <c r="S612" t="n">
        <v>56496.0977</v>
      </c>
      <c r="T612" t="n">
        <v>14358.3062</v>
      </c>
      <c r="U612" t="n">
        <v>40477.453</v>
      </c>
      <c r="V612" t="n">
        <v>0.89635</v>
      </c>
      <c r="W612" t="n">
        <v>2.526896</v>
      </c>
      <c r="X612" t="inlineStr">
        <is>
          <t>High</t>
        </is>
      </c>
      <c r="Y612" t="inlineStr">
        <is>
          <t>None</t>
        </is>
      </c>
      <c r="Z612" t="inlineStr">
        <is>
          <t>Valid</t>
        </is>
      </c>
      <c r="AA612" t="n">
        <v>2027</v>
      </c>
      <c r="AB612" t="inlineStr">
        <is>
          <t>Industry Haircut Pathway</t>
        </is>
      </c>
      <c r="AC612" t="n">
        <v>14435.294</v>
      </c>
      <c r="AD612" t="n">
        <v>9492.649299999999</v>
      </c>
      <c r="AE612" t="n">
        <v>12062.8246</v>
      </c>
      <c r="AF612" t="n">
        <v>12062.8246</v>
      </c>
      <c r="AG612" t="n">
        <v>2372.4694</v>
      </c>
      <c r="AH612" t="n">
        <v>0.00034193</v>
      </c>
      <c r="AI612" t="n">
        <v>0.164352</v>
      </c>
      <c r="AJ612" t="n">
        <v>2570.1752</v>
      </c>
      <c r="AK612" t="n">
        <v>197.7058</v>
      </c>
      <c r="AL612" t="n">
        <v>115100.7978</v>
      </c>
      <c r="AM612" t="n">
        <v>36781.591</v>
      </c>
      <c r="AN612" t="n">
        <v>0.95</v>
      </c>
      <c r="AO612" t="inlineStr">
        <is>
          <t>High</t>
        </is>
      </c>
      <c r="AP612" t="inlineStr">
        <is>
          <t>On Track to Glide Path</t>
        </is>
      </c>
    </row>
    <row r="613">
      <c r="A613" t="inlineStr">
        <is>
          <t>SUP-0039</t>
        </is>
      </c>
      <c r="B613" t="inlineStr">
        <is>
          <t>Electronics Supplier 039</t>
        </is>
      </c>
      <c r="C613" t="inlineStr">
        <is>
          <t>Electronics</t>
        </is>
      </c>
      <c r="D613" t="n">
        <v>2024</v>
      </c>
      <c r="E613" t="n">
        <v>2015</v>
      </c>
      <c r="F613" t="n">
        <v>2040</v>
      </c>
      <c r="G613" t="n">
        <v>16018.6447</v>
      </c>
      <c r="H613" t="n">
        <v>3392.6745</v>
      </c>
      <c r="I613" t="n">
        <v>3419.1994</v>
      </c>
      <c r="J613" t="n">
        <v>8856.776900000001</v>
      </c>
      <c r="K613" t="n">
        <v>35278962.72</v>
      </c>
      <c r="L613" t="n">
        <v>405077060.74</v>
      </c>
      <c r="M613" t="n">
        <v>16018.6447</v>
      </c>
      <c r="N613" t="inlineStr">
        <is>
          <t>Provided Total Emissions</t>
        </is>
      </c>
      <c r="O613" t="b">
        <v>1</v>
      </c>
      <c r="P613" t="n">
        <v>0.011631</v>
      </c>
      <c r="Q613" t="n">
        <v>0.050464</v>
      </c>
      <c r="R613" t="n">
        <v>30376.9509</v>
      </c>
      <c r="S613" t="n">
        <v>56496.0977</v>
      </c>
      <c r="T613" t="n">
        <v>14358.3062</v>
      </c>
      <c r="U613" t="n">
        <v>40477.453</v>
      </c>
      <c r="V613" t="n">
        <v>0.89635</v>
      </c>
      <c r="W613" t="n">
        <v>2.526896</v>
      </c>
      <c r="X613" t="inlineStr">
        <is>
          <t>High</t>
        </is>
      </c>
      <c r="Y613" t="inlineStr">
        <is>
          <t>None</t>
        </is>
      </c>
      <c r="Z613" t="inlineStr">
        <is>
          <t>Valid</t>
        </is>
      </c>
      <c r="AA613" t="n">
        <v>2028</v>
      </c>
      <c r="AB613" t="inlineStr">
        <is>
          <t>Industry Haircut Pathway</t>
        </is>
      </c>
      <c r="AC613" t="n">
        <v>14435.294</v>
      </c>
      <c r="AD613" t="n">
        <v>9492.649299999999</v>
      </c>
      <c r="AE613" t="n">
        <v>11865.1188</v>
      </c>
      <c r="AF613" t="n">
        <v>11865.1188</v>
      </c>
      <c r="AG613" t="n">
        <v>2570.1752</v>
      </c>
      <c r="AH613" t="n">
        <v>0.00033632</v>
      </c>
      <c r="AI613" t="n">
        <v>0.178048</v>
      </c>
      <c r="AJ613" t="n">
        <v>2372.4694</v>
      </c>
      <c r="AK613" t="n">
        <v>197.7058</v>
      </c>
      <c r="AL613" t="n">
        <v>103235.679</v>
      </c>
      <c r="AM613" t="n">
        <v>48646.7098</v>
      </c>
      <c r="AN613" t="n">
        <v>0.95</v>
      </c>
      <c r="AO613" t="inlineStr">
        <is>
          <t>High</t>
        </is>
      </c>
      <c r="AP613" t="inlineStr">
        <is>
          <t>On Track to Glide Path</t>
        </is>
      </c>
    </row>
    <row r="614">
      <c r="A614" t="inlineStr">
        <is>
          <t>SUP-0039</t>
        </is>
      </c>
      <c r="B614" t="inlineStr">
        <is>
          <t>Electronics Supplier 039</t>
        </is>
      </c>
      <c r="C614" t="inlineStr">
        <is>
          <t>Electronics</t>
        </is>
      </c>
      <c r="D614" t="n">
        <v>2024</v>
      </c>
      <c r="E614" t="n">
        <v>2015</v>
      </c>
      <c r="F614" t="n">
        <v>2040</v>
      </c>
      <c r="G614" t="n">
        <v>16018.6447</v>
      </c>
      <c r="H614" t="n">
        <v>3392.6745</v>
      </c>
      <c r="I614" t="n">
        <v>3419.1994</v>
      </c>
      <c r="J614" t="n">
        <v>8856.776900000001</v>
      </c>
      <c r="K614" t="n">
        <v>35278962.72</v>
      </c>
      <c r="L614" t="n">
        <v>405077060.74</v>
      </c>
      <c r="M614" t="n">
        <v>16018.6447</v>
      </c>
      <c r="N614" t="inlineStr">
        <is>
          <t>Provided Total Emissions</t>
        </is>
      </c>
      <c r="O614" t="b">
        <v>1</v>
      </c>
      <c r="P614" t="n">
        <v>0.011631</v>
      </c>
      <c r="Q614" t="n">
        <v>0.050464</v>
      </c>
      <c r="R614" t="n">
        <v>30376.9509</v>
      </c>
      <c r="S614" t="n">
        <v>56496.0977</v>
      </c>
      <c r="T614" t="n">
        <v>14358.3062</v>
      </c>
      <c r="U614" t="n">
        <v>40477.453</v>
      </c>
      <c r="V614" t="n">
        <v>0.89635</v>
      </c>
      <c r="W614" t="n">
        <v>2.526896</v>
      </c>
      <c r="X614" t="inlineStr">
        <is>
          <t>High</t>
        </is>
      </c>
      <c r="Y614" t="inlineStr">
        <is>
          <t>None</t>
        </is>
      </c>
      <c r="Z614" t="inlineStr">
        <is>
          <t>Valid</t>
        </is>
      </c>
      <c r="AA614" t="n">
        <v>2029</v>
      </c>
      <c r="AB614" t="inlineStr">
        <is>
          <t>Industry Haircut Pathway</t>
        </is>
      </c>
      <c r="AC614" t="n">
        <v>14435.294</v>
      </c>
      <c r="AD614" t="n">
        <v>9492.649299999999</v>
      </c>
      <c r="AE614" t="n">
        <v>11667.413</v>
      </c>
      <c r="AF614" t="n">
        <v>11667.413</v>
      </c>
      <c r="AG614" t="n">
        <v>2767.881</v>
      </c>
      <c r="AH614" t="n">
        <v>0.00033072</v>
      </c>
      <c r="AI614" t="n">
        <v>0.191744</v>
      </c>
      <c r="AJ614" t="n">
        <v>2174.7637</v>
      </c>
      <c r="AK614" t="n">
        <v>197.7058</v>
      </c>
      <c r="AL614" t="n">
        <v>91568.266</v>
      </c>
      <c r="AM614" t="n">
        <v>60314.1228</v>
      </c>
      <c r="AN614" t="n">
        <v>0.95</v>
      </c>
      <c r="AO614" t="inlineStr">
        <is>
          <t>High</t>
        </is>
      </c>
      <c r="AP614" t="inlineStr">
        <is>
          <t>On Track to Glide Path</t>
        </is>
      </c>
    </row>
    <row r="615">
      <c r="A615" t="inlineStr">
        <is>
          <t>SUP-0039</t>
        </is>
      </c>
      <c r="B615" t="inlineStr">
        <is>
          <t>Electronics Supplier 039</t>
        </is>
      </c>
      <c r="C615" t="inlineStr">
        <is>
          <t>Electronics</t>
        </is>
      </c>
      <c r="D615" t="n">
        <v>2024</v>
      </c>
      <c r="E615" t="n">
        <v>2015</v>
      </c>
      <c r="F615" t="n">
        <v>2040</v>
      </c>
      <c r="G615" t="n">
        <v>16018.6447</v>
      </c>
      <c r="H615" t="n">
        <v>3392.6745</v>
      </c>
      <c r="I615" t="n">
        <v>3419.1994</v>
      </c>
      <c r="J615" t="n">
        <v>8856.776900000001</v>
      </c>
      <c r="K615" t="n">
        <v>35278962.72</v>
      </c>
      <c r="L615" t="n">
        <v>405077060.74</v>
      </c>
      <c r="M615" t="n">
        <v>16018.6447</v>
      </c>
      <c r="N615" t="inlineStr">
        <is>
          <t>Provided Total Emissions</t>
        </is>
      </c>
      <c r="O615" t="b">
        <v>1</v>
      </c>
      <c r="P615" t="n">
        <v>0.011631</v>
      </c>
      <c r="Q615" t="n">
        <v>0.050464</v>
      </c>
      <c r="R615" t="n">
        <v>30376.9509</v>
      </c>
      <c r="S615" t="n">
        <v>56496.0977</v>
      </c>
      <c r="T615" t="n">
        <v>14358.3062</v>
      </c>
      <c r="U615" t="n">
        <v>40477.453</v>
      </c>
      <c r="V615" t="n">
        <v>0.89635</v>
      </c>
      <c r="W615" t="n">
        <v>2.526896</v>
      </c>
      <c r="X615" t="inlineStr">
        <is>
          <t>High</t>
        </is>
      </c>
      <c r="Y615" t="inlineStr">
        <is>
          <t>None</t>
        </is>
      </c>
      <c r="Z615" t="inlineStr">
        <is>
          <t>Valid</t>
        </is>
      </c>
      <c r="AA615" t="n">
        <v>2030</v>
      </c>
      <c r="AB615" t="inlineStr">
        <is>
          <t>Industry Haircut Pathway</t>
        </is>
      </c>
      <c r="AC615" t="n">
        <v>14435.294</v>
      </c>
      <c r="AD615" t="n">
        <v>9492.649299999999</v>
      </c>
      <c r="AE615" t="n">
        <v>11469.7072</v>
      </c>
      <c r="AF615" t="n">
        <v>11469.7072</v>
      </c>
      <c r="AG615" t="n">
        <v>2965.5868</v>
      </c>
      <c r="AH615" t="n">
        <v>0.00032511</v>
      </c>
      <c r="AI615" t="n">
        <v>0.20544</v>
      </c>
      <c r="AJ615" t="n">
        <v>1977.0579</v>
      </c>
      <c r="AK615" t="n">
        <v>197.7058</v>
      </c>
      <c r="AL615" t="n">
        <v>80098.5588</v>
      </c>
      <c r="AM615" t="n">
        <v>71783.83</v>
      </c>
      <c r="AN615" t="n">
        <v>0.95</v>
      </c>
      <c r="AO615" t="inlineStr">
        <is>
          <t>High</t>
        </is>
      </c>
      <c r="AP615" t="inlineStr">
        <is>
          <t>On Track to Glide Path</t>
        </is>
      </c>
    </row>
    <row r="616">
      <c r="A616" t="inlineStr">
        <is>
          <t>SUP-0039</t>
        </is>
      </c>
      <c r="B616" t="inlineStr">
        <is>
          <t>Electronics Supplier 039</t>
        </is>
      </c>
      <c r="C616" t="inlineStr">
        <is>
          <t>Electronics</t>
        </is>
      </c>
      <c r="D616" t="n">
        <v>2024</v>
      </c>
      <c r="E616" t="n">
        <v>2015</v>
      </c>
      <c r="F616" t="n">
        <v>2040</v>
      </c>
      <c r="G616" t="n">
        <v>16018.6447</v>
      </c>
      <c r="H616" t="n">
        <v>3392.6745</v>
      </c>
      <c r="I616" t="n">
        <v>3419.1994</v>
      </c>
      <c r="J616" t="n">
        <v>8856.776900000001</v>
      </c>
      <c r="K616" t="n">
        <v>35278962.72</v>
      </c>
      <c r="L616" t="n">
        <v>405077060.74</v>
      </c>
      <c r="M616" t="n">
        <v>16018.6447</v>
      </c>
      <c r="N616" t="inlineStr">
        <is>
          <t>Provided Total Emissions</t>
        </is>
      </c>
      <c r="O616" t="b">
        <v>1</v>
      </c>
      <c r="P616" t="n">
        <v>0.011631</v>
      </c>
      <c r="Q616" t="n">
        <v>0.050464</v>
      </c>
      <c r="R616" t="n">
        <v>30376.9509</v>
      </c>
      <c r="S616" t="n">
        <v>56496.0977</v>
      </c>
      <c r="T616" t="n">
        <v>14358.3062</v>
      </c>
      <c r="U616" t="n">
        <v>40477.453</v>
      </c>
      <c r="V616" t="n">
        <v>0.89635</v>
      </c>
      <c r="W616" t="n">
        <v>2.526896</v>
      </c>
      <c r="X616" t="inlineStr">
        <is>
          <t>High</t>
        </is>
      </c>
      <c r="Y616" t="inlineStr">
        <is>
          <t>None</t>
        </is>
      </c>
      <c r="Z616" t="inlineStr">
        <is>
          <t>Valid</t>
        </is>
      </c>
      <c r="AA616" t="n">
        <v>2031</v>
      </c>
      <c r="AB616" t="inlineStr">
        <is>
          <t>Industry Haircut Pathway</t>
        </is>
      </c>
      <c r="AC616" t="n">
        <v>14435.294</v>
      </c>
      <c r="AD616" t="n">
        <v>9492.649299999999</v>
      </c>
      <c r="AE616" t="n">
        <v>11272.0014</v>
      </c>
      <c r="AF616" t="n">
        <v>11272.0014</v>
      </c>
      <c r="AG616" t="n">
        <v>3163.2926</v>
      </c>
      <c r="AH616" t="n">
        <v>0.00031951</v>
      </c>
      <c r="AI616" t="n">
        <v>0.219136</v>
      </c>
      <c r="AJ616" t="n">
        <v>1779.3521</v>
      </c>
      <c r="AK616" t="n">
        <v>197.7058</v>
      </c>
      <c r="AL616" t="n">
        <v>68826.55740000001</v>
      </c>
      <c r="AM616" t="n">
        <v>83055.8314</v>
      </c>
      <c r="AN616" t="n">
        <v>0.95</v>
      </c>
      <c r="AO616" t="inlineStr">
        <is>
          <t>High</t>
        </is>
      </c>
      <c r="AP616" t="inlineStr">
        <is>
          <t>On Track to Glide Path</t>
        </is>
      </c>
    </row>
    <row r="617">
      <c r="A617" t="inlineStr">
        <is>
          <t>SUP-0039</t>
        </is>
      </c>
      <c r="B617" t="inlineStr">
        <is>
          <t>Electronics Supplier 039</t>
        </is>
      </c>
      <c r="C617" t="inlineStr">
        <is>
          <t>Electronics</t>
        </is>
      </c>
      <c r="D617" t="n">
        <v>2024</v>
      </c>
      <c r="E617" t="n">
        <v>2015</v>
      </c>
      <c r="F617" t="n">
        <v>2040</v>
      </c>
      <c r="G617" t="n">
        <v>16018.6447</v>
      </c>
      <c r="H617" t="n">
        <v>3392.6745</v>
      </c>
      <c r="I617" t="n">
        <v>3419.1994</v>
      </c>
      <c r="J617" t="n">
        <v>8856.776900000001</v>
      </c>
      <c r="K617" t="n">
        <v>35278962.72</v>
      </c>
      <c r="L617" t="n">
        <v>405077060.74</v>
      </c>
      <c r="M617" t="n">
        <v>16018.6447</v>
      </c>
      <c r="N617" t="inlineStr">
        <is>
          <t>Provided Total Emissions</t>
        </is>
      </c>
      <c r="O617" t="b">
        <v>1</v>
      </c>
      <c r="P617" t="n">
        <v>0.011631</v>
      </c>
      <c r="Q617" t="n">
        <v>0.050464</v>
      </c>
      <c r="R617" t="n">
        <v>30376.9509</v>
      </c>
      <c r="S617" t="n">
        <v>56496.0977</v>
      </c>
      <c r="T617" t="n">
        <v>14358.3062</v>
      </c>
      <c r="U617" t="n">
        <v>40477.453</v>
      </c>
      <c r="V617" t="n">
        <v>0.89635</v>
      </c>
      <c r="W617" t="n">
        <v>2.526896</v>
      </c>
      <c r="X617" t="inlineStr">
        <is>
          <t>High</t>
        </is>
      </c>
      <c r="Y617" t="inlineStr">
        <is>
          <t>None</t>
        </is>
      </c>
      <c r="Z617" t="inlineStr">
        <is>
          <t>Valid</t>
        </is>
      </c>
      <c r="AA617" t="n">
        <v>2032</v>
      </c>
      <c r="AB617" t="inlineStr">
        <is>
          <t>Industry Haircut Pathway</t>
        </is>
      </c>
      <c r="AC617" t="n">
        <v>14435.294</v>
      </c>
      <c r="AD617" t="n">
        <v>9492.649299999999</v>
      </c>
      <c r="AE617" t="n">
        <v>11074.2956</v>
      </c>
      <c r="AF617" t="n">
        <v>11074.2956</v>
      </c>
      <c r="AG617" t="n">
        <v>3360.9984</v>
      </c>
      <c r="AH617" t="n">
        <v>0.00031391</v>
      </c>
      <c r="AI617" t="n">
        <v>0.232832</v>
      </c>
      <c r="AJ617" t="n">
        <v>1581.6463</v>
      </c>
      <c r="AK617" t="n">
        <v>197.7058</v>
      </c>
      <c r="AL617" t="n">
        <v>57752.2618</v>
      </c>
      <c r="AM617" t="n">
        <v>94130.12699999999</v>
      </c>
      <c r="AN617" t="n">
        <v>0.95</v>
      </c>
      <c r="AO617" t="inlineStr">
        <is>
          <t>High</t>
        </is>
      </c>
      <c r="AP617" t="inlineStr">
        <is>
          <t>On Track to Glide Path</t>
        </is>
      </c>
    </row>
    <row r="618">
      <c r="A618" t="inlineStr">
        <is>
          <t>SUP-0039</t>
        </is>
      </c>
      <c r="B618" t="inlineStr">
        <is>
          <t>Electronics Supplier 039</t>
        </is>
      </c>
      <c r="C618" t="inlineStr">
        <is>
          <t>Electronics</t>
        </is>
      </c>
      <c r="D618" t="n">
        <v>2024</v>
      </c>
      <c r="E618" t="n">
        <v>2015</v>
      </c>
      <c r="F618" t="n">
        <v>2040</v>
      </c>
      <c r="G618" t="n">
        <v>16018.6447</v>
      </c>
      <c r="H618" t="n">
        <v>3392.6745</v>
      </c>
      <c r="I618" t="n">
        <v>3419.1994</v>
      </c>
      <c r="J618" t="n">
        <v>8856.776900000001</v>
      </c>
      <c r="K618" t="n">
        <v>35278962.72</v>
      </c>
      <c r="L618" t="n">
        <v>405077060.74</v>
      </c>
      <c r="M618" t="n">
        <v>16018.6447</v>
      </c>
      <c r="N618" t="inlineStr">
        <is>
          <t>Provided Total Emissions</t>
        </is>
      </c>
      <c r="O618" t="b">
        <v>1</v>
      </c>
      <c r="P618" t="n">
        <v>0.011631</v>
      </c>
      <c r="Q618" t="n">
        <v>0.050464</v>
      </c>
      <c r="R618" t="n">
        <v>30376.9509</v>
      </c>
      <c r="S618" t="n">
        <v>56496.0977</v>
      </c>
      <c r="T618" t="n">
        <v>14358.3062</v>
      </c>
      <c r="U618" t="n">
        <v>40477.453</v>
      </c>
      <c r="V618" t="n">
        <v>0.89635</v>
      </c>
      <c r="W618" t="n">
        <v>2.526896</v>
      </c>
      <c r="X618" t="inlineStr">
        <is>
          <t>High</t>
        </is>
      </c>
      <c r="Y618" t="inlineStr">
        <is>
          <t>None</t>
        </is>
      </c>
      <c r="Z618" t="inlineStr">
        <is>
          <t>Valid</t>
        </is>
      </c>
      <c r="AA618" t="n">
        <v>2033</v>
      </c>
      <c r="AB618" t="inlineStr">
        <is>
          <t>Industry Haircut Pathway</t>
        </is>
      </c>
      <c r="AC618" t="n">
        <v>14435.294</v>
      </c>
      <c r="AD618" t="n">
        <v>9492.649299999999</v>
      </c>
      <c r="AE618" t="n">
        <v>10876.5898</v>
      </c>
      <c r="AF618" t="n">
        <v>10876.5898</v>
      </c>
      <c r="AG618" t="n">
        <v>3558.7042</v>
      </c>
      <c r="AH618" t="n">
        <v>0.0003083</v>
      </c>
      <c r="AI618" t="n">
        <v>0.246528</v>
      </c>
      <c r="AJ618" t="n">
        <v>1383.9405</v>
      </c>
      <c r="AK618" t="n">
        <v>197.7058</v>
      </c>
      <c r="AL618" t="n">
        <v>46875.672</v>
      </c>
      <c r="AM618" t="n">
        <v>105006.7168</v>
      </c>
      <c r="AN618" t="n">
        <v>0.95</v>
      </c>
      <c r="AO618" t="inlineStr">
        <is>
          <t>Medium</t>
        </is>
      </c>
      <c r="AP618" t="inlineStr">
        <is>
          <t>On Track to Glide Path</t>
        </is>
      </c>
    </row>
    <row r="619">
      <c r="A619" t="inlineStr">
        <is>
          <t>SUP-0039</t>
        </is>
      </c>
      <c r="B619" t="inlineStr">
        <is>
          <t>Electronics Supplier 039</t>
        </is>
      </c>
      <c r="C619" t="inlineStr">
        <is>
          <t>Electronics</t>
        </is>
      </c>
      <c r="D619" t="n">
        <v>2024</v>
      </c>
      <c r="E619" t="n">
        <v>2015</v>
      </c>
      <c r="F619" t="n">
        <v>2040</v>
      </c>
      <c r="G619" t="n">
        <v>16018.6447</v>
      </c>
      <c r="H619" t="n">
        <v>3392.6745</v>
      </c>
      <c r="I619" t="n">
        <v>3419.1994</v>
      </c>
      <c r="J619" t="n">
        <v>8856.776900000001</v>
      </c>
      <c r="K619" t="n">
        <v>35278962.72</v>
      </c>
      <c r="L619" t="n">
        <v>405077060.74</v>
      </c>
      <c r="M619" t="n">
        <v>16018.6447</v>
      </c>
      <c r="N619" t="inlineStr">
        <is>
          <t>Provided Total Emissions</t>
        </is>
      </c>
      <c r="O619" t="b">
        <v>1</v>
      </c>
      <c r="P619" t="n">
        <v>0.011631</v>
      </c>
      <c r="Q619" t="n">
        <v>0.050464</v>
      </c>
      <c r="R619" t="n">
        <v>30376.9509</v>
      </c>
      <c r="S619" t="n">
        <v>56496.0977</v>
      </c>
      <c r="T619" t="n">
        <v>14358.3062</v>
      </c>
      <c r="U619" t="n">
        <v>40477.453</v>
      </c>
      <c r="V619" t="n">
        <v>0.89635</v>
      </c>
      <c r="W619" t="n">
        <v>2.526896</v>
      </c>
      <c r="X619" t="inlineStr">
        <is>
          <t>High</t>
        </is>
      </c>
      <c r="Y619" t="inlineStr">
        <is>
          <t>None</t>
        </is>
      </c>
      <c r="Z619" t="inlineStr">
        <is>
          <t>Valid</t>
        </is>
      </c>
      <c r="AA619" t="n">
        <v>2034</v>
      </c>
      <c r="AB619" t="inlineStr">
        <is>
          <t>Industry Haircut Pathway</t>
        </is>
      </c>
      <c r="AC619" t="n">
        <v>14435.294</v>
      </c>
      <c r="AD619" t="n">
        <v>9492.649299999999</v>
      </c>
      <c r="AE619" t="n">
        <v>10678.8841</v>
      </c>
      <c r="AF619" t="n">
        <v>10678.8841</v>
      </c>
      <c r="AG619" t="n">
        <v>3756.4099</v>
      </c>
      <c r="AH619" t="n">
        <v>0.0003027</v>
      </c>
      <c r="AI619" t="n">
        <v>0.260224</v>
      </c>
      <c r="AJ619" t="n">
        <v>1186.2347</v>
      </c>
      <c r="AK619" t="n">
        <v>197.7058</v>
      </c>
      <c r="AL619" t="n">
        <v>36196.7879</v>
      </c>
      <c r="AM619" t="n">
        <v>115685.6009</v>
      </c>
      <c r="AN619" t="n">
        <v>0.95</v>
      </c>
      <c r="AO619" t="inlineStr">
        <is>
          <t>Medium</t>
        </is>
      </c>
      <c r="AP619" t="inlineStr">
        <is>
          <t>On Track to Glide Path</t>
        </is>
      </c>
    </row>
    <row r="620">
      <c r="A620" t="inlineStr">
        <is>
          <t>SUP-0039</t>
        </is>
      </c>
      <c r="B620" t="inlineStr">
        <is>
          <t>Electronics Supplier 039</t>
        </is>
      </c>
      <c r="C620" t="inlineStr">
        <is>
          <t>Electronics</t>
        </is>
      </c>
      <c r="D620" t="n">
        <v>2024</v>
      </c>
      <c r="E620" t="n">
        <v>2015</v>
      </c>
      <c r="F620" t="n">
        <v>2040</v>
      </c>
      <c r="G620" t="n">
        <v>16018.6447</v>
      </c>
      <c r="H620" t="n">
        <v>3392.6745</v>
      </c>
      <c r="I620" t="n">
        <v>3419.1994</v>
      </c>
      <c r="J620" t="n">
        <v>8856.776900000001</v>
      </c>
      <c r="K620" t="n">
        <v>35278962.72</v>
      </c>
      <c r="L620" t="n">
        <v>405077060.74</v>
      </c>
      <c r="M620" t="n">
        <v>16018.6447</v>
      </c>
      <c r="N620" t="inlineStr">
        <is>
          <t>Provided Total Emissions</t>
        </is>
      </c>
      <c r="O620" t="b">
        <v>1</v>
      </c>
      <c r="P620" t="n">
        <v>0.011631</v>
      </c>
      <c r="Q620" t="n">
        <v>0.050464</v>
      </c>
      <c r="R620" t="n">
        <v>30376.9509</v>
      </c>
      <c r="S620" t="n">
        <v>56496.0977</v>
      </c>
      <c r="T620" t="n">
        <v>14358.3062</v>
      </c>
      <c r="U620" t="n">
        <v>40477.453</v>
      </c>
      <c r="V620" t="n">
        <v>0.89635</v>
      </c>
      <c r="W620" t="n">
        <v>2.526896</v>
      </c>
      <c r="X620" t="inlineStr">
        <is>
          <t>High</t>
        </is>
      </c>
      <c r="Y620" t="inlineStr">
        <is>
          <t>None</t>
        </is>
      </c>
      <c r="Z620" t="inlineStr">
        <is>
          <t>Valid</t>
        </is>
      </c>
      <c r="AA620" t="n">
        <v>2035</v>
      </c>
      <c r="AB620" t="inlineStr">
        <is>
          <t>Industry Haircut Pathway</t>
        </is>
      </c>
      <c r="AC620" t="n">
        <v>14435.294</v>
      </c>
      <c r="AD620" t="n">
        <v>9492.649299999999</v>
      </c>
      <c r="AE620" t="n">
        <v>10481.1783</v>
      </c>
      <c r="AF620" t="n">
        <v>10481.1783</v>
      </c>
      <c r="AG620" t="n">
        <v>3954.1157</v>
      </c>
      <c r="AH620" t="n">
        <v>0.00029709</v>
      </c>
      <c r="AI620" t="n">
        <v>0.27392</v>
      </c>
      <c r="AJ620" t="n">
        <v>988.5289</v>
      </c>
      <c r="AK620" t="n">
        <v>197.7058</v>
      </c>
      <c r="AL620" t="n">
        <v>25715.6096</v>
      </c>
      <c r="AM620" t="n">
        <v>126166.7792</v>
      </c>
      <c r="AN620" t="n">
        <v>0.95</v>
      </c>
      <c r="AO620" t="inlineStr">
        <is>
          <t>Medium</t>
        </is>
      </c>
      <c r="AP620" t="inlineStr">
        <is>
          <t>On Track to Glide Path</t>
        </is>
      </c>
    </row>
    <row r="621">
      <c r="A621" t="inlineStr">
        <is>
          <t>SUP-0039</t>
        </is>
      </c>
      <c r="B621" t="inlineStr">
        <is>
          <t>Electronics Supplier 039</t>
        </is>
      </c>
      <c r="C621" t="inlineStr">
        <is>
          <t>Electronics</t>
        </is>
      </c>
      <c r="D621" t="n">
        <v>2024</v>
      </c>
      <c r="E621" t="n">
        <v>2015</v>
      </c>
      <c r="F621" t="n">
        <v>2040</v>
      </c>
      <c r="G621" t="n">
        <v>16018.6447</v>
      </c>
      <c r="H621" t="n">
        <v>3392.6745</v>
      </c>
      <c r="I621" t="n">
        <v>3419.1994</v>
      </c>
      <c r="J621" t="n">
        <v>8856.776900000001</v>
      </c>
      <c r="K621" t="n">
        <v>35278962.72</v>
      </c>
      <c r="L621" t="n">
        <v>405077060.74</v>
      </c>
      <c r="M621" t="n">
        <v>16018.6447</v>
      </c>
      <c r="N621" t="inlineStr">
        <is>
          <t>Provided Total Emissions</t>
        </is>
      </c>
      <c r="O621" t="b">
        <v>1</v>
      </c>
      <c r="P621" t="n">
        <v>0.011631</v>
      </c>
      <c r="Q621" t="n">
        <v>0.050464</v>
      </c>
      <c r="R621" t="n">
        <v>30376.9509</v>
      </c>
      <c r="S621" t="n">
        <v>56496.0977</v>
      </c>
      <c r="T621" t="n">
        <v>14358.3062</v>
      </c>
      <c r="U621" t="n">
        <v>40477.453</v>
      </c>
      <c r="V621" t="n">
        <v>0.89635</v>
      </c>
      <c r="W621" t="n">
        <v>2.526896</v>
      </c>
      <c r="X621" t="inlineStr">
        <is>
          <t>High</t>
        </is>
      </c>
      <c r="Y621" t="inlineStr">
        <is>
          <t>None</t>
        </is>
      </c>
      <c r="Z621" t="inlineStr">
        <is>
          <t>Valid</t>
        </is>
      </c>
      <c r="AA621" t="n">
        <v>2036</v>
      </c>
      <c r="AB621" t="inlineStr">
        <is>
          <t>Industry Haircut Pathway</t>
        </is>
      </c>
      <c r="AC621" t="n">
        <v>14435.294</v>
      </c>
      <c r="AD621" t="n">
        <v>9492.649299999999</v>
      </c>
      <c r="AE621" t="n">
        <v>10283.4725</v>
      </c>
      <c r="AF621" t="n">
        <v>10283.4725</v>
      </c>
      <c r="AG621" t="n">
        <v>4151.8215</v>
      </c>
      <c r="AH621" t="n">
        <v>0.00029149</v>
      </c>
      <c r="AI621" t="n">
        <v>0.287616</v>
      </c>
      <c r="AJ621" t="n">
        <v>790.8231</v>
      </c>
      <c r="AK621" t="n">
        <v>197.7058</v>
      </c>
      <c r="AL621" t="n">
        <v>15432.1371</v>
      </c>
      <c r="AM621" t="n">
        <v>136450.2517</v>
      </c>
      <c r="AN621" t="n">
        <v>0.95</v>
      </c>
      <c r="AO621" t="inlineStr">
        <is>
          <t>Medium</t>
        </is>
      </c>
      <c r="AP621" t="inlineStr">
        <is>
          <t>On Track to Glide Path</t>
        </is>
      </c>
    </row>
    <row r="622">
      <c r="A622" t="inlineStr">
        <is>
          <t>SUP-0039</t>
        </is>
      </c>
      <c r="B622" t="inlineStr">
        <is>
          <t>Electronics Supplier 039</t>
        </is>
      </c>
      <c r="C622" t="inlineStr">
        <is>
          <t>Electronics</t>
        </is>
      </c>
      <c r="D622" t="n">
        <v>2024</v>
      </c>
      <c r="E622" t="n">
        <v>2015</v>
      </c>
      <c r="F622" t="n">
        <v>2040</v>
      </c>
      <c r="G622" t="n">
        <v>16018.6447</v>
      </c>
      <c r="H622" t="n">
        <v>3392.6745</v>
      </c>
      <c r="I622" t="n">
        <v>3419.1994</v>
      </c>
      <c r="J622" t="n">
        <v>8856.776900000001</v>
      </c>
      <c r="K622" t="n">
        <v>35278962.72</v>
      </c>
      <c r="L622" t="n">
        <v>405077060.74</v>
      </c>
      <c r="M622" t="n">
        <v>16018.6447</v>
      </c>
      <c r="N622" t="inlineStr">
        <is>
          <t>Provided Total Emissions</t>
        </is>
      </c>
      <c r="O622" t="b">
        <v>1</v>
      </c>
      <c r="P622" t="n">
        <v>0.011631</v>
      </c>
      <c r="Q622" t="n">
        <v>0.050464</v>
      </c>
      <c r="R622" t="n">
        <v>30376.9509</v>
      </c>
      <c r="S622" t="n">
        <v>56496.0977</v>
      </c>
      <c r="T622" t="n">
        <v>14358.3062</v>
      </c>
      <c r="U622" t="n">
        <v>40477.453</v>
      </c>
      <c r="V622" t="n">
        <v>0.89635</v>
      </c>
      <c r="W622" t="n">
        <v>2.526896</v>
      </c>
      <c r="X622" t="inlineStr">
        <is>
          <t>High</t>
        </is>
      </c>
      <c r="Y622" t="inlineStr">
        <is>
          <t>None</t>
        </is>
      </c>
      <c r="Z622" t="inlineStr">
        <is>
          <t>Valid</t>
        </is>
      </c>
      <c r="AA622" t="n">
        <v>2037</v>
      </c>
      <c r="AB622" t="inlineStr">
        <is>
          <t>Industry Haircut Pathway</t>
        </is>
      </c>
      <c r="AC622" t="n">
        <v>14435.294</v>
      </c>
      <c r="AD622" t="n">
        <v>9492.649299999999</v>
      </c>
      <c r="AE622" t="n">
        <v>10085.7667</v>
      </c>
      <c r="AF622" t="n">
        <v>10085.7667</v>
      </c>
      <c r="AG622" t="n">
        <v>4349.5273</v>
      </c>
      <c r="AH622" t="n">
        <v>0.00028589</v>
      </c>
      <c r="AI622" t="n">
        <v>0.301312</v>
      </c>
      <c r="AJ622" t="n">
        <v>593.1174</v>
      </c>
      <c r="AK622" t="n">
        <v>197.7058</v>
      </c>
      <c r="AL622" t="n">
        <v>5346.3704</v>
      </c>
      <c r="AM622" t="n">
        <v>146536.0184</v>
      </c>
      <c r="AN622" t="n">
        <v>0.95</v>
      </c>
      <c r="AO622" t="inlineStr">
        <is>
          <t>Medium</t>
        </is>
      </c>
      <c r="AP622" t="inlineStr">
        <is>
          <t>On Track to Glide Path</t>
        </is>
      </c>
    </row>
    <row r="623">
      <c r="A623" t="inlineStr">
        <is>
          <t>SUP-0039</t>
        </is>
      </c>
      <c r="B623" t="inlineStr">
        <is>
          <t>Electronics Supplier 039</t>
        </is>
      </c>
      <c r="C623" t="inlineStr">
        <is>
          <t>Electronics</t>
        </is>
      </c>
      <c r="D623" t="n">
        <v>2024</v>
      </c>
      <c r="E623" t="n">
        <v>2015</v>
      </c>
      <c r="F623" t="n">
        <v>2040</v>
      </c>
      <c r="G623" t="n">
        <v>16018.6447</v>
      </c>
      <c r="H623" t="n">
        <v>3392.6745</v>
      </c>
      <c r="I623" t="n">
        <v>3419.1994</v>
      </c>
      <c r="J623" t="n">
        <v>8856.776900000001</v>
      </c>
      <c r="K623" t="n">
        <v>35278962.72</v>
      </c>
      <c r="L623" t="n">
        <v>405077060.74</v>
      </c>
      <c r="M623" t="n">
        <v>16018.6447</v>
      </c>
      <c r="N623" t="inlineStr">
        <is>
          <t>Provided Total Emissions</t>
        </is>
      </c>
      <c r="O623" t="b">
        <v>1</v>
      </c>
      <c r="P623" t="n">
        <v>0.011631</v>
      </c>
      <c r="Q623" t="n">
        <v>0.050464</v>
      </c>
      <c r="R623" t="n">
        <v>30376.9509</v>
      </c>
      <c r="S623" t="n">
        <v>56496.0977</v>
      </c>
      <c r="T623" t="n">
        <v>14358.3062</v>
      </c>
      <c r="U623" t="n">
        <v>40477.453</v>
      </c>
      <c r="V623" t="n">
        <v>0.89635</v>
      </c>
      <c r="W623" t="n">
        <v>2.526896</v>
      </c>
      <c r="X623" t="inlineStr">
        <is>
          <t>High</t>
        </is>
      </c>
      <c r="Y623" t="inlineStr">
        <is>
          <t>None</t>
        </is>
      </c>
      <c r="Z623" t="inlineStr">
        <is>
          <t>Valid</t>
        </is>
      </c>
      <c r="AA623" t="n">
        <v>2038</v>
      </c>
      <c r="AB623" t="inlineStr">
        <is>
          <t>Industry Haircut Pathway</t>
        </is>
      </c>
      <c r="AC623" t="n">
        <v>14435.294</v>
      </c>
      <c r="AD623" t="n">
        <v>9492.649299999999</v>
      </c>
      <c r="AE623" t="n">
        <v>9888.0609</v>
      </c>
      <c r="AF623" t="n">
        <v>9888.0609</v>
      </c>
      <c r="AG623" t="n">
        <v>4547.2331</v>
      </c>
      <c r="AH623" t="n">
        <v>0.00028028</v>
      </c>
      <c r="AI623" t="n">
        <v>0.315008</v>
      </c>
      <c r="AJ623" t="n">
        <v>395.4116</v>
      </c>
      <c r="AK623" t="n">
        <v>197.7058</v>
      </c>
      <c r="AL623" t="n">
        <v>-4541.6905</v>
      </c>
      <c r="AM623" t="n">
        <v>156424.0793</v>
      </c>
      <c r="AN623" t="n">
        <v>0.95</v>
      </c>
      <c r="AO623" t="inlineStr">
        <is>
          <t>Medium</t>
        </is>
      </c>
      <c r="AP623" t="inlineStr">
        <is>
          <t>On Track to Glide Path</t>
        </is>
      </c>
    </row>
    <row r="624">
      <c r="A624" t="inlineStr">
        <is>
          <t>SUP-0039</t>
        </is>
      </c>
      <c r="B624" t="inlineStr">
        <is>
          <t>Electronics Supplier 039</t>
        </is>
      </c>
      <c r="C624" t="inlineStr">
        <is>
          <t>Electronics</t>
        </is>
      </c>
      <c r="D624" t="n">
        <v>2024</v>
      </c>
      <c r="E624" t="n">
        <v>2015</v>
      </c>
      <c r="F624" t="n">
        <v>2040</v>
      </c>
      <c r="G624" t="n">
        <v>16018.6447</v>
      </c>
      <c r="H624" t="n">
        <v>3392.6745</v>
      </c>
      <c r="I624" t="n">
        <v>3419.1994</v>
      </c>
      <c r="J624" t="n">
        <v>8856.776900000001</v>
      </c>
      <c r="K624" t="n">
        <v>35278962.72</v>
      </c>
      <c r="L624" t="n">
        <v>405077060.74</v>
      </c>
      <c r="M624" t="n">
        <v>16018.6447</v>
      </c>
      <c r="N624" t="inlineStr">
        <is>
          <t>Provided Total Emissions</t>
        </is>
      </c>
      <c r="O624" t="b">
        <v>1</v>
      </c>
      <c r="P624" t="n">
        <v>0.011631</v>
      </c>
      <c r="Q624" t="n">
        <v>0.050464</v>
      </c>
      <c r="R624" t="n">
        <v>30376.9509</v>
      </c>
      <c r="S624" t="n">
        <v>56496.0977</v>
      </c>
      <c r="T624" t="n">
        <v>14358.3062</v>
      </c>
      <c r="U624" t="n">
        <v>40477.453</v>
      </c>
      <c r="V624" t="n">
        <v>0.89635</v>
      </c>
      <c r="W624" t="n">
        <v>2.526896</v>
      </c>
      <c r="X624" t="inlineStr">
        <is>
          <t>High</t>
        </is>
      </c>
      <c r="Y624" t="inlineStr">
        <is>
          <t>None</t>
        </is>
      </c>
      <c r="Z624" t="inlineStr">
        <is>
          <t>Valid</t>
        </is>
      </c>
      <c r="AA624" t="n">
        <v>2039</v>
      </c>
      <c r="AB624" t="inlineStr">
        <is>
          <t>Industry Haircut Pathway</t>
        </is>
      </c>
      <c r="AC624" t="n">
        <v>14435.294</v>
      </c>
      <c r="AD624" t="n">
        <v>9492.649299999999</v>
      </c>
      <c r="AE624" t="n">
        <v>9690.355100000001</v>
      </c>
      <c r="AF624" t="n">
        <v>9690.355100000001</v>
      </c>
      <c r="AG624" t="n">
        <v>4744.9389</v>
      </c>
      <c r="AH624" t="n">
        <v>0.00027468</v>
      </c>
      <c r="AI624" t="n">
        <v>0.328704</v>
      </c>
      <c r="AJ624" t="n">
        <v>197.7058</v>
      </c>
      <c r="AK624" t="n">
        <v>197.7058</v>
      </c>
      <c r="AL624" t="n">
        <v>-14232.0456</v>
      </c>
      <c r="AM624" t="n">
        <v>166114.4344</v>
      </c>
      <c r="AN624" t="n">
        <v>0.95</v>
      </c>
      <c r="AO624" t="inlineStr">
        <is>
          <t>Medium</t>
        </is>
      </c>
      <c r="AP624" t="inlineStr">
        <is>
          <t>On Track to Glide Path</t>
        </is>
      </c>
    </row>
    <row r="625">
      <c r="A625" t="inlineStr">
        <is>
          <t>SUP-0039</t>
        </is>
      </c>
      <c r="B625" t="inlineStr">
        <is>
          <t>Electronics Supplier 039</t>
        </is>
      </c>
      <c r="C625" t="inlineStr">
        <is>
          <t>Electronics</t>
        </is>
      </c>
      <c r="D625" t="n">
        <v>2024</v>
      </c>
      <c r="E625" t="n">
        <v>2015</v>
      </c>
      <c r="F625" t="n">
        <v>2040</v>
      </c>
      <c r="G625" t="n">
        <v>16018.6447</v>
      </c>
      <c r="H625" t="n">
        <v>3392.6745</v>
      </c>
      <c r="I625" t="n">
        <v>3419.1994</v>
      </c>
      <c r="J625" t="n">
        <v>8856.776900000001</v>
      </c>
      <c r="K625" t="n">
        <v>35278962.72</v>
      </c>
      <c r="L625" t="n">
        <v>405077060.74</v>
      </c>
      <c r="M625" t="n">
        <v>16018.6447</v>
      </c>
      <c r="N625" t="inlineStr">
        <is>
          <t>Provided Total Emissions</t>
        </is>
      </c>
      <c r="O625" t="b">
        <v>1</v>
      </c>
      <c r="P625" t="n">
        <v>0.011631</v>
      </c>
      <c r="Q625" t="n">
        <v>0.050464</v>
      </c>
      <c r="R625" t="n">
        <v>30376.9509</v>
      </c>
      <c r="S625" t="n">
        <v>56496.0977</v>
      </c>
      <c r="T625" t="n">
        <v>14358.3062</v>
      </c>
      <c r="U625" t="n">
        <v>40477.453</v>
      </c>
      <c r="V625" t="n">
        <v>0.89635</v>
      </c>
      <c r="W625" t="n">
        <v>2.526896</v>
      </c>
      <c r="X625" t="inlineStr">
        <is>
          <t>High</t>
        </is>
      </c>
      <c r="Y625" t="inlineStr">
        <is>
          <t>None</t>
        </is>
      </c>
      <c r="Z625" t="inlineStr">
        <is>
          <t>Valid</t>
        </is>
      </c>
      <c r="AA625" t="n">
        <v>2040</v>
      </c>
      <c r="AB625" t="inlineStr">
        <is>
          <t>Industry Haircut Pathway</t>
        </is>
      </c>
      <c r="AC625" t="n">
        <v>14435.294</v>
      </c>
      <c r="AD625" t="n">
        <v>9492.649299999999</v>
      </c>
      <c r="AE625" t="n">
        <v>9492.649299999999</v>
      </c>
      <c r="AF625" t="n">
        <v>9492.649299999999</v>
      </c>
      <c r="AG625" t="n">
        <v>4942.6447</v>
      </c>
      <c r="AH625" t="n">
        <v>0.00026907</v>
      </c>
      <c r="AI625" t="n">
        <v>0.3424</v>
      </c>
      <c r="AJ625" t="n">
        <v>0</v>
      </c>
      <c r="AK625" t="n">
        <v>197.7058</v>
      </c>
      <c r="AL625" t="n">
        <v>-23724.6949</v>
      </c>
      <c r="AM625" t="n">
        <v>175607.0837</v>
      </c>
      <c r="AN625" t="n">
        <v>0.95</v>
      </c>
      <c r="AO625" t="inlineStr">
        <is>
          <t>Low</t>
        </is>
      </c>
      <c r="AP625" t="inlineStr">
        <is>
          <t>On Track</t>
        </is>
      </c>
    </row>
    <row r="626">
      <c r="A626" t="inlineStr">
        <is>
          <t>SUP-0040</t>
        </is>
      </c>
      <c r="B626" t="inlineStr">
        <is>
          <t>Chemicals Supplier 040</t>
        </is>
      </c>
      <c r="C626" t="inlineStr">
        <is>
          <t>Chemicals</t>
        </is>
      </c>
      <c r="D626" t="n">
        <v>2024</v>
      </c>
      <c r="E626" t="n">
        <v>2021</v>
      </c>
      <c r="F626" t="n">
        <v>2030</v>
      </c>
      <c r="G626" t="n">
        <v>18835.0754</v>
      </c>
      <c r="H626" t="n">
        <v>5073.7738</v>
      </c>
      <c r="I626" t="n">
        <v>1792.4488</v>
      </c>
      <c r="J626" t="n">
        <v>11346.0114</v>
      </c>
      <c r="K626" t="n">
        <v>22590970.07</v>
      </c>
      <c r="L626" t="n">
        <v>47688275.49</v>
      </c>
      <c r="M626" t="n">
        <v>18835.0754</v>
      </c>
      <c r="N626" t="inlineStr">
        <is>
          <t>Provided Total Emissions</t>
        </is>
      </c>
      <c r="O626" t="b">
        <v>1</v>
      </c>
      <c r="P626" t="n">
        <v>0.058779</v>
      </c>
      <c r="Q626" t="n">
        <v>0.078694</v>
      </c>
      <c r="R626" t="n">
        <v>22624.6306</v>
      </c>
      <c r="S626" t="n">
        <v>22472.6229</v>
      </c>
      <c r="T626" t="n">
        <v>3789.5552</v>
      </c>
      <c r="U626" t="n">
        <v>3637.5475</v>
      </c>
      <c r="V626" t="n">
        <v>0.201197</v>
      </c>
      <c r="W626" t="n">
        <v>0.193126</v>
      </c>
      <c r="X626" t="inlineStr">
        <is>
          <t>High</t>
        </is>
      </c>
      <c r="Y626" t="inlineStr">
        <is>
          <t>None</t>
        </is>
      </c>
      <c r="Z626" t="inlineStr">
        <is>
          <t>Valid</t>
        </is>
      </c>
      <c r="AA626" t="n">
        <v>2025</v>
      </c>
      <c r="AB626" t="inlineStr">
        <is>
          <t>Supplier Target Pathway</t>
        </is>
      </c>
      <c r="AC626" t="n">
        <v>17446.7882</v>
      </c>
      <c r="AD626" t="n">
        <v>8285.4797</v>
      </c>
      <c r="AE626" t="n">
        <v>13375.0955</v>
      </c>
      <c r="AF626" t="n">
        <v>13375.0955</v>
      </c>
      <c r="AG626" t="n">
        <v>4071.6927</v>
      </c>
      <c r="AH626" t="n">
        <v>0.00059205</v>
      </c>
      <c r="AI626" t="n">
        <v>0.233378</v>
      </c>
      <c r="AJ626" t="n">
        <v>5089.6158</v>
      </c>
      <c r="AK626" t="n">
        <v>1017.9232</v>
      </c>
      <c r="AL626" t="n">
        <v>36337.7827</v>
      </c>
      <c r="AM626" t="n">
        <v>13375.0955</v>
      </c>
      <c r="AN626" t="n">
        <v>0.99</v>
      </c>
      <c r="AO626" t="inlineStr">
        <is>
          <t>Critical</t>
        </is>
      </c>
      <c r="AP626" t="inlineStr">
        <is>
          <t>On Track to Glide Path</t>
        </is>
      </c>
    </row>
    <row r="627">
      <c r="A627" t="inlineStr">
        <is>
          <t>SUP-0040</t>
        </is>
      </c>
      <c r="B627" t="inlineStr">
        <is>
          <t>Chemicals Supplier 040</t>
        </is>
      </c>
      <c r="C627" t="inlineStr">
        <is>
          <t>Chemicals</t>
        </is>
      </c>
      <c r="D627" t="n">
        <v>2024</v>
      </c>
      <c r="E627" t="n">
        <v>2021</v>
      </c>
      <c r="F627" t="n">
        <v>2030</v>
      </c>
      <c r="G627" t="n">
        <v>18835.0754</v>
      </c>
      <c r="H627" t="n">
        <v>5073.7738</v>
      </c>
      <c r="I627" t="n">
        <v>1792.4488</v>
      </c>
      <c r="J627" t="n">
        <v>11346.0114</v>
      </c>
      <c r="K627" t="n">
        <v>22590970.07</v>
      </c>
      <c r="L627" t="n">
        <v>47688275.49</v>
      </c>
      <c r="M627" t="n">
        <v>18835.0754</v>
      </c>
      <c r="N627" t="inlineStr">
        <is>
          <t>Provided Total Emissions</t>
        </is>
      </c>
      <c r="O627" t="b">
        <v>1</v>
      </c>
      <c r="P627" t="n">
        <v>0.058779</v>
      </c>
      <c r="Q627" t="n">
        <v>0.078694</v>
      </c>
      <c r="R627" t="n">
        <v>22624.6306</v>
      </c>
      <c r="S627" t="n">
        <v>22472.6229</v>
      </c>
      <c r="T627" t="n">
        <v>3789.5552</v>
      </c>
      <c r="U627" t="n">
        <v>3637.5475</v>
      </c>
      <c r="V627" t="n">
        <v>0.201197</v>
      </c>
      <c r="W627" t="n">
        <v>0.193126</v>
      </c>
      <c r="X627" t="inlineStr">
        <is>
          <t>High</t>
        </is>
      </c>
      <c r="Y627" t="inlineStr">
        <is>
          <t>None</t>
        </is>
      </c>
      <c r="Z627" t="inlineStr">
        <is>
          <t>Valid</t>
        </is>
      </c>
      <c r="AA627" t="n">
        <v>2026</v>
      </c>
      <c r="AB627" t="inlineStr">
        <is>
          <t>Supplier Target Pathway</t>
        </is>
      </c>
      <c r="AC627" t="n">
        <v>17446.7882</v>
      </c>
      <c r="AD627" t="n">
        <v>8285.4797</v>
      </c>
      <c r="AE627" t="n">
        <v>12357.1724</v>
      </c>
      <c r="AF627" t="n">
        <v>12357.1724</v>
      </c>
      <c r="AG627" t="n">
        <v>5089.6158</v>
      </c>
      <c r="AH627" t="n">
        <v>0.000547</v>
      </c>
      <c r="AI627" t="n">
        <v>0.291722</v>
      </c>
      <c r="AJ627" t="n">
        <v>4071.6927</v>
      </c>
      <c r="AK627" t="n">
        <v>1017.9232</v>
      </c>
      <c r="AL627" t="n">
        <v>23980.6103</v>
      </c>
      <c r="AM627" t="n">
        <v>25732.2679</v>
      </c>
      <c r="AN627" t="n">
        <v>0.99</v>
      </c>
      <c r="AO627" t="inlineStr">
        <is>
          <t>Critical</t>
        </is>
      </c>
      <c r="AP627" t="inlineStr">
        <is>
          <t>On Track to Glide Path</t>
        </is>
      </c>
    </row>
    <row r="628">
      <c r="A628" t="inlineStr">
        <is>
          <t>SUP-0040</t>
        </is>
      </c>
      <c r="B628" t="inlineStr">
        <is>
          <t>Chemicals Supplier 040</t>
        </is>
      </c>
      <c r="C628" t="inlineStr">
        <is>
          <t>Chemicals</t>
        </is>
      </c>
      <c r="D628" t="n">
        <v>2024</v>
      </c>
      <c r="E628" t="n">
        <v>2021</v>
      </c>
      <c r="F628" t="n">
        <v>2030</v>
      </c>
      <c r="G628" t="n">
        <v>18835.0754</v>
      </c>
      <c r="H628" t="n">
        <v>5073.7738</v>
      </c>
      <c r="I628" t="n">
        <v>1792.4488</v>
      </c>
      <c r="J628" t="n">
        <v>11346.0114</v>
      </c>
      <c r="K628" t="n">
        <v>22590970.07</v>
      </c>
      <c r="L628" t="n">
        <v>47688275.49</v>
      </c>
      <c r="M628" t="n">
        <v>18835.0754</v>
      </c>
      <c r="N628" t="inlineStr">
        <is>
          <t>Provided Total Emissions</t>
        </is>
      </c>
      <c r="O628" t="b">
        <v>1</v>
      </c>
      <c r="P628" t="n">
        <v>0.058779</v>
      </c>
      <c r="Q628" t="n">
        <v>0.078694</v>
      </c>
      <c r="R628" t="n">
        <v>22624.6306</v>
      </c>
      <c r="S628" t="n">
        <v>22472.6229</v>
      </c>
      <c r="T628" t="n">
        <v>3789.5552</v>
      </c>
      <c r="U628" t="n">
        <v>3637.5475</v>
      </c>
      <c r="V628" t="n">
        <v>0.201197</v>
      </c>
      <c r="W628" t="n">
        <v>0.193126</v>
      </c>
      <c r="X628" t="inlineStr">
        <is>
          <t>High</t>
        </is>
      </c>
      <c r="Y628" t="inlineStr">
        <is>
          <t>None</t>
        </is>
      </c>
      <c r="Z628" t="inlineStr">
        <is>
          <t>Valid</t>
        </is>
      </c>
      <c r="AA628" t="n">
        <v>2027</v>
      </c>
      <c r="AB628" t="inlineStr">
        <is>
          <t>Supplier Target Pathway</t>
        </is>
      </c>
      <c r="AC628" t="n">
        <v>17446.7882</v>
      </c>
      <c r="AD628" t="n">
        <v>8285.4797</v>
      </c>
      <c r="AE628" t="n">
        <v>11339.2492</v>
      </c>
      <c r="AF628" t="n">
        <v>11339.2492</v>
      </c>
      <c r="AG628" t="n">
        <v>6107.539</v>
      </c>
      <c r="AH628" t="n">
        <v>0.00050194</v>
      </c>
      <c r="AI628" t="n">
        <v>0.350067</v>
      </c>
      <c r="AJ628" t="n">
        <v>3053.7695</v>
      </c>
      <c r="AK628" t="n">
        <v>1017.9232</v>
      </c>
      <c r="AL628" t="n">
        <v>12641.3611</v>
      </c>
      <c r="AM628" t="n">
        <v>37071.5171</v>
      </c>
      <c r="AN628" t="n">
        <v>0.99</v>
      </c>
      <c r="AO628" t="inlineStr">
        <is>
          <t>Critical</t>
        </is>
      </c>
      <c r="AP628" t="inlineStr">
        <is>
          <t>On Track to Glide Path</t>
        </is>
      </c>
    </row>
    <row r="629">
      <c r="A629" t="inlineStr">
        <is>
          <t>SUP-0040</t>
        </is>
      </c>
      <c r="B629" t="inlineStr">
        <is>
          <t>Chemicals Supplier 040</t>
        </is>
      </c>
      <c r="C629" t="inlineStr">
        <is>
          <t>Chemicals</t>
        </is>
      </c>
      <c r="D629" t="n">
        <v>2024</v>
      </c>
      <c r="E629" t="n">
        <v>2021</v>
      </c>
      <c r="F629" t="n">
        <v>2030</v>
      </c>
      <c r="G629" t="n">
        <v>18835.0754</v>
      </c>
      <c r="H629" t="n">
        <v>5073.7738</v>
      </c>
      <c r="I629" t="n">
        <v>1792.4488</v>
      </c>
      <c r="J629" t="n">
        <v>11346.0114</v>
      </c>
      <c r="K629" t="n">
        <v>22590970.07</v>
      </c>
      <c r="L629" t="n">
        <v>47688275.49</v>
      </c>
      <c r="M629" t="n">
        <v>18835.0754</v>
      </c>
      <c r="N629" t="inlineStr">
        <is>
          <t>Provided Total Emissions</t>
        </is>
      </c>
      <c r="O629" t="b">
        <v>1</v>
      </c>
      <c r="P629" t="n">
        <v>0.058779</v>
      </c>
      <c r="Q629" t="n">
        <v>0.078694</v>
      </c>
      <c r="R629" t="n">
        <v>22624.6306</v>
      </c>
      <c r="S629" t="n">
        <v>22472.6229</v>
      </c>
      <c r="T629" t="n">
        <v>3789.5552</v>
      </c>
      <c r="U629" t="n">
        <v>3637.5475</v>
      </c>
      <c r="V629" t="n">
        <v>0.201197</v>
      </c>
      <c r="W629" t="n">
        <v>0.193126</v>
      </c>
      <c r="X629" t="inlineStr">
        <is>
          <t>High</t>
        </is>
      </c>
      <c r="Y629" t="inlineStr">
        <is>
          <t>None</t>
        </is>
      </c>
      <c r="Z629" t="inlineStr">
        <is>
          <t>Valid</t>
        </is>
      </c>
      <c r="AA629" t="n">
        <v>2028</v>
      </c>
      <c r="AB629" t="inlineStr">
        <is>
          <t>Supplier Target Pathway</t>
        </is>
      </c>
      <c r="AC629" t="n">
        <v>17446.7882</v>
      </c>
      <c r="AD629" t="n">
        <v>8285.4797</v>
      </c>
      <c r="AE629" t="n">
        <v>10321.326</v>
      </c>
      <c r="AF629" t="n">
        <v>10321.326</v>
      </c>
      <c r="AG629" t="n">
        <v>7125.4622</v>
      </c>
      <c r="AH629" t="n">
        <v>0.00045688</v>
      </c>
      <c r="AI629" t="n">
        <v>0.408411</v>
      </c>
      <c r="AJ629" t="n">
        <v>2035.8463</v>
      </c>
      <c r="AK629" t="n">
        <v>1017.9232</v>
      </c>
      <c r="AL629" t="n">
        <v>2320.0351</v>
      </c>
      <c r="AM629" t="n">
        <v>47392.8431</v>
      </c>
      <c r="AN629" t="n">
        <v>0.99</v>
      </c>
      <c r="AO629" t="inlineStr">
        <is>
          <t>High</t>
        </is>
      </c>
      <c r="AP629" t="inlineStr">
        <is>
          <t>On Track to Glide Path</t>
        </is>
      </c>
    </row>
    <row r="630">
      <c r="A630" t="inlineStr">
        <is>
          <t>SUP-0040</t>
        </is>
      </c>
      <c r="B630" t="inlineStr">
        <is>
          <t>Chemicals Supplier 040</t>
        </is>
      </c>
      <c r="C630" t="inlineStr">
        <is>
          <t>Chemicals</t>
        </is>
      </c>
      <c r="D630" t="n">
        <v>2024</v>
      </c>
      <c r="E630" t="n">
        <v>2021</v>
      </c>
      <c r="F630" t="n">
        <v>2030</v>
      </c>
      <c r="G630" t="n">
        <v>18835.0754</v>
      </c>
      <c r="H630" t="n">
        <v>5073.7738</v>
      </c>
      <c r="I630" t="n">
        <v>1792.4488</v>
      </c>
      <c r="J630" t="n">
        <v>11346.0114</v>
      </c>
      <c r="K630" t="n">
        <v>22590970.07</v>
      </c>
      <c r="L630" t="n">
        <v>47688275.49</v>
      </c>
      <c r="M630" t="n">
        <v>18835.0754</v>
      </c>
      <c r="N630" t="inlineStr">
        <is>
          <t>Provided Total Emissions</t>
        </is>
      </c>
      <c r="O630" t="b">
        <v>1</v>
      </c>
      <c r="P630" t="n">
        <v>0.058779</v>
      </c>
      <c r="Q630" t="n">
        <v>0.078694</v>
      </c>
      <c r="R630" t="n">
        <v>22624.6306</v>
      </c>
      <c r="S630" t="n">
        <v>22472.6229</v>
      </c>
      <c r="T630" t="n">
        <v>3789.5552</v>
      </c>
      <c r="U630" t="n">
        <v>3637.5475</v>
      </c>
      <c r="V630" t="n">
        <v>0.201197</v>
      </c>
      <c r="W630" t="n">
        <v>0.193126</v>
      </c>
      <c r="X630" t="inlineStr">
        <is>
          <t>High</t>
        </is>
      </c>
      <c r="Y630" t="inlineStr">
        <is>
          <t>None</t>
        </is>
      </c>
      <c r="Z630" t="inlineStr">
        <is>
          <t>Valid</t>
        </is>
      </c>
      <c r="AA630" t="n">
        <v>2029</v>
      </c>
      <c r="AB630" t="inlineStr">
        <is>
          <t>Supplier Target Pathway</t>
        </is>
      </c>
      <c r="AC630" t="n">
        <v>17446.7882</v>
      </c>
      <c r="AD630" t="n">
        <v>8285.4797</v>
      </c>
      <c r="AE630" t="n">
        <v>9303.402899999999</v>
      </c>
      <c r="AF630" t="n">
        <v>9303.402899999999</v>
      </c>
      <c r="AG630" t="n">
        <v>8143.3853</v>
      </c>
      <c r="AH630" t="n">
        <v>0.00041182</v>
      </c>
      <c r="AI630" t="n">
        <v>0.466756</v>
      </c>
      <c r="AJ630" t="n">
        <v>1017.9232</v>
      </c>
      <c r="AK630" t="n">
        <v>1017.9232</v>
      </c>
      <c r="AL630" t="n">
        <v>-6983.3678</v>
      </c>
      <c r="AM630" t="n">
        <v>56696.246</v>
      </c>
      <c r="AN630" t="n">
        <v>0.99</v>
      </c>
      <c r="AO630" t="inlineStr">
        <is>
          <t>Medium</t>
        </is>
      </c>
      <c r="AP630" t="inlineStr">
        <is>
          <t>On Track to Glide Path</t>
        </is>
      </c>
    </row>
    <row r="631">
      <c r="A631" t="inlineStr">
        <is>
          <t>SUP-0040</t>
        </is>
      </c>
      <c r="B631" t="inlineStr">
        <is>
          <t>Chemicals Supplier 040</t>
        </is>
      </c>
      <c r="C631" t="inlineStr">
        <is>
          <t>Chemicals</t>
        </is>
      </c>
      <c r="D631" t="n">
        <v>2024</v>
      </c>
      <c r="E631" t="n">
        <v>2021</v>
      </c>
      <c r="F631" t="n">
        <v>2030</v>
      </c>
      <c r="G631" t="n">
        <v>18835.0754</v>
      </c>
      <c r="H631" t="n">
        <v>5073.7738</v>
      </c>
      <c r="I631" t="n">
        <v>1792.4488</v>
      </c>
      <c r="J631" t="n">
        <v>11346.0114</v>
      </c>
      <c r="K631" t="n">
        <v>22590970.07</v>
      </c>
      <c r="L631" t="n">
        <v>47688275.49</v>
      </c>
      <c r="M631" t="n">
        <v>18835.0754</v>
      </c>
      <c r="N631" t="inlineStr">
        <is>
          <t>Provided Total Emissions</t>
        </is>
      </c>
      <c r="O631" t="b">
        <v>1</v>
      </c>
      <c r="P631" t="n">
        <v>0.058779</v>
      </c>
      <c r="Q631" t="n">
        <v>0.078694</v>
      </c>
      <c r="R631" t="n">
        <v>22624.6306</v>
      </c>
      <c r="S631" t="n">
        <v>22472.6229</v>
      </c>
      <c r="T631" t="n">
        <v>3789.5552</v>
      </c>
      <c r="U631" t="n">
        <v>3637.5475</v>
      </c>
      <c r="V631" t="n">
        <v>0.201197</v>
      </c>
      <c r="W631" t="n">
        <v>0.193126</v>
      </c>
      <c r="X631" t="inlineStr">
        <is>
          <t>High</t>
        </is>
      </c>
      <c r="Y631" t="inlineStr">
        <is>
          <t>None</t>
        </is>
      </c>
      <c r="Z631" t="inlineStr">
        <is>
          <t>Valid</t>
        </is>
      </c>
      <c r="AA631" t="n">
        <v>2030</v>
      </c>
      <c r="AB631" t="inlineStr">
        <is>
          <t>Supplier Target Pathway</t>
        </is>
      </c>
      <c r="AC631" t="n">
        <v>17446.7882</v>
      </c>
      <c r="AD631" t="n">
        <v>8285.4797</v>
      </c>
      <c r="AE631" t="n">
        <v>8285.4797</v>
      </c>
      <c r="AF631" t="n">
        <v>8285.4797</v>
      </c>
      <c r="AG631" t="n">
        <v>9161.308499999999</v>
      </c>
      <c r="AH631" t="n">
        <v>0.00036676</v>
      </c>
      <c r="AI631" t="n">
        <v>0.5251</v>
      </c>
      <c r="AJ631" t="n">
        <v>0</v>
      </c>
      <c r="AK631" t="n">
        <v>1017.9232</v>
      </c>
      <c r="AL631" t="n">
        <v>-15268.8475</v>
      </c>
      <c r="AM631" t="n">
        <v>64981.7257</v>
      </c>
      <c r="AN631" t="n">
        <v>0.99</v>
      </c>
      <c r="AO631" t="inlineStr">
        <is>
          <t>Low</t>
        </is>
      </c>
      <c r="AP631" t="inlineStr">
        <is>
          <t>On Track</t>
        </is>
      </c>
    </row>
    <row r="632">
      <c r="A632" t="inlineStr">
        <is>
          <t>SUP-0040</t>
        </is>
      </c>
      <c r="B632" t="inlineStr">
        <is>
          <t>Chemicals Supplier 040</t>
        </is>
      </c>
      <c r="C632" t="inlineStr">
        <is>
          <t>Chemicals</t>
        </is>
      </c>
      <c r="D632" t="n">
        <v>2024</v>
      </c>
      <c r="E632" t="n">
        <v>2021</v>
      </c>
      <c r="F632" t="n">
        <v>2030</v>
      </c>
      <c r="G632" t="n">
        <v>18835.0754</v>
      </c>
      <c r="H632" t="n">
        <v>5073.7738</v>
      </c>
      <c r="I632" t="n">
        <v>1792.4488</v>
      </c>
      <c r="J632" t="n">
        <v>11346.0114</v>
      </c>
      <c r="K632" t="n">
        <v>22590970.07</v>
      </c>
      <c r="L632" t="n">
        <v>47688275.49</v>
      </c>
      <c r="M632" t="n">
        <v>18835.0754</v>
      </c>
      <c r="N632" t="inlineStr">
        <is>
          <t>Provided Total Emissions</t>
        </is>
      </c>
      <c r="O632" t="b">
        <v>1</v>
      </c>
      <c r="P632" t="n">
        <v>0.058779</v>
      </c>
      <c r="Q632" t="n">
        <v>0.078694</v>
      </c>
      <c r="R632" t="n">
        <v>22624.6306</v>
      </c>
      <c r="S632" t="n">
        <v>22472.6229</v>
      </c>
      <c r="T632" t="n">
        <v>3789.5552</v>
      </c>
      <c r="U632" t="n">
        <v>3637.5475</v>
      </c>
      <c r="V632" t="n">
        <v>0.201197</v>
      </c>
      <c r="W632" t="n">
        <v>0.193126</v>
      </c>
      <c r="X632" t="inlineStr">
        <is>
          <t>High</t>
        </is>
      </c>
      <c r="Y632" t="inlineStr">
        <is>
          <t>None</t>
        </is>
      </c>
      <c r="Z632" t="inlineStr">
        <is>
          <t>Valid</t>
        </is>
      </c>
      <c r="AA632" t="n">
        <v>2031</v>
      </c>
      <c r="AB632" t="inlineStr">
        <is>
          <t>Supplier Target Pathway</t>
        </is>
      </c>
      <c r="AC632" t="n">
        <v>17446.7882</v>
      </c>
      <c r="AD632" t="n">
        <v>8285.4797</v>
      </c>
      <c r="AE632" t="n">
        <v>8285.4797</v>
      </c>
      <c r="AF632" t="n">
        <v>8285.4797</v>
      </c>
      <c r="AG632" t="n">
        <v>9161.308499999999</v>
      </c>
      <c r="AH632" t="n">
        <v>0.00036676</v>
      </c>
      <c r="AI632" t="n">
        <v>0.5251</v>
      </c>
      <c r="AJ632" t="n">
        <v>0</v>
      </c>
      <c r="AK632" t="n">
        <v>1017.9232</v>
      </c>
      <c r="AL632" t="n">
        <v>-23554.3272</v>
      </c>
      <c r="AM632" t="n">
        <v>73267.20540000001</v>
      </c>
      <c r="AN632" t="n">
        <v>0.99</v>
      </c>
      <c r="AO632" t="inlineStr">
        <is>
          <t>Low</t>
        </is>
      </c>
      <c r="AP632" t="inlineStr">
        <is>
          <t>On Track</t>
        </is>
      </c>
    </row>
    <row r="633">
      <c r="A633" t="inlineStr">
        <is>
          <t>SUP-0040</t>
        </is>
      </c>
      <c r="B633" t="inlineStr">
        <is>
          <t>Chemicals Supplier 040</t>
        </is>
      </c>
      <c r="C633" t="inlineStr">
        <is>
          <t>Chemicals</t>
        </is>
      </c>
      <c r="D633" t="n">
        <v>2024</v>
      </c>
      <c r="E633" t="n">
        <v>2021</v>
      </c>
      <c r="F633" t="n">
        <v>2030</v>
      </c>
      <c r="G633" t="n">
        <v>18835.0754</v>
      </c>
      <c r="H633" t="n">
        <v>5073.7738</v>
      </c>
      <c r="I633" t="n">
        <v>1792.4488</v>
      </c>
      <c r="J633" t="n">
        <v>11346.0114</v>
      </c>
      <c r="K633" t="n">
        <v>22590970.07</v>
      </c>
      <c r="L633" t="n">
        <v>47688275.49</v>
      </c>
      <c r="M633" t="n">
        <v>18835.0754</v>
      </c>
      <c r="N633" t="inlineStr">
        <is>
          <t>Provided Total Emissions</t>
        </is>
      </c>
      <c r="O633" t="b">
        <v>1</v>
      </c>
      <c r="P633" t="n">
        <v>0.058779</v>
      </c>
      <c r="Q633" t="n">
        <v>0.078694</v>
      </c>
      <c r="R633" t="n">
        <v>22624.6306</v>
      </c>
      <c r="S633" t="n">
        <v>22472.6229</v>
      </c>
      <c r="T633" t="n">
        <v>3789.5552</v>
      </c>
      <c r="U633" t="n">
        <v>3637.5475</v>
      </c>
      <c r="V633" t="n">
        <v>0.201197</v>
      </c>
      <c r="W633" t="n">
        <v>0.193126</v>
      </c>
      <c r="X633" t="inlineStr">
        <is>
          <t>High</t>
        </is>
      </c>
      <c r="Y633" t="inlineStr">
        <is>
          <t>None</t>
        </is>
      </c>
      <c r="Z633" t="inlineStr">
        <is>
          <t>Valid</t>
        </is>
      </c>
      <c r="AA633" t="n">
        <v>2032</v>
      </c>
      <c r="AB633" t="inlineStr">
        <is>
          <t>Supplier Target Pathway</t>
        </is>
      </c>
      <c r="AC633" t="n">
        <v>17446.7882</v>
      </c>
      <c r="AD633" t="n">
        <v>8285.4797</v>
      </c>
      <c r="AE633" t="n">
        <v>8285.4797</v>
      </c>
      <c r="AF633" t="n">
        <v>8285.4797</v>
      </c>
      <c r="AG633" t="n">
        <v>9161.308499999999</v>
      </c>
      <c r="AH633" t="n">
        <v>0.00036676</v>
      </c>
      <c r="AI633" t="n">
        <v>0.5251</v>
      </c>
      <c r="AJ633" t="n">
        <v>0</v>
      </c>
      <c r="AK633" t="n">
        <v>1017.9232</v>
      </c>
      <c r="AL633" t="n">
        <v>-31839.8069</v>
      </c>
      <c r="AM633" t="n">
        <v>81552.6851</v>
      </c>
      <c r="AN633" t="n">
        <v>0.99</v>
      </c>
      <c r="AO633" t="inlineStr">
        <is>
          <t>Low</t>
        </is>
      </c>
      <c r="AP633" t="inlineStr">
        <is>
          <t>On Track</t>
        </is>
      </c>
    </row>
    <row r="634">
      <c r="A634" t="inlineStr">
        <is>
          <t>SUP-0040</t>
        </is>
      </c>
      <c r="B634" t="inlineStr">
        <is>
          <t>Chemicals Supplier 040</t>
        </is>
      </c>
      <c r="C634" t="inlineStr">
        <is>
          <t>Chemicals</t>
        </is>
      </c>
      <c r="D634" t="n">
        <v>2024</v>
      </c>
      <c r="E634" t="n">
        <v>2021</v>
      </c>
      <c r="F634" t="n">
        <v>2030</v>
      </c>
      <c r="G634" t="n">
        <v>18835.0754</v>
      </c>
      <c r="H634" t="n">
        <v>5073.7738</v>
      </c>
      <c r="I634" t="n">
        <v>1792.4488</v>
      </c>
      <c r="J634" t="n">
        <v>11346.0114</v>
      </c>
      <c r="K634" t="n">
        <v>22590970.07</v>
      </c>
      <c r="L634" t="n">
        <v>47688275.49</v>
      </c>
      <c r="M634" t="n">
        <v>18835.0754</v>
      </c>
      <c r="N634" t="inlineStr">
        <is>
          <t>Provided Total Emissions</t>
        </is>
      </c>
      <c r="O634" t="b">
        <v>1</v>
      </c>
      <c r="P634" t="n">
        <v>0.058779</v>
      </c>
      <c r="Q634" t="n">
        <v>0.078694</v>
      </c>
      <c r="R634" t="n">
        <v>22624.6306</v>
      </c>
      <c r="S634" t="n">
        <v>22472.6229</v>
      </c>
      <c r="T634" t="n">
        <v>3789.5552</v>
      </c>
      <c r="U634" t="n">
        <v>3637.5475</v>
      </c>
      <c r="V634" t="n">
        <v>0.201197</v>
      </c>
      <c r="W634" t="n">
        <v>0.193126</v>
      </c>
      <c r="X634" t="inlineStr">
        <is>
          <t>High</t>
        </is>
      </c>
      <c r="Y634" t="inlineStr">
        <is>
          <t>None</t>
        </is>
      </c>
      <c r="Z634" t="inlineStr">
        <is>
          <t>Valid</t>
        </is>
      </c>
      <c r="AA634" t="n">
        <v>2033</v>
      </c>
      <c r="AB634" t="inlineStr">
        <is>
          <t>Supplier Target Pathway</t>
        </is>
      </c>
      <c r="AC634" t="n">
        <v>17446.7882</v>
      </c>
      <c r="AD634" t="n">
        <v>8285.4797</v>
      </c>
      <c r="AE634" t="n">
        <v>8285.4797</v>
      </c>
      <c r="AF634" t="n">
        <v>8285.4797</v>
      </c>
      <c r="AG634" t="n">
        <v>9161.308499999999</v>
      </c>
      <c r="AH634" t="n">
        <v>0.00036676</v>
      </c>
      <c r="AI634" t="n">
        <v>0.5251</v>
      </c>
      <c r="AJ634" t="n">
        <v>0</v>
      </c>
      <c r="AK634" t="n">
        <v>1017.9232</v>
      </c>
      <c r="AL634" t="n">
        <v>-40125.2866</v>
      </c>
      <c r="AM634" t="n">
        <v>89838.1648</v>
      </c>
      <c r="AN634" t="n">
        <v>0.99</v>
      </c>
      <c r="AO634" t="inlineStr">
        <is>
          <t>Low</t>
        </is>
      </c>
      <c r="AP634" t="inlineStr">
        <is>
          <t>On Track</t>
        </is>
      </c>
    </row>
    <row r="635">
      <c r="A635" t="inlineStr">
        <is>
          <t>SUP-0040</t>
        </is>
      </c>
      <c r="B635" t="inlineStr">
        <is>
          <t>Chemicals Supplier 040</t>
        </is>
      </c>
      <c r="C635" t="inlineStr">
        <is>
          <t>Chemicals</t>
        </is>
      </c>
      <c r="D635" t="n">
        <v>2024</v>
      </c>
      <c r="E635" t="n">
        <v>2021</v>
      </c>
      <c r="F635" t="n">
        <v>2030</v>
      </c>
      <c r="G635" t="n">
        <v>18835.0754</v>
      </c>
      <c r="H635" t="n">
        <v>5073.7738</v>
      </c>
      <c r="I635" t="n">
        <v>1792.4488</v>
      </c>
      <c r="J635" t="n">
        <v>11346.0114</v>
      </c>
      <c r="K635" t="n">
        <v>22590970.07</v>
      </c>
      <c r="L635" t="n">
        <v>47688275.49</v>
      </c>
      <c r="M635" t="n">
        <v>18835.0754</v>
      </c>
      <c r="N635" t="inlineStr">
        <is>
          <t>Provided Total Emissions</t>
        </is>
      </c>
      <c r="O635" t="b">
        <v>1</v>
      </c>
      <c r="P635" t="n">
        <v>0.058779</v>
      </c>
      <c r="Q635" t="n">
        <v>0.078694</v>
      </c>
      <c r="R635" t="n">
        <v>22624.6306</v>
      </c>
      <c r="S635" t="n">
        <v>22472.6229</v>
      </c>
      <c r="T635" t="n">
        <v>3789.5552</v>
      </c>
      <c r="U635" t="n">
        <v>3637.5475</v>
      </c>
      <c r="V635" t="n">
        <v>0.201197</v>
      </c>
      <c r="W635" t="n">
        <v>0.193126</v>
      </c>
      <c r="X635" t="inlineStr">
        <is>
          <t>High</t>
        </is>
      </c>
      <c r="Y635" t="inlineStr">
        <is>
          <t>None</t>
        </is>
      </c>
      <c r="Z635" t="inlineStr">
        <is>
          <t>Valid</t>
        </is>
      </c>
      <c r="AA635" t="n">
        <v>2034</v>
      </c>
      <c r="AB635" t="inlineStr">
        <is>
          <t>Supplier Target Pathway</t>
        </is>
      </c>
      <c r="AC635" t="n">
        <v>17446.7882</v>
      </c>
      <c r="AD635" t="n">
        <v>8285.4797</v>
      </c>
      <c r="AE635" t="n">
        <v>8285.4797</v>
      </c>
      <c r="AF635" t="n">
        <v>8285.4797</v>
      </c>
      <c r="AG635" t="n">
        <v>9161.308499999999</v>
      </c>
      <c r="AH635" t="n">
        <v>0.00036676</v>
      </c>
      <c r="AI635" t="n">
        <v>0.5251</v>
      </c>
      <c r="AJ635" t="n">
        <v>0</v>
      </c>
      <c r="AK635" t="n">
        <v>1017.9232</v>
      </c>
      <c r="AL635" t="n">
        <v>-48410.7663</v>
      </c>
      <c r="AM635" t="n">
        <v>98123.64449999999</v>
      </c>
      <c r="AN635" t="n">
        <v>0.99</v>
      </c>
      <c r="AO635" t="inlineStr">
        <is>
          <t>Low</t>
        </is>
      </c>
      <c r="AP635" t="inlineStr">
        <is>
          <t>On Track</t>
        </is>
      </c>
    </row>
    <row r="636">
      <c r="A636" t="inlineStr">
        <is>
          <t>SUP-0040</t>
        </is>
      </c>
      <c r="B636" t="inlineStr">
        <is>
          <t>Chemicals Supplier 040</t>
        </is>
      </c>
      <c r="C636" t="inlineStr">
        <is>
          <t>Chemicals</t>
        </is>
      </c>
      <c r="D636" t="n">
        <v>2024</v>
      </c>
      <c r="E636" t="n">
        <v>2021</v>
      </c>
      <c r="F636" t="n">
        <v>2030</v>
      </c>
      <c r="G636" t="n">
        <v>18835.0754</v>
      </c>
      <c r="H636" t="n">
        <v>5073.7738</v>
      </c>
      <c r="I636" t="n">
        <v>1792.4488</v>
      </c>
      <c r="J636" t="n">
        <v>11346.0114</v>
      </c>
      <c r="K636" t="n">
        <v>22590970.07</v>
      </c>
      <c r="L636" t="n">
        <v>47688275.49</v>
      </c>
      <c r="M636" t="n">
        <v>18835.0754</v>
      </c>
      <c r="N636" t="inlineStr">
        <is>
          <t>Provided Total Emissions</t>
        </is>
      </c>
      <c r="O636" t="b">
        <v>1</v>
      </c>
      <c r="P636" t="n">
        <v>0.058779</v>
      </c>
      <c r="Q636" t="n">
        <v>0.078694</v>
      </c>
      <c r="R636" t="n">
        <v>22624.6306</v>
      </c>
      <c r="S636" t="n">
        <v>22472.6229</v>
      </c>
      <c r="T636" t="n">
        <v>3789.5552</v>
      </c>
      <c r="U636" t="n">
        <v>3637.5475</v>
      </c>
      <c r="V636" t="n">
        <v>0.201197</v>
      </c>
      <c r="W636" t="n">
        <v>0.193126</v>
      </c>
      <c r="X636" t="inlineStr">
        <is>
          <t>High</t>
        </is>
      </c>
      <c r="Y636" t="inlineStr">
        <is>
          <t>None</t>
        </is>
      </c>
      <c r="Z636" t="inlineStr">
        <is>
          <t>Valid</t>
        </is>
      </c>
      <c r="AA636" t="n">
        <v>2035</v>
      </c>
      <c r="AB636" t="inlineStr">
        <is>
          <t>Supplier Target Pathway</t>
        </is>
      </c>
      <c r="AC636" t="n">
        <v>17446.7882</v>
      </c>
      <c r="AD636" t="n">
        <v>8285.4797</v>
      </c>
      <c r="AE636" t="n">
        <v>8285.4797</v>
      </c>
      <c r="AF636" t="n">
        <v>8285.4797</v>
      </c>
      <c r="AG636" t="n">
        <v>9161.308499999999</v>
      </c>
      <c r="AH636" t="n">
        <v>0.00036676</v>
      </c>
      <c r="AI636" t="n">
        <v>0.5251</v>
      </c>
      <c r="AJ636" t="n">
        <v>0</v>
      </c>
      <c r="AK636" t="n">
        <v>1017.9232</v>
      </c>
      <c r="AL636" t="n">
        <v>-56696.246</v>
      </c>
      <c r="AM636" t="n">
        <v>106409.1242</v>
      </c>
      <c r="AN636" t="n">
        <v>0.99</v>
      </c>
      <c r="AO636" t="inlineStr">
        <is>
          <t>Low</t>
        </is>
      </c>
      <c r="AP636" t="inlineStr">
        <is>
          <t>On Track</t>
        </is>
      </c>
    </row>
    <row r="637">
      <c r="A637" t="inlineStr">
        <is>
          <t>SUP-0040</t>
        </is>
      </c>
      <c r="B637" t="inlineStr">
        <is>
          <t>Chemicals Supplier 040</t>
        </is>
      </c>
      <c r="C637" t="inlineStr">
        <is>
          <t>Chemicals</t>
        </is>
      </c>
      <c r="D637" t="n">
        <v>2024</v>
      </c>
      <c r="E637" t="n">
        <v>2021</v>
      </c>
      <c r="F637" t="n">
        <v>2030</v>
      </c>
      <c r="G637" t="n">
        <v>18835.0754</v>
      </c>
      <c r="H637" t="n">
        <v>5073.7738</v>
      </c>
      <c r="I637" t="n">
        <v>1792.4488</v>
      </c>
      <c r="J637" t="n">
        <v>11346.0114</v>
      </c>
      <c r="K637" t="n">
        <v>22590970.07</v>
      </c>
      <c r="L637" t="n">
        <v>47688275.49</v>
      </c>
      <c r="M637" t="n">
        <v>18835.0754</v>
      </c>
      <c r="N637" t="inlineStr">
        <is>
          <t>Provided Total Emissions</t>
        </is>
      </c>
      <c r="O637" t="b">
        <v>1</v>
      </c>
      <c r="P637" t="n">
        <v>0.058779</v>
      </c>
      <c r="Q637" t="n">
        <v>0.078694</v>
      </c>
      <c r="R637" t="n">
        <v>22624.6306</v>
      </c>
      <c r="S637" t="n">
        <v>22472.6229</v>
      </c>
      <c r="T637" t="n">
        <v>3789.5552</v>
      </c>
      <c r="U637" t="n">
        <v>3637.5475</v>
      </c>
      <c r="V637" t="n">
        <v>0.201197</v>
      </c>
      <c r="W637" t="n">
        <v>0.193126</v>
      </c>
      <c r="X637" t="inlineStr">
        <is>
          <t>High</t>
        </is>
      </c>
      <c r="Y637" t="inlineStr">
        <is>
          <t>None</t>
        </is>
      </c>
      <c r="Z637" t="inlineStr">
        <is>
          <t>Valid</t>
        </is>
      </c>
      <c r="AA637" t="n">
        <v>2036</v>
      </c>
      <c r="AB637" t="inlineStr">
        <is>
          <t>Supplier Target Pathway</t>
        </is>
      </c>
      <c r="AC637" t="n">
        <v>17446.7882</v>
      </c>
      <c r="AD637" t="n">
        <v>8285.4797</v>
      </c>
      <c r="AE637" t="n">
        <v>8285.4797</v>
      </c>
      <c r="AF637" t="n">
        <v>8285.4797</v>
      </c>
      <c r="AG637" t="n">
        <v>9161.308499999999</v>
      </c>
      <c r="AH637" t="n">
        <v>0.00036676</v>
      </c>
      <c r="AI637" t="n">
        <v>0.5251</v>
      </c>
      <c r="AJ637" t="n">
        <v>0</v>
      </c>
      <c r="AK637" t="n">
        <v>1017.9232</v>
      </c>
      <c r="AL637" t="n">
        <v>-64981.7257</v>
      </c>
      <c r="AM637" t="n">
        <v>114694.6039</v>
      </c>
      <c r="AN637" t="n">
        <v>0.99</v>
      </c>
      <c r="AO637" t="inlineStr">
        <is>
          <t>Low</t>
        </is>
      </c>
      <c r="AP637" t="inlineStr">
        <is>
          <t>On Track</t>
        </is>
      </c>
    </row>
    <row r="638">
      <c r="A638" t="inlineStr">
        <is>
          <t>SUP-0040</t>
        </is>
      </c>
      <c r="B638" t="inlineStr">
        <is>
          <t>Chemicals Supplier 040</t>
        </is>
      </c>
      <c r="C638" t="inlineStr">
        <is>
          <t>Chemicals</t>
        </is>
      </c>
      <c r="D638" t="n">
        <v>2024</v>
      </c>
      <c r="E638" t="n">
        <v>2021</v>
      </c>
      <c r="F638" t="n">
        <v>2030</v>
      </c>
      <c r="G638" t="n">
        <v>18835.0754</v>
      </c>
      <c r="H638" t="n">
        <v>5073.7738</v>
      </c>
      <c r="I638" t="n">
        <v>1792.4488</v>
      </c>
      <c r="J638" t="n">
        <v>11346.0114</v>
      </c>
      <c r="K638" t="n">
        <v>22590970.07</v>
      </c>
      <c r="L638" t="n">
        <v>47688275.49</v>
      </c>
      <c r="M638" t="n">
        <v>18835.0754</v>
      </c>
      <c r="N638" t="inlineStr">
        <is>
          <t>Provided Total Emissions</t>
        </is>
      </c>
      <c r="O638" t="b">
        <v>1</v>
      </c>
      <c r="P638" t="n">
        <v>0.058779</v>
      </c>
      <c r="Q638" t="n">
        <v>0.078694</v>
      </c>
      <c r="R638" t="n">
        <v>22624.6306</v>
      </c>
      <c r="S638" t="n">
        <v>22472.6229</v>
      </c>
      <c r="T638" t="n">
        <v>3789.5552</v>
      </c>
      <c r="U638" t="n">
        <v>3637.5475</v>
      </c>
      <c r="V638" t="n">
        <v>0.201197</v>
      </c>
      <c r="W638" t="n">
        <v>0.193126</v>
      </c>
      <c r="X638" t="inlineStr">
        <is>
          <t>High</t>
        </is>
      </c>
      <c r="Y638" t="inlineStr">
        <is>
          <t>None</t>
        </is>
      </c>
      <c r="Z638" t="inlineStr">
        <is>
          <t>Valid</t>
        </is>
      </c>
      <c r="AA638" t="n">
        <v>2037</v>
      </c>
      <c r="AB638" t="inlineStr">
        <is>
          <t>Supplier Target Pathway</t>
        </is>
      </c>
      <c r="AC638" t="n">
        <v>17446.7882</v>
      </c>
      <c r="AD638" t="n">
        <v>8285.4797</v>
      </c>
      <c r="AE638" t="n">
        <v>8285.4797</v>
      </c>
      <c r="AF638" t="n">
        <v>8285.4797</v>
      </c>
      <c r="AG638" t="n">
        <v>9161.308499999999</v>
      </c>
      <c r="AH638" t="n">
        <v>0.00036676</v>
      </c>
      <c r="AI638" t="n">
        <v>0.5251</v>
      </c>
      <c r="AJ638" t="n">
        <v>0</v>
      </c>
      <c r="AK638" t="n">
        <v>1017.9232</v>
      </c>
      <c r="AL638" t="n">
        <v>-73267.20540000001</v>
      </c>
      <c r="AM638" t="n">
        <v>122980.0836</v>
      </c>
      <c r="AN638" t="n">
        <v>0.99</v>
      </c>
      <c r="AO638" t="inlineStr">
        <is>
          <t>Low</t>
        </is>
      </c>
      <c r="AP638" t="inlineStr">
        <is>
          <t>On Track</t>
        </is>
      </c>
    </row>
    <row r="639">
      <c r="A639" t="inlineStr">
        <is>
          <t>SUP-0040</t>
        </is>
      </c>
      <c r="B639" t="inlineStr">
        <is>
          <t>Chemicals Supplier 040</t>
        </is>
      </c>
      <c r="C639" t="inlineStr">
        <is>
          <t>Chemicals</t>
        </is>
      </c>
      <c r="D639" t="n">
        <v>2024</v>
      </c>
      <c r="E639" t="n">
        <v>2021</v>
      </c>
      <c r="F639" t="n">
        <v>2030</v>
      </c>
      <c r="G639" t="n">
        <v>18835.0754</v>
      </c>
      <c r="H639" t="n">
        <v>5073.7738</v>
      </c>
      <c r="I639" t="n">
        <v>1792.4488</v>
      </c>
      <c r="J639" t="n">
        <v>11346.0114</v>
      </c>
      <c r="K639" t="n">
        <v>22590970.07</v>
      </c>
      <c r="L639" t="n">
        <v>47688275.49</v>
      </c>
      <c r="M639" t="n">
        <v>18835.0754</v>
      </c>
      <c r="N639" t="inlineStr">
        <is>
          <t>Provided Total Emissions</t>
        </is>
      </c>
      <c r="O639" t="b">
        <v>1</v>
      </c>
      <c r="P639" t="n">
        <v>0.058779</v>
      </c>
      <c r="Q639" t="n">
        <v>0.078694</v>
      </c>
      <c r="R639" t="n">
        <v>22624.6306</v>
      </c>
      <c r="S639" t="n">
        <v>22472.6229</v>
      </c>
      <c r="T639" t="n">
        <v>3789.5552</v>
      </c>
      <c r="U639" t="n">
        <v>3637.5475</v>
      </c>
      <c r="V639" t="n">
        <v>0.201197</v>
      </c>
      <c r="W639" t="n">
        <v>0.193126</v>
      </c>
      <c r="X639" t="inlineStr">
        <is>
          <t>High</t>
        </is>
      </c>
      <c r="Y639" t="inlineStr">
        <is>
          <t>None</t>
        </is>
      </c>
      <c r="Z639" t="inlineStr">
        <is>
          <t>Valid</t>
        </is>
      </c>
      <c r="AA639" t="n">
        <v>2038</v>
      </c>
      <c r="AB639" t="inlineStr">
        <is>
          <t>Supplier Target Pathway</t>
        </is>
      </c>
      <c r="AC639" t="n">
        <v>17446.7882</v>
      </c>
      <c r="AD639" t="n">
        <v>8285.4797</v>
      </c>
      <c r="AE639" t="n">
        <v>8285.4797</v>
      </c>
      <c r="AF639" t="n">
        <v>8285.4797</v>
      </c>
      <c r="AG639" t="n">
        <v>9161.308499999999</v>
      </c>
      <c r="AH639" t="n">
        <v>0.00036676</v>
      </c>
      <c r="AI639" t="n">
        <v>0.5251</v>
      </c>
      <c r="AJ639" t="n">
        <v>0</v>
      </c>
      <c r="AK639" t="n">
        <v>1017.9232</v>
      </c>
      <c r="AL639" t="n">
        <v>-81552.6851</v>
      </c>
      <c r="AM639" t="n">
        <v>131265.5633</v>
      </c>
      <c r="AN639" t="n">
        <v>0.99</v>
      </c>
      <c r="AO639" t="inlineStr">
        <is>
          <t>Low</t>
        </is>
      </c>
      <c r="AP639" t="inlineStr">
        <is>
          <t>On Track</t>
        </is>
      </c>
    </row>
    <row r="640">
      <c r="A640" t="inlineStr">
        <is>
          <t>SUP-0040</t>
        </is>
      </c>
      <c r="B640" t="inlineStr">
        <is>
          <t>Chemicals Supplier 040</t>
        </is>
      </c>
      <c r="C640" t="inlineStr">
        <is>
          <t>Chemicals</t>
        </is>
      </c>
      <c r="D640" t="n">
        <v>2024</v>
      </c>
      <c r="E640" t="n">
        <v>2021</v>
      </c>
      <c r="F640" t="n">
        <v>2030</v>
      </c>
      <c r="G640" t="n">
        <v>18835.0754</v>
      </c>
      <c r="H640" t="n">
        <v>5073.7738</v>
      </c>
      <c r="I640" t="n">
        <v>1792.4488</v>
      </c>
      <c r="J640" t="n">
        <v>11346.0114</v>
      </c>
      <c r="K640" t="n">
        <v>22590970.07</v>
      </c>
      <c r="L640" t="n">
        <v>47688275.49</v>
      </c>
      <c r="M640" t="n">
        <v>18835.0754</v>
      </c>
      <c r="N640" t="inlineStr">
        <is>
          <t>Provided Total Emissions</t>
        </is>
      </c>
      <c r="O640" t="b">
        <v>1</v>
      </c>
      <c r="P640" t="n">
        <v>0.058779</v>
      </c>
      <c r="Q640" t="n">
        <v>0.078694</v>
      </c>
      <c r="R640" t="n">
        <v>22624.6306</v>
      </c>
      <c r="S640" t="n">
        <v>22472.6229</v>
      </c>
      <c r="T640" t="n">
        <v>3789.5552</v>
      </c>
      <c r="U640" t="n">
        <v>3637.5475</v>
      </c>
      <c r="V640" t="n">
        <v>0.201197</v>
      </c>
      <c r="W640" t="n">
        <v>0.193126</v>
      </c>
      <c r="X640" t="inlineStr">
        <is>
          <t>High</t>
        </is>
      </c>
      <c r="Y640" t="inlineStr">
        <is>
          <t>None</t>
        </is>
      </c>
      <c r="Z640" t="inlineStr">
        <is>
          <t>Valid</t>
        </is>
      </c>
      <c r="AA640" t="n">
        <v>2039</v>
      </c>
      <c r="AB640" t="inlineStr">
        <is>
          <t>Supplier Target Pathway</t>
        </is>
      </c>
      <c r="AC640" t="n">
        <v>17446.7882</v>
      </c>
      <c r="AD640" t="n">
        <v>8285.4797</v>
      </c>
      <c r="AE640" t="n">
        <v>8285.4797</v>
      </c>
      <c r="AF640" t="n">
        <v>8285.4797</v>
      </c>
      <c r="AG640" t="n">
        <v>9161.308499999999</v>
      </c>
      <c r="AH640" t="n">
        <v>0.00036676</v>
      </c>
      <c r="AI640" t="n">
        <v>0.5251</v>
      </c>
      <c r="AJ640" t="n">
        <v>0</v>
      </c>
      <c r="AK640" t="n">
        <v>1017.9232</v>
      </c>
      <c r="AL640" t="n">
        <v>-89838.1648</v>
      </c>
      <c r="AM640" t="n">
        <v>139551.043</v>
      </c>
      <c r="AN640" t="n">
        <v>0.99</v>
      </c>
      <c r="AO640" t="inlineStr">
        <is>
          <t>Low</t>
        </is>
      </c>
      <c r="AP640" t="inlineStr">
        <is>
          <t>On Track</t>
        </is>
      </c>
    </row>
    <row r="641">
      <c r="A641" t="inlineStr">
        <is>
          <t>SUP-0040</t>
        </is>
      </c>
      <c r="B641" t="inlineStr">
        <is>
          <t>Chemicals Supplier 040</t>
        </is>
      </c>
      <c r="C641" t="inlineStr">
        <is>
          <t>Chemicals</t>
        </is>
      </c>
      <c r="D641" t="n">
        <v>2024</v>
      </c>
      <c r="E641" t="n">
        <v>2021</v>
      </c>
      <c r="F641" t="n">
        <v>2030</v>
      </c>
      <c r="G641" t="n">
        <v>18835.0754</v>
      </c>
      <c r="H641" t="n">
        <v>5073.7738</v>
      </c>
      <c r="I641" t="n">
        <v>1792.4488</v>
      </c>
      <c r="J641" t="n">
        <v>11346.0114</v>
      </c>
      <c r="K641" t="n">
        <v>22590970.07</v>
      </c>
      <c r="L641" t="n">
        <v>47688275.49</v>
      </c>
      <c r="M641" t="n">
        <v>18835.0754</v>
      </c>
      <c r="N641" t="inlineStr">
        <is>
          <t>Provided Total Emissions</t>
        </is>
      </c>
      <c r="O641" t="b">
        <v>1</v>
      </c>
      <c r="P641" t="n">
        <v>0.058779</v>
      </c>
      <c r="Q641" t="n">
        <v>0.078694</v>
      </c>
      <c r="R641" t="n">
        <v>22624.6306</v>
      </c>
      <c r="S641" t="n">
        <v>22472.6229</v>
      </c>
      <c r="T641" t="n">
        <v>3789.5552</v>
      </c>
      <c r="U641" t="n">
        <v>3637.5475</v>
      </c>
      <c r="V641" t="n">
        <v>0.201197</v>
      </c>
      <c r="W641" t="n">
        <v>0.193126</v>
      </c>
      <c r="X641" t="inlineStr">
        <is>
          <t>High</t>
        </is>
      </c>
      <c r="Y641" t="inlineStr">
        <is>
          <t>None</t>
        </is>
      </c>
      <c r="Z641" t="inlineStr">
        <is>
          <t>Valid</t>
        </is>
      </c>
      <c r="AA641" t="n">
        <v>2040</v>
      </c>
      <c r="AB641" t="inlineStr">
        <is>
          <t>Supplier Target Pathway</t>
        </is>
      </c>
      <c r="AC641" t="n">
        <v>17446.7882</v>
      </c>
      <c r="AD641" t="n">
        <v>8285.4797</v>
      </c>
      <c r="AE641" t="n">
        <v>8285.4797</v>
      </c>
      <c r="AF641" t="n">
        <v>8285.4797</v>
      </c>
      <c r="AG641" t="n">
        <v>9161.308499999999</v>
      </c>
      <c r="AH641" t="n">
        <v>0.00036676</v>
      </c>
      <c r="AI641" t="n">
        <v>0.5251</v>
      </c>
      <c r="AJ641" t="n">
        <v>0</v>
      </c>
      <c r="AK641" t="n">
        <v>1017.9232</v>
      </c>
      <c r="AL641" t="n">
        <v>-98123.64449999999</v>
      </c>
      <c r="AM641" t="n">
        <v>147836.5227</v>
      </c>
      <c r="AN641" t="n">
        <v>0.99</v>
      </c>
      <c r="AO641" t="inlineStr">
        <is>
          <t>Low</t>
        </is>
      </c>
      <c r="AP641" t="inlineStr">
        <is>
          <t>On Track</t>
        </is>
      </c>
    </row>
    <row r="642">
      <c r="A642" t="inlineStr">
        <is>
          <t>SUP-0041</t>
        </is>
      </c>
      <c r="B642" t="inlineStr">
        <is>
          <t>Logistics Supplier 041</t>
        </is>
      </c>
      <c r="C642" t="inlineStr">
        <is>
          <t>Logistics</t>
        </is>
      </c>
      <c r="D642" t="n">
        <v>2024</v>
      </c>
      <c r="E642" t="n">
        <v>2015</v>
      </c>
      <c r="F642" t="n">
        <v>2040</v>
      </c>
      <c r="G642" t="n">
        <v>2891.8692</v>
      </c>
      <c r="H642" t="n">
        <v>341.8479</v>
      </c>
      <c r="I642" t="n">
        <v>406.456</v>
      </c>
      <c r="J642" t="n">
        <v>2146.4991</v>
      </c>
      <c r="K642" t="n">
        <v>20979153.39</v>
      </c>
      <c r="L642" t="n">
        <v>59913976.27</v>
      </c>
      <c r="M642" t="n">
        <v>2891.8692</v>
      </c>
      <c r="N642" t="inlineStr">
        <is>
          <t>Provided Total Emissions</t>
        </is>
      </c>
      <c r="O642" t="b">
        <v>1</v>
      </c>
      <c r="P642" t="n">
        <v>0.016495</v>
      </c>
      <c r="Q642" t="n">
        <v>0.07140299999999999</v>
      </c>
      <c r="R642" t="n">
        <v>4688.631</v>
      </c>
      <c r="S642" t="n">
        <v>28631.0918</v>
      </c>
      <c r="T642" t="n">
        <v>1796.7618</v>
      </c>
      <c r="U642" t="n">
        <v>25739.2226</v>
      </c>
      <c r="V642" t="n">
        <v>0.621315</v>
      </c>
      <c r="W642" t="n">
        <v>8.900549</v>
      </c>
      <c r="X642" t="inlineStr">
        <is>
          <t>High</t>
        </is>
      </c>
      <c r="Y642" t="inlineStr">
        <is>
          <t>None</t>
        </is>
      </c>
      <c r="Z642" t="inlineStr">
        <is>
          <t>Valid</t>
        </is>
      </c>
      <c r="AA642" t="n">
        <v>2025</v>
      </c>
      <c r="AB642" t="inlineStr">
        <is>
          <t>Industry Haircut Pathway</t>
        </is>
      </c>
      <c r="AC642" t="n">
        <v>2495.9222</v>
      </c>
      <c r="AD642" t="n">
        <v>1343.8045</v>
      </c>
      <c r="AE642" t="n">
        <v>2035.0751</v>
      </c>
      <c r="AF642" t="n">
        <v>2035.0751</v>
      </c>
      <c r="AG642" t="n">
        <v>460.8471</v>
      </c>
      <c r="AH642" t="n">
        <v>9.7e-05</v>
      </c>
      <c r="AI642" t="n">
        <v>0.18464</v>
      </c>
      <c r="AJ642" t="n">
        <v>691.2705999999999</v>
      </c>
      <c r="AK642" t="n">
        <v>46.0847</v>
      </c>
      <c r="AL642" t="n">
        <v>19465.7969</v>
      </c>
      <c r="AM642" t="n">
        <v>2035.0751</v>
      </c>
      <c r="AN642" t="n">
        <v>0.95</v>
      </c>
      <c r="AO642" t="inlineStr">
        <is>
          <t>Critical</t>
        </is>
      </c>
      <c r="AP642" t="inlineStr">
        <is>
          <t>On Track to Glide Path</t>
        </is>
      </c>
    </row>
    <row r="643">
      <c r="A643" t="inlineStr">
        <is>
          <t>SUP-0041</t>
        </is>
      </c>
      <c r="B643" t="inlineStr">
        <is>
          <t>Logistics Supplier 041</t>
        </is>
      </c>
      <c r="C643" t="inlineStr">
        <is>
          <t>Logistics</t>
        </is>
      </c>
      <c r="D643" t="n">
        <v>2024</v>
      </c>
      <c r="E643" t="n">
        <v>2015</v>
      </c>
      <c r="F643" t="n">
        <v>2040</v>
      </c>
      <c r="G643" t="n">
        <v>2891.8692</v>
      </c>
      <c r="H643" t="n">
        <v>341.8479</v>
      </c>
      <c r="I643" t="n">
        <v>406.456</v>
      </c>
      <c r="J643" t="n">
        <v>2146.4991</v>
      </c>
      <c r="K643" t="n">
        <v>20979153.39</v>
      </c>
      <c r="L643" t="n">
        <v>59913976.27</v>
      </c>
      <c r="M643" t="n">
        <v>2891.8692</v>
      </c>
      <c r="N643" t="inlineStr">
        <is>
          <t>Provided Total Emissions</t>
        </is>
      </c>
      <c r="O643" t="b">
        <v>1</v>
      </c>
      <c r="P643" t="n">
        <v>0.016495</v>
      </c>
      <c r="Q643" t="n">
        <v>0.07140299999999999</v>
      </c>
      <c r="R643" t="n">
        <v>4688.631</v>
      </c>
      <c r="S643" t="n">
        <v>28631.0918</v>
      </c>
      <c r="T643" t="n">
        <v>1796.7618</v>
      </c>
      <c r="U643" t="n">
        <v>25739.2226</v>
      </c>
      <c r="V643" t="n">
        <v>0.621315</v>
      </c>
      <c r="W643" t="n">
        <v>8.900549</v>
      </c>
      <c r="X643" t="inlineStr">
        <is>
          <t>High</t>
        </is>
      </c>
      <c r="Y643" t="inlineStr">
        <is>
          <t>None</t>
        </is>
      </c>
      <c r="Z643" t="inlineStr">
        <is>
          <t>Valid</t>
        </is>
      </c>
      <c r="AA643" t="n">
        <v>2026</v>
      </c>
      <c r="AB643" t="inlineStr">
        <is>
          <t>Industry Haircut Pathway</t>
        </is>
      </c>
      <c r="AC643" t="n">
        <v>2495.9222</v>
      </c>
      <c r="AD643" t="n">
        <v>1343.8045</v>
      </c>
      <c r="AE643" t="n">
        <v>1988.9904</v>
      </c>
      <c r="AF643" t="n">
        <v>1988.9904</v>
      </c>
      <c r="AG643" t="n">
        <v>506.9318</v>
      </c>
      <c r="AH643" t="n">
        <v>9.481e-05</v>
      </c>
      <c r="AI643" t="n">
        <v>0.203104</v>
      </c>
      <c r="AJ643" t="n">
        <v>645.1858999999999</v>
      </c>
      <c r="AK643" t="n">
        <v>46.0847</v>
      </c>
      <c r="AL643" t="n">
        <v>17476.8065</v>
      </c>
      <c r="AM643" t="n">
        <v>4024.0655</v>
      </c>
      <c r="AN643" t="n">
        <v>0.95</v>
      </c>
      <c r="AO643" t="inlineStr">
        <is>
          <t>Critical</t>
        </is>
      </c>
      <c r="AP643" t="inlineStr">
        <is>
          <t>On Track to Glide Path</t>
        </is>
      </c>
    </row>
    <row r="644">
      <c r="A644" t="inlineStr">
        <is>
          <t>SUP-0041</t>
        </is>
      </c>
      <c r="B644" t="inlineStr">
        <is>
          <t>Logistics Supplier 041</t>
        </is>
      </c>
      <c r="C644" t="inlineStr">
        <is>
          <t>Logistics</t>
        </is>
      </c>
      <c r="D644" t="n">
        <v>2024</v>
      </c>
      <c r="E644" t="n">
        <v>2015</v>
      </c>
      <c r="F644" t="n">
        <v>2040</v>
      </c>
      <c r="G644" t="n">
        <v>2891.8692</v>
      </c>
      <c r="H644" t="n">
        <v>341.8479</v>
      </c>
      <c r="I644" t="n">
        <v>406.456</v>
      </c>
      <c r="J644" t="n">
        <v>2146.4991</v>
      </c>
      <c r="K644" t="n">
        <v>20979153.39</v>
      </c>
      <c r="L644" t="n">
        <v>59913976.27</v>
      </c>
      <c r="M644" t="n">
        <v>2891.8692</v>
      </c>
      <c r="N644" t="inlineStr">
        <is>
          <t>Provided Total Emissions</t>
        </is>
      </c>
      <c r="O644" t="b">
        <v>1</v>
      </c>
      <c r="P644" t="n">
        <v>0.016495</v>
      </c>
      <c r="Q644" t="n">
        <v>0.07140299999999999</v>
      </c>
      <c r="R644" t="n">
        <v>4688.631</v>
      </c>
      <c r="S644" t="n">
        <v>28631.0918</v>
      </c>
      <c r="T644" t="n">
        <v>1796.7618</v>
      </c>
      <c r="U644" t="n">
        <v>25739.2226</v>
      </c>
      <c r="V644" t="n">
        <v>0.621315</v>
      </c>
      <c r="W644" t="n">
        <v>8.900549</v>
      </c>
      <c r="X644" t="inlineStr">
        <is>
          <t>High</t>
        </is>
      </c>
      <c r="Y644" t="inlineStr">
        <is>
          <t>None</t>
        </is>
      </c>
      <c r="Z644" t="inlineStr">
        <is>
          <t>Valid</t>
        </is>
      </c>
      <c r="AA644" t="n">
        <v>2027</v>
      </c>
      <c r="AB644" t="inlineStr">
        <is>
          <t>Industry Haircut Pathway</t>
        </is>
      </c>
      <c r="AC644" t="n">
        <v>2495.9222</v>
      </c>
      <c r="AD644" t="n">
        <v>1343.8045</v>
      </c>
      <c r="AE644" t="n">
        <v>1942.9057</v>
      </c>
      <c r="AF644" t="n">
        <v>1942.9057</v>
      </c>
      <c r="AG644" t="n">
        <v>553.0165</v>
      </c>
      <c r="AH644" t="n">
        <v>9.261e-05</v>
      </c>
      <c r="AI644" t="n">
        <v>0.221568</v>
      </c>
      <c r="AJ644" t="n">
        <v>599.1011999999999</v>
      </c>
      <c r="AK644" t="n">
        <v>46.0847</v>
      </c>
      <c r="AL644" t="n">
        <v>15533.9008</v>
      </c>
      <c r="AM644" t="n">
        <v>5966.9712</v>
      </c>
      <c r="AN644" t="n">
        <v>0.95</v>
      </c>
      <c r="AO644" t="inlineStr">
        <is>
          <t>Critical</t>
        </is>
      </c>
      <c r="AP644" t="inlineStr">
        <is>
          <t>On Track to Glide Path</t>
        </is>
      </c>
    </row>
    <row r="645">
      <c r="A645" t="inlineStr">
        <is>
          <t>SUP-0041</t>
        </is>
      </c>
      <c r="B645" t="inlineStr">
        <is>
          <t>Logistics Supplier 041</t>
        </is>
      </c>
      <c r="C645" t="inlineStr">
        <is>
          <t>Logistics</t>
        </is>
      </c>
      <c r="D645" t="n">
        <v>2024</v>
      </c>
      <c r="E645" t="n">
        <v>2015</v>
      </c>
      <c r="F645" t="n">
        <v>2040</v>
      </c>
      <c r="G645" t="n">
        <v>2891.8692</v>
      </c>
      <c r="H645" t="n">
        <v>341.8479</v>
      </c>
      <c r="I645" t="n">
        <v>406.456</v>
      </c>
      <c r="J645" t="n">
        <v>2146.4991</v>
      </c>
      <c r="K645" t="n">
        <v>20979153.39</v>
      </c>
      <c r="L645" t="n">
        <v>59913976.27</v>
      </c>
      <c r="M645" t="n">
        <v>2891.8692</v>
      </c>
      <c r="N645" t="inlineStr">
        <is>
          <t>Provided Total Emissions</t>
        </is>
      </c>
      <c r="O645" t="b">
        <v>1</v>
      </c>
      <c r="P645" t="n">
        <v>0.016495</v>
      </c>
      <c r="Q645" t="n">
        <v>0.07140299999999999</v>
      </c>
      <c r="R645" t="n">
        <v>4688.631</v>
      </c>
      <c r="S645" t="n">
        <v>28631.0918</v>
      </c>
      <c r="T645" t="n">
        <v>1796.7618</v>
      </c>
      <c r="U645" t="n">
        <v>25739.2226</v>
      </c>
      <c r="V645" t="n">
        <v>0.621315</v>
      </c>
      <c r="W645" t="n">
        <v>8.900549</v>
      </c>
      <c r="X645" t="inlineStr">
        <is>
          <t>High</t>
        </is>
      </c>
      <c r="Y645" t="inlineStr">
        <is>
          <t>None</t>
        </is>
      </c>
      <c r="Z645" t="inlineStr">
        <is>
          <t>Valid</t>
        </is>
      </c>
      <c r="AA645" t="n">
        <v>2028</v>
      </c>
      <c r="AB645" t="inlineStr">
        <is>
          <t>Industry Haircut Pathway</t>
        </is>
      </c>
      <c r="AC645" t="n">
        <v>2495.9222</v>
      </c>
      <c r="AD645" t="n">
        <v>1343.8045</v>
      </c>
      <c r="AE645" t="n">
        <v>1896.821</v>
      </c>
      <c r="AF645" t="n">
        <v>1896.821</v>
      </c>
      <c r="AG645" t="n">
        <v>599.1011999999999</v>
      </c>
      <c r="AH645" t="n">
        <v>9.041e-05</v>
      </c>
      <c r="AI645" t="n">
        <v>0.240032</v>
      </c>
      <c r="AJ645" t="n">
        <v>553.0165</v>
      </c>
      <c r="AK645" t="n">
        <v>46.0847</v>
      </c>
      <c r="AL645" t="n">
        <v>13637.0798</v>
      </c>
      <c r="AM645" t="n">
        <v>7863.7922</v>
      </c>
      <c r="AN645" t="n">
        <v>0.95</v>
      </c>
      <c r="AO645" t="inlineStr">
        <is>
          <t>Critical</t>
        </is>
      </c>
      <c r="AP645" t="inlineStr">
        <is>
          <t>On Track to Glide Path</t>
        </is>
      </c>
    </row>
    <row r="646">
      <c r="A646" t="inlineStr">
        <is>
          <t>SUP-0041</t>
        </is>
      </c>
      <c r="B646" t="inlineStr">
        <is>
          <t>Logistics Supplier 041</t>
        </is>
      </c>
      <c r="C646" t="inlineStr">
        <is>
          <t>Logistics</t>
        </is>
      </c>
      <c r="D646" t="n">
        <v>2024</v>
      </c>
      <c r="E646" t="n">
        <v>2015</v>
      </c>
      <c r="F646" t="n">
        <v>2040</v>
      </c>
      <c r="G646" t="n">
        <v>2891.8692</v>
      </c>
      <c r="H646" t="n">
        <v>341.8479</v>
      </c>
      <c r="I646" t="n">
        <v>406.456</v>
      </c>
      <c r="J646" t="n">
        <v>2146.4991</v>
      </c>
      <c r="K646" t="n">
        <v>20979153.39</v>
      </c>
      <c r="L646" t="n">
        <v>59913976.27</v>
      </c>
      <c r="M646" t="n">
        <v>2891.8692</v>
      </c>
      <c r="N646" t="inlineStr">
        <is>
          <t>Provided Total Emissions</t>
        </is>
      </c>
      <c r="O646" t="b">
        <v>1</v>
      </c>
      <c r="P646" t="n">
        <v>0.016495</v>
      </c>
      <c r="Q646" t="n">
        <v>0.07140299999999999</v>
      </c>
      <c r="R646" t="n">
        <v>4688.631</v>
      </c>
      <c r="S646" t="n">
        <v>28631.0918</v>
      </c>
      <c r="T646" t="n">
        <v>1796.7618</v>
      </c>
      <c r="U646" t="n">
        <v>25739.2226</v>
      </c>
      <c r="V646" t="n">
        <v>0.621315</v>
      </c>
      <c r="W646" t="n">
        <v>8.900549</v>
      </c>
      <c r="X646" t="inlineStr">
        <is>
          <t>High</t>
        </is>
      </c>
      <c r="Y646" t="inlineStr">
        <is>
          <t>None</t>
        </is>
      </c>
      <c r="Z646" t="inlineStr">
        <is>
          <t>Valid</t>
        </is>
      </c>
      <c r="AA646" t="n">
        <v>2029</v>
      </c>
      <c r="AB646" t="inlineStr">
        <is>
          <t>Industry Haircut Pathway</t>
        </is>
      </c>
      <c r="AC646" t="n">
        <v>2495.9222</v>
      </c>
      <c r="AD646" t="n">
        <v>1343.8045</v>
      </c>
      <c r="AE646" t="n">
        <v>1850.7363</v>
      </c>
      <c r="AF646" t="n">
        <v>1850.7363</v>
      </c>
      <c r="AG646" t="n">
        <v>645.1858999999999</v>
      </c>
      <c r="AH646" t="n">
        <v>8.822000000000001e-05</v>
      </c>
      <c r="AI646" t="n">
        <v>0.258496</v>
      </c>
      <c r="AJ646" t="n">
        <v>506.9318</v>
      </c>
      <c r="AK646" t="n">
        <v>46.0847</v>
      </c>
      <c r="AL646" t="n">
        <v>11786.3435</v>
      </c>
      <c r="AM646" t="n">
        <v>9714.5285</v>
      </c>
      <c r="AN646" t="n">
        <v>0.95</v>
      </c>
      <c r="AO646" t="inlineStr">
        <is>
          <t>Critical</t>
        </is>
      </c>
      <c r="AP646" t="inlineStr">
        <is>
          <t>On Track to Glide Path</t>
        </is>
      </c>
    </row>
    <row r="647">
      <c r="A647" t="inlineStr">
        <is>
          <t>SUP-0041</t>
        </is>
      </c>
      <c r="B647" t="inlineStr">
        <is>
          <t>Logistics Supplier 041</t>
        </is>
      </c>
      <c r="C647" t="inlineStr">
        <is>
          <t>Logistics</t>
        </is>
      </c>
      <c r="D647" t="n">
        <v>2024</v>
      </c>
      <c r="E647" t="n">
        <v>2015</v>
      </c>
      <c r="F647" t="n">
        <v>2040</v>
      </c>
      <c r="G647" t="n">
        <v>2891.8692</v>
      </c>
      <c r="H647" t="n">
        <v>341.8479</v>
      </c>
      <c r="I647" t="n">
        <v>406.456</v>
      </c>
      <c r="J647" t="n">
        <v>2146.4991</v>
      </c>
      <c r="K647" t="n">
        <v>20979153.39</v>
      </c>
      <c r="L647" t="n">
        <v>59913976.27</v>
      </c>
      <c r="M647" t="n">
        <v>2891.8692</v>
      </c>
      <c r="N647" t="inlineStr">
        <is>
          <t>Provided Total Emissions</t>
        </is>
      </c>
      <c r="O647" t="b">
        <v>1</v>
      </c>
      <c r="P647" t="n">
        <v>0.016495</v>
      </c>
      <c r="Q647" t="n">
        <v>0.07140299999999999</v>
      </c>
      <c r="R647" t="n">
        <v>4688.631</v>
      </c>
      <c r="S647" t="n">
        <v>28631.0918</v>
      </c>
      <c r="T647" t="n">
        <v>1796.7618</v>
      </c>
      <c r="U647" t="n">
        <v>25739.2226</v>
      </c>
      <c r="V647" t="n">
        <v>0.621315</v>
      </c>
      <c r="W647" t="n">
        <v>8.900549</v>
      </c>
      <c r="X647" t="inlineStr">
        <is>
          <t>High</t>
        </is>
      </c>
      <c r="Y647" t="inlineStr">
        <is>
          <t>None</t>
        </is>
      </c>
      <c r="Z647" t="inlineStr">
        <is>
          <t>Valid</t>
        </is>
      </c>
      <c r="AA647" t="n">
        <v>2030</v>
      </c>
      <c r="AB647" t="inlineStr">
        <is>
          <t>Industry Haircut Pathway</t>
        </is>
      </c>
      <c r="AC647" t="n">
        <v>2495.9222</v>
      </c>
      <c r="AD647" t="n">
        <v>1343.8045</v>
      </c>
      <c r="AE647" t="n">
        <v>1804.6516</v>
      </c>
      <c r="AF647" t="n">
        <v>1804.6516</v>
      </c>
      <c r="AG647" t="n">
        <v>691.2705999999999</v>
      </c>
      <c r="AH647" t="n">
        <v>8.602000000000001e-05</v>
      </c>
      <c r="AI647" t="n">
        <v>0.27696</v>
      </c>
      <c r="AJ647" t="n">
        <v>460.8471</v>
      </c>
      <c r="AK647" t="n">
        <v>46.0847</v>
      </c>
      <c r="AL647" t="n">
        <v>9981.6919</v>
      </c>
      <c r="AM647" t="n">
        <v>11519.1801</v>
      </c>
      <c r="AN647" t="n">
        <v>0.95</v>
      </c>
      <c r="AO647" t="inlineStr">
        <is>
          <t>High</t>
        </is>
      </c>
      <c r="AP647" t="inlineStr">
        <is>
          <t>On Track to Glide Path</t>
        </is>
      </c>
    </row>
    <row r="648">
      <c r="A648" t="inlineStr">
        <is>
          <t>SUP-0041</t>
        </is>
      </c>
      <c r="B648" t="inlineStr">
        <is>
          <t>Logistics Supplier 041</t>
        </is>
      </c>
      <c r="C648" t="inlineStr">
        <is>
          <t>Logistics</t>
        </is>
      </c>
      <c r="D648" t="n">
        <v>2024</v>
      </c>
      <c r="E648" t="n">
        <v>2015</v>
      </c>
      <c r="F648" t="n">
        <v>2040</v>
      </c>
      <c r="G648" t="n">
        <v>2891.8692</v>
      </c>
      <c r="H648" t="n">
        <v>341.8479</v>
      </c>
      <c r="I648" t="n">
        <v>406.456</v>
      </c>
      <c r="J648" t="n">
        <v>2146.4991</v>
      </c>
      <c r="K648" t="n">
        <v>20979153.39</v>
      </c>
      <c r="L648" t="n">
        <v>59913976.27</v>
      </c>
      <c r="M648" t="n">
        <v>2891.8692</v>
      </c>
      <c r="N648" t="inlineStr">
        <is>
          <t>Provided Total Emissions</t>
        </is>
      </c>
      <c r="O648" t="b">
        <v>1</v>
      </c>
      <c r="P648" t="n">
        <v>0.016495</v>
      </c>
      <c r="Q648" t="n">
        <v>0.07140299999999999</v>
      </c>
      <c r="R648" t="n">
        <v>4688.631</v>
      </c>
      <c r="S648" t="n">
        <v>28631.0918</v>
      </c>
      <c r="T648" t="n">
        <v>1796.7618</v>
      </c>
      <c r="U648" t="n">
        <v>25739.2226</v>
      </c>
      <c r="V648" t="n">
        <v>0.621315</v>
      </c>
      <c r="W648" t="n">
        <v>8.900549</v>
      </c>
      <c r="X648" t="inlineStr">
        <is>
          <t>High</t>
        </is>
      </c>
      <c r="Y648" t="inlineStr">
        <is>
          <t>None</t>
        </is>
      </c>
      <c r="Z648" t="inlineStr">
        <is>
          <t>Valid</t>
        </is>
      </c>
      <c r="AA648" t="n">
        <v>2031</v>
      </c>
      <c r="AB648" t="inlineStr">
        <is>
          <t>Industry Haircut Pathway</t>
        </is>
      </c>
      <c r="AC648" t="n">
        <v>2495.9222</v>
      </c>
      <c r="AD648" t="n">
        <v>1343.8045</v>
      </c>
      <c r="AE648" t="n">
        <v>1758.5669</v>
      </c>
      <c r="AF648" t="n">
        <v>1758.5669</v>
      </c>
      <c r="AG648" t="n">
        <v>737.3553000000001</v>
      </c>
      <c r="AH648" t="n">
        <v>8.381999999999999e-05</v>
      </c>
      <c r="AI648" t="n">
        <v>0.295424</v>
      </c>
      <c r="AJ648" t="n">
        <v>414.7624</v>
      </c>
      <c r="AK648" t="n">
        <v>46.0847</v>
      </c>
      <c r="AL648" t="n">
        <v>8223.125</v>
      </c>
      <c r="AM648" t="n">
        <v>13277.747</v>
      </c>
      <c r="AN648" t="n">
        <v>0.95</v>
      </c>
      <c r="AO648" t="inlineStr">
        <is>
          <t>High</t>
        </is>
      </c>
      <c r="AP648" t="inlineStr">
        <is>
          <t>On Track to Glide Path</t>
        </is>
      </c>
    </row>
    <row r="649">
      <c r="A649" t="inlineStr">
        <is>
          <t>SUP-0041</t>
        </is>
      </c>
      <c r="B649" t="inlineStr">
        <is>
          <t>Logistics Supplier 041</t>
        </is>
      </c>
      <c r="C649" t="inlineStr">
        <is>
          <t>Logistics</t>
        </is>
      </c>
      <c r="D649" t="n">
        <v>2024</v>
      </c>
      <c r="E649" t="n">
        <v>2015</v>
      </c>
      <c r="F649" t="n">
        <v>2040</v>
      </c>
      <c r="G649" t="n">
        <v>2891.8692</v>
      </c>
      <c r="H649" t="n">
        <v>341.8479</v>
      </c>
      <c r="I649" t="n">
        <v>406.456</v>
      </c>
      <c r="J649" t="n">
        <v>2146.4991</v>
      </c>
      <c r="K649" t="n">
        <v>20979153.39</v>
      </c>
      <c r="L649" t="n">
        <v>59913976.27</v>
      </c>
      <c r="M649" t="n">
        <v>2891.8692</v>
      </c>
      <c r="N649" t="inlineStr">
        <is>
          <t>Provided Total Emissions</t>
        </is>
      </c>
      <c r="O649" t="b">
        <v>1</v>
      </c>
      <c r="P649" t="n">
        <v>0.016495</v>
      </c>
      <c r="Q649" t="n">
        <v>0.07140299999999999</v>
      </c>
      <c r="R649" t="n">
        <v>4688.631</v>
      </c>
      <c r="S649" t="n">
        <v>28631.0918</v>
      </c>
      <c r="T649" t="n">
        <v>1796.7618</v>
      </c>
      <c r="U649" t="n">
        <v>25739.2226</v>
      </c>
      <c r="V649" t="n">
        <v>0.621315</v>
      </c>
      <c r="W649" t="n">
        <v>8.900549</v>
      </c>
      <c r="X649" t="inlineStr">
        <is>
          <t>High</t>
        </is>
      </c>
      <c r="Y649" t="inlineStr">
        <is>
          <t>None</t>
        </is>
      </c>
      <c r="Z649" t="inlineStr">
        <is>
          <t>Valid</t>
        </is>
      </c>
      <c r="AA649" t="n">
        <v>2032</v>
      </c>
      <c r="AB649" t="inlineStr">
        <is>
          <t>Industry Haircut Pathway</t>
        </is>
      </c>
      <c r="AC649" t="n">
        <v>2495.9222</v>
      </c>
      <c r="AD649" t="n">
        <v>1343.8045</v>
      </c>
      <c r="AE649" t="n">
        <v>1712.4822</v>
      </c>
      <c r="AF649" t="n">
        <v>1712.4822</v>
      </c>
      <c r="AG649" t="n">
        <v>783.4400000000001</v>
      </c>
      <c r="AH649" t="n">
        <v>8.163e-05</v>
      </c>
      <c r="AI649" t="n">
        <v>0.313888</v>
      </c>
      <c r="AJ649" t="n">
        <v>368.6777</v>
      </c>
      <c r="AK649" t="n">
        <v>46.0847</v>
      </c>
      <c r="AL649" t="n">
        <v>6510.6428</v>
      </c>
      <c r="AM649" t="n">
        <v>14990.2292</v>
      </c>
      <c r="AN649" t="n">
        <v>0.95</v>
      </c>
      <c r="AO649" t="inlineStr">
        <is>
          <t>High</t>
        </is>
      </c>
      <c r="AP649" t="inlineStr">
        <is>
          <t>On Track to Glide Path</t>
        </is>
      </c>
    </row>
    <row r="650">
      <c r="A650" t="inlineStr">
        <is>
          <t>SUP-0041</t>
        </is>
      </c>
      <c r="B650" t="inlineStr">
        <is>
          <t>Logistics Supplier 041</t>
        </is>
      </c>
      <c r="C650" t="inlineStr">
        <is>
          <t>Logistics</t>
        </is>
      </c>
      <c r="D650" t="n">
        <v>2024</v>
      </c>
      <c r="E650" t="n">
        <v>2015</v>
      </c>
      <c r="F650" t="n">
        <v>2040</v>
      </c>
      <c r="G650" t="n">
        <v>2891.8692</v>
      </c>
      <c r="H650" t="n">
        <v>341.8479</v>
      </c>
      <c r="I650" t="n">
        <v>406.456</v>
      </c>
      <c r="J650" t="n">
        <v>2146.4991</v>
      </c>
      <c r="K650" t="n">
        <v>20979153.39</v>
      </c>
      <c r="L650" t="n">
        <v>59913976.27</v>
      </c>
      <c r="M650" t="n">
        <v>2891.8692</v>
      </c>
      <c r="N650" t="inlineStr">
        <is>
          <t>Provided Total Emissions</t>
        </is>
      </c>
      <c r="O650" t="b">
        <v>1</v>
      </c>
      <c r="P650" t="n">
        <v>0.016495</v>
      </c>
      <c r="Q650" t="n">
        <v>0.07140299999999999</v>
      </c>
      <c r="R650" t="n">
        <v>4688.631</v>
      </c>
      <c r="S650" t="n">
        <v>28631.0918</v>
      </c>
      <c r="T650" t="n">
        <v>1796.7618</v>
      </c>
      <c r="U650" t="n">
        <v>25739.2226</v>
      </c>
      <c r="V650" t="n">
        <v>0.621315</v>
      </c>
      <c r="W650" t="n">
        <v>8.900549</v>
      </c>
      <c r="X650" t="inlineStr">
        <is>
          <t>High</t>
        </is>
      </c>
      <c r="Y650" t="inlineStr">
        <is>
          <t>None</t>
        </is>
      </c>
      <c r="Z650" t="inlineStr">
        <is>
          <t>Valid</t>
        </is>
      </c>
      <c r="AA650" t="n">
        <v>2033</v>
      </c>
      <c r="AB650" t="inlineStr">
        <is>
          <t>Industry Haircut Pathway</t>
        </is>
      </c>
      <c r="AC650" t="n">
        <v>2495.9222</v>
      </c>
      <c r="AD650" t="n">
        <v>1343.8045</v>
      </c>
      <c r="AE650" t="n">
        <v>1666.3975</v>
      </c>
      <c r="AF650" t="n">
        <v>1666.3975</v>
      </c>
      <c r="AG650" t="n">
        <v>829.5247000000001</v>
      </c>
      <c r="AH650" t="n">
        <v>7.943e-05</v>
      </c>
      <c r="AI650" t="n">
        <v>0.332352</v>
      </c>
      <c r="AJ650" t="n">
        <v>322.593</v>
      </c>
      <c r="AK650" t="n">
        <v>46.0847</v>
      </c>
      <c r="AL650" t="n">
        <v>4844.2453</v>
      </c>
      <c r="AM650" t="n">
        <v>16656.6267</v>
      </c>
      <c r="AN650" t="n">
        <v>0.95</v>
      </c>
      <c r="AO650" t="inlineStr">
        <is>
          <t>High</t>
        </is>
      </c>
      <c r="AP650" t="inlineStr">
        <is>
          <t>On Track to Glide Path</t>
        </is>
      </c>
    </row>
    <row r="651">
      <c r="A651" t="inlineStr">
        <is>
          <t>SUP-0041</t>
        </is>
      </c>
      <c r="B651" t="inlineStr">
        <is>
          <t>Logistics Supplier 041</t>
        </is>
      </c>
      <c r="C651" t="inlineStr">
        <is>
          <t>Logistics</t>
        </is>
      </c>
      <c r="D651" t="n">
        <v>2024</v>
      </c>
      <c r="E651" t="n">
        <v>2015</v>
      </c>
      <c r="F651" t="n">
        <v>2040</v>
      </c>
      <c r="G651" t="n">
        <v>2891.8692</v>
      </c>
      <c r="H651" t="n">
        <v>341.8479</v>
      </c>
      <c r="I651" t="n">
        <v>406.456</v>
      </c>
      <c r="J651" t="n">
        <v>2146.4991</v>
      </c>
      <c r="K651" t="n">
        <v>20979153.39</v>
      </c>
      <c r="L651" t="n">
        <v>59913976.27</v>
      </c>
      <c r="M651" t="n">
        <v>2891.8692</v>
      </c>
      <c r="N651" t="inlineStr">
        <is>
          <t>Provided Total Emissions</t>
        </is>
      </c>
      <c r="O651" t="b">
        <v>1</v>
      </c>
      <c r="P651" t="n">
        <v>0.016495</v>
      </c>
      <c r="Q651" t="n">
        <v>0.07140299999999999</v>
      </c>
      <c r="R651" t="n">
        <v>4688.631</v>
      </c>
      <c r="S651" t="n">
        <v>28631.0918</v>
      </c>
      <c r="T651" t="n">
        <v>1796.7618</v>
      </c>
      <c r="U651" t="n">
        <v>25739.2226</v>
      </c>
      <c r="V651" t="n">
        <v>0.621315</v>
      </c>
      <c r="W651" t="n">
        <v>8.900549</v>
      </c>
      <c r="X651" t="inlineStr">
        <is>
          <t>High</t>
        </is>
      </c>
      <c r="Y651" t="inlineStr">
        <is>
          <t>None</t>
        </is>
      </c>
      <c r="Z651" t="inlineStr">
        <is>
          <t>Valid</t>
        </is>
      </c>
      <c r="AA651" t="n">
        <v>2034</v>
      </c>
      <c r="AB651" t="inlineStr">
        <is>
          <t>Industry Haircut Pathway</t>
        </is>
      </c>
      <c r="AC651" t="n">
        <v>2495.9222</v>
      </c>
      <c r="AD651" t="n">
        <v>1343.8045</v>
      </c>
      <c r="AE651" t="n">
        <v>1620.3128</v>
      </c>
      <c r="AF651" t="n">
        <v>1620.3128</v>
      </c>
      <c r="AG651" t="n">
        <v>875.6094000000001</v>
      </c>
      <c r="AH651" t="n">
        <v>7.723e-05</v>
      </c>
      <c r="AI651" t="n">
        <v>0.350816</v>
      </c>
      <c r="AJ651" t="n">
        <v>276.5082</v>
      </c>
      <c r="AK651" t="n">
        <v>46.0847</v>
      </c>
      <c r="AL651" t="n">
        <v>3223.9325</v>
      </c>
      <c r="AM651" t="n">
        <v>18276.9395</v>
      </c>
      <c r="AN651" t="n">
        <v>0.95</v>
      </c>
      <c r="AO651" t="inlineStr">
        <is>
          <t>High</t>
        </is>
      </c>
      <c r="AP651" t="inlineStr">
        <is>
          <t>On Track to Glide Path</t>
        </is>
      </c>
    </row>
    <row r="652">
      <c r="A652" t="inlineStr">
        <is>
          <t>SUP-0041</t>
        </is>
      </c>
      <c r="B652" t="inlineStr">
        <is>
          <t>Logistics Supplier 041</t>
        </is>
      </c>
      <c r="C652" t="inlineStr">
        <is>
          <t>Logistics</t>
        </is>
      </c>
      <c r="D652" t="n">
        <v>2024</v>
      </c>
      <c r="E652" t="n">
        <v>2015</v>
      </c>
      <c r="F652" t="n">
        <v>2040</v>
      </c>
      <c r="G652" t="n">
        <v>2891.8692</v>
      </c>
      <c r="H652" t="n">
        <v>341.8479</v>
      </c>
      <c r="I652" t="n">
        <v>406.456</v>
      </c>
      <c r="J652" t="n">
        <v>2146.4991</v>
      </c>
      <c r="K652" t="n">
        <v>20979153.39</v>
      </c>
      <c r="L652" t="n">
        <v>59913976.27</v>
      </c>
      <c r="M652" t="n">
        <v>2891.8692</v>
      </c>
      <c r="N652" t="inlineStr">
        <is>
          <t>Provided Total Emissions</t>
        </is>
      </c>
      <c r="O652" t="b">
        <v>1</v>
      </c>
      <c r="P652" t="n">
        <v>0.016495</v>
      </c>
      <c r="Q652" t="n">
        <v>0.07140299999999999</v>
      </c>
      <c r="R652" t="n">
        <v>4688.631</v>
      </c>
      <c r="S652" t="n">
        <v>28631.0918</v>
      </c>
      <c r="T652" t="n">
        <v>1796.7618</v>
      </c>
      <c r="U652" t="n">
        <v>25739.2226</v>
      </c>
      <c r="V652" t="n">
        <v>0.621315</v>
      </c>
      <c r="W652" t="n">
        <v>8.900549</v>
      </c>
      <c r="X652" t="inlineStr">
        <is>
          <t>High</t>
        </is>
      </c>
      <c r="Y652" t="inlineStr">
        <is>
          <t>None</t>
        </is>
      </c>
      <c r="Z652" t="inlineStr">
        <is>
          <t>Valid</t>
        </is>
      </c>
      <c r="AA652" t="n">
        <v>2035</v>
      </c>
      <c r="AB652" t="inlineStr">
        <is>
          <t>Industry Haircut Pathway</t>
        </is>
      </c>
      <c r="AC652" t="n">
        <v>2495.9222</v>
      </c>
      <c r="AD652" t="n">
        <v>1343.8045</v>
      </c>
      <c r="AE652" t="n">
        <v>1574.228</v>
      </c>
      <c r="AF652" t="n">
        <v>1574.228</v>
      </c>
      <c r="AG652" t="n">
        <v>921.6942</v>
      </c>
      <c r="AH652" t="n">
        <v>7.504e-05</v>
      </c>
      <c r="AI652" t="n">
        <v>0.36928</v>
      </c>
      <c r="AJ652" t="n">
        <v>230.4235</v>
      </c>
      <c r="AK652" t="n">
        <v>46.0847</v>
      </c>
      <c r="AL652" t="n">
        <v>1649.7045</v>
      </c>
      <c r="AM652" t="n">
        <v>19851.1675</v>
      </c>
      <c r="AN652" t="n">
        <v>0.95</v>
      </c>
      <c r="AO652" t="inlineStr">
        <is>
          <t>High</t>
        </is>
      </c>
      <c r="AP652" t="inlineStr">
        <is>
          <t>On Track to Glide Path</t>
        </is>
      </c>
    </row>
    <row r="653">
      <c r="A653" t="inlineStr">
        <is>
          <t>SUP-0041</t>
        </is>
      </c>
      <c r="B653" t="inlineStr">
        <is>
          <t>Logistics Supplier 041</t>
        </is>
      </c>
      <c r="C653" t="inlineStr">
        <is>
          <t>Logistics</t>
        </is>
      </c>
      <c r="D653" t="n">
        <v>2024</v>
      </c>
      <c r="E653" t="n">
        <v>2015</v>
      </c>
      <c r="F653" t="n">
        <v>2040</v>
      </c>
      <c r="G653" t="n">
        <v>2891.8692</v>
      </c>
      <c r="H653" t="n">
        <v>341.8479</v>
      </c>
      <c r="I653" t="n">
        <v>406.456</v>
      </c>
      <c r="J653" t="n">
        <v>2146.4991</v>
      </c>
      <c r="K653" t="n">
        <v>20979153.39</v>
      </c>
      <c r="L653" t="n">
        <v>59913976.27</v>
      </c>
      <c r="M653" t="n">
        <v>2891.8692</v>
      </c>
      <c r="N653" t="inlineStr">
        <is>
          <t>Provided Total Emissions</t>
        </is>
      </c>
      <c r="O653" t="b">
        <v>1</v>
      </c>
      <c r="P653" t="n">
        <v>0.016495</v>
      </c>
      <c r="Q653" t="n">
        <v>0.07140299999999999</v>
      </c>
      <c r="R653" t="n">
        <v>4688.631</v>
      </c>
      <c r="S653" t="n">
        <v>28631.0918</v>
      </c>
      <c r="T653" t="n">
        <v>1796.7618</v>
      </c>
      <c r="U653" t="n">
        <v>25739.2226</v>
      </c>
      <c r="V653" t="n">
        <v>0.621315</v>
      </c>
      <c r="W653" t="n">
        <v>8.900549</v>
      </c>
      <c r="X653" t="inlineStr">
        <is>
          <t>High</t>
        </is>
      </c>
      <c r="Y653" t="inlineStr">
        <is>
          <t>None</t>
        </is>
      </c>
      <c r="Z653" t="inlineStr">
        <is>
          <t>Valid</t>
        </is>
      </c>
      <c r="AA653" t="n">
        <v>2036</v>
      </c>
      <c r="AB653" t="inlineStr">
        <is>
          <t>Industry Haircut Pathway</t>
        </is>
      </c>
      <c r="AC653" t="n">
        <v>2495.9222</v>
      </c>
      <c r="AD653" t="n">
        <v>1343.8045</v>
      </c>
      <c r="AE653" t="n">
        <v>1528.1433</v>
      </c>
      <c r="AF653" t="n">
        <v>1528.1433</v>
      </c>
      <c r="AG653" t="n">
        <v>967.7789</v>
      </c>
      <c r="AH653" t="n">
        <v>7.284e-05</v>
      </c>
      <c r="AI653" t="n">
        <v>0.387744</v>
      </c>
      <c r="AJ653" t="n">
        <v>184.3388</v>
      </c>
      <c r="AK653" t="n">
        <v>46.0847</v>
      </c>
      <c r="AL653" t="n">
        <v>121.5612</v>
      </c>
      <c r="AM653" t="n">
        <v>21379.3108</v>
      </c>
      <c r="AN653" t="n">
        <v>0.95</v>
      </c>
      <c r="AO653" t="inlineStr">
        <is>
          <t>Medium</t>
        </is>
      </c>
      <c r="AP653" t="inlineStr">
        <is>
          <t>On Track to Glide Path</t>
        </is>
      </c>
    </row>
    <row r="654">
      <c r="A654" t="inlineStr">
        <is>
          <t>SUP-0041</t>
        </is>
      </c>
      <c r="B654" t="inlineStr">
        <is>
          <t>Logistics Supplier 041</t>
        </is>
      </c>
      <c r="C654" t="inlineStr">
        <is>
          <t>Logistics</t>
        </is>
      </c>
      <c r="D654" t="n">
        <v>2024</v>
      </c>
      <c r="E654" t="n">
        <v>2015</v>
      </c>
      <c r="F654" t="n">
        <v>2040</v>
      </c>
      <c r="G654" t="n">
        <v>2891.8692</v>
      </c>
      <c r="H654" t="n">
        <v>341.8479</v>
      </c>
      <c r="I654" t="n">
        <v>406.456</v>
      </c>
      <c r="J654" t="n">
        <v>2146.4991</v>
      </c>
      <c r="K654" t="n">
        <v>20979153.39</v>
      </c>
      <c r="L654" t="n">
        <v>59913976.27</v>
      </c>
      <c r="M654" t="n">
        <v>2891.8692</v>
      </c>
      <c r="N654" t="inlineStr">
        <is>
          <t>Provided Total Emissions</t>
        </is>
      </c>
      <c r="O654" t="b">
        <v>1</v>
      </c>
      <c r="P654" t="n">
        <v>0.016495</v>
      </c>
      <c r="Q654" t="n">
        <v>0.07140299999999999</v>
      </c>
      <c r="R654" t="n">
        <v>4688.631</v>
      </c>
      <c r="S654" t="n">
        <v>28631.0918</v>
      </c>
      <c r="T654" t="n">
        <v>1796.7618</v>
      </c>
      <c r="U654" t="n">
        <v>25739.2226</v>
      </c>
      <c r="V654" t="n">
        <v>0.621315</v>
      </c>
      <c r="W654" t="n">
        <v>8.900549</v>
      </c>
      <c r="X654" t="inlineStr">
        <is>
          <t>High</t>
        </is>
      </c>
      <c r="Y654" t="inlineStr">
        <is>
          <t>None</t>
        </is>
      </c>
      <c r="Z654" t="inlineStr">
        <is>
          <t>Valid</t>
        </is>
      </c>
      <c r="AA654" t="n">
        <v>2037</v>
      </c>
      <c r="AB654" t="inlineStr">
        <is>
          <t>Industry Haircut Pathway</t>
        </is>
      </c>
      <c r="AC654" t="n">
        <v>2495.9222</v>
      </c>
      <c r="AD654" t="n">
        <v>1343.8045</v>
      </c>
      <c r="AE654" t="n">
        <v>1482.0586</v>
      </c>
      <c r="AF654" t="n">
        <v>1482.0586</v>
      </c>
      <c r="AG654" t="n">
        <v>1013.8636</v>
      </c>
      <c r="AH654" t="n">
        <v>7.064e-05</v>
      </c>
      <c r="AI654" t="n">
        <v>0.406208</v>
      </c>
      <c r="AJ654" t="n">
        <v>138.2541</v>
      </c>
      <c r="AK654" t="n">
        <v>46.0847</v>
      </c>
      <c r="AL654" t="n">
        <v>-1360.4974</v>
      </c>
      <c r="AM654" t="n">
        <v>22861.3694</v>
      </c>
      <c r="AN654" t="n">
        <v>0.95</v>
      </c>
      <c r="AO654" t="inlineStr">
        <is>
          <t>Medium</t>
        </is>
      </c>
      <c r="AP654" t="inlineStr">
        <is>
          <t>On Track to Glide Path</t>
        </is>
      </c>
    </row>
    <row r="655">
      <c r="A655" t="inlineStr">
        <is>
          <t>SUP-0041</t>
        </is>
      </c>
      <c r="B655" t="inlineStr">
        <is>
          <t>Logistics Supplier 041</t>
        </is>
      </c>
      <c r="C655" t="inlineStr">
        <is>
          <t>Logistics</t>
        </is>
      </c>
      <c r="D655" t="n">
        <v>2024</v>
      </c>
      <c r="E655" t="n">
        <v>2015</v>
      </c>
      <c r="F655" t="n">
        <v>2040</v>
      </c>
      <c r="G655" t="n">
        <v>2891.8692</v>
      </c>
      <c r="H655" t="n">
        <v>341.8479</v>
      </c>
      <c r="I655" t="n">
        <v>406.456</v>
      </c>
      <c r="J655" t="n">
        <v>2146.4991</v>
      </c>
      <c r="K655" t="n">
        <v>20979153.39</v>
      </c>
      <c r="L655" t="n">
        <v>59913976.27</v>
      </c>
      <c r="M655" t="n">
        <v>2891.8692</v>
      </c>
      <c r="N655" t="inlineStr">
        <is>
          <t>Provided Total Emissions</t>
        </is>
      </c>
      <c r="O655" t="b">
        <v>1</v>
      </c>
      <c r="P655" t="n">
        <v>0.016495</v>
      </c>
      <c r="Q655" t="n">
        <v>0.07140299999999999</v>
      </c>
      <c r="R655" t="n">
        <v>4688.631</v>
      </c>
      <c r="S655" t="n">
        <v>28631.0918</v>
      </c>
      <c r="T655" t="n">
        <v>1796.7618</v>
      </c>
      <c r="U655" t="n">
        <v>25739.2226</v>
      </c>
      <c r="V655" t="n">
        <v>0.621315</v>
      </c>
      <c r="W655" t="n">
        <v>8.900549</v>
      </c>
      <c r="X655" t="inlineStr">
        <is>
          <t>High</t>
        </is>
      </c>
      <c r="Y655" t="inlineStr">
        <is>
          <t>None</t>
        </is>
      </c>
      <c r="Z655" t="inlineStr">
        <is>
          <t>Valid</t>
        </is>
      </c>
      <c r="AA655" t="n">
        <v>2038</v>
      </c>
      <c r="AB655" t="inlineStr">
        <is>
          <t>Industry Haircut Pathway</t>
        </is>
      </c>
      <c r="AC655" t="n">
        <v>2495.9222</v>
      </c>
      <c r="AD655" t="n">
        <v>1343.8045</v>
      </c>
      <c r="AE655" t="n">
        <v>1435.9739</v>
      </c>
      <c r="AF655" t="n">
        <v>1435.9739</v>
      </c>
      <c r="AG655" t="n">
        <v>1059.9483</v>
      </c>
      <c r="AH655" t="n">
        <v>6.845e-05</v>
      </c>
      <c r="AI655" t="n">
        <v>0.424672</v>
      </c>
      <c r="AJ655" t="n">
        <v>92.1694</v>
      </c>
      <c r="AK655" t="n">
        <v>46.0847</v>
      </c>
      <c r="AL655" t="n">
        <v>-2796.4713</v>
      </c>
      <c r="AM655" t="n">
        <v>24297.3433</v>
      </c>
      <c r="AN655" t="n">
        <v>0.95</v>
      </c>
      <c r="AO655" t="inlineStr">
        <is>
          <t>Medium</t>
        </is>
      </c>
      <c r="AP655" t="inlineStr">
        <is>
          <t>On Track to Glide Path</t>
        </is>
      </c>
    </row>
    <row r="656">
      <c r="A656" t="inlineStr">
        <is>
          <t>SUP-0041</t>
        </is>
      </c>
      <c r="B656" t="inlineStr">
        <is>
          <t>Logistics Supplier 041</t>
        </is>
      </c>
      <c r="C656" t="inlineStr">
        <is>
          <t>Logistics</t>
        </is>
      </c>
      <c r="D656" t="n">
        <v>2024</v>
      </c>
      <c r="E656" t="n">
        <v>2015</v>
      </c>
      <c r="F656" t="n">
        <v>2040</v>
      </c>
      <c r="G656" t="n">
        <v>2891.8692</v>
      </c>
      <c r="H656" t="n">
        <v>341.8479</v>
      </c>
      <c r="I656" t="n">
        <v>406.456</v>
      </c>
      <c r="J656" t="n">
        <v>2146.4991</v>
      </c>
      <c r="K656" t="n">
        <v>20979153.39</v>
      </c>
      <c r="L656" t="n">
        <v>59913976.27</v>
      </c>
      <c r="M656" t="n">
        <v>2891.8692</v>
      </c>
      <c r="N656" t="inlineStr">
        <is>
          <t>Provided Total Emissions</t>
        </is>
      </c>
      <c r="O656" t="b">
        <v>1</v>
      </c>
      <c r="P656" t="n">
        <v>0.016495</v>
      </c>
      <c r="Q656" t="n">
        <v>0.07140299999999999</v>
      </c>
      <c r="R656" t="n">
        <v>4688.631</v>
      </c>
      <c r="S656" t="n">
        <v>28631.0918</v>
      </c>
      <c r="T656" t="n">
        <v>1796.7618</v>
      </c>
      <c r="U656" t="n">
        <v>25739.2226</v>
      </c>
      <c r="V656" t="n">
        <v>0.621315</v>
      </c>
      <c r="W656" t="n">
        <v>8.900549</v>
      </c>
      <c r="X656" t="inlineStr">
        <is>
          <t>High</t>
        </is>
      </c>
      <c r="Y656" t="inlineStr">
        <is>
          <t>None</t>
        </is>
      </c>
      <c r="Z656" t="inlineStr">
        <is>
          <t>Valid</t>
        </is>
      </c>
      <c r="AA656" t="n">
        <v>2039</v>
      </c>
      <c r="AB656" t="inlineStr">
        <is>
          <t>Industry Haircut Pathway</t>
        </is>
      </c>
      <c r="AC656" t="n">
        <v>2495.9222</v>
      </c>
      <c r="AD656" t="n">
        <v>1343.8045</v>
      </c>
      <c r="AE656" t="n">
        <v>1389.8892</v>
      </c>
      <c r="AF656" t="n">
        <v>1389.8892</v>
      </c>
      <c r="AG656" t="n">
        <v>1106.033</v>
      </c>
      <c r="AH656" t="n">
        <v>6.625e-05</v>
      </c>
      <c r="AI656" t="n">
        <v>0.443136</v>
      </c>
      <c r="AJ656" t="n">
        <v>46.0847</v>
      </c>
      <c r="AK656" t="n">
        <v>46.0847</v>
      </c>
      <c r="AL656" t="n">
        <v>-4186.3605</v>
      </c>
      <c r="AM656" t="n">
        <v>25687.2325</v>
      </c>
      <c r="AN656" t="n">
        <v>0.95</v>
      </c>
      <c r="AO656" t="inlineStr">
        <is>
          <t>Medium</t>
        </is>
      </c>
      <c r="AP656" t="inlineStr">
        <is>
          <t>On Track to Glide Path</t>
        </is>
      </c>
    </row>
    <row r="657">
      <c r="A657" t="inlineStr">
        <is>
          <t>SUP-0041</t>
        </is>
      </c>
      <c r="B657" t="inlineStr">
        <is>
          <t>Logistics Supplier 041</t>
        </is>
      </c>
      <c r="C657" t="inlineStr">
        <is>
          <t>Logistics</t>
        </is>
      </c>
      <c r="D657" t="n">
        <v>2024</v>
      </c>
      <c r="E657" t="n">
        <v>2015</v>
      </c>
      <c r="F657" t="n">
        <v>2040</v>
      </c>
      <c r="G657" t="n">
        <v>2891.8692</v>
      </c>
      <c r="H657" t="n">
        <v>341.8479</v>
      </c>
      <c r="I657" t="n">
        <v>406.456</v>
      </c>
      <c r="J657" t="n">
        <v>2146.4991</v>
      </c>
      <c r="K657" t="n">
        <v>20979153.39</v>
      </c>
      <c r="L657" t="n">
        <v>59913976.27</v>
      </c>
      <c r="M657" t="n">
        <v>2891.8692</v>
      </c>
      <c r="N657" t="inlineStr">
        <is>
          <t>Provided Total Emissions</t>
        </is>
      </c>
      <c r="O657" t="b">
        <v>1</v>
      </c>
      <c r="P657" t="n">
        <v>0.016495</v>
      </c>
      <c r="Q657" t="n">
        <v>0.07140299999999999</v>
      </c>
      <c r="R657" t="n">
        <v>4688.631</v>
      </c>
      <c r="S657" t="n">
        <v>28631.0918</v>
      </c>
      <c r="T657" t="n">
        <v>1796.7618</v>
      </c>
      <c r="U657" t="n">
        <v>25739.2226</v>
      </c>
      <c r="V657" t="n">
        <v>0.621315</v>
      </c>
      <c r="W657" t="n">
        <v>8.900549</v>
      </c>
      <c r="X657" t="inlineStr">
        <is>
          <t>High</t>
        </is>
      </c>
      <c r="Y657" t="inlineStr">
        <is>
          <t>None</t>
        </is>
      </c>
      <c r="Z657" t="inlineStr">
        <is>
          <t>Valid</t>
        </is>
      </c>
      <c r="AA657" t="n">
        <v>2040</v>
      </c>
      <c r="AB657" t="inlineStr">
        <is>
          <t>Industry Haircut Pathway</t>
        </is>
      </c>
      <c r="AC657" t="n">
        <v>2495.9222</v>
      </c>
      <c r="AD657" t="n">
        <v>1343.8045</v>
      </c>
      <c r="AE657" t="n">
        <v>1343.8045</v>
      </c>
      <c r="AF657" t="n">
        <v>1343.8045</v>
      </c>
      <c r="AG657" t="n">
        <v>1152.1177</v>
      </c>
      <c r="AH657" t="n">
        <v>6.405e-05</v>
      </c>
      <c r="AI657" t="n">
        <v>0.4616</v>
      </c>
      <c r="AJ657" t="n">
        <v>0</v>
      </c>
      <c r="AK657" t="n">
        <v>46.0847</v>
      </c>
      <c r="AL657" t="n">
        <v>-5530.165</v>
      </c>
      <c r="AM657" t="n">
        <v>27031.037</v>
      </c>
      <c r="AN657" t="n">
        <v>0.95</v>
      </c>
      <c r="AO657" t="inlineStr">
        <is>
          <t>Low</t>
        </is>
      </c>
      <c r="AP657" t="inlineStr">
        <is>
          <t>On Track</t>
        </is>
      </c>
    </row>
    <row r="658">
      <c r="A658" t="inlineStr">
        <is>
          <t>SUP-0042</t>
        </is>
      </c>
      <c r="B658" t="inlineStr">
        <is>
          <t>Chemicals Supplier 042</t>
        </is>
      </c>
      <c r="C658" t="inlineStr">
        <is>
          <t>Chemicals</t>
        </is>
      </c>
      <c r="D658" t="n">
        <v>2024</v>
      </c>
      <c r="E658" t="n">
        <v>2015</v>
      </c>
      <c r="F658" t="n">
        <v>2035</v>
      </c>
      <c r="G658" t="n">
        <v>10825.417</v>
      </c>
      <c r="H658" t="n">
        <v>1403.0164</v>
      </c>
      <c r="I658" t="n">
        <v>716.2825</v>
      </c>
      <c r="J658" t="n">
        <v>8123.7014</v>
      </c>
      <c r="K658" t="n">
        <v>24573334.82</v>
      </c>
      <c r="L658" t="n">
        <v>65294304.22</v>
      </c>
      <c r="M658" t="n">
        <v>10825.417</v>
      </c>
      <c r="N658" t="inlineStr">
        <is>
          <t>Provided Total Emissions</t>
        </is>
      </c>
      <c r="O658" t="b">
        <v>1</v>
      </c>
      <c r="P658" t="n">
        <v>-0.048274</v>
      </c>
      <c r="Q658" t="n">
        <v>0.014153</v>
      </c>
      <c r="R658" t="n">
        <v>24609.9491</v>
      </c>
      <c r="S658" t="n">
        <v>30769.2879</v>
      </c>
      <c r="T658" t="n">
        <v>13784.5321</v>
      </c>
      <c r="U658" t="n">
        <v>19943.8709</v>
      </c>
      <c r="V658" t="n">
        <v>1.273349</v>
      </c>
      <c r="W658" t="n">
        <v>1.842319</v>
      </c>
      <c r="X658" t="inlineStr">
        <is>
          <t>High</t>
        </is>
      </c>
      <c r="Y658" t="inlineStr">
        <is>
          <t>None</t>
        </is>
      </c>
      <c r="Z658" t="inlineStr">
        <is>
          <t>Valid</t>
        </is>
      </c>
      <c r="AA658" t="n">
        <v>2025</v>
      </c>
      <c r="AB658" t="inlineStr">
        <is>
          <t>Industry Haircut Pathway</t>
        </is>
      </c>
      <c r="AC658" t="n">
        <v>16898.105</v>
      </c>
      <c r="AD658" t="n">
        <v>8062.0859</v>
      </c>
      <c r="AE658" t="n">
        <v>12480.0954</v>
      </c>
      <c r="AF658" t="n">
        <v>12480.0954</v>
      </c>
      <c r="AG658" t="n">
        <v>4418.0096</v>
      </c>
      <c r="AH658" t="n">
        <v>0.00050787</v>
      </c>
      <c r="AI658" t="n">
        <v>0.26145</v>
      </c>
      <c r="AJ658" t="n">
        <v>4418.0096</v>
      </c>
      <c r="AK658" t="n">
        <v>441.801</v>
      </c>
      <c r="AL658" t="n">
        <v>76202.8495</v>
      </c>
      <c r="AM658" t="n">
        <v>12480.0954</v>
      </c>
      <c r="AN658" t="n">
        <v>0.95</v>
      </c>
      <c r="AO658" t="inlineStr">
        <is>
          <t>Critical</t>
        </is>
      </c>
      <c r="AP658" t="inlineStr">
        <is>
          <t>On Track to Glide Path</t>
        </is>
      </c>
    </row>
    <row r="659">
      <c r="A659" t="inlineStr">
        <is>
          <t>SUP-0042</t>
        </is>
      </c>
      <c r="B659" t="inlineStr">
        <is>
          <t>Chemicals Supplier 042</t>
        </is>
      </c>
      <c r="C659" t="inlineStr">
        <is>
          <t>Chemicals</t>
        </is>
      </c>
      <c r="D659" t="n">
        <v>2024</v>
      </c>
      <c r="E659" t="n">
        <v>2015</v>
      </c>
      <c r="F659" t="n">
        <v>2035</v>
      </c>
      <c r="G659" t="n">
        <v>10825.417</v>
      </c>
      <c r="H659" t="n">
        <v>1403.0164</v>
      </c>
      <c r="I659" t="n">
        <v>716.2825</v>
      </c>
      <c r="J659" t="n">
        <v>8123.7014</v>
      </c>
      <c r="K659" t="n">
        <v>24573334.82</v>
      </c>
      <c r="L659" t="n">
        <v>65294304.22</v>
      </c>
      <c r="M659" t="n">
        <v>10825.417</v>
      </c>
      <c r="N659" t="inlineStr">
        <is>
          <t>Provided Total Emissions</t>
        </is>
      </c>
      <c r="O659" t="b">
        <v>1</v>
      </c>
      <c r="P659" t="n">
        <v>-0.048274</v>
      </c>
      <c r="Q659" t="n">
        <v>0.014153</v>
      </c>
      <c r="R659" t="n">
        <v>24609.9491</v>
      </c>
      <c r="S659" t="n">
        <v>30769.2879</v>
      </c>
      <c r="T659" t="n">
        <v>13784.5321</v>
      </c>
      <c r="U659" t="n">
        <v>19943.8709</v>
      </c>
      <c r="V659" t="n">
        <v>1.273349</v>
      </c>
      <c r="W659" t="n">
        <v>1.842319</v>
      </c>
      <c r="X659" t="inlineStr">
        <is>
          <t>High</t>
        </is>
      </c>
      <c r="Y659" t="inlineStr">
        <is>
          <t>None</t>
        </is>
      </c>
      <c r="Z659" t="inlineStr">
        <is>
          <t>Valid</t>
        </is>
      </c>
      <c r="AA659" t="n">
        <v>2026</v>
      </c>
      <c r="AB659" t="inlineStr">
        <is>
          <t>Industry Haircut Pathway</t>
        </is>
      </c>
      <c r="AC659" t="n">
        <v>16898.105</v>
      </c>
      <c r="AD659" t="n">
        <v>8062.0859</v>
      </c>
      <c r="AE659" t="n">
        <v>12038.2945</v>
      </c>
      <c r="AF659" t="n">
        <v>12038.2945</v>
      </c>
      <c r="AG659" t="n">
        <v>4859.8105</v>
      </c>
      <c r="AH659" t="n">
        <v>0.00048989</v>
      </c>
      <c r="AI659" t="n">
        <v>0.287595</v>
      </c>
      <c r="AJ659" t="n">
        <v>3976.2086</v>
      </c>
      <c r="AK659" t="n">
        <v>441.801</v>
      </c>
      <c r="AL659" t="n">
        <v>64164.555</v>
      </c>
      <c r="AM659" t="n">
        <v>24518.3899</v>
      </c>
      <c r="AN659" t="n">
        <v>0.95</v>
      </c>
      <c r="AO659" t="inlineStr">
        <is>
          <t>Critical</t>
        </is>
      </c>
      <c r="AP659" t="inlineStr">
        <is>
          <t>On Track to Glide Path</t>
        </is>
      </c>
    </row>
    <row r="660">
      <c r="A660" t="inlineStr">
        <is>
          <t>SUP-0042</t>
        </is>
      </c>
      <c r="B660" t="inlineStr">
        <is>
          <t>Chemicals Supplier 042</t>
        </is>
      </c>
      <c r="C660" t="inlineStr">
        <is>
          <t>Chemicals</t>
        </is>
      </c>
      <c r="D660" t="n">
        <v>2024</v>
      </c>
      <c r="E660" t="n">
        <v>2015</v>
      </c>
      <c r="F660" t="n">
        <v>2035</v>
      </c>
      <c r="G660" t="n">
        <v>10825.417</v>
      </c>
      <c r="H660" t="n">
        <v>1403.0164</v>
      </c>
      <c r="I660" t="n">
        <v>716.2825</v>
      </c>
      <c r="J660" t="n">
        <v>8123.7014</v>
      </c>
      <c r="K660" t="n">
        <v>24573334.82</v>
      </c>
      <c r="L660" t="n">
        <v>65294304.22</v>
      </c>
      <c r="M660" t="n">
        <v>10825.417</v>
      </c>
      <c r="N660" t="inlineStr">
        <is>
          <t>Provided Total Emissions</t>
        </is>
      </c>
      <c r="O660" t="b">
        <v>1</v>
      </c>
      <c r="P660" t="n">
        <v>-0.048274</v>
      </c>
      <c r="Q660" t="n">
        <v>0.014153</v>
      </c>
      <c r="R660" t="n">
        <v>24609.9491</v>
      </c>
      <c r="S660" t="n">
        <v>30769.2879</v>
      </c>
      <c r="T660" t="n">
        <v>13784.5321</v>
      </c>
      <c r="U660" t="n">
        <v>19943.8709</v>
      </c>
      <c r="V660" t="n">
        <v>1.273349</v>
      </c>
      <c r="W660" t="n">
        <v>1.842319</v>
      </c>
      <c r="X660" t="inlineStr">
        <is>
          <t>High</t>
        </is>
      </c>
      <c r="Y660" t="inlineStr">
        <is>
          <t>None</t>
        </is>
      </c>
      <c r="Z660" t="inlineStr">
        <is>
          <t>Valid</t>
        </is>
      </c>
      <c r="AA660" t="n">
        <v>2027</v>
      </c>
      <c r="AB660" t="inlineStr">
        <is>
          <t>Industry Haircut Pathway</t>
        </is>
      </c>
      <c r="AC660" t="n">
        <v>16898.105</v>
      </c>
      <c r="AD660" t="n">
        <v>8062.0859</v>
      </c>
      <c r="AE660" t="n">
        <v>11596.4935</v>
      </c>
      <c r="AF660" t="n">
        <v>11596.4935</v>
      </c>
      <c r="AG660" t="n">
        <v>5301.6115</v>
      </c>
      <c r="AH660" t="n">
        <v>0.00047191</v>
      </c>
      <c r="AI660" t="n">
        <v>0.31374</v>
      </c>
      <c r="AJ660" t="n">
        <v>3534.4076</v>
      </c>
      <c r="AK660" t="n">
        <v>441.801</v>
      </c>
      <c r="AL660" t="n">
        <v>52568.0615</v>
      </c>
      <c r="AM660" t="n">
        <v>36114.8834</v>
      </c>
      <c r="AN660" t="n">
        <v>0.95</v>
      </c>
      <c r="AO660" t="inlineStr">
        <is>
          <t>Critical</t>
        </is>
      </c>
      <c r="AP660" t="inlineStr">
        <is>
          <t>On Track to Glide Path</t>
        </is>
      </c>
    </row>
    <row r="661">
      <c r="A661" t="inlineStr">
        <is>
          <t>SUP-0042</t>
        </is>
      </c>
      <c r="B661" t="inlineStr">
        <is>
          <t>Chemicals Supplier 042</t>
        </is>
      </c>
      <c r="C661" t="inlineStr">
        <is>
          <t>Chemicals</t>
        </is>
      </c>
      <c r="D661" t="n">
        <v>2024</v>
      </c>
      <c r="E661" t="n">
        <v>2015</v>
      </c>
      <c r="F661" t="n">
        <v>2035</v>
      </c>
      <c r="G661" t="n">
        <v>10825.417</v>
      </c>
      <c r="H661" t="n">
        <v>1403.0164</v>
      </c>
      <c r="I661" t="n">
        <v>716.2825</v>
      </c>
      <c r="J661" t="n">
        <v>8123.7014</v>
      </c>
      <c r="K661" t="n">
        <v>24573334.82</v>
      </c>
      <c r="L661" t="n">
        <v>65294304.22</v>
      </c>
      <c r="M661" t="n">
        <v>10825.417</v>
      </c>
      <c r="N661" t="inlineStr">
        <is>
          <t>Provided Total Emissions</t>
        </is>
      </c>
      <c r="O661" t="b">
        <v>1</v>
      </c>
      <c r="P661" t="n">
        <v>-0.048274</v>
      </c>
      <c r="Q661" t="n">
        <v>0.014153</v>
      </c>
      <c r="R661" t="n">
        <v>24609.9491</v>
      </c>
      <c r="S661" t="n">
        <v>30769.2879</v>
      </c>
      <c r="T661" t="n">
        <v>13784.5321</v>
      </c>
      <c r="U661" t="n">
        <v>19943.8709</v>
      </c>
      <c r="V661" t="n">
        <v>1.273349</v>
      </c>
      <c r="W661" t="n">
        <v>1.842319</v>
      </c>
      <c r="X661" t="inlineStr">
        <is>
          <t>High</t>
        </is>
      </c>
      <c r="Y661" t="inlineStr">
        <is>
          <t>None</t>
        </is>
      </c>
      <c r="Z661" t="inlineStr">
        <is>
          <t>Valid</t>
        </is>
      </c>
      <c r="AA661" t="n">
        <v>2028</v>
      </c>
      <c r="AB661" t="inlineStr">
        <is>
          <t>Industry Haircut Pathway</t>
        </is>
      </c>
      <c r="AC661" t="n">
        <v>16898.105</v>
      </c>
      <c r="AD661" t="n">
        <v>8062.0859</v>
      </c>
      <c r="AE661" t="n">
        <v>11154.6926</v>
      </c>
      <c r="AF661" t="n">
        <v>11154.6926</v>
      </c>
      <c r="AG661" t="n">
        <v>5743.4124</v>
      </c>
      <c r="AH661" t="n">
        <v>0.00045393</v>
      </c>
      <c r="AI661" t="n">
        <v>0.339885</v>
      </c>
      <c r="AJ661" t="n">
        <v>3092.6067</v>
      </c>
      <c r="AK661" t="n">
        <v>441.801</v>
      </c>
      <c r="AL661" t="n">
        <v>41413.3689</v>
      </c>
      <c r="AM661" t="n">
        <v>47269.576</v>
      </c>
      <c r="AN661" t="n">
        <v>0.95</v>
      </c>
      <c r="AO661" t="inlineStr">
        <is>
          <t>Critical</t>
        </is>
      </c>
      <c r="AP661" t="inlineStr">
        <is>
          <t>On Track to Glide Path</t>
        </is>
      </c>
    </row>
    <row r="662">
      <c r="A662" t="inlineStr">
        <is>
          <t>SUP-0042</t>
        </is>
      </c>
      <c r="B662" t="inlineStr">
        <is>
          <t>Chemicals Supplier 042</t>
        </is>
      </c>
      <c r="C662" t="inlineStr">
        <is>
          <t>Chemicals</t>
        </is>
      </c>
      <c r="D662" t="n">
        <v>2024</v>
      </c>
      <c r="E662" t="n">
        <v>2015</v>
      </c>
      <c r="F662" t="n">
        <v>2035</v>
      </c>
      <c r="G662" t="n">
        <v>10825.417</v>
      </c>
      <c r="H662" t="n">
        <v>1403.0164</v>
      </c>
      <c r="I662" t="n">
        <v>716.2825</v>
      </c>
      <c r="J662" t="n">
        <v>8123.7014</v>
      </c>
      <c r="K662" t="n">
        <v>24573334.82</v>
      </c>
      <c r="L662" t="n">
        <v>65294304.22</v>
      </c>
      <c r="M662" t="n">
        <v>10825.417</v>
      </c>
      <c r="N662" t="inlineStr">
        <is>
          <t>Provided Total Emissions</t>
        </is>
      </c>
      <c r="O662" t="b">
        <v>1</v>
      </c>
      <c r="P662" t="n">
        <v>-0.048274</v>
      </c>
      <c r="Q662" t="n">
        <v>0.014153</v>
      </c>
      <c r="R662" t="n">
        <v>24609.9491</v>
      </c>
      <c r="S662" t="n">
        <v>30769.2879</v>
      </c>
      <c r="T662" t="n">
        <v>13784.5321</v>
      </c>
      <c r="U662" t="n">
        <v>19943.8709</v>
      </c>
      <c r="V662" t="n">
        <v>1.273349</v>
      </c>
      <c r="W662" t="n">
        <v>1.842319</v>
      </c>
      <c r="X662" t="inlineStr">
        <is>
          <t>High</t>
        </is>
      </c>
      <c r="Y662" t="inlineStr">
        <is>
          <t>None</t>
        </is>
      </c>
      <c r="Z662" t="inlineStr">
        <is>
          <t>Valid</t>
        </is>
      </c>
      <c r="AA662" t="n">
        <v>2029</v>
      </c>
      <c r="AB662" t="inlineStr">
        <is>
          <t>Industry Haircut Pathway</t>
        </is>
      </c>
      <c r="AC662" t="n">
        <v>16898.105</v>
      </c>
      <c r="AD662" t="n">
        <v>8062.0859</v>
      </c>
      <c r="AE662" t="n">
        <v>10712.8916</v>
      </c>
      <c r="AF662" t="n">
        <v>10712.8916</v>
      </c>
      <c r="AG662" t="n">
        <v>6185.2134</v>
      </c>
      <c r="AH662" t="n">
        <v>0.00043596</v>
      </c>
      <c r="AI662" t="n">
        <v>0.36603</v>
      </c>
      <c r="AJ662" t="n">
        <v>2650.8057</v>
      </c>
      <c r="AK662" t="n">
        <v>441.801</v>
      </c>
      <c r="AL662" t="n">
        <v>30700.4773</v>
      </c>
      <c r="AM662" t="n">
        <v>57982.4676</v>
      </c>
      <c r="AN662" t="n">
        <v>0.95</v>
      </c>
      <c r="AO662" t="inlineStr">
        <is>
          <t>High</t>
        </is>
      </c>
      <c r="AP662" t="inlineStr">
        <is>
          <t>On Track to Glide Path</t>
        </is>
      </c>
    </row>
    <row r="663">
      <c r="A663" t="inlineStr">
        <is>
          <t>SUP-0042</t>
        </is>
      </c>
      <c r="B663" t="inlineStr">
        <is>
          <t>Chemicals Supplier 042</t>
        </is>
      </c>
      <c r="C663" t="inlineStr">
        <is>
          <t>Chemicals</t>
        </is>
      </c>
      <c r="D663" t="n">
        <v>2024</v>
      </c>
      <c r="E663" t="n">
        <v>2015</v>
      </c>
      <c r="F663" t="n">
        <v>2035</v>
      </c>
      <c r="G663" t="n">
        <v>10825.417</v>
      </c>
      <c r="H663" t="n">
        <v>1403.0164</v>
      </c>
      <c r="I663" t="n">
        <v>716.2825</v>
      </c>
      <c r="J663" t="n">
        <v>8123.7014</v>
      </c>
      <c r="K663" t="n">
        <v>24573334.82</v>
      </c>
      <c r="L663" t="n">
        <v>65294304.22</v>
      </c>
      <c r="M663" t="n">
        <v>10825.417</v>
      </c>
      <c r="N663" t="inlineStr">
        <is>
          <t>Provided Total Emissions</t>
        </is>
      </c>
      <c r="O663" t="b">
        <v>1</v>
      </c>
      <c r="P663" t="n">
        <v>-0.048274</v>
      </c>
      <c r="Q663" t="n">
        <v>0.014153</v>
      </c>
      <c r="R663" t="n">
        <v>24609.9491</v>
      </c>
      <c r="S663" t="n">
        <v>30769.2879</v>
      </c>
      <c r="T663" t="n">
        <v>13784.5321</v>
      </c>
      <c r="U663" t="n">
        <v>19943.8709</v>
      </c>
      <c r="V663" t="n">
        <v>1.273349</v>
      </c>
      <c r="W663" t="n">
        <v>1.842319</v>
      </c>
      <c r="X663" t="inlineStr">
        <is>
          <t>High</t>
        </is>
      </c>
      <c r="Y663" t="inlineStr">
        <is>
          <t>None</t>
        </is>
      </c>
      <c r="Z663" t="inlineStr">
        <is>
          <t>Valid</t>
        </is>
      </c>
      <c r="AA663" t="n">
        <v>2030</v>
      </c>
      <c r="AB663" t="inlineStr">
        <is>
          <t>Industry Haircut Pathway</t>
        </is>
      </c>
      <c r="AC663" t="n">
        <v>16898.105</v>
      </c>
      <c r="AD663" t="n">
        <v>8062.0859</v>
      </c>
      <c r="AE663" t="n">
        <v>10271.0907</v>
      </c>
      <c r="AF663" t="n">
        <v>10271.0907</v>
      </c>
      <c r="AG663" t="n">
        <v>6627.0143</v>
      </c>
      <c r="AH663" t="n">
        <v>0.00041798</v>
      </c>
      <c r="AI663" t="n">
        <v>0.392175</v>
      </c>
      <c r="AJ663" t="n">
        <v>2209.0048</v>
      </c>
      <c r="AK663" t="n">
        <v>441.801</v>
      </c>
      <c r="AL663" t="n">
        <v>20429.3866</v>
      </c>
      <c r="AM663" t="n">
        <v>68253.5583</v>
      </c>
      <c r="AN663" t="n">
        <v>0.95</v>
      </c>
      <c r="AO663" t="inlineStr">
        <is>
          <t>High</t>
        </is>
      </c>
      <c r="AP663" t="inlineStr">
        <is>
          <t>On Track to Glide Path</t>
        </is>
      </c>
    </row>
    <row r="664">
      <c r="A664" t="inlineStr">
        <is>
          <t>SUP-0042</t>
        </is>
      </c>
      <c r="B664" t="inlineStr">
        <is>
          <t>Chemicals Supplier 042</t>
        </is>
      </c>
      <c r="C664" t="inlineStr">
        <is>
          <t>Chemicals</t>
        </is>
      </c>
      <c r="D664" t="n">
        <v>2024</v>
      </c>
      <c r="E664" t="n">
        <v>2015</v>
      </c>
      <c r="F664" t="n">
        <v>2035</v>
      </c>
      <c r="G664" t="n">
        <v>10825.417</v>
      </c>
      <c r="H664" t="n">
        <v>1403.0164</v>
      </c>
      <c r="I664" t="n">
        <v>716.2825</v>
      </c>
      <c r="J664" t="n">
        <v>8123.7014</v>
      </c>
      <c r="K664" t="n">
        <v>24573334.82</v>
      </c>
      <c r="L664" t="n">
        <v>65294304.22</v>
      </c>
      <c r="M664" t="n">
        <v>10825.417</v>
      </c>
      <c r="N664" t="inlineStr">
        <is>
          <t>Provided Total Emissions</t>
        </is>
      </c>
      <c r="O664" t="b">
        <v>1</v>
      </c>
      <c r="P664" t="n">
        <v>-0.048274</v>
      </c>
      <c r="Q664" t="n">
        <v>0.014153</v>
      </c>
      <c r="R664" t="n">
        <v>24609.9491</v>
      </c>
      <c r="S664" t="n">
        <v>30769.2879</v>
      </c>
      <c r="T664" t="n">
        <v>13784.5321</v>
      </c>
      <c r="U664" t="n">
        <v>19943.8709</v>
      </c>
      <c r="V664" t="n">
        <v>1.273349</v>
      </c>
      <c r="W664" t="n">
        <v>1.842319</v>
      </c>
      <c r="X664" t="inlineStr">
        <is>
          <t>High</t>
        </is>
      </c>
      <c r="Y664" t="inlineStr">
        <is>
          <t>None</t>
        </is>
      </c>
      <c r="Z664" t="inlineStr">
        <is>
          <t>Valid</t>
        </is>
      </c>
      <c r="AA664" t="n">
        <v>2031</v>
      </c>
      <c r="AB664" t="inlineStr">
        <is>
          <t>Industry Haircut Pathway</t>
        </is>
      </c>
      <c r="AC664" t="n">
        <v>16898.105</v>
      </c>
      <c r="AD664" t="n">
        <v>8062.0859</v>
      </c>
      <c r="AE664" t="n">
        <v>9829.289699999999</v>
      </c>
      <c r="AF664" t="n">
        <v>9829.289699999999</v>
      </c>
      <c r="AG664" t="n">
        <v>7068.8153</v>
      </c>
      <c r="AH664" t="n">
        <v>0.0004</v>
      </c>
      <c r="AI664" t="n">
        <v>0.41832</v>
      </c>
      <c r="AJ664" t="n">
        <v>1767.2038</v>
      </c>
      <c r="AK664" t="n">
        <v>441.801</v>
      </c>
      <c r="AL664" t="n">
        <v>10600.0969</v>
      </c>
      <c r="AM664" t="n">
        <v>78082.848</v>
      </c>
      <c r="AN664" t="n">
        <v>0.95</v>
      </c>
      <c r="AO664" t="inlineStr">
        <is>
          <t>High</t>
        </is>
      </c>
      <c r="AP664" t="inlineStr">
        <is>
          <t>On Track to Glide Path</t>
        </is>
      </c>
    </row>
    <row r="665">
      <c r="A665" t="inlineStr">
        <is>
          <t>SUP-0042</t>
        </is>
      </c>
      <c r="B665" t="inlineStr">
        <is>
          <t>Chemicals Supplier 042</t>
        </is>
      </c>
      <c r="C665" t="inlineStr">
        <is>
          <t>Chemicals</t>
        </is>
      </c>
      <c r="D665" t="n">
        <v>2024</v>
      </c>
      <c r="E665" t="n">
        <v>2015</v>
      </c>
      <c r="F665" t="n">
        <v>2035</v>
      </c>
      <c r="G665" t="n">
        <v>10825.417</v>
      </c>
      <c r="H665" t="n">
        <v>1403.0164</v>
      </c>
      <c r="I665" t="n">
        <v>716.2825</v>
      </c>
      <c r="J665" t="n">
        <v>8123.7014</v>
      </c>
      <c r="K665" t="n">
        <v>24573334.82</v>
      </c>
      <c r="L665" t="n">
        <v>65294304.22</v>
      </c>
      <c r="M665" t="n">
        <v>10825.417</v>
      </c>
      <c r="N665" t="inlineStr">
        <is>
          <t>Provided Total Emissions</t>
        </is>
      </c>
      <c r="O665" t="b">
        <v>1</v>
      </c>
      <c r="P665" t="n">
        <v>-0.048274</v>
      </c>
      <c r="Q665" t="n">
        <v>0.014153</v>
      </c>
      <c r="R665" t="n">
        <v>24609.9491</v>
      </c>
      <c r="S665" t="n">
        <v>30769.2879</v>
      </c>
      <c r="T665" t="n">
        <v>13784.5321</v>
      </c>
      <c r="U665" t="n">
        <v>19943.8709</v>
      </c>
      <c r="V665" t="n">
        <v>1.273349</v>
      </c>
      <c r="W665" t="n">
        <v>1.842319</v>
      </c>
      <c r="X665" t="inlineStr">
        <is>
          <t>High</t>
        </is>
      </c>
      <c r="Y665" t="inlineStr">
        <is>
          <t>None</t>
        </is>
      </c>
      <c r="Z665" t="inlineStr">
        <is>
          <t>Valid</t>
        </is>
      </c>
      <c r="AA665" t="n">
        <v>2032</v>
      </c>
      <c r="AB665" t="inlineStr">
        <is>
          <t>Industry Haircut Pathway</t>
        </is>
      </c>
      <c r="AC665" t="n">
        <v>16898.105</v>
      </c>
      <c r="AD665" t="n">
        <v>8062.0859</v>
      </c>
      <c r="AE665" t="n">
        <v>9387.488799999999</v>
      </c>
      <c r="AF665" t="n">
        <v>9387.488799999999</v>
      </c>
      <c r="AG665" t="n">
        <v>7510.6162</v>
      </c>
      <c r="AH665" t="n">
        <v>0.00038202</v>
      </c>
      <c r="AI665" t="n">
        <v>0.444465</v>
      </c>
      <c r="AJ665" t="n">
        <v>1325.4029</v>
      </c>
      <c r="AK665" t="n">
        <v>441.801</v>
      </c>
      <c r="AL665" t="n">
        <v>1212.6081</v>
      </c>
      <c r="AM665" t="n">
        <v>87470.3368</v>
      </c>
      <c r="AN665" t="n">
        <v>0.95</v>
      </c>
      <c r="AO665" t="inlineStr">
        <is>
          <t>High</t>
        </is>
      </c>
      <c r="AP665" t="inlineStr">
        <is>
          <t>On Track to Glide Path</t>
        </is>
      </c>
    </row>
    <row r="666">
      <c r="A666" t="inlineStr">
        <is>
          <t>SUP-0042</t>
        </is>
      </c>
      <c r="B666" t="inlineStr">
        <is>
          <t>Chemicals Supplier 042</t>
        </is>
      </c>
      <c r="C666" t="inlineStr">
        <is>
          <t>Chemicals</t>
        </is>
      </c>
      <c r="D666" t="n">
        <v>2024</v>
      </c>
      <c r="E666" t="n">
        <v>2015</v>
      </c>
      <c r="F666" t="n">
        <v>2035</v>
      </c>
      <c r="G666" t="n">
        <v>10825.417</v>
      </c>
      <c r="H666" t="n">
        <v>1403.0164</v>
      </c>
      <c r="I666" t="n">
        <v>716.2825</v>
      </c>
      <c r="J666" t="n">
        <v>8123.7014</v>
      </c>
      <c r="K666" t="n">
        <v>24573334.82</v>
      </c>
      <c r="L666" t="n">
        <v>65294304.22</v>
      </c>
      <c r="M666" t="n">
        <v>10825.417</v>
      </c>
      <c r="N666" t="inlineStr">
        <is>
          <t>Provided Total Emissions</t>
        </is>
      </c>
      <c r="O666" t="b">
        <v>1</v>
      </c>
      <c r="P666" t="n">
        <v>-0.048274</v>
      </c>
      <c r="Q666" t="n">
        <v>0.014153</v>
      </c>
      <c r="R666" t="n">
        <v>24609.9491</v>
      </c>
      <c r="S666" t="n">
        <v>30769.2879</v>
      </c>
      <c r="T666" t="n">
        <v>13784.5321</v>
      </c>
      <c r="U666" t="n">
        <v>19943.8709</v>
      </c>
      <c r="V666" t="n">
        <v>1.273349</v>
      </c>
      <c r="W666" t="n">
        <v>1.842319</v>
      </c>
      <c r="X666" t="inlineStr">
        <is>
          <t>High</t>
        </is>
      </c>
      <c r="Y666" t="inlineStr">
        <is>
          <t>None</t>
        </is>
      </c>
      <c r="Z666" t="inlineStr">
        <is>
          <t>Valid</t>
        </is>
      </c>
      <c r="AA666" t="n">
        <v>2033</v>
      </c>
      <c r="AB666" t="inlineStr">
        <is>
          <t>Industry Haircut Pathway</t>
        </is>
      </c>
      <c r="AC666" t="n">
        <v>16898.105</v>
      </c>
      <c r="AD666" t="n">
        <v>8062.0859</v>
      </c>
      <c r="AE666" t="n">
        <v>8945.6878</v>
      </c>
      <c r="AF666" t="n">
        <v>8945.6878</v>
      </c>
      <c r="AG666" t="n">
        <v>7952.4172</v>
      </c>
      <c r="AH666" t="n">
        <v>0.00036404</v>
      </c>
      <c r="AI666" t="n">
        <v>0.47061</v>
      </c>
      <c r="AJ666" t="n">
        <v>883.6019</v>
      </c>
      <c r="AK666" t="n">
        <v>441.801</v>
      </c>
      <c r="AL666" t="n">
        <v>-7733.0797</v>
      </c>
      <c r="AM666" t="n">
        <v>96416.0246</v>
      </c>
      <c r="AN666" t="n">
        <v>0.95</v>
      </c>
      <c r="AO666" t="inlineStr">
        <is>
          <t>Medium</t>
        </is>
      </c>
      <c r="AP666" t="inlineStr">
        <is>
          <t>On Track to Glide Path</t>
        </is>
      </c>
    </row>
    <row r="667">
      <c r="A667" t="inlineStr">
        <is>
          <t>SUP-0042</t>
        </is>
      </c>
      <c r="B667" t="inlineStr">
        <is>
          <t>Chemicals Supplier 042</t>
        </is>
      </c>
      <c r="C667" t="inlineStr">
        <is>
          <t>Chemicals</t>
        </is>
      </c>
      <c r="D667" t="n">
        <v>2024</v>
      </c>
      <c r="E667" t="n">
        <v>2015</v>
      </c>
      <c r="F667" t="n">
        <v>2035</v>
      </c>
      <c r="G667" t="n">
        <v>10825.417</v>
      </c>
      <c r="H667" t="n">
        <v>1403.0164</v>
      </c>
      <c r="I667" t="n">
        <v>716.2825</v>
      </c>
      <c r="J667" t="n">
        <v>8123.7014</v>
      </c>
      <c r="K667" t="n">
        <v>24573334.82</v>
      </c>
      <c r="L667" t="n">
        <v>65294304.22</v>
      </c>
      <c r="M667" t="n">
        <v>10825.417</v>
      </c>
      <c r="N667" t="inlineStr">
        <is>
          <t>Provided Total Emissions</t>
        </is>
      </c>
      <c r="O667" t="b">
        <v>1</v>
      </c>
      <c r="P667" t="n">
        <v>-0.048274</v>
      </c>
      <c r="Q667" t="n">
        <v>0.014153</v>
      </c>
      <c r="R667" t="n">
        <v>24609.9491</v>
      </c>
      <c r="S667" t="n">
        <v>30769.2879</v>
      </c>
      <c r="T667" t="n">
        <v>13784.5321</v>
      </c>
      <c r="U667" t="n">
        <v>19943.8709</v>
      </c>
      <c r="V667" t="n">
        <v>1.273349</v>
      </c>
      <c r="W667" t="n">
        <v>1.842319</v>
      </c>
      <c r="X667" t="inlineStr">
        <is>
          <t>High</t>
        </is>
      </c>
      <c r="Y667" t="inlineStr">
        <is>
          <t>None</t>
        </is>
      </c>
      <c r="Z667" t="inlineStr">
        <is>
          <t>Valid</t>
        </is>
      </c>
      <c r="AA667" t="n">
        <v>2034</v>
      </c>
      <c r="AB667" t="inlineStr">
        <is>
          <t>Industry Haircut Pathway</t>
        </is>
      </c>
      <c r="AC667" t="n">
        <v>16898.105</v>
      </c>
      <c r="AD667" t="n">
        <v>8062.0859</v>
      </c>
      <c r="AE667" t="n">
        <v>8503.8869</v>
      </c>
      <c r="AF667" t="n">
        <v>8503.8869</v>
      </c>
      <c r="AG667" t="n">
        <v>8394.2181</v>
      </c>
      <c r="AH667" t="n">
        <v>0.00034606</v>
      </c>
      <c r="AI667" t="n">
        <v>0.496755</v>
      </c>
      <c r="AJ667" t="n">
        <v>441.801</v>
      </c>
      <c r="AK667" t="n">
        <v>441.801</v>
      </c>
      <c r="AL667" t="n">
        <v>-16236.9666</v>
      </c>
      <c r="AM667" t="n">
        <v>104919.9115</v>
      </c>
      <c r="AN667" t="n">
        <v>0.95</v>
      </c>
      <c r="AO667" t="inlineStr">
        <is>
          <t>Medium</t>
        </is>
      </c>
      <c r="AP667" t="inlineStr">
        <is>
          <t>On Track to Glide Path</t>
        </is>
      </c>
    </row>
    <row r="668">
      <c r="A668" t="inlineStr">
        <is>
          <t>SUP-0042</t>
        </is>
      </c>
      <c r="B668" t="inlineStr">
        <is>
          <t>Chemicals Supplier 042</t>
        </is>
      </c>
      <c r="C668" t="inlineStr">
        <is>
          <t>Chemicals</t>
        </is>
      </c>
      <c r="D668" t="n">
        <v>2024</v>
      </c>
      <c r="E668" t="n">
        <v>2015</v>
      </c>
      <c r="F668" t="n">
        <v>2035</v>
      </c>
      <c r="G668" t="n">
        <v>10825.417</v>
      </c>
      <c r="H668" t="n">
        <v>1403.0164</v>
      </c>
      <c r="I668" t="n">
        <v>716.2825</v>
      </c>
      <c r="J668" t="n">
        <v>8123.7014</v>
      </c>
      <c r="K668" t="n">
        <v>24573334.82</v>
      </c>
      <c r="L668" t="n">
        <v>65294304.22</v>
      </c>
      <c r="M668" t="n">
        <v>10825.417</v>
      </c>
      <c r="N668" t="inlineStr">
        <is>
          <t>Provided Total Emissions</t>
        </is>
      </c>
      <c r="O668" t="b">
        <v>1</v>
      </c>
      <c r="P668" t="n">
        <v>-0.048274</v>
      </c>
      <c r="Q668" t="n">
        <v>0.014153</v>
      </c>
      <c r="R668" t="n">
        <v>24609.9491</v>
      </c>
      <c r="S668" t="n">
        <v>30769.2879</v>
      </c>
      <c r="T668" t="n">
        <v>13784.5321</v>
      </c>
      <c r="U668" t="n">
        <v>19943.8709</v>
      </c>
      <c r="V668" t="n">
        <v>1.273349</v>
      </c>
      <c r="W668" t="n">
        <v>1.842319</v>
      </c>
      <c r="X668" t="inlineStr">
        <is>
          <t>High</t>
        </is>
      </c>
      <c r="Y668" t="inlineStr">
        <is>
          <t>None</t>
        </is>
      </c>
      <c r="Z668" t="inlineStr">
        <is>
          <t>Valid</t>
        </is>
      </c>
      <c r="AA668" t="n">
        <v>2035</v>
      </c>
      <c r="AB668" t="inlineStr">
        <is>
          <t>Industry Haircut Pathway</t>
        </is>
      </c>
      <c r="AC668" t="n">
        <v>16898.105</v>
      </c>
      <c r="AD668" t="n">
        <v>8062.0859</v>
      </c>
      <c r="AE668" t="n">
        <v>8062.0859</v>
      </c>
      <c r="AF668" t="n">
        <v>8062.0859</v>
      </c>
      <c r="AG668" t="n">
        <v>8836.0191</v>
      </c>
      <c r="AH668" t="n">
        <v>0.00032808</v>
      </c>
      <c r="AI668" t="n">
        <v>0.5229</v>
      </c>
      <c r="AJ668" t="n">
        <v>0</v>
      </c>
      <c r="AK668" t="n">
        <v>441.801</v>
      </c>
      <c r="AL668" t="n">
        <v>-24299.0525</v>
      </c>
      <c r="AM668" t="n">
        <v>112981.9974</v>
      </c>
      <c r="AN668" t="n">
        <v>0.95</v>
      </c>
      <c r="AO668" t="inlineStr">
        <is>
          <t>Low</t>
        </is>
      </c>
      <c r="AP668" t="inlineStr">
        <is>
          <t>On Track</t>
        </is>
      </c>
    </row>
    <row r="669">
      <c r="A669" t="inlineStr">
        <is>
          <t>SUP-0042</t>
        </is>
      </c>
      <c r="B669" t="inlineStr">
        <is>
          <t>Chemicals Supplier 042</t>
        </is>
      </c>
      <c r="C669" t="inlineStr">
        <is>
          <t>Chemicals</t>
        </is>
      </c>
      <c r="D669" t="n">
        <v>2024</v>
      </c>
      <c r="E669" t="n">
        <v>2015</v>
      </c>
      <c r="F669" t="n">
        <v>2035</v>
      </c>
      <c r="G669" t="n">
        <v>10825.417</v>
      </c>
      <c r="H669" t="n">
        <v>1403.0164</v>
      </c>
      <c r="I669" t="n">
        <v>716.2825</v>
      </c>
      <c r="J669" t="n">
        <v>8123.7014</v>
      </c>
      <c r="K669" t="n">
        <v>24573334.82</v>
      </c>
      <c r="L669" t="n">
        <v>65294304.22</v>
      </c>
      <c r="M669" t="n">
        <v>10825.417</v>
      </c>
      <c r="N669" t="inlineStr">
        <is>
          <t>Provided Total Emissions</t>
        </is>
      </c>
      <c r="O669" t="b">
        <v>1</v>
      </c>
      <c r="P669" t="n">
        <v>-0.048274</v>
      </c>
      <c r="Q669" t="n">
        <v>0.014153</v>
      </c>
      <c r="R669" t="n">
        <v>24609.9491</v>
      </c>
      <c r="S669" t="n">
        <v>30769.2879</v>
      </c>
      <c r="T669" t="n">
        <v>13784.5321</v>
      </c>
      <c r="U669" t="n">
        <v>19943.8709</v>
      </c>
      <c r="V669" t="n">
        <v>1.273349</v>
      </c>
      <c r="W669" t="n">
        <v>1.842319</v>
      </c>
      <c r="X669" t="inlineStr">
        <is>
          <t>High</t>
        </is>
      </c>
      <c r="Y669" t="inlineStr">
        <is>
          <t>None</t>
        </is>
      </c>
      <c r="Z669" t="inlineStr">
        <is>
          <t>Valid</t>
        </is>
      </c>
      <c r="AA669" t="n">
        <v>2036</v>
      </c>
      <c r="AB669" t="inlineStr">
        <is>
          <t>Industry Haircut Pathway</t>
        </is>
      </c>
      <c r="AC669" t="n">
        <v>16898.105</v>
      </c>
      <c r="AD669" t="n">
        <v>8062.0859</v>
      </c>
      <c r="AE669" t="n">
        <v>8062.0859</v>
      </c>
      <c r="AF669" t="n">
        <v>8062.0859</v>
      </c>
      <c r="AG669" t="n">
        <v>8836.0191</v>
      </c>
      <c r="AH669" t="n">
        <v>0.00032808</v>
      </c>
      <c r="AI669" t="n">
        <v>0.5229</v>
      </c>
      <c r="AJ669" t="n">
        <v>0</v>
      </c>
      <c r="AK669" t="n">
        <v>441.801</v>
      </c>
      <c r="AL669" t="n">
        <v>-32361.1384</v>
      </c>
      <c r="AM669" t="n">
        <v>121044.0833</v>
      </c>
      <c r="AN669" t="n">
        <v>0.95</v>
      </c>
      <c r="AO669" t="inlineStr">
        <is>
          <t>Low</t>
        </is>
      </c>
      <c r="AP669" t="inlineStr">
        <is>
          <t>On Track</t>
        </is>
      </c>
    </row>
    <row r="670">
      <c r="A670" t="inlineStr">
        <is>
          <t>SUP-0042</t>
        </is>
      </c>
      <c r="B670" t="inlineStr">
        <is>
          <t>Chemicals Supplier 042</t>
        </is>
      </c>
      <c r="C670" t="inlineStr">
        <is>
          <t>Chemicals</t>
        </is>
      </c>
      <c r="D670" t="n">
        <v>2024</v>
      </c>
      <c r="E670" t="n">
        <v>2015</v>
      </c>
      <c r="F670" t="n">
        <v>2035</v>
      </c>
      <c r="G670" t="n">
        <v>10825.417</v>
      </c>
      <c r="H670" t="n">
        <v>1403.0164</v>
      </c>
      <c r="I670" t="n">
        <v>716.2825</v>
      </c>
      <c r="J670" t="n">
        <v>8123.7014</v>
      </c>
      <c r="K670" t="n">
        <v>24573334.82</v>
      </c>
      <c r="L670" t="n">
        <v>65294304.22</v>
      </c>
      <c r="M670" t="n">
        <v>10825.417</v>
      </c>
      <c r="N670" t="inlineStr">
        <is>
          <t>Provided Total Emissions</t>
        </is>
      </c>
      <c r="O670" t="b">
        <v>1</v>
      </c>
      <c r="P670" t="n">
        <v>-0.048274</v>
      </c>
      <c r="Q670" t="n">
        <v>0.014153</v>
      </c>
      <c r="R670" t="n">
        <v>24609.9491</v>
      </c>
      <c r="S670" t="n">
        <v>30769.2879</v>
      </c>
      <c r="T670" t="n">
        <v>13784.5321</v>
      </c>
      <c r="U670" t="n">
        <v>19943.8709</v>
      </c>
      <c r="V670" t="n">
        <v>1.273349</v>
      </c>
      <c r="W670" t="n">
        <v>1.842319</v>
      </c>
      <c r="X670" t="inlineStr">
        <is>
          <t>High</t>
        </is>
      </c>
      <c r="Y670" t="inlineStr">
        <is>
          <t>None</t>
        </is>
      </c>
      <c r="Z670" t="inlineStr">
        <is>
          <t>Valid</t>
        </is>
      </c>
      <c r="AA670" t="n">
        <v>2037</v>
      </c>
      <c r="AB670" t="inlineStr">
        <is>
          <t>Industry Haircut Pathway</t>
        </is>
      </c>
      <c r="AC670" t="n">
        <v>16898.105</v>
      </c>
      <c r="AD670" t="n">
        <v>8062.0859</v>
      </c>
      <c r="AE670" t="n">
        <v>8062.0859</v>
      </c>
      <c r="AF670" t="n">
        <v>8062.0859</v>
      </c>
      <c r="AG670" t="n">
        <v>8836.0191</v>
      </c>
      <c r="AH670" t="n">
        <v>0.00032808</v>
      </c>
      <c r="AI670" t="n">
        <v>0.5229</v>
      </c>
      <c r="AJ670" t="n">
        <v>0</v>
      </c>
      <c r="AK670" t="n">
        <v>441.801</v>
      </c>
      <c r="AL670" t="n">
        <v>-40423.2243</v>
      </c>
      <c r="AM670" t="n">
        <v>129106.1692</v>
      </c>
      <c r="AN670" t="n">
        <v>0.95</v>
      </c>
      <c r="AO670" t="inlineStr">
        <is>
          <t>Low</t>
        </is>
      </c>
      <c r="AP670" t="inlineStr">
        <is>
          <t>On Track</t>
        </is>
      </c>
    </row>
    <row r="671">
      <c r="A671" t="inlineStr">
        <is>
          <t>SUP-0042</t>
        </is>
      </c>
      <c r="B671" t="inlineStr">
        <is>
          <t>Chemicals Supplier 042</t>
        </is>
      </c>
      <c r="C671" t="inlineStr">
        <is>
          <t>Chemicals</t>
        </is>
      </c>
      <c r="D671" t="n">
        <v>2024</v>
      </c>
      <c r="E671" t="n">
        <v>2015</v>
      </c>
      <c r="F671" t="n">
        <v>2035</v>
      </c>
      <c r="G671" t="n">
        <v>10825.417</v>
      </c>
      <c r="H671" t="n">
        <v>1403.0164</v>
      </c>
      <c r="I671" t="n">
        <v>716.2825</v>
      </c>
      <c r="J671" t="n">
        <v>8123.7014</v>
      </c>
      <c r="K671" t="n">
        <v>24573334.82</v>
      </c>
      <c r="L671" t="n">
        <v>65294304.22</v>
      </c>
      <c r="M671" t="n">
        <v>10825.417</v>
      </c>
      <c r="N671" t="inlineStr">
        <is>
          <t>Provided Total Emissions</t>
        </is>
      </c>
      <c r="O671" t="b">
        <v>1</v>
      </c>
      <c r="P671" t="n">
        <v>-0.048274</v>
      </c>
      <c r="Q671" t="n">
        <v>0.014153</v>
      </c>
      <c r="R671" t="n">
        <v>24609.9491</v>
      </c>
      <c r="S671" t="n">
        <v>30769.2879</v>
      </c>
      <c r="T671" t="n">
        <v>13784.5321</v>
      </c>
      <c r="U671" t="n">
        <v>19943.8709</v>
      </c>
      <c r="V671" t="n">
        <v>1.273349</v>
      </c>
      <c r="W671" t="n">
        <v>1.842319</v>
      </c>
      <c r="X671" t="inlineStr">
        <is>
          <t>High</t>
        </is>
      </c>
      <c r="Y671" t="inlineStr">
        <is>
          <t>None</t>
        </is>
      </c>
      <c r="Z671" t="inlineStr">
        <is>
          <t>Valid</t>
        </is>
      </c>
      <c r="AA671" t="n">
        <v>2038</v>
      </c>
      <c r="AB671" t="inlineStr">
        <is>
          <t>Industry Haircut Pathway</t>
        </is>
      </c>
      <c r="AC671" t="n">
        <v>16898.105</v>
      </c>
      <c r="AD671" t="n">
        <v>8062.0859</v>
      </c>
      <c r="AE671" t="n">
        <v>8062.0859</v>
      </c>
      <c r="AF671" t="n">
        <v>8062.0859</v>
      </c>
      <c r="AG671" t="n">
        <v>8836.0191</v>
      </c>
      <c r="AH671" t="n">
        <v>0.00032808</v>
      </c>
      <c r="AI671" t="n">
        <v>0.5229</v>
      </c>
      <c r="AJ671" t="n">
        <v>0</v>
      </c>
      <c r="AK671" t="n">
        <v>441.801</v>
      </c>
      <c r="AL671" t="n">
        <v>-48485.3102</v>
      </c>
      <c r="AM671" t="n">
        <v>137168.2551</v>
      </c>
      <c r="AN671" t="n">
        <v>0.95</v>
      </c>
      <c r="AO671" t="inlineStr">
        <is>
          <t>Low</t>
        </is>
      </c>
      <c r="AP671" t="inlineStr">
        <is>
          <t>On Track</t>
        </is>
      </c>
    </row>
    <row r="672">
      <c r="A672" t="inlineStr">
        <is>
          <t>SUP-0042</t>
        </is>
      </c>
      <c r="B672" t="inlineStr">
        <is>
          <t>Chemicals Supplier 042</t>
        </is>
      </c>
      <c r="C672" t="inlineStr">
        <is>
          <t>Chemicals</t>
        </is>
      </c>
      <c r="D672" t="n">
        <v>2024</v>
      </c>
      <c r="E672" t="n">
        <v>2015</v>
      </c>
      <c r="F672" t="n">
        <v>2035</v>
      </c>
      <c r="G672" t="n">
        <v>10825.417</v>
      </c>
      <c r="H672" t="n">
        <v>1403.0164</v>
      </c>
      <c r="I672" t="n">
        <v>716.2825</v>
      </c>
      <c r="J672" t="n">
        <v>8123.7014</v>
      </c>
      <c r="K672" t="n">
        <v>24573334.82</v>
      </c>
      <c r="L672" t="n">
        <v>65294304.22</v>
      </c>
      <c r="M672" t="n">
        <v>10825.417</v>
      </c>
      <c r="N672" t="inlineStr">
        <is>
          <t>Provided Total Emissions</t>
        </is>
      </c>
      <c r="O672" t="b">
        <v>1</v>
      </c>
      <c r="P672" t="n">
        <v>-0.048274</v>
      </c>
      <c r="Q672" t="n">
        <v>0.014153</v>
      </c>
      <c r="R672" t="n">
        <v>24609.9491</v>
      </c>
      <c r="S672" t="n">
        <v>30769.2879</v>
      </c>
      <c r="T672" t="n">
        <v>13784.5321</v>
      </c>
      <c r="U672" t="n">
        <v>19943.8709</v>
      </c>
      <c r="V672" t="n">
        <v>1.273349</v>
      </c>
      <c r="W672" t="n">
        <v>1.842319</v>
      </c>
      <c r="X672" t="inlineStr">
        <is>
          <t>High</t>
        </is>
      </c>
      <c r="Y672" t="inlineStr">
        <is>
          <t>None</t>
        </is>
      </c>
      <c r="Z672" t="inlineStr">
        <is>
          <t>Valid</t>
        </is>
      </c>
      <c r="AA672" t="n">
        <v>2039</v>
      </c>
      <c r="AB672" t="inlineStr">
        <is>
          <t>Industry Haircut Pathway</t>
        </is>
      </c>
      <c r="AC672" t="n">
        <v>16898.105</v>
      </c>
      <c r="AD672" t="n">
        <v>8062.0859</v>
      </c>
      <c r="AE672" t="n">
        <v>8062.0859</v>
      </c>
      <c r="AF672" t="n">
        <v>8062.0859</v>
      </c>
      <c r="AG672" t="n">
        <v>8836.0191</v>
      </c>
      <c r="AH672" t="n">
        <v>0.00032808</v>
      </c>
      <c r="AI672" t="n">
        <v>0.5229</v>
      </c>
      <c r="AJ672" t="n">
        <v>0</v>
      </c>
      <c r="AK672" t="n">
        <v>441.801</v>
      </c>
      <c r="AL672" t="n">
        <v>-56547.3961</v>
      </c>
      <c r="AM672" t="n">
        <v>145230.341</v>
      </c>
      <c r="AN672" t="n">
        <v>0.95</v>
      </c>
      <c r="AO672" t="inlineStr">
        <is>
          <t>Low</t>
        </is>
      </c>
      <c r="AP672" t="inlineStr">
        <is>
          <t>On Track</t>
        </is>
      </c>
    </row>
    <row r="673">
      <c r="A673" t="inlineStr">
        <is>
          <t>SUP-0042</t>
        </is>
      </c>
      <c r="B673" t="inlineStr">
        <is>
          <t>Chemicals Supplier 042</t>
        </is>
      </c>
      <c r="C673" t="inlineStr">
        <is>
          <t>Chemicals</t>
        </is>
      </c>
      <c r="D673" t="n">
        <v>2024</v>
      </c>
      <c r="E673" t="n">
        <v>2015</v>
      </c>
      <c r="F673" t="n">
        <v>2035</v>
      </c>
      <c r="G673" t="n">
        <v>10825.417</v>
      </c>
      <c r="H673" t="n">
        <v>1403.0164</v>
      </c>
      <c r="I673" t="n">
        <v>716.2825</v>
      </c>
      <c r="J673" t="n">
        <v>8123.7014</v>
      </c>
      <c r="K673" t="n">
        <v>24573334.82</v>
      </c>
      <c r="L673" t="n">
        <v>65294304.22</v>
      </c>
      <c r="M673" t="n">
        <v>10825.417</v>
      </c>
      <c r="N673" t="inlineStr">
        <is>
          <t>Provided Total Emissions</t>
        </is>
      </c>
      <c r="O673" t="b">
        <v>1</v>
      </c>
      <c r="P673" t="n">
        <v>-0.048274</v>
      </c>
      <c r="Q673" t="n">
        <v>0.014153</v>
      </c>
      <c r="R673" t="n">
        <v>24609.9491</v>
      </c>
      <c r="S673" t="n">
        <v>30769.2879</v>
      </c>
      <c r="T673" t="n">
        <v>13784.5321</v>
      </c>
      <c r="U673" t="n">
        <v>19943.8709</v>
      </c>
      <c r="V673" t="n">
        <v>1.273349</v>
      </c>
      <c r="W673" t="n">
        <v>1.842319</v>
      </c>
      <c r="X673" t="inlineStr">
        <is>
          <t>High</t>
        </is>
      </c>
      <c r="Y673" t="inlineStr">
        <is>
          <t>None</t>
        </is>
      </c>
      <c r="Z673" t="inlineStr">
        <is>
          <t>Valid</t>
        </is>
      </c>
      <c r="AA673" t="n">
        <v>2040</v>
      </c>
      <c r="AB673" t="inlineStr">
        <is>
          <t>Industry Haircut Pathway</t>
        </is>
      </c>
      <c r="AC673" t="n">
        <v>16898.105</v>
      </c>
      <c r="AD673" t="n">
        <v>8062.0859</v>
      </c>
      <c r="AE673" t="n">
        <v>8062.0859</v>
      </c>
      <c r="AF673" t="n">
        <v>8062.0859</v>
      </c>
      <c r="AG673" t="n">
        <v>8836.0191</v>
      </c>
      <c r="AH673" t="n">
        <v>0.00032808</v>
      </c>
      <c r="AI673" t="n">
        <v>0.5229</v>
      </c>
      <c r="AJ673" t="n">
        <v>0</v>
      </c>
      <c r="AK673" t="n">
        <v>441.801</v>
      </c>
      <c r="AL673" t="n">
        <v>-64609.482</v>
      </c>
      <c r="AM673" t="n">
        <v>153292.4269</v>
      </c>
      <c r="AN673" t="n">
        <v>0.95</v>
      </c>
      <c r="AO673" t="inlineStr">
        <is>
          <t>Low</t>
        </is>
      </c>
      <c r="AP673" t="inlineStr">
        <is>
          <t>On Track</t>
        </is>
      </c>
    </row>
    <row r="674">
      <c r="A674" t="inlineStr">
        <is>
          <t>SUP-0043</t>
        </is>
      </c>
      <c r="B674" t="inlineStr">
        <is>
          <t>Logistics Supplier 043</t>
        </is>
      </c>
      <c r="C674" t="inlineStr">
        <is>
          <t>Logistics</t>
        </is>
      </c>
      <c r="D674" t="n">
        <v>2024</v>
      </c>
      <c r="E674" t="n">
        <v>2018</v>
      </c>
      <c r="F674" t="n">
        <v>2035</v>
      </c>
      <c r="G674" t="n">
        <v>1506.1183</v>
      </c>
      <c r="H674" t="n">
        <v>359.6559</v>
      </c>
      <c r="I674" t="n">
        <v>97.64239999999999</v>
      </c>
      <c r="J674" t="n">
        <v>882.8898</v>
      </c>
      <c r="K674" t="n">
        <v>6370904.51</v>
      </c>
      <c r="L674" t="n">
        <v>28178717.84</v>
      </c>
      <c r="M674" t="n">
        <v>1506.1183</v>
      </c>
      <c r="N674" t="inlineStr">
        <is>
          <t>Provided Total Emissions</t>
        </is>
      </c>
      <c r="O674" t="b">
        <v>1</v>
      </c>
      <c r="P674" t="n">
        <v>-0.038349</v>
      </c>
      <c r="Q674" t="n">
        <v>-0.01008</v>
      </c>
      <c r="R674" t="n">
        <v>1423.8334</v>
      </c>
      <c r="S674" t="n">
        <v>13465.7639</v>
      </c>
      <c r="T674" t="n">
        <v>-82.28489999999999</v>
      </c>
      <c r="U674" t="n">
        <v>11959.6456</v>
      </c>
      <c r="V674" t="n">
        <v>-0.054634</v>
      </c>
      <c r="W674" t="n">
        <v>7.940708</v>
      </c>
      <c r="X674" t="inlineStr">
        <is>
          <t>High</t>
        </is>
      </c>
      <c r="Y674" t="inlineStr">
        <is>
          <t>None</t>
        </is>
      </c>
      <c r="Z674" t="inlineStr">
        <is>
          <t>Valid</t>
        </is>
      </c>
      <c r="AA674" t="n">
        <v>2025</v>
      </c>
      <c r="AB674" t="inlineStr">
        <is>
          <t>Supplier Target Pathway</t>
        </is>
      </c>
      <c r="AC674" t="n">
        <v>1838.8543</v>
      </c>
      <c r="AD674" t="n">
        <v>840.3564</v>
      </c>
      <c r="AE674" t="n">
        <v>1427.7081</v>
      </c>
      <c r="AF674" t="n">
        <v>1427.7081</v>
      </c>
      <c r="AG674" t="n">
        <v>411.1462</v>
      </c>
      <c r="AH674" t="n">
        <v>0.0002241</v>
      </c>
      <c r="AI674" t="n">
        <v>0.223588</v>
      </c>
      <c r="AJ674" t="n">
        <v>587.3517000000001</v>
      </c>
      <c r="AK674" t="n">
        <v>58.7352</v>
      </c>
      <c r="AL674" t="n">
        <v>7816.2123</v>
      </c>
      <c r="AM674" t="n">
        <v>1427.7081</v>
      </c>
      <c r="AN674" t="n">
        <v>0.99</v>
      </c>
      <c r="AO674" t="inlineStr">
        <is>
          <t>Critical</t>
        </is>
      </c>
      <c r="AP674" t="inlineStr">
        <is>
          <t>On Track to Glide Path</t>
        </is>
      </c>
    </row>
    <row r="675">
      <c r="A675" t="inlineStr">
        <is>
          <t>SUP-0043</t>
        </is>
      </c>
      <c r="B675" t="inlineStr">
        <is>
          <t>Logistics Supplier 043</t>
        </is>
      </c>
      <c r="C675" t="inlineStr">
        <is>
          <t>Logistics</t>
        </is>
      </c>
      <c r="D675" t="n">
        <v>2024</v>
      </c>
      <c r="E675" t="n">
        <v>2018</v>
      </c>
      <c r="F675" t="n">
        <v>2035</v>
      </c>
      <c r="G675" t="n">
        <v>1506.1183</v>
      </c>
      <c r="H675" t="n">
        <v>359.6559</v>
      </c>
      <c r="I675" t="n">
        <v>97.64239999999999</v>
      </c>
      <c r="J675" t="n">
        <v>882.8898</v>
      </c>
      <c r="K675" t="n">
        <v>6370904.51</v>
      </c>
      <c r="L675" t="n">
        <v>28178717.84</v>
      </c>
      <c r="M675" t="n">
        <v>1506.1183</v>
      </c>
      <c r="N675" t="inlineStr">
        <is>
          <t>Provided Total Emissions</t>
        </is>
      </c>
      <c r="O675" t="b">
        <v>1</v>
      </c>
      <c r="P675" t="n">
        <v>-0.038349</v>
      </c>
      <c r="Q675" t="n">
        <v>-0.01008</v>
      </c>
      <c r="R675" t="n">
        <v>1423.8334</v>
      </c>
      <c r="S675" t="n">
        <v>13465.7639</v>
      </c>
      <c r="T675" t="n">
        <v>-82.28489999999999</v>
      </c>
      <c r="U675" t="n">
        <v>11959.6456</v>
      </c>
      <c r="V675" t="n">
        <v>-0.054634</v>
      </c>
      <c r="W675" t="n">
        <v>7.940708</v>
      </c>
      <c r="X675" t="inlineStr">
        <is>
          <t>High</t>
        </is>
      </c>
      <c r="Y675" t="inlineStr">
        <is>
          <t>None</t>
        </is>
      </c>
      <c r="Z675" t="inlineStr">
        <is>
          <t>Valid</t>
        </is>
      </c>
      <c r="AA675" t="n">
        <v>2026</v>
      </c>
      <c r="AB675" t="inlineStr">
        <is>
          <t>Supplier Target Pathway</t>
        </is>
      </c>
      <c r="AC675" t="n">
        <v>1838.8543</v>
      </c>
      <c r="AD675" t="n">
        <v>840.3564</v>
      </c>
      <c r="AE675" t="n">
        <v>1368.9729</v>
      </c>
      <c r="AF675" t="n">
        <v>1368.9729</v>
      </c>
      <c r="AG675" t="n">
        <v>469.8814</v>
      </c>
      <c r="AH675" t="n">
        <v>0.00021488</v>
      </c>
      <c r="AI675" t="n">
        <v>0.255529</v>
      </c>
      <c r="AJ675" t="n">
        <v>528.6165</v>
      </c>
      <c r="AK675" t="n">
        <v>58.7352</v>
      </c>
      <c r="AL675" t="n">
        <v>6447.2394</v>
      </c>
      <c r="AM675" t="n">
        <v>2796.681</v>
      </c>
      <c r="AN675" t="n">
        <v>0.99</v>
      </c>
      <c r="AO675" t="inlineStr">
        <is>
          <t>Critical</t>
        </is>
      </c>
      <c r="AP675" t="inlineStr">
        <is>
          <t>On Track to Glide Path</t>
        </is>
      </c>
    </row>
    <row r="676">
      <c r="A676" t="inlineStr">
        <is>
          <t>SUP-0043</t>
        </is>
      </c>
      <c r="B676" t="inlineStr">
        <is>
          <t>Logistics Supplier 043</t>
        </is>
      </c>
      <c r="C676" t="inlineStr">
        <is>
          <t>Logistics</t>
        </is>
      </c>
      <c r="D676" t="n">
        <v>2024</v>
      </c>
      <c r="E676" t="n">
        <v>2018</v>
      </c>
      <c r="F676" t="n">
        <v>2035</v>
      </c>
      <c r="G676" t="n">
        <v>1506.1183</v>
      </c>
      <c r="H676" t="n">
        <v>359.6559</v>
      </c>
      <c r="I676" t="n">
        <v>97.64239999999999</v>
      </c>
      <c r="J676" t="n">
        <v>882.8898</v>
      </c>
      <c r="K676" t="n">
        <v>6370904.51</v>
      </c>
      <c r="L676" t="n">
        <v>28178717.84</v>
      </c>
      <c r="M676" t="n">
        <v>1506.1183</v>
      </c>
      <c r="N676" t="inlineStr">
        <is>
          <t>Provided Total Emissions</t>
        </is>
      </c>
      <c r="O676" t="b">
        <v>1</v>
      </c>
      <c r="P676" t="n">
        <v>-0.038349</v>
      </c>
      <c r="Q676" t="n">
        <v>-0.01008</v>
      </c>
      <c r="R676" t="n">
        <v>1423.8334</v>
      </c>
      <c r="S676" t="n">
        <v>13465.7639</v>
      </c>
      <c r="T676" t="n">
        <v>-82.28489999999999</v>
      </c>
      <c r="U676" t="n">
        <v>11959.6456</v>
      </c>
      <c r="V676" t="n">
        <v>-0.054634</v>
      </c>
      <c r="W676" t="n">
        <v>7.940708</v>
      </c>
      <c r="X676" t="inlineStr">
        <is>
          <t>High</t>
        </is>
      </c>
      <c r="Y676" t="inlineStr">
        <is>
          <t>None</t>
        </is>
      </c>
      <c r="Z676" t="inlineStr">
        <is>
          <t>Valid</t>
        </is>
      </c>
      <c r="AA676" t="n">
        <v>2027</v>
      </c>
      <c r="AB676" t="inlineStr">
        <is>
          <t>Supplier Target Pathway</t>
        </is>
      </c>
      <c r="AC676" t="n">
        <v>1838.8543</v>
      </c>
      <c r="AD676" t="n">
        <v>840.3564</v>
      </c>
      <c r="AE676" t="n">
        <v>1310.2378</v>
      </c>
      <c r="AF676" t="n">
        <v>1310.2378</v>
      </c>
      <c r="AG676" t="n">
        <v>528.6165</v>
      </c>
      <c r="AH676" t="n">
        <v>0.00020566</v>
      </c>
      <c r="AI676" t="n">
        <v>0.287471</v>
      </c>
      <c r="AJ676" t="n">
        <v>469.8814</v>
      </c>
      <c r="AK676" t="n">
        <v>58.7352</v>
      </c>
      <c r="AL676" t="n">
        <v>5137.0016</v>
      </c>
      <c r="AM676" t="n">
        <v>4106.9188</v>
      </c>
      <c r="AN676" t="n">
        <v>0.99</v>
      </c>
      <c r="AO676" t="inlineStr">
        <is>
          <t>Critical</t>
        </is>
      </c>
      <c r="AP676" t="inlineStr">
        <is>
          <t>On Track to Glide Path</t>
        </is>
      </c>
    </row>
    <row r="677">
      <c r="A677" t="inlineStr">
        <is>
          <t>SUP-0043</t>
        </is>
      </c>
      <c r="B677" t="inlineStr">
        <is>
          <t>Logistics Supplier 043</t>
        </is>
      </c>
      <c r="C677" t="inlineStr">
        <is>
          <t>Logistics</t>
        </is>
      </c>
      <c r="D677" t="n">
        <v>2024</v>
      </c>
      <c r="E677" t="n">
        <v>2018</v>
      </c>
      <c r="F677" t="n">
        <v>2035</v>
      </c>
      <c r="G677" t="n">
        <v>1506.1183</v>
      </c>
      <c r="H677" t="n">
        <v>359.6559</v>
      </c>
      <c r="I677" t="n">
        <v>97.64239999999999</v>
      </c>
      <c r="J677" t="n">
        <v>882.8898</v>
      </c>
      <c r="K677" t="n">
        <v>6370904.51</v>
      </c>
      <c r="L677" t="n">
        <v>28178717.84</v>
      </c>
      <c r="M677" t="n">
        <v>1506.1183</v>
      </c>
      <c r="N677" t="inlineStr">
        <is>
          <t>Provided Total Emissions</t>
        </is>
      </c>
      <c r="O677" t="b">
        <v>1</v>
      </c>
      <c r="P677" t="n">
        <v>-0.038349</v>
      </c>
      <c r="Q677" t="n">
        <v>-0.01008</v>
      </c>
      <c r="R677" t="n">
        <v>1423.8334</v>
      </c>
      <c r="S677" t="n">
        <v>13465.7639</v>
      </c>
      <c r="T677" t="n">
        <v>-82.28489999999999</v>
      </c>
      <c r="U677" t="n">
        <v>11959.6456</v>
      </c>
      <c r="V677" t="n">
        <v>-0.054634</v>
      </c>
      <c r="W677" t="n">
        <v>7.940708</v>
      </c>
      <c r="X677" t="inlineStr">
        <is>
          <t>High</t>
        </is>
      </c>
      <c r="Y677" t="inlineStr">
        <is>
          <t>None</t>
        </is>
      </c>
      <c r="Z677" t="inlineStr">
        <is>
          <t>Valid</t>
        </is>
      </c>
      <c r="AA677" t="n">
        <v>2028</v>
      </c>
      <c r="AB677" t="inlineStr">
        <is>
          <t>Supplier Target Pathway</t>
        </is>
      </c>
      <c r="AC677" t="n">
        <v>1838.8543</v>
      </c>
      <c r="AD677" t="n">
        <v>840.3564</v>
      </c>
      <c r="AE677" t="n">
        <v>1251.5026</v>
      </c>
      <c r="AF677" t="n">
        <v>1251.5026</v>
      </c>
      <c r="AG677" t="n">
        <v>587.3517000000001</v>
      </c>
      <c r="AH677" t="n">
        <v>0.00019644</v>
      </c>
      <c r="AI677" t="n">
        <v>0.319412</v>
      </c>
      <c r="AJ677" t="n">
        <v>411.1462</v>
      </c>
      <c r="AK677" t="n">
        <v>58.7352</v>
      </c>
      <c r="AL677" t="n">
        <v>3885.499</v>
      </c>
      <c r="AM677" t="n">
        <v>5358.4214</v>
      </c>
      <c r="AN677" t="n">
        <v>0.99</v>
      </c>
      <c r="AO677" t="inlineStr">
        <is>
          <t>Critical</t>
        </is>
      </c>
      <c r="AP677" t="inlineStr">
        <is>
          <t>On Track to Glide Path</t>
        </is>
      </c>
    </row>
    <row r="678">
      <c r="A678" t="inlineStr">
        <is>
          <t>SUP-0043</t>
        </is>
      </c>
      <c r="B678" t="inlineStr">
        <is>
          <t>Logistics Supplier 043</t>
        </is>
      </c>
      <c r="C678" t="inlineStr">
        <is>
          <t>Logistics</t>
        </is>
      </c>
      <c r="D678" t="n">
        <v>2024</v>
      </c>
      <c r="E678" t="n">
        <v>2018</v>
      </c>
      <c r="F678" t="n">
        <v>2035</v>
      </c>
      <c r="G678" t="n">
        <v>1506.1183</v>
      </c>
      <c r="H678" t="n">
        <v>359.6559</v>
      </c>
      <c r="I678" t="n">
        <v>97.64239999999999</v>
      </c>
      <c r="J678" t="n">
        <v>882.8898</v>
      </c>
      <c r="K678" t="n">
        <v>6370904.51</v>
      </c>
      <c r="L678" t="n">
        <v>28178717.84</v>
      </c>
      <c r="M678" t="n">
        <v>1506.1183</v>
      </c>
      <c r="N678" t="inlineStr">
        <is>
          <t>Provided Total Emissions</t>
        </is>
      </c>
      <c r="O678" t="b">
        <v>1</v>
      </c>
      <c r="P678" t="n">
        <v>-0.038349</v>
      </c>
      <c r="Q678" t="n">
        <v>-0.01008</v>
      </c>
      <c r="R678" t="n">
        <v>1423.8334</v>
      </c>
      <c r="S678" t="n">
        <v>13465.7639</v>
      </c>
      <c r="T678" t="n">
        <v>-82.28489999999999</v>
      </c>
      <c r="U678" t="n">
        <v>11959.6456</v>
      </c>
      <c r="V678" t="n">
        <v>-0.054634</v>
      </c>
      <c r="W678" t="n">
        <v>7.940708</v>
      </c>
      <c r="X678" t="inlineStr">
        <is>
          <t>High</t>
        </is>
      </c>
      <c r="Y678" t="inlineStr">
        <is>
          <t>None</t>
        </is>
      </c>
      <c r="Z678" t="inlineStr">
        <is>
          <t>Valid</t>
        </is>
      </c>
      <c r="AA678" t="n">
        <v>2029</v>
      </c>
      <c r="AB678" t="inlineStr">
        <is>
          <t>Supplier Target Pathway</t>
        </is>
      </c>
      <c r="AC678" t="n">
        <v>1838.8543</v>
      </c>
      <c r="AD678" t="n">
        <v>840.3564</v>
      </c>
      <c r="AE678" t="n">
        <v>1192.7674</v>
      </c>
      <c r="AF678" t="n">
        <v>1192.7674</v>
      </c>
      <c r="AG678" t="n">
        <v>646.0869</v>
      </c>
      <c r="AH678" t="n">
        <v>0.00018722</v>
      </c>
      <c r="AI678" t="n">
        <v>0.351353</v>
      </c>
      <c r="AJ678" t="n">
        <v>352.411</v>
      </c>
      <c r="AK678" t="n">
        <v>58.7352</v>
      </c>
      <c r="AL678" t="n">
        <v>2692.7316</v>
      </c>
      <c r="AM678" t="n">
        <v>6551.1888</v>
      </c>
      <c r="AN678" t="n">
        <v>0.99</v>
      </c>
      <c r="AO678" t="inlineStr">
        <is>
          <t>Critical</t>
        </is>
      </c>
      <c r="AP678" t="inlineStr">
        <is>
          <t>On Track to Glide Path</t>
        </is>
      </c>
    </row>
    <row r="679">
      <c r="A679" t="inlineStr">
        <is>
          <t>SUP-0043</t>
        </is>
      </c>
      <c r="B679" t="inlineStr">
        <is>
          <t>Logistics Supplier 043</t>
        </is>
      </c>
      <c r="C679" t="inlineStr">
        <is>
          <t>Logistics</t>
        </is>
      </c>
      <c r="D679" t="n">
        <v>2024</v>
      </c>
      <c r="E679" t="n">
        <v>2018</v>
      </c>
      <c r="F679" t="n">
        <v>2035</v>
      </c>
      <c r="G679" t="n">
        <v>1506.1183</v>
      </c>
      <c r="H679" t="n">
        <v>359.6559</v>
      </c>
      <c r="I679" t="n">
        <v>97.64239999999999</v>
      </c>
      <c r="J679" t="n">
        <v>882.8898</v>
      </c>
      <c r="K679" t="n">
        <v>6370904.51</v>
      </c>
      <c r="L679" t="n">
        <v>28178717.84</v>
      </c>
      <c r="M679" t="n">
        <v>1506.1183</v>
      </c>
      <c r="N679" t="inlineStr">
        <is>
          <t>Provided Total Emissions</t>
        </is>
      </c>
      <c r="O679" t="b">
        <v>1</v>
      </c>
      <c r="P679" t="n">
        <v>-0.038349</v>
      </c>
      <c r="Q679" t="n">
        <v>-0.01008</v>
      </c>
      <c r="R679" t="n">
        <v>1423.8334</v>
      </c>
      <c r="S679" t="n">
        <v>13465.7639</v>
      </c>
      <c r="T679" t="n">
        <v>-82.28489999999999</v>
      </c>
      <c r="U679" t="n">
        <v>11959.6456</v>
      </c>
      <c r="V679" t="n">
        <v>-0.054634</v>
      </c>
      <c r="W679" t="n">
        <v>7.940708</v>
      </c>
      <c r="X679" t="inlineStr">
        <is>
          <t>High</t>
        </is>
      </c>
      <c r="Y679" t="inlineStr">
        <is>
          <t>None</t>
        </is>
      </c>
      <c r="Z679" t="inlineStr">
        <is>
          <t>Valid</t>
        </is>
      </c>
      <c r="AA679" t="n">
        <v>2030</v>
      </c>
      <c r="AB679" t="inlineStr">
        <is>
          <t>Supplier Target Pathway</t>
        </is>
      </c>
      <c r="AC679" t="n">
        <v>1838.8543</v>
      </c>
      <c r="AD679" t="n">
        <v>840.3564</v>
      </c>
      <c r="AE679" t="n">
        <v>1134.0323</v>
      </c>
      <c r="AF679" t="n">
        <v>1134.0323</v>
      </c>
      <c r="AG679" t="n">
        <v>704.822</v>
      </c>
      <c r="AH679" t="n">
        <v>0.000178</v>
      </c>
      <c r="AI679" t="n">
        <v>0.383294</v>
      </c>
      <c r="AJ679" t="n">
        <v>293.6758</v>
      </c>
      <c r="AK679" t="n">
        <v>58.7352</v>
      </c>
      <c r="AL679" t="n">
        <v>1558.6993</v>
      </c>
      <c r="AM679" t="n">
        <v>7685.2211</v>
      </c>
      <c r="AN679" t="n">
        <v>0.99</v>
      </c>
      <c r="AO679" t="inlineStr">
        <is>
          <t>High</t>
        </is>
      </c>
      <c r="AP679" t="inlineStr">
        <is>
          <t>On Track to Glide Path</t>
        </is>
      </c>
    </row>
    <row r="680">
      <c r="A680" t="inlineStr">
        <is>
          <t>SUP-0043</t>
        </is>
      </c>
      <c r="B680" t="inlineStr">
        <is>
          <t>Logistics Supplier 043</t>
        </is>
      </c>
      <c r="C680" t="inlineStr">
        <is>
          <t>Logistics</t>
        </is>
      </c>
      <c r="D680" t="n">
        <v>2024</v>
      </c>
      <c r="E680" t="n">
        <v>2018</v>
      </c>
      <c r="F680" t="n">
        <v>2035</v>
      </c>
      <c r="G680" t="n">
        <v>1506.1183</v>
      </c>
      <c r="H680" t="n">
        <v>359.6559</v>
      </c>
      <c r="I680" t="n">
        <v>97.64239999999999</v>
      </c>
      <c r="J680" t="n">
        <v>882.8898</v>
      </c>
      <c r="K680" t="n">
        <v>6370904.51</v>
      </c>
      <c r="L680" t="n">
        <v>28178717.84</v>
      </c>
      <c r="M680" t="n">
        <v>1506.1183</v>
      </c>
      <c r="N680" t="inlineStr">
        <is>
          <t>Provided Total Emissions</t>
        </is>
      </c>
      <c r="O680" t="b">
        <v>1</v>
      </c>
      <c r="P680" t="n">
        <v>-0.038349</v>
      </c>
      <c r="Q680" t="n">
        <v>-0.01008</v>
      </c>
      <c r="R680" t="n">
        <v>1423.8334</v>
      </c>
      <c r="S680" t="n">
        <v>13465.7639</v>
      </c>
      <c r="T680" t="n">
        <v>-82.28489999999999</v>
      </c>
      <c r="U680" t="n">
        <v>11959.6456</v>
      </c>
      <c r="V680" t="n">
        <v>-0.054634</v>
      </c>
      <c r="W680" t="n">
        <v>7.940708</v>
      </c>
      <c r="X680" t="inlineStr">
        <is>
          <t>High</t>
        </is>
      </c>
      <c r="Y680" t="inlineStr">
        <is>
          <t>None</t>
        </is>
      </c>
      <c r="Z680" t="inlineStr">
        <is>
          <t>Valid</t>
        </is>
      </c>
      <c r="AA680" t="n">
        <v>2031</v>
      </c>
      <c r="AB680" t="inlineStr">
        <is>
          <t>Supplier Target Pathway</t>
        </is>
      </c>
      <c r="AC680" t="n">
        <v>1838.8543</v>
      </c>
      <c r="AD680" t="n">
        <v>840.3564</v>
      </c>
      <c r="AE680" t="n">
        <v>1075.2971</v>
      </c>
      <c r="AF680" t="n">
        <v>1075.2971</v>
      </c>
      <c r="AG680" t="n">
        <v>763.5572</v>
      </c>
      <c r="AH680" t="n">
        <v>0.00016878</v>
      </c>
      <c r="AI680" t="n">
        <v>0.415235</v>
      </c>
      <c r="AJ680" t="n">
        <v>234.9407</v>
      </c>
      <c r="AK680" t="n">
        <v>58.7352</v>
      </c>
      <c r="AL680" t="n">
        <v>483.4022</v>
      </c>
      <c r="AM680" t="n">
        <v>8760.5182</v>
      </c>
      <c r="AN680" t="n">
        <v>0.99</v>
      </c>
      <c r="AO680" t="inlineStr">
        <is>
          <t>High</t>
        </is>
      </c>
      <c r="AP680" t="inlineStr">
        <is>
          <t>On Track to Glide Path</t>
        </is>
      </c>
    </row>
    <row r="681">
      <c r="A681" t="inlineStr">
        <is>
          <t>SUP-0043</t>
        </is>
      </c>
      <c r="B681" t="inlineStr">
        <is>
          <t>Logistics Supplier 043</t>
        </is>
      </c>
      <c r="C681" t="inlineStr">
        <is>
          <t>Logistics</t>
        </is>
      </c>
      <c r="D681" t="n">
        <v>2024</v>
      </c>
      <c r="E681" t="n">
        <v>2018</v>
      </c>
      <c r="F681" t="n">
        <v>2035</v>
      </c>
      <c r="G681" t="n">
        <v>1506.1183</v>
      </c>
      <c r="H681" t="n">
        <v>359.6559</v>
      </c>
      <c r="I681" t="n">
        <v>97.64239999999999</v>
      </c>
      <c r="J681" t="n">
        <v>882.8898</v>
      </c>
      <c r="K681" t="n">
        <v>6370904.51</v>
      </c>
      <c r="L681" t="n">
        <v>28178717.84</v>
      </c>
      <c r="M681" t="n">
        <v>1506.1183</v>
      </c>
      <c r="N681" t="inlineStr">
        <is>
          <t>Provided Total Emissions</t>
        </is>
      </c>
      <c r="O681" t="b">
        <v>1</v>
      </c>
      <c r="P681" t="n">
        <v>-0.038349</v>
      </c>
      <c r="Q681" t="n">
        <v>-0.01008</v>
      </c>
      <c r="R681" t="n">
        <v>1423.8334</v>
      </c>
      <c r="S681" t="n">
        <v>13465.7639</v>
      </c>
      <c r="T681" t="n">
        <v>-82.28489999999999</v>
      </c>
      <c r="U681" t="n">
        <v>11959.6456</v>
      </c>
      <c r="V681" t="n">
        <v>-0.054634</v>
      </c>
      <c r="W681" t="n">
        <v>7.940708</v>
      </c>
      <c r="X681" t="inlineStr">
        <is>
          <t>High</t>
        </is>
      </c>
      <c r="Y681" t="inlineStr">
        <is>
          <t>None</t>
        </is>
      </c>
      <c r="Z681" t="inlineStr">
        <is>
          <t>Valid</t>
        </is>
      </c>
      <c r="AA681" t="n">
        <v>2032</v>
      </c>
      <c r="AB681" t="inlineStr">
        <is>
          <t>Supplier Target Pathway</t>
        </is>
      </c>
      <c r="AC681" t="n">
        <v>1838.8543</v>
      </c>
      <c r="AD681" t="n">
        <v>840.3564</v>
      </c>
      <c r="AE681" t="n">
        <v>1016.5619</v>
      </c>
      <c r="AF681" t="n">
        <v>1016.5619</v>
      </c>
      <c r="AG681" t="n">
        <v>822.2924</v>
      </c>
      <c r="AH681" t="n">
        <v>0.00015956</v>
      </c>
      <c r="AI681" t="n">
        <v>0.447176</v>
      </c>
      <c r="AJ681" t="n">
        <v>176.2055</v>
      </c>
      <c r="AK681" t="n">
        <v>58.7352</v>
      </c>
      <c r="AL681" t="n">
        <v>-533.1597</v>
      </c>
      <c r="AM681" t="n">
        <v>9777.080099999999</v>
      </c>
      <c r="AN681" t="n">
        <v>0.99</v>
      </c>
      <c r="AO681" t="inlineStr">
        <is>
          <t>High</t>
        </is>
      </c>
      <c r="AP681" t="inlineStr">
        <is>
          <t>On Track to Glide Path</t>
        </is>
      </c>
    </row>
    <row r="682">
      <c r="A682" t="inlineStr">
        <is>
          <t>SUP-0043</t>
        </is>
      </c>
      <c r="B682" t="inlineStr">
        <is>
          <t>Logistics Supplier 043</t>
        </is>
      </c>
      <c r="C682" t="inlineStr">
        <is>
          <t>Logistics</t>
        </is>
      </c>
      <c r="D682" t="n">
        <v>2024</v>
      </c>
      <c r="E682" t="n">
        <v>2018</v>
      </c>
      <c r="F682" t="n">
        <v>2035</v>
      </c>
      <c r="G682" t="n">
        <v>1506.1183</v>
      </c>
      <c r="H682" t="n">
        <v>359.6559</v>
      </c>
      <c r="I682" t="n">
        <v>97.64239999999999</v>
      </c>
      <c r="J682" t="n">
        <v>882.8898</v>
      </c>
      <c r="K682" t="n">
        <v>6370904.51</v>
      </c>
      <c r="L682" t="n">
        <v>28178717.84</v>
      </c>
      <c r="M682" t="n">
        <v>1506.1183</v>
      </c>
      <c r="N682" t="inlineStr">
        <is>
          <t>Provided Total Emissions</t>
        </is>
      </c>
      <c r="O682" t="b">
        <v>1</v>
      </c>
      <c r="P682" t="n">
        <v>-0.038349</v>
      </c>
      <c r="Q682" t="n">
        <v>-0.01008</v>
      </c>
      <c r="R682" t="n">
        <v>1423.8334</v>
      </c>
      <c r="S682" t="n">
        <v>13465.7639</v>
      </c>
      <c r="T682" t="n">
        <v>-82.28489999999999</v>
      </c>
      <c r="U682" t="n">
        <v>11959.6456</v>
      </c>
      <c r="V682" t="n">
        <v>-0.054634</v>
      </c>
      <c r="W682" t="n">
        <v>7.940708</v>
      </c>
      <c r="X682" t="inlineStr">
        <is>
          <t>High</t>
        </is>
      </c>
      <c r="Y682" t="inlineStr">
        <is>
          <t>None</t>
        </is>
      </c>
      <c r="Z682" t="inlineStr">
        <is>
          <t>Valid</t>
        </is>
      </c>
      <c r="AA682" t="n">
        <v>2033</v>
      </c>
      <c r="AB682" t="inlineStr">
        <is>
          <t>Supplier Target Pathway</t>
        </is>
      </c>
      <c r="AC682" t="n">
        <v>1838.8543</v>
      </c>
      <c r="AD682" t="n">
        <v>840.3564</v>
      </c>
      <c r="AE682" t="n">
        <v>957.8268</v>
      </c>
      <c r="AF682" t="n">
        <v>957.8268</v>
      </c>
      <c r="AG682" t="n">
        <v>881.0275</v>
      </c>
      <c r="AH682" t="n">
        <v>0.00015034</v>
      </c>
      <c r="AI682" t="n">
        <v>0.479118</v>
      </c>
      <c r="AJ682" t="n">
        <v>117.4703</v>
      </c>
      <c r="AK682" t="n">
        <v>58.7352</v>
      </c>
      <c r="AL682" t="n">
        <v>-1490.9865</v>
      </c>
      <c r="AM682" t="n">
        <v>10734.9069</v>
      </c>
      <c r="AN682" t="n">
        <v>0.99</v>
      </c>
      <c r="AO682" t="inlineStr">
        <is>
          <t>Medium</t>
        </is>
      </c>
      <c r="AP682" t="inlineStr">
        <is>
          <t>On Track to Glide Path</t>
        </is>
      </c>
    </row>
    <row r="683">
      <c r="A683" t="inlineStr">
        <is>
          <t>SUP-0043</t>
        </is>
      </c>
      <c r="B683" t="inlineStr">
        <is>
          <t>Logistics Supplier 043</t>
        </is>
      </c>
      <c r="C683" t="inlineStr">
        <is>
          <t>Logistics</t>
        </is>
      </c>
      <c r="D683" t="n">
        <v>2024</v>
      </c>
      <c r="E683" t="n">
        <v>2018</v>
      </c>
      <c r="F683" t="n">
        <v>2035</v>
      </c>
      <c r="G683" t="n">
        <v>1506.1183</v>
      </c>
      <c r="H683" t="n">
        <v>359.6559</v>
      </c>
      <c r="I683" t="n">
        <v>97.64239999999999</v>
      </c>
      <c r="J683" t="n">
        <v>882.8898</v>
      </c>
      <c r="K683" t="n">
        <v>6370904.51</v>
      </c>
      <c r="L683" t="n">
        <v>28178717.84</v>
      </c>
      <c r="M683" t="n">
        <v>1506.1183</v>
      </c>
      <c r="N683" t="inlineStr">
        <is>
          <t>Provided Total Emissions</t>
        </is>
      </c>
      <c r="O683" t="b">
        <v>1</v>
      </c>
      <c r="P683" t="n">
        <v>-0.038349</v>
      </c>
      <c r="Q683" t="n">
        <v>-0.01008</v>
      </c>
      <c r="R683" t="n">
        <v>1423.8334</v>
      </c>
      <c r="S683" t="n">
        <v>13465.7639</v>
      </c>
      <c r="T683" t="n">
        <v>-82.28489999999999</v>
      </c>
      <c r="U683" t="n">
        <v>11959.6456</v>
      </c>
      <c r="V683" t="n">
        <v>-0.054634</v>
      </c>
      <c r="W683" t="n">
        <v>7.940708</v>
      </c>
      <c r="X683" t="inlineStr">
        <is>
          <t>High</t>
        </is>
      </c>
      <c r="Y683" t="inlineStr">
        <is>
          <t>None</t>
        </is>
      </c>
      <c r="Z683" t="inlineStr">
        <is>
          <t>Valid</t>
        </is>
      </c>
      <c r="AA683" t="n">
        <v>2034</v>
      </c>
      <c r="AB683" t="inlineStr">
        <is>
          <t>Supplier Target Pathway</t>
        </is>
      </c>
      <c r="AC683" t="n">
        <v>1838.8543</v>
      </c>
      <c r="AD683" t="n">
        <v>840.3564</v>
      </c>
      <c r="AE683" t="n">
        <v>899.0916</v>
      </c>
      <c r="AF683" t="n">
        <v>899.0916</v>
      </c>
      <c r="AG683" t="n">
        <v>939.7627</v>
      </c>
      <c r="AH683" t="n">
        <v>0.00014112</v>
      </c>
      <c r="AI683" t="n">
        <v>0.511059</v>
      </c>
      <c r="AJ683" t="n">
        <v>58.7352</v>
      </c>
      <c r="AK683" t="n">
        <v>58.7352</v>
      </c>
      <c r="AL683" t="n">
        <v>-2390.0781</v>
      </c>
      <c r="AM683" t="n">
        <v>11633.9985</v>
      </c>
      <c r="AN683" t="n">
        <v>0.99</v>
      </c>
      <c r="AO683" t="inlineStr">
        <is>
          <t>Medium</t>
        </is>
      </c>
      <c r="AP683" t="inlineStr">
        <is>
          <t>On Track to Glide Path</t>
        </is>
      </c>
    </row>
    <row r="684">
      <c r="A684" t="inlineStr">
        <is>
          <t>SUP-0043</t>
        </is>
      </c>
      <c r="B684" t="inlineStr">
        <is>
          <t>Logistics Supplier 043</t>
        </is>
      </c>
      <c r="C684" t="inlineStr">
        <is>
          <t>Logistics</t>
        </is>
      </c>
      <c r="D684" t="n">
        <v>2024</v>
      </c>
      <c r="E684" t="n">
        <v>2018</v>
      </c>
      <c r="F684" t="n">
        <v>2035</v>
      </c>
      <c r="G684" t="n">
        <v>1506.1183</v>
      </c>
      <c r="H684" t="n">
        <v>359.6559</v>
      </c>
      <c r="I684" t="n">
        <v>97.64239999999999</v>
      </c>
      <c r="J684" t="n">
        <v>882.8898</v>
      </c>
      <c r="K684" t="n">
        <v>6370904.51</v>
      </c>
      <c r="L684" t="n">
        <v>28178717.84</v>
      </c>
      <c r="M684" t="n">
        <v>1506.1183</v>
      </c>
      <c r="N684" t="inlineStr">
        <is>
          <t>Provided Total Emissions</t>
        </is>
      </c>
      <c r="O684" t="b">
        <v>1</v>
      </c>
      <c r="P684" t="n">
        <v>-0.038349</v>
      </c>
      <c r="Q684" t="n">
        <v>-0.01008</v>
      </c>
      <c r="R684" t="n">
        <v>1423.8334</v>
      </c>
      <c r="S684" t="n">
        <v>13465.7639</v>
      </c>
      <c r="T684" t="n">
        <v>-82.28489999999999</v>
      </c>
      <c r="U684" t="n">
        <v>11959.6456</v>
      </c>
      <c r="V684" t="n">
        <v>-0.054634</v>
      </c>
      <c r="W684" t="n">
        <v>7.940708</v>
      </c>
      <c r="X684" t="inlineStr">
        <is>
          <t>High</t>
        </is>
      </c>
      <c r="Y684" t="inlineStr">
        <is>
          <t>None</t>
        </is>
      </c>
      <c r="Z684" t="inlineStr">
        <is>
          <t>Valid</t>
        </is>
      </c>
      <c r="AA684" t="n">
        <v>2035</v>
      </c>
      <c r="AB684" t="inlineStr">
        <is>
          <t>Supplier Target Pathway</t>
        </is>
      </c>
      <c r="AC684" t="n">
        <v>1838.8543</v>
      </c>
      <c r="AD684" t="n">
        <v>840.3564</v>
      </c>
      <c r="AE684" t="n">
        <v>840.3564</v>
      </c>
      <c r="AF684" t="n">
        <v>840.3564</v>
      </c>
      <c r="AG684" t="n">
        <v>998.4979</v>
      </c>
      <c r="AH684" t="n">
        <v>0.00013191</v>
      </c>
      <c r="AI684" t="n">
        <v>0.543</v>
      </c>
      <c r="AJ684" t="n">
        <v>0</v>
      </c>
      <c r="AK684" t="n">
        <v>58.7352</v>
      </c>
      <c r="AL684" t="n">
        <v>-3230.4345</v>
      </c>
      <c r="AM684" t="n">
        <v>12474.3549</v>
      </c>
      <c r="AN684" t="n">
        <v>0.99</v>
      </c>
      <c r="AO684" t="inlineStr">
        <is>
          <t>Low</t>
        </is>
      </c>
      <c r="AP684" t="inlineStr">
        <is>
          <t>On Track</t>
        </is>
      </c>
    </row>
    <row r="685">
      <c r="A685" t="inlineStr">
        <is>
          <t>SUP-0043</t>
        </is>
      </c>
      <c r="B685" t="inlineStr">
        <is>
          <t>Logistics Supplier 043</t>
        </is>
      </c>
      <c r="C685" t="inlineStr">
        <is>
          <t>Logistics</t>
        </is>
      </c>
      <c r="D685" t="n">
        <v>2024</v>
      </c>
      <c r="E685" t="n">
        <v>2018</v>
      </c>
      <c r="F685" t="n">
        <v>2035</v>
      </c>
      <c r="G685" t="n">
        <v>1506.1183</v>
      </c>
      <c r="H685" t="n">
        <v>359.6559</v>
      </c>
      <c r="I685" t="n">
        <v>97.64239999999999</v>
      </c>
      <c r="J685" t="n">
        <v>882.8898</v>
      </c>
      <c r="K685" t="n">
        <v>6370904.51</v>
      </c>
      <c r="L685" t="n">
        <v>28178717.84</v>
      </c>
      <c r="M685" t="n">
        <v>1506.1183</v>
      </c>
      <c r="N685" t="inlineStr">
        <is>
          <t>Provided Total Emissions</t>
        </is>
      </c>
      <c r="O685" t="b">
        <v>1</v>
      </c>
      <c r="P685" t="n">
        <v>-0.038349</v>
      </c>
      <c r="Q685" t="n">
        <v>-0.01008</v>
      </c>
      <c r="R685" t="n">
        <v>1423.8334</v>
      </c>
      <c r="S685" t="n">
        <v>13465.7639</v>
      </c>
      <c r="T685" t="n">
        <v>-82.28489999999999</v>
      </c>
      <c r="U685" t="n">
        <v>11959.6456</v>
      </c>
      <c r="V685" t="n">
        <v>-0.054634</v>
      </c>
      <c r="W685" t="n">
        <v>7.940708</v>
      </c>
      <c r="X685" t="inlineStr">
        <is>
          <t>High</t>
        </is>
      </c>
      <c r="Y685" t="inlineStr">
        <is>
          <t>None</t>
        </is>
      </c>
      <c r="Z685" t="inlineStr">
        <is>
          <t>Valid</t>
        </is>
      </c>
      <c r="AA685" t="n">
        <v>2036</v>
      </c>
      <c r="AB685" t="inlineStr">
        <is>
          <t>Supplier Target Pathway</t>
        </is>
      </c>
      <c r="AC685" t="n">
        <v>1838.8543</v>
      </c>
      <c r="AD685" t="n">
        <v>840.3564</v>
      </c>
      <c r="AE685" t="n">
        <v>840.3564</v>
      </c>
      <c r="AF685" t="n">
        <v>840.3564</v>
      </c>
      <c r="AG685" t="n">
        <v>998.4979</v>
      </c>
      <c r="AH685" t="n">
        <v>0.00013191</v>
      </c>
      <c r="AI685" t="n">
        <v>0.543</v>
      </c>
      <c r="AJ685" t="n">
        <v>0</v>
      </c>
      <c r="AK685" t="n">
        <v>58.7352</v>
      </c>
      <c r="AL685" t="n">
        <v>-4070.7909</v>
      </c>
      <c r="AM685" t="n">
        <v>13314.7113</v>
      </c>
      <c r="AN685" t="n">
        <v>0.99</v>
      </c>
      <c r="AO685" t="inlineStr">
        <is>
          <t>Low</t>
        </is>
      </c>
      <c r="AP685" t="inlineStr">
        <is>
          <t>On Track</t>
        </is>
      </c>
    </row>
    <row r="686">
      <c r="A686" t="inlineStr">
        <is>
          <t>SUP-0043</t>
        </is>
      </c>
      <c r="B686" t="inlineStr">
        <is>
          <t>Logistics Supplier 043</t>
        </is>
      </c>
      <c r="C686" t="inlineStr">
        <is>
          <t>Logistics</t>
        </is>
      </c>
      <c r="D686" t="n">
        <v>2024</v>
      </c>
      <c r="E686" t="n">
        <v>2018</v>
      </c>
      <c r="F686" t="n">
        <v>2035</v>
      </c>
      <c r="G686" t="n">
        <v>1506.1183</v>
      </c>
      <c r="H686" t="n">
        <v>359.6559</v>
      </c>
      <c r="I686" t="n">
        <v>97.64239999999999</v>
      </c>
      <c r="J686" t="n">
        <v>882.8898</v>
      </c>
      <c r="K686" t="n">
        <v>6370904.51</v>
      </c>
      <c r="L686" t="n">
        <v>28178717.84</v>
      </c>
      <c r="M686" t="n">
        <v>1506.1183</v>
      </c>
      <c r="N686" t="inlineStr">
        <is>
          <t>Provided Total Emissions</t>
        </is>
      </c>
      <c r="O686" t="b">
        <v>1</v>
      </c>
      <c r="P686" t="n">
        <v>-0.038349</v>
      </c>
      <c r="Q686" t="n">
        <v>-0.01008</v>
      </c>
      <c r="R686" t="n">
        <v>1423.8334</v>
      </c>
      <c r="S686" t="n">
        <v>13465.7639</v>
      </c>
      <c r="T686" t="n">
        <v>-82.28489999999999</v>
      </c>
      <c r="U686" t="n">
        <v>11959.6456</v>
      </c>
      <c r="V686" t="n">
        <v>-0.054634</v>
      </c>
      <c r="W686" t="n">
        <v>7.940708</v>
      </c>
      <c r="X686" t="inlineStr">
        <is>
          <t>High</t>
        </is>
      </c>
      <c r="Y686" t="inlineStr">
        <is>
          <t>None</t>
        </is>
      </c>
      <c r="Z686" t="inlineStr">
        <is>
          <t>Valid</t>
        </is>
      </c>
      <c r="AA686" t="n">
        <v>2037</v>
      </c>
      <c r="AB686" t="inlineStr">
        <is>
          <t>Supplier Target Pathway</t>
        </is>
      </c>
      <c r="AC686" t="n">
        <v>1838.8543</v>
      </c>
      <c r="AD686" t="n">
        <v>840.3564</v>
      </c>
      <c r="AE686" t="n">
        <v>840.3564</v>
      </c>
      <c r="AF686" t="n">
        <v>840.3564</v>
      </c>
      <c r="AG686" t="n">
        <v>998.4979</v>
      </c>
      <c r="AH686" t="n">
        <v>0.00013191</v>
      </c>
      <c r="AI686" t="n">
        <v>0.543</v>
      </c>
      <c r="AJ686" t="n">
        <v>0</v>
      </c>
      <c r="AK686" t="n">
        <v>58.7352</v>
      </c>
      <c r="AL686" t="n">
        <v>-4911.1473</v>
      </c>
      <c r="AM686" t="n">
        <v>14155.0677</v>
      </c>
      <c r="AN686" t="n">
        <v>0.99</v>
      </c>
      <c r="AO686" t="inlineStr">
        <is>
          <t>Low</t>
        </is>
      </c>
      <c r="AP686" t="inlineStr">
        <is>
          <t>On Track</t>
        </is>
      </c>
    </row>
    <row r="687">
      <c r="A687" t="inlineStr">
        <is>
          <t>SUP-0043</t>
        </is>
      </c>
      <c r="B687" t="inlineStr">
        <is>
          <t>Logistics Supplier 043</t>
        </is>
      </c>
      <c r="C687" t="inlineStr">
        <is>
          <t>Logistics</t>
        </is>
      </c>
      <c r="D687" t="n">
        <v>2024</v>
      </c>
      <c r="E687" t="n">
        <v>2018</v>
      </c>
      <c r="F687" t="n">
        <v>2035</v>
      </c>
      <c r="G687" t="n">
        <v>1506.1183</v>
      </c>
      <c r="H687" t="n">
        <v>359.6559</v>
      </c>
      <c r="I687" t="n">
        <v>97.64239999999999</v>
      </c>
      <c r="J687" t="n">
        <v>882.8898</v>
      </c>
      <c r="K687" t="n">
        <v>6370904.51</v>
      </c>
      <c r="L687" t="n">
        <v>28178717.84</v>
      </c>
      <c r="M687" t="n">
        <v>1506.1183</v>
      </c>
      <c r="N687" t="inlineStr">
        <is>
          <t>Provided Total Emissions</t>
        </is>
      </c>
      <c r="O687" t="b">
        <v>1</v>
      </c>
      <c r="P687" t="n">
        <v>-0.038349</v>
      </c>
      <c r="Q687" t="n">
        <v>-0.01008</v>
      </c>
      <c r="R687" t="n">
        <v>1423.8334</v>
      </c>
      <c r="S687" t="n">
        <v>13465.7639</v>
      </c>
      <c r="T687" t="n">
        <v>-82.28489999999999</v>
      </c>
      <c r="U687" t="n">
        <v>11959.6456</v>
      </c>
      <c r="V687" t="n">
        <v>-0.054634</v>
      </c>
      <c r="W687" t="n">
        <v>7.940708</v>
      </c>
      <c r="X687" t="inlineStr">
        <is>
          <t>High</t>
        </is>
      </c>
      <c r="Y687" t="inlineStr">
        <is>
          <t>None</t>
        </is>
      </c>
      <c r="Z687" t="inlineStr">
        <is>
          <t>Valid</t>
        </is>
      </c>
      <c r="AA687" t="n">
        <v>2038</v>
      </c>
      <c r="AB687" t="inlineStr">
        <is>
          <t>Supplier Target Pathway</t>
        </is>
      </c>
      <c r="AC687" t="n">
        <v>1838.8543</v>
      </c>
      <c r="AD687" t="n">
        <v>840.3564</v>
      </c>
      <c r="AE687" t="n">
        <v>840.3564</v>
      </c>
      <c r="AF687" t="n">
        <v>840.3564</v>
      </c>
      <c r="AG687" t="n">
        <v>998.4979</v>
      </c>
      <c r="AH687" t="n">
        <v>0.00013191</v>
      </c>
      <c r="AI687" t="n">
        <v>0.543</v>
      </c>
      <c r="AJ687" t="n">
        <v>0</v>
      </c>
      <c r="AK687" t="n">
        <v>58.7352</v>
      </c>
      <c r="AL687" t="n">
        <v>-5751.5037</v>
      </c>
      <c r="AM687" t="n">
        <v>14995.4241</v>
      </c>
      <c r="AN687" t="n">
        <v>0.99</v>
      </c>
      <c r="AO687" t="inlineStr">
        <is>
          <t>Low</t>
        </is>
      </c>
      <c r="AP687" t="inlineStr">
        <is>
          <t>On Track</t>
        </is>
      </c>
    </row>
    <row r="688">
      <c r="A688" t="inlineStr">
        <is>
          <t>SUP-0043</t>
        </is>
      </c>
      <c r="B688" t="inlineStr">
        <is>
          <t>Logistics Supplier 043</t>
        </is>
      </c>
      <c r="C688" t="inlineStr">
        <is>
          <t>Logistics</t>
        </is>
      </c>
      <c r="D688" t="n">
        <v>2024</v>
      </c>
      <c r="E688" t="n">
        <v>2018</v>
      </c>
      <c r="F688" t="n">
        <v>2035</v>
      </c>
      <c r="G688" t="n">
        <v>1506.1183</v>
      </c>
      <c r="H688" t="n">
        <v>359.6559</v>
      </c>
      <c r="I688" t="n">
        <v>97.64239999999999</v>
      </c>
      <c r="J688" t="n">
        <v>882.8898</v>
      </c>
      <c r="K688" t="n">
        <v>6370904.51</v>
      </c>
      <c r="L688" t="n">
        <v>28178717.84</v>
      </c>
      <c r="M688" t="n">
        <v>1506.1183</v>
      </c>
      <c r="N688" t="inlineStr">
        <is>
          <t>Provided Total Emissions</t>
        </is>
      </c>
      <c r="O688" t="b">
        <v>1</v>
      </c>
      <c r="P688" t="n">
        <v>-0.038349</v>
      </c>
      <c r="Q688" t="n">
        <v>-0.01008</v>
      </c>
      <c r="R688" t="n">
        <v>1423.8334</v>
      </c>
      <c r="S688" t="n">
        <v>13465.7639</v>
      </c>
      <c r="T688" t="n">
        <v>-82.28489999999999</v>
      </c>
      <c r="U688" t="n">
        <v>11959.6456</v>
      </c>
      <c r="V688" t="n">
        <v>-0.054634</v>
      </c>
      <c r="W688" t="n">
        <v>7.940708</v>
      </c>
      <c r="X688" t="inlineStr">
        <is>
          <t>High</t>
        </is>
      </c>
      <c r="Y688" t="inlineStr">
        <is>
          <t>None</t>
        </is>
      </c>
      <c r="Z688" t="inlineStr">
        <is>
          <t>Valid</t>
        </is>
      </c>
      <c r="AA688" t="n">
        <v>2039</v>
      </c>
      <c r="AB688" t="inlineStr">
        <is>
          <t>Supplier Target Pathway</t>
        </is>
      </c>
      <c r="AC688" t="n">
        <v>1838.8543</v>
      </c>
      <c r="AD688" t="n">
        <v>840.3564</v>
      </c>
      <c r="AE688" t="n">
        <v>840.3564</v>
      </c>
      <c r="AF688" t="n">
        <v>840.3564</v>
      </c>
      <c r="AG688" t="n">
        <v>998.4979</v>
      </c>
      <c r="AH688" t="n">
        <v>0.00013191</v>
      </c>
      <c r="AI688" t="n">
        <v>0.543</v>
      </c>
      <c r="AJ688" t="n">
        <v>0</v>
      </c>
      <c r="AK688" t="n">
        <v>58.7352</v>
      </c>
      <c r="AL688" t="n">
        <v>-6591.8601</v>
      </c>
      <c r="AM688" t="n">
        <v>15835.7805</v>
      </c>
      <c r="AN688" t="n">
        <v>0.99</v>
      </c>
      <c r="AO688" t="inlineStr">
        <is>
          <t>Low</t>
        </is>
      </c>
      <c r="AP688" t="inlineStr">
        <is>
          <t>On Track</t>
        </is>
      </c>
    </row>
    <row r="689">
      <c r="A689" t="inlineStr">
        <is>
          <t>SUP-0043</t>
        </is>
      </c>
      <c r="B689" t="inlineStr">
        <is>
          <t>Logistics Supplier 043</t>
        </is>
      </c>
      <c r="C689" t="inlineStr">
        <is>
          <t>Logistics</t>
        </is>
      </c>
      <c r="D689" t="n">
        <v>2024</v>
      </c>
      <c r="E689" t="n">
        <v>2018</v>
      </c>
      <c r="F689" t="n">
        <v>2035</v>
      </c>
      <c r="G689" t="n">
        <v>1506.1183</v>
      </c>
      <c r="H689" t="n">
        <v>359.6559</v>
      </c>
      <c r="I689" t="n">
        <v>97.64239999999999</v>
      </c>
      <c r="J689" t="n">
        <v>882.8898</v>
      </c>
      <c r="K689" t="n">
        <v>6370904.51</v>
      </c>
      <c r="L689" t="n">
        <v>28178717.84</v>
      </c>
      <c r="M689" t="n">
        <v>1506.1183</v>
      </c>
      <c r="N689" t="inlineStr">
        <is>
          <t>Provided Total Emissions</t>
        </is>
      </c>
      <c r="O689" t="b">
        <v>1</v>
      </c>
      <c r="P689" t="n">
        <v>-0.038349</v>
      </c>
      <c r="Q689" t="n">
        <v>-0.01008</v>
      </c>
      <c r="R689" t="n">
        <v>1423.8334</v>
      </c>
      <c r="S689" t="n">
        <v>13465.7639</v>
      </c>
      <c r="T689" t="n">
        <v>-82.28489999999999</v>
      </c>
      <c r="U689" t="n">
        <v>11959.6456</v>
      </c>
      <c r="V689" t="n">
        <v>-0.054634</v>
      </c>
      <c r="W689" t="n">
        <v>7.940708</v>
      </c>
      <c r="X689" t="inlineStr">
        <is>
          <t>High</t>
        </is>
      </c>
      <c r="Y689" t="inlineStr">
        <is>
          <t>None</t>
        </is>
      </c>
      <c r="Z689" t="inlineStr">
        <is>
          <t>Valid</t>
        </is>
      </c>
      <c r="AA689" t="n">
        <v>2040</v>
      </c>
      <c r="AB689" t="inlineStr">
        <is>
          <t>Supplier Target Pathway</t>
        </is>
      </c>
      <c r="AC689" t="n">
        <v>1838.8543</v>
      </c>
      <c r="AD689" t="n">
        <v>840.3564</v>
      </c>
      <c r="AE689" t="n">
        <v>840.3564</v>
      </c>
      <c r="AF689" t="n">
        <v>840.3564</v>
      </c>
      <c r="AG689" t="n">
        <v>998.4979</v>
      </c>
      <c r="AH689" t="n">
        <v>0.00013191</v>
      </c>
      <c r="AI689" t="n">
        <v>0.543</v>
      </c>
      <c r="AJ689" t="n">
        <v>0</v>
      </c>
      <c r="AK689" t="n">
        <v>58.7352</v>
      </c>
      <c r="AL689" t="n">
        <v>-7432.2165</v>
      </c>
      <c r="AM689" t="n">
        <v>16676.1369</v>
      </c>
      <c r="AN689" t="n">
        <v>0.99</v>
      </c>
      <c r="AO689" t="inlineStr">
        <is>
          <t>Low</t>
        </is>
      </c>
      <c r="AP689" t="inlineStr">
        <is>
          <t>On Track</t>
        </is>
      </c>
    </row>
    <row r="690">
      <c r="A690" t="inlineStr">
        <is>
          <t>SUP-0044</t>
        </is>
      </c>
      <c r="B690" t="inlineStr">
        <is>
          <t>Chemicals Supplier 044</t>
        </is>
      </c>
      <c r="C690" t="inlineStr">
        <is>
          <t>Chemicals</t>
        </is>
      </c>
      <c r="D690" t="n">
        <v>2024</v>
      </c>
      <c r="E690" t="n">
        <v>2015</v>
      </c>
      <c r="F690" t="n">
        <v>2035</v>
      </c>
      <c r="G690" t="n">
        <v>31646.3834</v>
      </c>
      <c r="H690" t="n">
        <v>4531.7686</v>
      </c>
      <c r="I690" t="n">
        <v>3731.7091</v>
      </c>
      <c r="J690" t="n">
        <v>22168.0061</v>
      </c>
      <c r="K690" t="n">
        <v>27343951.9</v>
      </c>
      <c r="L690" t="n">
        <v>111608688.08</v>
      </c>
      <c r="M690" t="n">
        <v>31646.3834</v>
      </c>
      <c r="N690" t="inlineStr">
        <is>
          <t>Provided Total Emissions</t>
        </is>
      </c>
      <c r="O690" t="b">
        <v>1</v>
      </c>
      <c r="P690" t="n">
        <v>0.040184</v>
      </c>
      <c r="Q690" t="n">
        <v>0.01114</v>
      </c>
      <c r="R690" t="n">
        <v>27384.6944</v>
      </c>
      <c r="S690" t="n">
        <v>52594.4782</v>
      </c>
      <c r="T690" t="n">
        <v>-4261.689</v>
      </c>
      <c r="U690" t="n">
        <v>20948.0948</v>
      </c>
      <c r="V690" t="n">
        <v>-0.134666</v>
      </c>
      <c r="W690" t="n">
        <v>0.6619429999999999</v>
      </c>
      <c r="X690" t="inlineStr">
        <is>
          <t>High</t>
        </is>
      </c>
      <c r="Y690" t="inlineStr">
        <is>
          <t>None</t>
        </is>
      </c>
      <c r="Z690" t="inlineStr">
        <is>
          <t>Valid</t>
        </is>
      </c>
      <c r="AA690" t="n">
        <v>2025</v>
      </c>
      <c r="AB690" t="inlineStr">
        <is>
          <t>Industry Haircut Pathway</t>
        </is>
      </c>
      <c r="AC690" t="n">
        <v>22198.8814</v>
      </c>
      <c r="AD690" t="n">
        <v>10591.0863</v>
      </c>
      <c r="AE690" t="n">
        <v>16394.9839</v>
      </c>
      <c r="AF690" t="n">
        <v>16394.9839</v>
      </c>
      <c r="AG690" t="n">
        <v>5803.8975</v>
      </c>
      <c r="AH690" t="n">
        <v>0.0005995799999999999</v>
      </c>
      <c r="AI690" t="n">
        <v>0.26145</v>
      </c>
      <c r="AJ690" t="n">
        <v>5803.8975</v>
      </c>
      <c r="AK690" t="n">
        <v>580.3898</v>
      </c>
      <c r="AL690" t="n">
        <v>100106.9654</v>
      </c>
      <c r="AM690" t="n">
        <v>16394.9839</v>
      </c>
      <c r="AN690" t="n">
        <v>0.95</v>
      </c>
      <c r="AO690" t="inlineStr">
        <is>
          <t>Critical</t>
        </is>
      </c>
      <c r="AP690" t="inlineStr">
        <is>
          <t>On Track to Glide Path</t>
        </is>
      </c>
    </row>
    <row r="691">
      <c r="A691" t="inlineStr">
        <is>
          <t>SUP-0044</t>
        </is>
      </c>
      <c r="B691" t="inlineStr">
        <is>
          <t>Chemicals Supplier 044</t>
        </is>
      </c>
      <c r="C691" t="inlineStr">
        <is>
          <t>Chemicals</t>
        </is>
      </c>
      <c r="D691" t="n">
        <v>2024</v>
      </c>
      <c r="E691" t="n">
        <v>2015</v>
      </c>
      <c r="F691" t="n">
        <v>2035</v>
      </c>
      <c r="G691" t="n">
        <v>31646.3834</v>
      </c>
      <c r="H691" t="n">
        <v>4531.7686</v>
      </c>
      <c r="I691" t="n">
        <v>3731.7091</v>
      </c>
      <c r="J691" t="n">
        <v>22168.0061</v>
      </c>
      <c r="K691" t="n">
        <v>27343951.9</v>
      </c>
      <c r="L691" t="n">
        <v>111608688.08</v>
      </c>
      <c r="M691" t="n">
        <v>31646.3834</v>
      </c>
      <c r="N691" t="inlineStr">
        <is>
          <t>Provided Total Emissions</t>
        </is>
      </c>
      <c r="O691" t="b">
        <v>1</v>
      </c>
      <c r="P691" t="n">
        <v>0.040184</v>
      </c>
      <c r="Q691" t="n">
        <v>0.01114</v>
      </c>
      <c r="R691" t="n">
        <v>27384.6944</v>
      </c>
      <c r="S691" t="n">
        <v>52594.4782</v>
      </c>
      <c r="T691" t="n">
        <v>-4261.689</v>
      </c>
      <c r="U691" t="n">
        <v>20948.0948</v>
      </c>
      <c r="V691" t="n">
        <v>-0.134666</v>
      </c>
      <c r="W691" t="n">
        <v>0.6619429999999999</v>
      </c>
      <c r="X691" t="inlineStr">
        <is>
          <t>High</t>
        </is>
      </c>
      <c r="Y691" t="inlineStr">
        <is>
          <t>None</t>
        </is>
      </c>
      <c r="Z691" t="inlineStr">
        <is>
          <t>Valid</t>
        </is>
      </c>
      <c r="AA691" t="n">
        <v>2026</v>
      </c>
      <c r="AB691" t="inlineStr">
        <is>
          <t>Industry Haircut Pathway</t>
        </is>
      </c>
      <c r="AC691" t="n">
        <v>22198.8814</v>
      </c>
      <c r="AD691" t="n">
        <v>10591.0863</v>
      </c>
      <c r="AE691" t="n">
        <v>15814.5941</v>
      </c>
      <c r="AF691" t="n">
        <v>15814.5941</v>
      </c>
      <c r="AG691" t="n">
        <v>6384.2873</v>
      </c>
      <c r="AH691" t="n">
        <v>0.00057836</v>
      </c>
      <c r="AI691" t="n">
        <v>0.287595</v>
      </c>
      <c r="AJ691" t="n">
        <v>5223.5078</v>
      </c>
      <c r="AK691" t="n">
        <v>580.3898</v>
      </c>
      <c r="AL691" t="n">
        <v>84292.3713</v>
      </c>
      <c r="AM691" t="n">
        <v>32209.578</v>
      </c>
      <c r="AN691" t="n">
        <v>0.95</v>
      </c>
      <c r="AO691" t="inlineStr">
        <is>
          <t>Critical</t>
        </is>
      </c>
      <c r="AP691" t="inlineStr">
        <is>
          <t>On Track to Glide Path</t>
        </is>
      </c>
    </row>
    <row r="692">
      <c r="A692" t="inlineStr">
        <is>
          <t>SUP-0044</t>
        </is>
      </c>
      <c r="B692" t="inlineStr">
        <is>
          <t>Chemicals Supplier 044</t>
        </is>
      </c>
      <c r="C692" t="inlineStr">
        <is>
          <t>Chemicals</t>
        </is>
      </c>
      <c r="D692" t="n">
        <v>2024</v>
      </c>
      <c r="E692" t="n">
        <v>2015</v>
      </c>
      <c r="F692" t="n">
        <v>2035</v>
      </c>
      <c r="G692" t="n">
        <v>31646.3834</v>
      </c>
      <c r="H692" t="n">
        <v>4531.7686</v>
      </c>
      <c r="I692" t="n">
        <v>3731.7091</v>
      </c>
      <c r="J692" t="n">
        <v>22168.0061</v>
      </c>
      <c r="K692" t="n">
        <v>27343951.9</v>
      </c>
      <c r="L692" t="n">
        <v>111608688.08</v>
      </c>
      <c r="M692" t="n">
        <v>31646.3834</v>
      </c>
      <c r="N692" t="inlineStr">
        <is>
          <t>Provided Total Emissions</t>
        </is>
      </c>
      <c r="O692" t="b">
        <v>1</v>
      </c>
      <c r="P692" t="n">
        <v>0.040184</v>
      </c>
      <c r="Q692" t="n">
        <v>0.01114</v>
      </c>
      <c r="R692" t="n">
        <v>27384.6944</v>
      </c>
      <c r="S692" t="n">
        <v>52594.4782</v>
      </c>
      <c r="T692" t="n">
        <v>-4261.689</v>
      </c>
      <c r="U692" t="n">
        <v>20948.0948</v>
      </c>
      <c r="V692" t="n">
        <v>-0.134666</v>
      </c>
      <c r="W692" t="n">
        <v>0.6619429999999999</v>
      </c>
      <c r="X692" t="inlineStr">
        <is>
          <t>High</t>
        </is>
      </c>
      <c r="Y692" t="inlineStr">
        <is>
          <t>None</t>
        </is>
      </c>
      <c r="Z692" t="inlineStr">
        <is>
          <t>Valid</t>
        </is>
      </c>
      <c r="AA692" t="n">
        <v>2027</v>
      </c>
      <c r="AB692" t="inlineStr">
        <is>
          <t>Industry Haircut Pathway</t>
        </is>
      </c>
      <c r="AC692" t="n">
        <v>22198.8814</v>
      </c>
      <c r="AD692" t="n">
        <v>10591.0863</v>
      </c>
      <c r="AE692" t="n">
        <v>15234.2043</v>
      </c>
      <c r="AF692" t="n">
        <v>15234.2043</v>
      </c>
      <c r="AG692" t="n">
        <v>6964.6771</v>
      </c>
      <c r="AH692" t="n">
        <v>0.00055713</v>
      </c>
      <c r="AI692" t="n">
        <v>0.31374</v>
      </c>
      <c r="AJ692" t="n">
        <v>4643.118</v>
      </c>
      <c r="AK692" t="n">
        <v>580.3898</v>
      </c>
      <c r="AL692" t="n">
        <v>69058.167</v>
      </c>
      <c r="AM692" t="n">
        <v>47443.7823</v>
      </c>
      <c r="AN692" t="n">
        <v>0.95</v>
      </c>
      <c r="AO692" t="inlineStr">
        <is>
          <t>Critical</t>
        </is>
      </c>
      <c r="AP692" t="inlineStr">
        <is>
          <t>On Track to Glide Path</t>
        </is>
      </c>
    </row>
    <row r="693">
      <c r="A693" t="inlineStr">
        <is>
          <t>SUP-0044</t>
        </is>
      </c>
      <c r="B693" t="inlineStr">
        <is>
          <t>Chemicals Supplier 044</t>
        </is>
      </c>
      <c r="C693" t="inlineStr">
        <is>
          <t>Chemicals</t>
        </is>
      </c>
      <c r="D693" t="n">
        <v>2024</v>
      </c>
      <c r="E693" t="n">
        <v>2015</v>
      </c>
      <c r="F693" t="n">
        <v>2035</v>
      </c>
      <c r="G693" t="n">
        <v>31646.3834</v>
      </c>
      <c r="H693" t="n">
        <v>4531.7686</v>
      </c>
      <c r="I693" t="n">
        <v>3731.7091</v>
      </c>
      <c r="J693" t="n">
        <v>22168.0061</v>
      </c>
      <c r="K693" t="n">
        <v>27343951.9</v>
      </c>
      <c r="L693" t="n">
        <v>111608688.08</v>
      </c>
      <c r="M693" t="n">
        <v>31646.3834</v>
      </c>
      <c r="N693" t="inlineStr">
        <is>
          <t>Provided Total Emissions</t>
        </is>
      </c>
      <c r="O693" t="b">
        <v>1</v>
      </c>
      <c r="P693" t="n">
        <v>0.040184</v>
      </c>
      <c r="Q693" t="n">
        <v>0.01114</v>
      </c>
      <c r="R693" t="n">
        <v>27384.6944</v>
      </c>
      <c r="S693" t="n">
        <v>52594.4782</v>
      </c>
      <c r="T693" t="n">
        <v>-4261.689</v>
      </c>
      <c r="U693" t="n">
        <v>20948.0948</v>
      </c>
      <c r="V693" t="n">
        <v>-0.134666</v>
      </c>
      <c r="W693" t="n">
        <v>0.6619429999999999</v>
      </c>
      <c r="X693" t="inlineStr">
        <is>
          <t>High</t>
        </is>
      </c>
      <c r="Y693" t="inlineStr">
        <is>
          <t>None</t>
        </is>
      </c>
      <c r="Z693" t="inlineStr">
        <is>
          <t>Valid</t>
        </is>
      </c>
      <c r="AA693" t="n">
        <v>2028</v>
      </c>
      <c r="AB693" t="inlineStr">
        <is>
          <t>Industry Haircut Pathway</t>
        </is>
      </c>
      <c r="AC693" t="n">
        <v>22198.8814</v>
      </c>
      <c r="AD693" t="n">
        <v>10591.0863</v>
      </c>
      <c r="AE693" t="n">
        <v>14653.8146</v>
      </c>
      <c r="AF693" t="n">
        <v>14653.8146</v>
      </c>
      <c r="AG693" t="n">
        <v>7545.0668</v>
      </c>
      <c r="AH693" t="n">
        <v>0.00053591</v>
      </c>
      <c r="AI693" t="n">
        <v>0.339885</v>
      </c>
      <c r="AJ693" t="n">
        <v>4062.7283</v>
      </c>
      <c r="AK693" t="n">
        <v>580.3898</v>
      </c>
      <c r="AL693" t="n">
        <v>54404.3524</v>
      </c>
      <c r="AM693" t="n">
        <v>62097.5969</v>
      </c>
      <c r="AN693" t="n">
        <v>0.95</v>
      </c>
      <c r="AO693" t="inlineStr">
        <is>
          <t>Critical</t>
        </is>
      </c>
      <c r="AP693" t="inlineStr">
        <is>
          <t>On Track to Glide Path</t>
        </is>
      </c>
    </row>
    <row r="694">
      <c r="A694" t="inlineStr">
        <is>
          <t>SUP-0044</t>
        </is>
      </c>
      <c r="B694" t="inlineStr">
        <is>
          <t>Chemicals Supplier 044</t>
        </is>
      </c>
      <c r="C694" t="inlineStr">
        <is>
          <t>Chemicals</t>
        </is>
      </c>
      <c r="D694" t="n">
        <v>2024</v>
      </c>
      <c r="E694" t="n">
        <v>2015</v>
      </c>
      <c r="F694" t="n">
        <v>2035</v>
      </c>
      <c r="G694" t="n">
        <v>31646.3834</v>
      </c>
      <c r="H694" t="n">
        <v>4531.7686</v>
      </c>
      <c r="I694" t="n">
        <v>3731.7091</v>
      </c>
      <c r="J694" t="n">
        <v>22168.0061</v>
      </c>
      <c r="K694" t="n">
        <v>27343951.9</v>
      </c>
      <c r="L694" t="n">
        <v>111608688.08</v>
      </c>
      <c r="M694" t="n">
        <v>31646.3834</v>
      </c>
      <c r="N694" t="inlineStr">
        <is>
          <t>Provided Total Emissions</t>
        </is>
      </c>
      <c r="O694" t="b">
        <v>1</v>
      </c>
      <c r="P694" t="n">
        <v>0.040184</v>
      </c>
      <c r="Q694" t="n">
        <v>0.01114</v>
      </c>
      <c r="R694" t="n">
        <v>27384.6944</v>
      </c>
      <c r="S694" t="n">
        <v>52594.4782</v>
      </c>
      <c r="T694" t="n">
        <v>-4261.689</v>
      </c>
      <c r="U694" t="n">
        <v>20948.0948</v>
      </c>
      <c r="V694" t="n">
        <v>-0.134666</v>
      </c>
      <c r="W694" t="n">
        <v>0.6619429999999999</v>
      </c>
      <c r="X694" t="inlineStr">
        <is>
          <t>High</t>
        </is>
      </c>
      <c r="Y694" t="inlineStr">
        <is>
          <t>None</t>
        </is>
      </c>
      <c r="Z694" t="inlineStr">
        <is>
          <t>Valid</t>
        </is>
      </c>
      <c r="AA694" t="n">
        <v>2029</v>
      </c>
      <c r="AB694" t="inlineStr">
        <is>
          <t>Industry Haircut Pathway</t>
        </is>
      </c>
      <c r="AC694" t="n">
        <v>22198.8814</v>
      </c>
      <c r="AD694" t="n">
        <v>10591.0863</v>
      </c>
      <c r="AE694" t="n">
        <v>14073.4248</v>
      </c>
      <c r="AF694" t="n">
        <v>14073.4248</v>
      </c>
      <c r="AG694" t="n">
        <v>8125.4566</v>
      </c>
      <c r="AH694" t="n">
        <v>0.00051468</v>
      </c>
      <c r="AI694" t="n">
        <v>0.36603</v>
      </c>
      <c r="AJ694" t="n">
        <v>3482.3385</v>
      </c>
      <c r="AK694" t="n">
        <v>580.3898</v>
      </c>
      <c r="AL694" t="n">
        <v>40330.9276</v>
      </c>
      <c r="AM694" t="n">
        <v>76171.0217</v>
      </c>
      <c r="AN694" t="n">
        <v>0.95</v>
      </c>
      <c r="AO694" t="inlineStr">
        <is>
          <t>High</t>
        </is>
      </c>
      <c r="AP694" t="inlineStr">
        <is>
          <t>On Track to Glide Path</t>
        </is>
      </c>
    </row>
    <row r="695">
      <c r="A695" t="inlineStr">
        <is>
          <t>SUP-0044</t>
        </is>
      </c>
      <c r="B695" t="inlineStr">
        <is>
          <t>Chemicals Supplier 044</t>
        </is>
      </c>
      <c r="C695" t="inlineStr">
        <is>
          <t>Chemicals</t>
        </is>
      </c>
      <c r="D695" t="n">
        <v>2024</v>
      </c>
      <c r="E695" t="n">
        <v>2015</v>
      </c>
      <c r="F695" t="n">
        <v>2035</v>
      </c>
      <c r="G695" t="n">
        <v>31646.3834</v>
      </c>
      <c r="H695" t="n">
        <v>4531.7686</v>
      </c>
      <c r="I695" t="n">
        <v>3731.7091</v>
      </c>
      <c r="J695" t="n">
        <v>22168.0061</v>
      </c>
      <c r="K695" t="n">
        <v>27343951.9</v>
      </c>
      <c r="L695" t="n">
        <v>111608688.08</v>
      </c>
      <c r="M695" t="n">
        <v>31646.3834</v>
      </c>
      <c r="N695" t="inlineStr">
        <is>
          <t>Provided Total Emissions</t>
        </is>
      </c>
      <c r="O695" t="b">
        <v>1</v>
      </c>
      <c r="P695" t="n">
        <v>0.040184</v>
      </c>
      <c r="Q695" t="n">
        <v>0.01114</v>
      </c>
      <c r="R695" t="n">
        <v>27384.6944</v>
      </c>
      <c r="S695" t="n">
        <v>52594.4782</v>
      </c>
      <c r="T695" t="n">
        <v>-4261.689</v>
      </c>
      <c r="U695" t="n">
        <v>20948.0948</v>
      </c>
      <c r="V695" t="n">
        <v>-0.134666</v>
      </c>
      <c r="W695" t="n">
        <v>0.6619429999999999</v>
      </c>
      <c r="X695" t="inlineStr">
        <is>
          <t>High</t>
        </is>
      </c>
      <c r="Y695" t="inlineStr">
        <is>
          <t>None</t>
        </is>
      </c>
      <c r="Z695" t="inlineStr">
        <is>
          <t>Valid</t>
        </is>
      </c>
      <c r="AA695" t="n">
        <v>2030</v>
      </c>
      <c r="AB695" t="inlineStr">
        <is>
          <t>Industry Haircut Pathway</t>
        </is>
      </c>
      <c r="AC695" t="n">
        <v>22198.8814</v>
      </c>
      <c r="AD695" t="n">
        <v>10591.0863</v>
      </c>
      <c r="AE695" t="n">
        <v>13493.0351</v>
      </c>
      <c r="AF695" t="n">
        <v>13493.0351</v>
      </c>
      <c r="AG695" t="n">
        <v>8705.846299999999</v>
      </c>
      <c r="AH695" t="n">
        <v>0.00049346</v>
      </c>
      <c r="AI695" t="n">
        <v>0.392175</v>
      </c>
      <c r="AJ695" t="n">
        <v>2901.9488</v>
      </c>
      <c r="AK695" t="n">
        <v>580.3898</v>
      </c>
      <c r="AL695" t="n">
        <v>26837.8925</v>
      </c>
      <c r="AM695" t="n">
        <v>89664.05680000001</v>
      </c>
      <c r="AN695" t="n">
        <v>0.95</v>
      </c>
      <c r="AO695" t="inlineStr">
        <is>
          <t>High</t>
        </is>
      </c>
      <c r="AP695" t="inlineStr">
        <is>
          <t>On Track to Glide Path</t>
        </is>
      </c>
    </row>
    <row r="696">
      <c r="A696" t="inlineStr">
        <is>
          <t>SUP-0044</t>
        </is>
      </c>
      <c r="B696" t="inlineStr">
        <is>
          <t>Chemicals Supplier 044</t>
        </is>
      </c>
      <c r="C696" t="inlineStr">
        <is>
          <t>Chemicals</t>
        </is>
      </c>
      <c r="D696" t="n">
        <v>2024</v>
      </c>
      <c r="E696" t="n">
        <v>2015</v>
      </c>
      <c r="F696" t="n">
        <v>2035</v>
      </c>
      <c r="G696" t="n">
        <v>31646.3834</v>
      </c>
      <c r="H696" t="n">
        <v>4531.7686</v>
      </c>
      <c r="I696" t="n">
        <v>3731.7091</v>
      </c>
      <c r="J696" t="n">
        <v>22168.0061</v>
      </c>
      <c r="K696" t="n">
        <v>27343951.9</v>
      </c>
      <c r="L696" t="n">
        <v>111608688.08</v>
      </c>
      <c r="M696" t="n">
        <v>31646.3834</v>
      </c>
      <c r="N696" t="inlineStr">
        <is>
          <t>Provided Total Emissions</t>
        </is>
      </c>
      <c r="O696" t="b">
        <v>1</v>
      </c>
      <c r="P696" t="n">
        <v>0.040184</v>
      </c>
      <c r="Q696" t="n">
        <v>0.01114</v>
      </c>
      <c r="R696" t="n">
        <v>27384.6944</v>
      </c>
      <c r="S696" t="n">
        <v>52594.4782</v>
      </c>
      <c r="T696" t="n">
        <v>-4261.689</v>
      </c>
      <c r="U696" t="n">
        <v>20948.0948</v>
      </c>
      <c r="V696" t="n">
        <v>-0.134666</v>
      </c>
      <c r="W696" t="n">
        <v>0.6619429999999999</v>
      </c>
      <c r="X696" t="inlineStr">
        <is>
          <t>High</t>
        </is>
      </c>
      <c r="Y696" t="inlineStr">
        <is>
          <t>None</t>
        </is>
      </c>
      <c r="Z696" t="inlineStr">
        <is>
          <t>Valid</t>
        </is>
      </c>
      <c r="AA696" t="n">
        <v>2031</v>
      </c>
      <c r="AB696" t="inlineStr">
        <is>
          <t>Industry Haircut Pathway</t>
        </is>
      </c>
      <c r="AC696" t="n">
        <v>22198.8814</v>
      </c>
      <c r="AD696" t="n">
        <v>10591.0863</v>
      </c>
      <c r="AE696" t="n">
        <v>12912.6453</v>
      </c>
      <c r="AF696" t="n">
        <v>12912.6453</v>
      </c>
      <c r="AG696" t="n">
        <v>9286.2361</v>
      </c>
      <c r="AH696" t="n">
        <v>0.00047223</v>
      </c>
      <c r="AI696" t="n">
        <v>0.41832</v>
      </c>
      <c r="AJ696" t="n">
        <v>2321.559</v>
      </c>
      <c r="AK696" t="n">
        <v>580.3898</v>
      </c>
      <c r="AL696" t="n">
        <v>13925.2472</v>
      </c>
      <c r="AM696" t="n">
        <v>102576.7021</v>
      </c>
      <c r="AN696" t="n">
        <v>0.95</v>
      </c>
      <c r="AO696" t="inlineStr">
        <is>
          <t>High</t>
        </is>
      </c>
      <c r="AP696" t="inlineStr">
        <is>
          <t>On Track to Glide Path</t>
        </is>
      </c>
    </row>
    <row r="697">
      <c r="A697" t="inlineStr">
        <is>
          <t>SUP-0044</t>
        </is>
      </c>
      <c r="B697" t="inlineStr">
        <is>
          <t>Chemicals Supplier 044</t>
        </is>
      </c>
      <c r="C697" t="inlineStr">
        <is>
          <t>Chemicals</t>
        </is>
      </c>
      <c r="D697" t="n">
        <v>2024</v>
      </c>
      <c r="E697" t="n">
        <v>2015</v>
      </c>
      <c r="F697" t="n">
        <v>2035</v>
      </c>
      <c r="G697" t="n">
        <v>31646.3834</v>
      </c>
      <c r="H697" t="n">
        <v>4531.7686</v>
      </c>
      <c r="I697" t="n">
        <v>3731.7091</v>
      </c>
      <c r="J697" t="n">
        <v>22168.0061</v>
      </c>
      <c r="K697" t="n">
        <v>27343951.9</v>
      </c>
      <c r="L697" t="n">
        <v>111608688.08</v>
      </c>
      <c r="M697" t="n">
        <v>31646.3834</v>
      </c>
      <c r="N697" t="inlineStr">
        <is>
          <t>Provided Total Emissions</t>
        </is>
      </c>
      <c r="O697" t="b">
        <v>1</v>
      </c>
      <c r="P697" t="n">
        <v>0.040184</v>
      </c>
      <c r="Q697" t="n">
        <v>0.01114</v>
      </c>
      <c r="R697" t="n">
        <v>27384.6944</v>
      </c>
      <c r="S697" t="n">
        <v>52594.4782</v>
      </c>
      <c r="T697" t="n">
        <v>-4261.689</v>
      </c>
      <c r="U697" t="n">
        <v>20948.0948</v>
      </c>
      <c r="V697" t="n">
        <v>-0.134666</v>
      </c>
      <c r="W697" t="n">
        <v>0.6619429999999999</v>
      </c>
      <c r="X697" t="inlineStr">
        <is>
          <t>High</t>
        </is>
      </c>
      <c r="Y697" t="inlineStr">
        <is>
          <t>None</t>
        </is>
      </c>
      <c r="Z697" t="inlineStr">
        <is>
          <t>Valid</t>
        </is>
      </c>
      <c r="AA697" t="n">
        <v>2032</v>
      </c>
      <c r="AB697" t="inlineStr">
        <is>
          <t>Industry Haircut Pathway</t>
        </is>
      </c>
      <c r="AC697" t="n">
        <v>22198.8814</v>
      </c>
      <c r="AD697" t="n">
        <v>10591.0863</v>
      </c>
      <c r="AE697" t="n">
        <v>12332.2556</v>
      </c>
      <c r="AF697" t="n">
        <v>12332.2556</v>
      </c>
      <c r="AG697" t="n">
        <v>9866.6258</v>
      </c>
      <c r="AH697" t="n">
        <v>0.000451</v>
      </c>
      <c r="AI697" t="n">
        <v>0.444465</v>
      </c>
      <c r="AJ697" t="n">
        <v>1741.1693</v>
      </c>
      <c r="AK697" t="n">
        <v>580.3898</v>
      </c>
      <c r="AL697" t="n">
        <v>1592.9916</v>
      </c>
      <c r="AM697" t="n">
        <v>114908.9577</v>
      </c>
      <c r="AN697" t="n">
        <v>0.95</v>
      </c>
      <c r="AO697" t="inlineStr">
        <is>
          <t>High</t>
        </is>
      </c>
      <c r="AP697" t="inlineStr">
        <is>
          <t>On Track to Glide Path</t>
        </is>
      </c>
    </row>
    <row r="698">
      <c r="A698" t="inlineStr">
        <is>
          <t>SUP-0044</t>
        </is>
      </c>
      <c r="B698" t="inlineStr">
        <is>
          <t>Chemicals Supplier 044</t>
        </is>
      </c>
      <c r="C698" t="inlineStr">
        <is>
          <t>Chemicals</t>
        </is>
      </c>
      <c r="D698" t="n">
        <v>2024</v>
      </c>
      <c r="E698" t="n">
        <v>2015</v>
      </c>
      <c r="F698" t="n">
        <v>2035</v>
      </c>
      <c r="G698" t="n">
        <v>31646.3834</v>
      </c>
      <c r="H698" t="n">
        <v>4531.7686</v>
      </c>
      <c r="I698" t="n">
        <v>3731.7091</v>
      </c>
      <c r="J698" t="n">
        <v>22168.0061</v>
      </c>
      <c r="K698" t="n">
        <v>27343951.9</v>
      </c>
      <c r="L698" t="n">
        <v>111608688.08</v>
      </c>
      <c r="M698" t="n">
        <v>31646.3834</v>
      </c>
      <c r="N698" t="inlineStr">
        <is>
          <t>Provided Total Emissions</t>
        </is>
      </c>
      <c r="O698" t="b">
        <v>1</v>
      </c>
      <c r="P698" t="n">
        <v>0.040184</v>
      </c>
      <c r="Q698" t="n">
        <v>0.01114</v>
      </c>
      <c r="R698" t="n">
        <v>27384.6944</v>
      </c>
      <c r="S698" t="n">
        <v>52594.4782</v>
      </c>
      <c r="T698" t="n">
        <v>-4261.689</v>
      </c>
      <c r="U698" t="n">
        <v>20948.0948</v>
      </c>
      <c r="V698" t="n">
        <v>-0.134666</v>
      </c>
      <c r="W698" t="n">
        <v>0.6619429999999999</v>
      </c>
      <c r="X698" t="inlineStr">
        <is>
          <t>High</t>
        </is>
      </c>
      <c r="Y698" t="inlineStr">
        <is>
          <t>None</t>
        </is>
      </c>
      <c r="Z698" t="inlineStr">
        <is>
          <t>Valid</t>
        </is>
      </c>
      <c r="AA698" t="n">
        <v>2033</v>
      </c>
      <c r="AB698" t="inlineStr">
        <is>
          <t>Industry Haircut Pathway</t>
        </is>
      </c>
      <c r="AC698" t="n">
        <v>22198.8814</v>
      </c>
      <c r="AD698" t="n">
        <v>10591.0863</v>
      </c>
      <c r="AE698" t="n">
        <v>11751.8658</v>
      </c>
      <c r="AF698" t="n">
        <v>11751.8658</v>
      </c>
      <c r="AG698" t="n">
        <v>10447.0156</v>
      </c>
      <c r="AH698" t="n">
        <v>0.00042978</v>
      </c>
      <c r="AI698" t="n">
        <v>0.47061</v>
      </c>
      <c r="AJ698" t="n">
        <v>1160.7795</v>
      </c>
      <c r="AK698" t="n">
        <v>580.3898</v>
      </c>
      <c r="AL698" t="n">
        <v>-10158.8742</v>
      </c>
      <c r="AM698" t="n">
        <v>126660.8235</v>
      </c>
      <c r="AN698" t="n">
        <v>0.95</v>
      </c>
      <c r="AO698" t="inlineStr">
        <is>
          <t>Medium</t>
        </is>
      </c>
      <c r="AP698" t="inlineStr">
        <is>
          <t>On Track to Glide Path</t>
        </is>
      </c>
    </row>
    <row r="699">
      <c r="A699" t="inlineStr">
        <is>
          <t>SUP-0044</t>
        </is>
      </c>
      <c r="B699" t="inlineStr">
        <is>
          <t>Chemicals Supplier 044</t>
        </is>
      </c>
      <c r="C699" t="inlineStr">
        <is>
          <t>Chemicals</t>
        </is>
      </c>
      <c r="D699" t="n">
        <v>2024</v>
      </c>
      <c r="E699" t="n">
        <v>2015</v>
      </c>
      <c r="F699" t="n">
        <v>2035</v>
      </c>
      <c r="G699" t="n">
        <v>31646.3834</v>
      </c>
      <c r="H699" t="n">
        <v>4531.7686</v>
      </c>
      <c r="I699" t="n">
        <v>3731.7091</v>
      </c>
      <c r="J699" t="n">
        <v>22168.0061</v>
      </c>
      <c r="K699" t="n">
        <v>27343951.9</v>
      </c>
      <c r="L699" t="n">
        <v>111608688.08</v>
      </c>
      <c r="M699" t="n">
        <v>31646.3834</v>
      </c>
      <c r="N699" t="inlineStr">
        <is>
          <t>Provided Total Emissions</t>
        </is>
      </c>
      <c r="O699" t="b">
        <v>1</v>
      </c>
      <c r="P699" t="n">
        <v>0.040184</v>
      </c>
      <c r="Q699" t="n">
        <v>0.01114</v>
      </c>
      <c r="R699" t="n">
        <v>27384.6944</v>
      </c>
      <c r="S699" t="n">
        <v>52594.4782</v>
      </c>
      <c r="T699" t="n">
        <v>-4261.689</v>
      </c>
      <c r="U699" t="n">
        <v>20948.0948</v>
      </c>
      <c r="V699" t="n">
        <v>-0.134666</v>
      </c>
      <c r="W699" t="n">
        <v>0.6619429999999999</v>
      </c>
      <c r="X699" t="inlineStr">
        <is>
          <t>High</t>
        </is>
      </c>
      <c r="Y699" t="inlineStr">
        <is>
          <t>None</t>
        </is>
      </c>
      <c r="Z699" t="inlineStr">
        <is>
          <t>Valid</t>
        </is>
      </c>
      <c r="AA699" t="n">
        <v>2034</v>
      </c>
      <c r="AB699" t="inlineStr">
        <is>
          <t>Industry Haircut Pathway</t>
        </is>
      </c>
      <c r="AC699" t="n">
        <v>22198.8814</v>
      </c>
      <c r="AD699" t="n">
        <v>10591.0863</v>
      </c>
      <c r="AE699" t="n">
        <v>11171.4761</v>
      </c>
      <c r="AF699" t="n">
        <v>11171.4761</v>
      </c>
      <c r="AG699" t="n">
        <v>11027.4053</v>
      </c>
      <c r="AH699" t="n">
        <v>0.00040855</v>
      </c>
      <c r="AI699" t="n">
        <v>0.496755</v>
      </c>
      <c r="AJ699" t="n">
        <v>580.3898</v>
      </c>
      <c r="AK699" t="n">
        <v>580.3898</v>
      </c>
      <c r="AL699" t="n">
        <v>-21330.3503</v>
      </c>
      <c r="AM699" t="n">
        <v>137832.2996</v>
      </c>
      <c r="AN699" t="n">
        <v>0.95</v>
      </c>
      <c r="AO699" t="inlineStr">
        <is>
          <t>Medium</t>
        </is>
      </c>
      <c r="AP699" t="inlineStr">
        <is>
          <t>On Track to Glide Path</t>
        </is>
      </c>
    </row>
    <row r="700">
      <c r="A700" t="inlineStr">
        <is>
          <t>SUP-0044</t>
        </is>
      </c>
      <c r="B700" t="inlineStr">
        <is>
          <t>Chemicals Supplier 044</t>
        </is>
      </c>
      <c r="C700" t="inlineStr">
        <is>
          <t>Chemicals</t>
        </is>
      </c>
      <c r="D700" t="n">
        <v>2024</v>
      </c>
      <c r="E700" t="n">
        <v>2015</v>
      </c>
      <c r="F700" t="n">
        <v>2035</v>
      </c>
      <c r="G700" t="n">
        <v>31646.3834</v>
      </c>
      <c r="H700" t="n">
        <v>4531.7686</v>
      </c>
      <c r="I700" t="n">
        <v>3731.7091</v>
      </c>
      <c r="J700" t="n">
        <v>22168.0061</v>
      </c>
      <c r="K700" t="n">
        <v>27343951.9</v>
      </c>
      <c r="L700" t="n">
        <v>111608688.08</v>
      </c>
      <c r="M700" t="n">
        <v>31646.3834</v>
      </c>
      <c r="N700" t="inlineStr">
        <is>
          <t>Provided Total Emissions</t>
        </is>
      </c>
      <c r="O700" t="b">
        <v>1</v>
      </c>
      <c r="P700" t="n">
        <v>0.040184</v>
      </c>
      <c r="Q700" t="n">
        <v>0.01114</v>
      </c>
      <c r="R700" t="n">
        <v>27384.6944</v>
      </c>
      <c r="S700" t="n">
        <v>52594.4782</v>
      </c>
      <c r="T700" t="n">
        <v>-4261.689</v>
      </c>
      <c r="U700" t="n">
        <v>20948.0948</v>
      </c>
      <c r="V700" t="n">
        <v>-0.134666</v>
      </c>
      <c r="W700" t="n">
        <v>0.6619429999999999</v>
      </c>
      <c r="X700" t="inlineStr">
        <is>
          <t>High</t>
        </is>
      </c>
      <c r="Y700" t="inlineStr">
        <is>
          <t>None</t>
        </is>
      </c>
      <c r="Z700" t="inlineStr">
        <is>
          <t>Valid</t>
        </is>
      </c>
      <c r="AA700" t="n">
        <v>2035</v>
      </c>
      <c r="AB700" t="inlineStr">
        <is>
          <t>Industry Haircut Pathway</t>
        </is>
      </c>
      <c r="AC700" t="n">
        <v>22198.8814</v>
      </c>
      <c r="AD700" t="n">
        <v>10591.0863</v>
      </c>
      <c r="AE700" t="n">
        <v>10591.0863</v>
      </c>
      <c r="AF700" t="n">
        <v>10591.0863</v>
      </c>
      <c r="AG700" t="n">
        <v>11607.7951</v>
      </c>
      <c r="AH700" t="n">
        <v>0.00038733</v>
      </c>
      <c r="AI700" t="n">
        <v>0.5229</v>
      </c>
      <c r="AJ700" t="n">
        <v>0</v>
      </c>
      <c r="AK700" t="n">
        <v>580.3898</v>
      </c>
      <c r="AL700" t="n">
        <v>-31921.4366</v>
      </c>
      <c r="AM700" t="n">
        <v>148423.3859</v>
      </c>
      <c r="AN700" t="n">
        <v>0.95</v>
      </c>
      <c r="AO700" t="inlineStr">
        <is>
          <t>Low</t>
        </is>
      </c>
      <c r="AP700" t="inlineStr">
        <is>
          <t>On Track</t>
        </is>
      </c>
    </row>
    <row r="701">
      <c r="A701" t="inlineStr">
        <is>
          <t>SUP-0044</t>
        </is>
      </c>
      <c r="B701" t="inlineStr">
        <is>
          <t>Chemicals Supplier 044</t>
        </is>
      </c>
      <c r="C701" t="inlineStr">
        <is>
          <t>Chemicals</t>
        </is>
      </c>
      <c r="D701" t="n">
        <v>2024</v>
      </c>
      <c r="E701" t="n">
        <v>2015</v>
      </c>
      <c r="F701" t="n">
        <v>2035</v>
      </c>
      <c r="G701" t="n">
        <v>31646.3834</v>
      </c>
      <c r="H701" t="n">
        <v>4531.7686</v>
      </c>
      <c r="I701" t="n">
        <v>3731.7091</v>
      </c>
      <c r="J701" t="n">
        <v>22168.0061</v>
      </c>
      <c r="K701" t="n">
        <v>27343951.9</v>
      </c>
      <c r="L701" t="n">
        <v>111608688.08</v>
      </c>
      <c r="M701" t="n">
        <v>31646.3834</v>
      </c>
      <c r="N701" t="inlineStr">
        <is>
          <t>Provided Total Emissions</t>
        </is>
      </c>
      <c r="O701" t="b">
        <v>1</v>
      </c>
      <c r="P701" t="n">
        <v>0.040184</v>
      </c>
      <c r="Q701" t="n">
        <v>0.01114</v>
      </c>
      <c r="R701" t="n">
        <v>27384.6944</v>
      </c>
      <c r="S701" t="n">
        <v>52594.4782</v>
      </c>
      <c r="T701" t="n">
        <v>-4261.689</v>
      </c>
      <c r="U701" t="n">
        <v>20948.0948</v>
      </c>
      <c r="V701" t="n">
        <v>-0.134666</v>
      </c>
      <c r="W701" t="n">
        <v>0.6619429999999999</v>
      </c>
      <c r="X701" t="inlineStr">
        <is>
          <t>High</t>
        </is>
      </c>
      <c r="Y701" t="inlineStr">
        <is>
          <t>None</t>
        </is>
      </c>
      <c r="Z701" t="inlineStr">
        <is>
          <t>Valid</t>
        </is>
      </c>
      <c r="AA701" t="n">
        <v>2036</v>
      </c>
      <c r="AB701" t="inlineStr">
        <is>
          <t>Industry Haircut Pathway</t>
        </is>
      </c>
      <c r="AC701" t="n">
        <v>22198.8814</v>
      </c>
      <c r="AD701" t="n">
        <v>10591.0863</v>
      </c>
      <c r="AE701" t="n">
        <v>10591.0863</v>
      </c>
      <c r="AF701" t="n">
        <v>10591.0863</v>
      </c>
      <c r="AG701" t="n">
        <v>11607.7951</v>
      </c>
      <c r="AH701" t="n">
        <v>0.00038733</v>
      </c>
      <c r="AI701" t="n">
        <v>0.5229</v>
      </c>
      <c r="AJ701" t="n">
        <v>0</v>
      </c>
      <c r="AK701" t="n">
        <v>580.3898</v>
      </c>
      <c r="AL701" t="n">
        <v>-42512.5229</v>
      </c>
      <c r="AM701" t="n">
        <v>159014.4722</v>
      </c>
      <c r="AN701" t="n">
        <v>0.95</v>
      </c>
      <c r="AO701" t="inlineStr">
        <is>
          <t>Low</t>
        </is>
      </c>
      <c r="AP701" t="inlineStr">
        <is>
          <t>On Track</t>
        </is>
      </c>
    </row>
    <row r="702">
      <c r="A702" t="inlineStr">
        <is>
          <t>SUP-0044</t>
        </is>
      </c>
      <c r="B702" t="inlineStr">
        <is>
          <t>Chemicals Supplier 044</t>
        </is>
      </c>
      <c r="C702" t="inlineStr">
        <is>
          <t>Chemicals</t>
        </is>
      </c>
      <c r="D702" t="n">
        <v>2024</v>
      </c>
      <c r="E702" t="n">
        <v>2015</v>
      </c>
      <c r="F702" t="n">
        <v>2035</v>
      </c>
      <c r="G702" t="n">
        <v>31646.3834</v>
      </c>
      <c r="H702" t="n">
        <v>4531.7686</v>
      </c>
      <c r="I702" t="n">
        <v>3731.7091</v>
      </c>
      <c r="J702" t="n">
        <v>22168.0061</v>
      </c>
      <c r="K702" t="n">
        <v>27343951.9</v>
      </c>
      <c r="L702" t="n">
        <v>111608688.08</v>
      </c>
      <c r="M702" t="n">
        <v>31646.3834</v>
      </c>
      <c r="N702" t="inlineStr">
        <is>
          <t>Provided Total Emissions</t>
        </is>
      </c>
      <c r="O702" t="b">
        <v>1</v>
      </c>
      <c r="P702" t="n">
        <v>0.040184</v>
      </c>
      <c r="Q702" t="n">
        <v>0.01114</v>
      </c>
      <c r="R702" t="n">
        <v>27384.6944</v>
      </c>
      <c r="S702" t="n">
        <v>52594.4782</v>
      </c>
      <c r="T702" t="n">
        <v>-4261.689</v>
      </c>
      <c r="U702" t="n">
        <v>20948.0948</v>
      </c>
      <c r="V702" t="n">
        <v>-0.134666</v>
      </c>
      <c r="W702" t="n">
        <v>0.6619429999999999</v>
      </c>
      <c r="X702" t="inlineStr">
        <is>
          <t>High</t>
        </is>
      </c>
      <c r="Y702" t="inlineStr">
        <is>
          <t>None</t>
        </is>
      </c>
      <c r="Z702" t="inlineStr">
        <is>
          <t>Valid</t>
        </is>
      </c>
      <c r="AA702" t="n">
        <v>2037</v>
      </c>
      <c r="AB702" t="inlineStr">
        <is>
          <t>Industry Haircut Pathway</t>
        </is>
      </c>
      <c r="AC702" t="n">
        <v>22198.8814</v>
      </c>
      <c r="AD702" t="n">
        <v>10591.0863</v>
      </c>
      <c r="AE702" t="n">
        <v>10591.0863</v>
      </c>
      <c r="AF702" t="n">
        <v>10591.0863</v>
      </c>
      <c r="AG702" t="n">
        <v>11607.7951</v>
      </c>
      <c r="AH702" t="n">
        <v>0.00038733</v>
      </c>
      <c r="AI702" t="n">
        <v>0.5229</v>
      </c>
      <c r="AJ702" t="n">
        <v>0</v>
      </c>
      <c r="AK702" t="n">
        <v>580.3898</v>
      </c>
      <c r="AL702" t="n">
        <v>-53103.6092</v>
      </c>
      <c r="AM702" t="n">
        <v>169605.5585</v>
      </c>
      <c r="AN702" t="n">
        <v>0.95</v>
      </c>
      <c r="AO702" t="inlineStr">
        <is>
          <t>Low</t>
        </is>
      </c>
      <c r="AP702" t="inlineStr">
        <is>
          <t>On Track</t>
        </is>
      </c>
    </row>
    <row r="703">
      <c r="A703" t="inlineStr">
        <is>
          <t>SUP-0044</t>
        </is>
      </c>
      <c r="B703" t="inlineStr">
        <is>
          <t>Chemicals Supplier 044</t>
        </is>
      </c>
      <c r="C703" t="inlineStr">
        <is>
          <t>Chemicals</t>
        </is>
      </c>
      <c r="D703" t="n">
        <v>2024</v>
      </c>
      <c r="E703" t="n">
        <v>2015</v>
      </c>
      <c r="F703" t="n">
        <v>2035</v>
      </c>
      <c r="G703" t="n">
        <v>31646.3834</v>
      </c>
      <c r="H703" t="n">
        <v>4531.7686</v>
      </c>
      <c r="I703" t="n">
        <v>3731.7091</v>
      </c>
      <c r="J703" t="n">
        <v>22168.0061</v>
      </c>
      <c r="K703" t="n">
        <v>27343951.9</v>
      </c>
      <c r="L703" t="n">
        <v>111608688.08</v>
      </c>
      <c r="M703" t="n">
        <v>31646.3834</v>
      </c>
      <c r="N703" t="inlineStr">
        <is>
          <t>Provided Total Emissions</t>
        </is>
      </c>
      <c r="O703" t="b">
        <v>1</v>
      </c>
      <c r="P703" t="n">
        <v>0.040184</v>
      </c>
      <c r="Q703" t="n">
        <v>0.01114</v>
      </c>
      <c r="R703" t="n">
        <v>27384.6944</v>
      </c>
      <c r="S703" t="n">
        <v>52594.4782</v>
      </c>
      <c r="T703" t="n">
        <v>-4261.689</v>
      </c>
      <c r="U703" t="n">
        <v>20948.0948</v>
      </c>
      <c r="V703" t="n">
        <v>-0.134666</v>
      </c>
      <c r="W703" t="n">
        <v>0.6619429999999999</v>
      </c>
      <c r="X703" t="inlineStr">
        <is>
          <t>High</t>
        </is>
      </c>
      <c r="Y703" t="inlineStr">
        <is>
          <t>None</t>
        </is>
      </c>
      <c r="Z703" t="inlineStr">
        <is>
          <t>Valid</t>
        </is>
      </c>
      <c r="AA703" t="n">
        <v>2038</v>
      </c>
      <c r="AB703" t="inlineStr">
        <is>
          <t>Industry Haircut Pathway</t>
        </is>
      </c>
      <c r="AC703" t="n">
        <v>22198.8814</v>
      </c>
      <c r="AD703" t="n">
        <v>10591.0863</v>
      </c>
      <c r="AE703" t="n">
        <v>10591.0863</v>
      </c>
      <c r="AF703" t="n">
        <v>10591.0863</v>
      </c>
      <c r="AG703" t="n">
        <v>11607.7951</v>
      </c>
      <c r="AH703" t="n">
        <v>0.00038733</v>
      </c>
      <c r="AI703" t="n">
        <v>0.5229</v>
      </c>
      <c r="AJ703" t="n">
        <v>0</v>
      </c>
      <c r="AK703" t="n">
        <v>580.3898</v>
      </c>
      <c r="AL703" t="n">
        <v>-63694.6955</v>
      </c>
      <c r="AM703" t="n">
        <v>180196.6448</v>
      </c>
      <c r="AN703" t="n">
        <v>0.95</v>
      </c>
      <c r="AO703" t="inlineStr">
        <is>
          <t>Low</t>
        </is>
      </c>
      <c r="AP703" t="inlineStr">
        <is>
          <t>On Track</t>
        </is>
      </c>
    </row>
    <row r="704">
      <c r="A704" t="inlineStr">
        <is>
          <t>SUP-0044</t>
        </is>
      </c>
      <c r="B704" t="inlineStr">
        <is>
          <t>Chemicals Supplier 044</t>
        </is>
      </c>
      <c r="C704" t="inlineStr">
        <is>
          <t>Chemicals</t>
        </is>
      </c>
      <c r="D704" t="n">
        <v>2024</v>
      </c>
      <c r="E704" t="n">
        <v>2015</v>
      </c>
      <c r="F704" t="n">
        <v>2035</v>
      </c>
      <c r="G704" t="n">
        <v>31646.3834</v>
      </c>
      <c r="H704" t="n">
        <v>4531.7686</v>
      </c>
      <c r="I704" t="n">
        <v>3731.7091</v>
      </c>
      <c r="J704" t="n">
        <v>22168.0061</v>
      </c>
      <c r="K704" t="n">
        <v>27343951.9</v>
      </c>
      <c r="L704" t="n">
        <v>111608688.08</v>
      </c>
      <c r="M704" t="n">
        <v>31646.3834</v>
      </c>
      <c r="N704" t="inlineStr">
        <is>
          <t>Provided Total Emissions</t>
        </is>
      </c>
      <c r="O704" t="b">
        <v>1</v>
      </c>
      <c r="P704" t="n">
        <v>0.040184</v>
      </c>
      <c r="Q704" t="n">
        <v>0.01114</v>
      </c>
      <c r="R704" t="n">
        <v>27384.6944</v>
      </c>
      <c r="S704" t="n">
        <v>52594.4782</v>
      </c>
      <c r="T704" t="n">
        <v>-4261.689</v>
      </c>
      <c r="U704" t="n">
        <v>20948.0948</v>
      </c>
      <c r="V704" t="n">
        <v>-0.134666</v>
      </c>
      <c r="W704" t="n">
        <v>0.6619429999999999</v>
      </c>
      <c r="X704" t="inlineStr">
        <is>
          <t>High</t>
        </is>
      </c>
      <c r="Y704" t="inlineStr">
        <is>
          <t>None</t>
        </is>
      </c>
      <c r="Z704" t="inlineStr">
        <is>
          <t>Valid</t>
        </is>
      </c>
      <c r="AA704" t="n">
        <v>2039</v>
      </c>
      <c r="AB704" t="inlineStr">
        <is>
          <t>Industry Haircut Pathway</t>
        </is>
      </c>
      <c r="AC704" t="n">
        <v>22198.8814</v>
      </c>
      <c r="AD704" t="n">
        <v>10591.0863</v>
      </c>
      <c r="AE704" t="n">
        <v>10591.0863</v>
      </c>
      <c r="AF704" t="n">
        <v>10591.0863</v>
      </c>
      <c r="AG704" t="n">
        <v>11607.7951</v>
      </c>
      <c r="AH704" t="n">
        <v>0.00038733</v>
      </c>
      <c r="AI704" t="n">
        <v>0.5229</v>
      </c>
      <c r="AJ704" t="n">
        <v>0</v>
      </c>
      <c r="AK704" t="n">
        <v>580.3898</v>
      </c>
      <c r="AL704" t="n">
        <v>-74285.7818</v>
      </c>
      <c r="AM704" t="n">
        <v>190787.7311</v>
      </c>
      <c r="AN704" t="n">
        <v>0.95</v>
      </c>
      <c r="AO704" t="inlineStr">
        <is>
          <t>Low</t>
        </is>
      </c>
      <c r="AP704" t="inlineStr">
        <is>
          <t>On Track</t>
        </is>
      </c>
    </row>
    <row r="705">
      <c r="A705" t="inlineStr">
        <is>
          <t>SUP-0044</t>
        </is>
      </c>
      <c r="B705" t="inlineStr">
        <is>
          <t>Chemicals Supplier 044</t>
        </is>
      </c>
      <c r="C705" t="inlineStr">
        <is>
          <t>Chemicals</t>
        </is>
      </c>
      <c r="D705" t="n">
        <v>2024</v>
      </c>
      <c r="E705" t="n">
        <v>2015</v>
      </c>
      <c r="F705" t="n">
        <v>2035</v>
      </c>
      <c r="G705" t="n">
        <v>31646.3834</v>
      </c>
      <c r="H705" t="n">
        <v>4531.7686</v>
      </c>
      <c r="I705" t="n">
        <v>3731.7091</v>
      </c>
      <c r="J705" t="n">
        <v>22168.0061</v>
      </c>
      <c r="K705" t="n">
        <v>27343951.9</v>
      </c>
      <c r="L705" t="n">
        <v>111608688.08</v>
      </c>
      <c r="M705" t="n">
        <v>31646.3834</v>
      </c>
      <c r="N705" t="inlineStr">
        <is>
          <t>Provided Total Emissions</t>
        </is>
      </c>
      <c r="O705" t="b">
        <v>1</v>
      </c>
      <c r="P705" t="n">
        <v>0.040184</v>
      </c>
      <c r="Q705" t="n">
        <v>0.01114</v>
      </c>
      <c r="R705" t="n">
        <v>27384.6944</v>
      </c>
      <c r="S705" t="n">
        <v>52594.4782</v>
      </c>
      <c r="T705" t="n">
        <v>-4261.689</v>
      </c>
      <c r="U705" t="n">
        <v>20948.0948</v>
      </c>
      <c r="V705" t="n">
        <v>-0.134666</v>
      </c>
      <c r="W705" t="n">
        <v>0.6619429999999999</v>
      </c>
      <c r="X705" t="inlineStr">
        <is>
          <t>High</t>
        </is>
      </c>
      <c r="Y705" t="inlineStr">
        <is>
          <t>None</t>
        </is>
      </c>
      <c r="Z705" t="inlineStr">
        <is>
          <t>Valid</t>
        </is>
      </c>
      <c r="AA705" t="n">
        <v>2040</v>
      </c>
      <c r="AB705" t="inlineStr">
        <is>
          <t>Industry Haircut Pathway</t>
        </is>
      </c>
      <c r="AC705" t="n">
        <v>22198.8814</v>
      </c>
      <c r="AD705" t="n">
        <v>10591.0863</v>
      </c>
      <c r="AE705" t="n">
        <v>10591.0863</v>
      </c>
      <c r="AF705" t="n">
        <v>10591.0863</v>
      </c>
      <c r="AG705" t="n">
        <v>11607.7951</v>
      </c>
      <c r="AH705" t="n">
        <v>0.00038733</v>
      </c>
      <c r="AI705" t="n">
        <v>0.5229</v>
      </c>
      <c r="AJ705" t="n">
        <v>0</v>
      </c>
      <c r="AK705" t="n">
        <v>580.3898</v>
      </c>
      <c r="AL705" t="n">
        <v>-84876.86810000001</v>
      </c>
      <c r="AM705" t="n">
        <v>201378.8174</v>
      </c>
      <c r="AN705" t="n">
        <v>0.95</v>
      </c>
      <c r="AO705" t="inlineStr">
        <is>
          <t>Low</t>
        </is>
      </c>
      <c r="AP705" t="inlineStr">
        <is>
          <t>On Track</t>
        </is>
      </c>
    </row>
    <row r="706">
      <c r="A706" t="inlineStr">
        <is>
          <t>SUP-0045</t>
        </is>
      </c>
      <c r="B706" t="inlineStr">
        <is>
          <t>Logistics Supplier 045</t>
        </is>
      </c>
      <c r="C706" t="inlineStr">
        <is>
          <t>Logistics</t>
        </is>
      </c>
      <c r="D706" t="n">
        <v>2024</v>
      </c>
      <c r="E706" t="n">
        <v>2019</v>
      </c>
      <c r="F706" t="n">
        <v>2035</v>
      </c>
      <c r="G706" t="n">
        <v>671.0594</v>
      </c>
      <c r="H706" t="n">
        <v>101.3782</v>
      </c>
      <c r="I706" t="n">
        <v>91.246</v>
      </c>
      <c r="J706" t="n">
        <v>474.1713</v>
      </c>
      <c r="K706" t="n">
        <v>1698255.43</v>
      </c>
      <c r="L706" t="n">
        <v>11816970.36</v>
      </c>
      <c r="M706" t="n">
        <v>671.0594</v>
      </c>
      <c r="N706" t="inlineStr">
        <is>
          <t>Provided Total Emissions</t>
        </is>
      </c>
      <c r="O706" t="b">
        <v>1</v>
      </c>
      <c r="P706" t="n">
        <v>0.02489</v>
      </c>
      <c r="Q706" t="n">
        <v>-0.028898</v>
      </c>
      <c r="R706" t="n">
        <v>379.5431</v>
      </c>
      <c r="S706" t="n">
        <v>5646.9756</v>
      </c>
      <c r="T706" t="n">
        <v>-291.5163</v>
      </c>
      <c r="U706" t="n">
        <v>4975.9162</v>
      </c>
      <c r="V706" t="n">
        <v>-0.434412</v>
      </c>
      <c r="W706" t="n">
        <v>7.415016</v>
      </c>
      <c r="X706" t="inlineStr">
        <is>
          <t>High</t>
        </is>
      </c>
      <c r="Y706" t="inlineStr">
        <is>
          <t>None</t>
        </is>
      </c>
      <c r="Z706" t="inlineStr">
        <is>
          <t>Valid</t>
        </is>
      </c>
      <c r="AA706" t="n">
        <v>2025</v>
      </c>
      <c r="AB706" t="inlineStr">
        <is>
          <t>Supplier Target Pathway</t>
        </is>
      </c>
      <c r="AC706" t="n">
        <v>624.5126</v>
      </c>
      <c r="AD706" t="n">
        <v>255.6755</v>
      </c>
      <c r="AE706" t="n">
        <v>486.1987</v>
      </c>
      <c r="AF706" t="n">
        <v>486.1987</v>
      </c>
      <c r="AG706" t="n">
        <v>138.3139</v>
      </c>
      <c r="AH706" t="n">
        <v>0.00028629</v>
      </c>
      <c r="AI706" t="n">
        <v>0.221475</v>
      </c>
      <c r="AJ706" t="n">
        <v>230.5232</v>
      </c>
      <c r="AK706" t="n">
        <v>23.0523</v>
      </c>
      <c r="AL706" t="n">
        <v>2326.2318</v>
      </c>
      <c r="AM706" t="n">
        <v>486.1987</v>
      </c>
      <c r="AN706" t="n">
        <v>0.99</v>
      </c>
      <c r="AO706" t="inlineStr">
        <is>
          <t>Critical</t>
        </is>
      </c>
      <c r="AP706" t="inlineStr">
        <is>
          <t>On Track to Glide Path</t>
        </is>
      </c>
    </row>
    <row r="707">
      <c r="A707" t="inlineStr">
        <is>
          <t>SUP-0045</t>
        </is>
      </c>
      <c r="B707" t="inlineStr">
        <is>
          <t>Logistics Supplier 045</t>
        </is>
      </c>
      <c r="C707" t="inlineStr">
        <is>
          <t>Logistics</t>
        </is>
      </c>
      <c r="D707" t="n">
        <v>2024</v>
      </c>
      <c r="E707" t="n">
        <v>2019</v>
      </c>
      <c r="F707" t="n">
        <v>2035</v>
      </c>
      <c r="G707" t="n">
        <v>671.0594</v>
      </c>
      <c r="H707" t="n">
        <v>101.3782</v>
      </c>
      <c r="I707" t="n">
        <v>91.246</v>
      </c>
      <c r="J707" t="n">
        <v>474.1713</v>
      </c>
      <c r="K707" t="n">
        <v>1698255.43</v>
      </c>
      <c r="L707" t="n">
        <v>11816970.36</v>
      </c>
      <c r="M707" t="n">
        <v>671.0594</v>
      </c>
      <c r="N707" t="inlineStr">
        <is>
          <t>Provided Total Emissions</t>
        </is>
      </c>
      <c r="O707" t="b">
        <v>1</v>
      </c>
      <c r="P707" t="n">
        <v>0.02489</v>
      </c>
      <c r="Q707" t="n">
        <v>-0.028898</v>
      </c>
      <c r="R707" t="n">
        <v>379.5431</v>
      </c>
      <c r="S707" t="n">
        <v>5646.9756</v>
      </c>
      <c r="T707" t="n">
        <v>-291.5163</v>
      </c>
      <c r="U707" t="n">
        <v>4975.9162</v>
      </c>
      <c r="V707" t="n">
        <v>-0.434412</v>
      </c>
      <c r="W707" t="n">
        <v>7.415016</v>
      </c>
      <c r="X707" t="inlineStr">
        <is>
          <t>High</t>
        </is>
      </c>
      <c r="Y707" t="inlineStr">
        <is>
          <t>None</t>
        </is>
      </c>
      <c r="Z707" t="inlineStr">
        <is>
          <t>Valid</t>
        </is>
      </c>
      <c r="AA707" t="n">
        <v>2026</v>
      </c>
      <c r="AB707" t="inlineStr">
        <is>
          <t>Supplier Target Pathway</t>
        </is>
      </c>
      <c r="AC707" t="n">
        <v>624.5126</v>
      </c>
      <c r="AD707" t="n">
        <v>255.6755</v>
      </c>
      <c r="AE707" t="n">
        <v>463.1464</v>
      </c>
      <c r="AF707" t="n">
        <v>463.1464</v>
      </c>
      <c r="AG707" t="n">
        <v>161.3662</v>
      </c>
      <c r="AH707" t="n">
        <v>0.00027272</v>
      </c>
      <c r="AI707" t="n">
        <v>0.258387</v>
      </c>
      <c r="AJ707" t="n">
        <v>207.4709</v>
      </c>
      <c r="AK707" t="n">
        <v>23.0523</v>
      </c>
      <c r="AL707" t="n">
        <v>1863.0854</v>
      </c>
      <c r="AM707" t="n">
        <v>949.3451</v>
      </c>
      <c r="AN707" t="n">
        <v>0.99</v>
      </c>
      <c r="AO707" t="inlineStr">
        <is>
          <t>Critical</t>
        </is>
      </c>
      <c r="AP707" t="inlineStr">
        <is>
          <t>On Track to Glide Path</t>
        </is>
      </c>
    </row>
    <row r="708">
      <c r="A708" t="inlineStr">
        <is>
          <t>SUP-0045</t>
        </is>
      </c>
      <c r="B708" t="inlineStr">
        <is>
          <t>Logistics Supplier 045</t>
        </is>
      </c>
      <c r="C708" t="inlineStr">
        <is>
          <t>Logistics</t>
        </is>
      </c>
      <c r="D708" t="n">
        <v>2024</v>
      </c>
      <c r="E708" t="n">
        <v>2019</v>
      </c>
      <c r="F708" t="n">
        <v>2035</v>
      </c>
      <c r="G708" t="n">
        <v>671.0594</v>
      </c>
      <c r="H708" t="n">
        <v>101.3782</v>
      </c>
      <c r="I708" t="n">
        <v>91.246</v>
      </c>
      <c r="J708" t="n">
        <v>474.1713</v>
      </c>
      <c r="K708" t="n">
        <v>1698255.43</v>
      </c>
      <c r="L708" t="n">
        <v>11816970.36</v>
      </c>
      <c r="M708" t="n">
        <v>671.0594</v>
      </c>
      <c r="N708" t="inlineStr">
        <is>
          <t>Provided Total Emissions</t>
        </is>
      </c>
      <c r="O708" t="b">
        <v>1</v>
      </c>
      <c r="P708" t="n">
        <v>0.02489</v>
      </c>
      <c r="Q708" t="n">
        <v>-0.028898</v>
      </c>
      <c r="R708" t="n">
        <v>379.5431</v>
      </c>
      <c r="S708" t="n">
        <v>5646.9756</v>
      </c>
      <c r="T708" t="n">
        <v>-291.5163</v>
      </c>
      <c r="U708" t="n">
        <v>4975.9162</v>
      </c>
      <c r="V708" t="n">
        <v>-0.434412</v>
      </c>
      <c r="W708" t="n">
        <v>7.415016</v>
      </c>
      <c r="X708" t="inlineStr">
        <is>
          <t>High</t>
        </is>
      </c>
      <c r="Y708" t="inlineStr">
        <is>
          <t>None</t>
        </is>
      </c>
      <c r="Z708" t="inlineStr">
        <is>
          <t>Valid</t>
        </is>
      </c>
      <c r="AA708" t="n">
        <v>2027</v>
      </c>
      <c r="AB708" t="inlineStr">
        <is>
          <t>Supplier Target Pathway</t>
        </is>
      </c>
      <c r="AC708" t="n">
        <v>624.5126</v>
      </c>
      <c r="AD708" t="n">
        <v>255.6755</v>
      </c>
      <c r="AE708" t="n">
        <v>440.094</v>
      </c>
      <c r="AF708" t="n">
        <v>440.094</v>
      </c>
      <c r="AG708" t="n">
        <v>184.4186</v>
      </c>
      <c r="AH708" t="n">
        <v>0.00025914</v>
      </c>
      <c r="AI708" t="n">
        <v>0.2953</v>
      </c>
      <c r="AJ708" t="n">
        <v>184.4186</v>
      </c>
      <c r="AK708" t="n">
        <v>23.0523</v>
      </c>
      <c r="AL708" t="n">
        <v>1422.9914</v>
      </c>
      <c r="AM708" t="n">
        <v>1389.4391</v>
      </c>
      <c r="AN708" t="n">
        <v>0.99</v>
      </c>
      <c r="AO708" t="inlineStr">
        <is>
          <t>Critical</t>
        </is>
      </c>
      <c r="AP708" t="inlineStr">
        <is>
          <t>On Track to Glide Path</t>
        </is>
      </c>
    </row>
    <row r="709">
      <c r="A709" t="inlineStr">
        <is>
          <t>SUP-0045</t>
        </is>
      </c>
      <c r="B709" t="inlineStr">
        <is>
          <t>Logistics Supplier 045</t>
        </is>
      </c>
      <c r="C709" t="inlineStr">
        <is>
          <t>Logistics</t>
        </is>
      </c>
      <c r="D709" t="n">
        <v>2024</v>
      </c>
      <c r="E709" t="n">
        <v>2019</v>
      </c>
      <c r="F709" t="n">
        <v>2035</v>
      </c>
      <c r="G709" t="n">
        <v>671.0594</v>
      </c>
      <c r="H709" t="n">
        <v>101.3782</v>
      </c>
      <c r="I709" t="n">
        <v>91.246</v>
      </c>
      <c r="J709" t="n">
        <v>474.1713</v>
      </c>
      <c r="K709" t="n">
        <v>1698255.43</v>
      </c>
      <c r="L709" t="n">
        <v>11816970.36</v>
      </c>
      <c r="M709" t="n">
        <v>671.0594</v>
      </c>
      <c r="N709" t="inlineStr">
        <is>
          <t>Provided Total Emissions</t>
        </is>
      </c>
      <c r="O709" t="b">
        <v>1</v>
      </c>
      <c r="P709" t="n">
        <v>0.02489</v>
      </c>
      <c r="Q709" t="n">
        <v>-0.028898</v>
      </c>
      <c r="R709" t="n">
        <v>379.5431</v>
      </c>
      <c r="S709" t="n">
        <v>5646.9756</v>
      </c>
      <c r="T709" t="n">
        <v>-291.5163</v>
      </c>
      <c r="U709" t="n">
        <v>4975.9162</v>
      </c>
      <c r="V709" t="n">
        <v>-0.434412</v>
      </c>
      <c r="W709" t="n">
        <v>7.415016</v>
      </c>
      <c r="X709" t="inlineStr">
        <is>
          <t>High</t>
        </is>
      </c>
      <c r="Y709" t="inlineStr">
        <is>
          <t>None</t>
        </is>
      </c>
      <c r="Z709" t="inlineStr">
        <is>
          <t>Valid</t>
        </is>
      </c>
      <c r="AA709" t="n">
        <v>2028</v>
      </c>
      <c r="AB709" t="inlineStr">
        <is>
          <t>Supplier Target Pathway</t>
        </is>
      </c>
      <c r="AC709" t="n">
        <v>624.5126</v>
      </c>
      <c r="AD709" t="n">
        <v>255.6755</v>
      </c>
      <c r="AE709" t="n">
        <v>417.0417</v>
      </c>
      <c r="AF709" t="n">
        <v>417.0417</v>
      </c>
      <c r="AG709" t="n">
        <v>207.4709</v>
      </c>
      <c r="AH709" t="n">
        <v>0.00024557</v>
      </c>
      <c r="AI709" t="n">
        <v>0.332212</v>
      </c>
      <c r="AJ709" t="n">
        <v>161.3662</v>
      </c>
      <c r="AK709" t="n">
        <v>23.0523</v>
      </c>
      <c r="AL709" t="n">
        <v>1005.9497</v>
      </c>
      <c r="AM709" t="n">
        <v>1806.4808</v>
      </c>
      <c r="AN709" t="n">
        <v>0.99</v>
      </c>
      <c r="AO709" t="inlineStr">
        <is>
          <t>Critical</t>
        </is>
      </c>
      <c r="AP709" t="inlineStr">
        <is>
          <t>On Track to Glide Path</t>
        </is>
      </c>
    </row>
    <row r="710">
      <c r="A710" t="inlineStr">
        <is>
          <t>SUP-0045</t>
        </is>
      </c>
      <c r="B710" t="inlineStr">
        <is>
          <t>Logistics Supplier 045</t>
        </is>
      </c>
      <c r="C710" t="inlineStr">
        <is>
          <t>Logistics</t>
        </is>
      </c>
      <c r="D710" t="n">
        <v>2024</v>
      </c>
      <c r="E710" t="n">
        <v>2019</v>
      </c>
      <c r="F710" t="n">
        <v>2035</v>
      </c>
      <c r="G710" t="n">
        <v>671.0594</v>
      </c>
      <c r="H710" t="n">
        <v>101.3782</v>
      </c>
      <c r="I710" t="n">
        <v>91.246</v>
      </c>
      <c r="J710" t="n">
        <v>474.1713</v>
      </c>
      <c r="K710" t="n">
        <v>1698255.43</v>
      </c>
      <c r="L710" t="n">
        <v>11816970.36</v>
      </c>
      <c r="M710" t="n">
        <v>671.0594</v>
      </c>
      <c r="N710" t="inlineStr">
        <is>
          <t>Provided Total Emissions</t>
        </is>
      </c>
      <c r="O710" t="b">
        <v>1</v>
      </c>
      <c r="P710" t="n">
        <v>0.02489</v>
      </c>
      <c r="Q710" t="n">
        <v>-0.028898</v>
      </c>
      <c r="R710" t="n">
        <v>379.5431</v>
      </c>
      <c r="S710" t="n">
        <v>5646.9756</v>
      </c>
      <c r="T710" t="n">
        <v>-291.5163</v>
      </c>
      <c r="U710" t="n">
        <v>4975.9162</v>
      </c>
      <c r="V710" t="n">
        <v>-0.434412</v>
      </c>
      <c r="W710" t="n">
        <v>7.415016</v>
      </c>
      <c r="X710" t="inlineStr">
        <is>
          <t>High</t>
        </is>
      </c>
      <c r="Y710" t="inlineStr">
        <is>
          <t>None</t>
        </is>
      </c>
      <c r="Z710" t="inlineStr">
        <is>
          <t>Valid</t>
        </is>
      </c>
      <c r="AA710" t="n">
        <v>2029</v>
      </c>
      <c r="AB710" t="inlineStr">
        <is>
          <t>Supplier Target Pathway</t>
        </is>
      </c>
      <c r="AC710" t="n">
        <v>624.5126</v>
      </c>
      <c r="AD710" t="n">
        <v>255.6755</v>
      </c>
      <c r="AE710" t="n">
        <v>393.9894</v>
      </c>
      <c r="AF710" t="n">
        <v>393.9894</v>
      </c>
      <c r="AG710" t="n">
        <v>230.5232</v>
      </c>
      <c r="AH710" t="n">
        <v>0.000232</v>
      </c>
      <c r="AI710" t="n">
        <v>0.369125</v>
      </c>
      <c r="AJ710" t="n">
        <v>138.3139</v>
      </c>
      <c r="AK710" t="n">
        <v>23.0523</v>
      </c>
      <c r="AL710" t="n">
        <v>611.9603</v>
      </c>
      <c r="AM710" t="n">
        <v>2200.4702</v>
      </c>
      <c r="AN710" t="n">
        <v>0.99</v>
      </c>
      <c r="AO710" t="inlineStr">
        <is>
          <t>Critical</t>
        </is>
      </c>
      <c r="AP710" t="inlineStr">
        <is>
          <t>On Track to Glide Path</t>
        </is>
      </c>
    </row>
    <row r="711">
      <c r="A711" t="inlineStr">
        <is>
          <t>SUP-0045</t>
        </is>
      </c>
      <c r="B711" t="inlineStr">
        <is>
          <t>Logistics Supplier 045</t>
        </is>
      </c>
      <c r="C711" t="inlineStr">
        <is>
          <t>Logistics</t>
        </is>
      </c>
      <c r="D711" t="n">
        <v>2024</v>
      </c>
      <c r="E711" t="n">
        <v>2019</v>
      </c>
      <c r="F711" t="n">
        <v>2035</v>
      </c>
      <c r="G711" t="n">
        <v>671.0594</v>
      </c>
      <c r="H711" t="n">
        <v>101.3782</v>
      </c>
      <c r="I711" t="n">
        <v>91.246</v>
      </c>
      <c r="J711" t="n">
        <v>474.1713</v>
      </c>
      <c r="K711" t="n">
        <v>1698255.43</v>
      </c>
      <c r="L711" t="n">
        <v>11816970.36</v>
      </c>
      <c r="M711" t="n">
        <v>671.0594</v>
      </c>
      <c r="N711" t="inlineStr">
        <is>
          <t>Provided Total Emissions</t>
        </is>
      </c>
      <c r="O711" t="b">
        <v>1</v>
      </c>
      <c r="P711" t="n">
        <v>0.02489</v>
      </c>
      <c r="Q711" t="n">
        <v>-0.028898</v>
      </c>
      <c r="R711" t="n">
        <v>379.5431</v>
      </c>
      <c r="S711" t="n">
        <v>5646.9756</v>
      </c>
      <c r="T711" t="n">
        <v>-291.5163</v>
      </c>
      <c r="U711" t="n">
        <v>4975.9162</v>
      </c>
      <c r="V711" t="n">
        <v>-0.434412</v>
      </c>
      <c r="W711" t="n">
        <v>7.415016</v>
      </c>
      <c r="X711" t="inlineStr">
        <is>
          <t>High</t>
        </is>
      </c>
      <c r="Y711" t="inlineStr">
        <is>
          <t>None</t>
        </is>
      </c>
      <c r="Z711" t="inlineStr">
        <is>
          <t>Valid</t>
        </is>
      </c>
      <c r="AA711" t="n">
        <v>2030</v>
      </c>
      <c r="AB711" t="inlineStr">
        <is>
          <t>Supplier Target Pathway</t>
        </is>
      </c>
      <c r="AC711" t="n">
        <v>624.5126</v>
      </c>
      <c r="AD711" t="n">
        <v>255.6755</v>
      </c>
      <c r="AE711" t="n">
        <v>370.9371</v>
      </c>
      <c r="AF711" t="n">
        <v>370.9371</v>
      </c>
      <c r="AG711" t="n">
        <v>253.5755</v>
      </c>
      <c r="AH711" t="n">
        <v>0.00021842</v>
      </c>
      <c r="AI711" t="n">
        <v>0.406038</v>
      </c>
      <c r="AJ711" t="n">
        <v>115.2616</v>
      </c>
      <c r="AK711" t="n">
        <v>23.0523</v>
      </c>
      <c r="AL711" t="n">
        <v>241.0232</v>
      </c>
      <c r="AM711" t="n">
        <v>2571.4073</v>
      </c>
      <c r="AN711" t="n">
        <v>0.99</v>
      </c>
      <c r="AO711" t="inlineStr">
        <is>
          <t>Critical</t>
        </is>
      </c>
      <c r="AP711" t="inlineStr">
        <is>
          <t>On Track to Glide Path</t>
        </is>
      </c>
    </row>
    <row r="712">
      <c r="A712" t="inlineStr">
        <is>
          <t>SUP-0045</t>
        </is>
      </c>
      <c r="B712" t="inlineStr">
        <is>
          <t>Logistics Supplier 045</t>
        </is>
      </c>
      <c r="C712" t="inlineStr">
        <is>
          <t>Logistics</t>
        </is>
      </c>
      <c r="D712" t="n">
        <v>2024</v>
      </c>
      <c r="E712" t="n">
        <v>2019</v>
      </c>
      <c r="F712" t="n">
        <v>2035</v>
      </c>
      <c r="G712" t="n">
        <v>671.0594</v>
      </c>
      <c r="H712" t="n">
        <v>101.3782</v>
      </c>
      <c r="I712" t="n">
        <v>91.246</v>
      </c>
      <c r="J712" t="n">
        <v>474.1713</v>
      </c>
      <c r="K712" t="n">
        <v>1698255.43</v>
      </c>
      <c r="L712" t="n">
        <v>11816970.36</v>
      </c>
      <c r="M712" t="n">
        <v>671.0594</v>
      </c>
      <c r="N712" t="inlineStr">
        <is>
          <t>Provided Total Emissions</t>
        </is>
      </c>
      <c r="O712" t="b">
        <v>1</v>
      </c>
      <c r="P712" t="n">
        <v>0.02489</v>
      </c>
      <c r="Q712" t="n">
        <v>-0.028898</v>
      </c>
      <c r="R712" t="n">
        <v>379.5431</v>
      </c>
      <c r="S712" t="n">
        <v>5646.9756</v>
      </c>
      <c r="T712" t="n">
        <v>-291.5163</v>
      </c>
      <c r="U712" t="n">
        <v>4975.9162</v>
      </c>
      <c r="V712" t="n">
        <v>-0.434412</v>
      </c>
      <c r="W712" t="n">
        <v>7.415016</v>
      </c>
      <c r="X712" t="inlineStr">
        <is>
          <t>High</t>
        </is>
      </c>
      <c r="Y712" t="inlineStr">
        <is>
          <t>None</t>
        </is>
      </c>
      <c r="Z712" t="inlineStr">
        <is>
          <t>Valid</t>
        </is>
      </c>
      <c r="AA712" t="n">
        <v>2031</v>
      </c>
      <c r="AB712" t="inlineStr">
        <is>
          <t>Supplier Target Pathway</t>
        </is>
      </c>
      <c r="AC712" t="n">
        <v>624.5126</v>
      </c>
      <c r="AD712" t="n">
        <v>255.6755</v>
      </c>
      <c r="AE712" t="n">
        <v>347.8847</v>
      </c>
      <c r="AF712" t="n">
        <v>347.8847</v>
      </c>
      <c r="AG712" t="n">
        <v>276.6279</v>
      </c>
      <c r="AH712" t="n">
        <v>0.00020485</v>
      </c>
      <c r="AI712" t="n">
        <v>0.44295</v>
      </c>
      <c r="AJ712" t="n">
        <v>92.2093</v>
      </c>
      <c r="AK712" t="n">
        <v>23.0523</v>
      </c>
      <c r="AL712" t="n">
        <v>-106.8615</v>
      </c>
      <c r="AM712" t="n">
        <v>2919.292</v>
      </c>
      <c r="AN712" t="n">
        <v>0.99</v>
      </c>
      <c r="AO712" t="inlineStr">
        <is>
          <t>Critical</t>
        </is>
      </c>
      <c r="AP712" t="inlineStr">
        <is>
          <t>On Track to Glide Path</t>
        </is>
      </c>
    </row>
    <row r="713">
      <c r="A713" t="inlineStr">
        <is>
          <t>SUP-0045</t>
        </is>
      </c>
      <c r="B713" t="inlineStr">
        <is>
          <t>Logistics Supplier 045</t>
        </is>
      </c>
      <c r="C713" t="inlineStr">
        <is>
          <t>Logistics</t>
        </is>
      </c>
      <c r="D713" t="n">
        <v>2024</v>
      </c>
      <c r="E713" t="n">
        <v>2019</v>
      </c>
      <c r="F713" t="n">
        <v>2035</v>
      </c>
      <c r="G713" t="n">
        <v>671.0594</v>
      </c>
      <c r="H713" t="n">
        <v>101.3782</v>
      </c>
      <c r="I713" t="n">
        <v>91.246</v>
      </c>
      <c r="J713" t="n">
        <v>474.1713</v>
      </c>
      <c r="K713" t="n">
        <v>1698255.43</v>
      </c>
      <c r="L713" t="n">
        <v>11816970.36</v>
      </c>
      <c r="M713" t="n">
        <v>671.0594</v>
      </c>
      <c r="N713" t="inlineStr">
        <is>
          <t>Provided Total Emissions</t>
        </is>
      </c>
      <c r="O713" t="b">
        <v>1</v>
      </c>
      <c r="P713" t="n">
        <v>0.02489</v>
      </c>
      <c r="Q713" t="n">
        <v>-0.028898</v>
      </c>
      <c r="R713" t="n">
        <v>379.5431</v>
      </c>
      <c r="S713" t="n">
        <v>5646.9756</v>
      </c>
      <c r="T713" t="n">
        <v>-291.5163</v>
      </c>
      <c r="U713" t="n">
        <v>4975.9162</v>
      </c>
      <c r="V713" t="n">
        <v>-0.434412</v>
      </c>
      <c r="W713" t="n">
        <v>7.415016</v>
      </c>
      <c r="X713" t="inlineStr">
        <is>
          <t>High</t>
        </is>
      </c>
      <c r="Y713" t="inlineStr">
        <is>
          <t>None</t>
        </is>
      </c>
      <c r="Z713" t="inlineStr">
        <is>
          <t>Valid</t>
        </is>
      </c>
      <c r="AA713" t="n">
        <v>2032</v>
      </c>
      <c r="AB713" t="inlineStr">
        <is>
          <t>Supplier Target Pathway</t>
        </is>
      </c>
      <c r="AC713" t="n">
        <v>624.5126</v>
      </c>
      <c r="AD713" t="n">
        <v>255.6755</v>
      </c>
      <c r="AE713" t="n">
        <v>324.8324</v>
      </c>
      <c r="AF713" t="n">
        <v>324.8324</v>
      </c>
      <c r="AG713" t="n">
        <v>299.6802</v>
      </c>
      <c r="AH713" t="n">
        <v>0.00019127</v>
      </c>
      <c r="AI713" t="n">
        <v>0.479863</v>
      </c>
      <c r="AJ713" t="n">
        <v>69.157</v>
      </c>
      <c r="AK713" t="n">
        <v>23.0523</v>
      </c>
      <c r="AL713" t="n">
        <v>-431.6939</v>
      </c>
      <c r="AM713" t="n">
        <v>3244.1244</v>
      </c>
      <c r="AN713" t="n">
        <v>0.99</v>
      </c>
      <c r="AO713" t="inlineStr">
        <is>
          <t>High</t>
        </is>
      </c>
      <c r="AP713" t="inlineStr">
        <is>
          <t>On Track to Glide Path</t>
        </is>
      </c>
    </row>
    <row r="714">
      <c r="A714" t="inlineStr">
        <is>
          <t>SUP-0045</t>
        </is>
      </c>
      <c r="B714" t="inlineStr">
        <is>
          <t>Logistics Supplier 045</t>
        </is>
      </c>
      <c r="C714" t="inlineStr">
        <is>
          <t>Logistics</t>
        </is>
      </c>
      <c r="D714" t="n">
        <v>2024</v>
      </c>
      <c r="E714" t="n">
        <v>2019</v>
      </c>
      <c r="F714" t="n">
        <v>2035</v>
      </c>
      <c r="G714" t="n">
        <v>671.0594</v>
      </c>
      <c r="H714" t="n">
        <v>101.3782</v>
      </c>
      <c r="I714" t="n">
        <v>91.246</v>
      </c>
      <c r="J714" t="n">
        <v>474.1713</v>
      </c>
      <c r="K714" t="n">
        <v>1698255.43</v>
      </c>
      <c r="L714" t="n">
        <v>11816970.36</v>
      </c>
      <c r="M714" t="n">
        <v>671.0594</v>
      </c>
      <c r="N714" t="inlineStr">
        <is>
          <t>Provided Total Emissions</t>
        </is>
      </c>
      <c r="O714" t="b">
        <v>1</v>
      </c>
      <c r="P714" t="n">
        <v>0.02489</v>
      </c>
      <c r="Q714" t="n">
        <v>-0.028898</v>
      </c>
      <c r="R714" t="n">
        <v>379.5431</v>
      </c>
      <c r="S714" t="n">
        <v>5646.9756</v>
      </c>
      <c r="T714" t="n">
        <v>-291.5163</v>
      </c>
      <c r="U714" t="n">
        <v>4975.9162</v>
      </c>
      <c r="V714" t="n">
        <v>-0.434412</v>
      </c>
      <c r="W714" t="n">
        <v>7.415016</v>
      </c>
      <c r="X714" t="inlineStr">
        <is>
          <t>High</t>
        </is>
      </c>
      <c r="Y714" t="inlineStr">
        <is>
          <t>None</t>
        </is>
      </c>
      <c r="Z714" t="inlineStr">
        <is>
          <t>Valid</t>
        </is>
      </c>
      <c r="AA714" t="n">
        <v>2033</v>
      </c>
      <c r="AB714" t="inlineStr">
        <is>
          <t>Supplier Target Pathway</t>
        </is>
      </c>
      <c r="AC714" t="n">
        <v>624.5126</v>
      </c>
      <c r="AD714" t="n">
        <v>255.6755</v>
      </c>
      <c r="AE714" t="n">
        <v>301.7801</v>
      </c>
      <c r="AF714" t="n">
        <v>301.7801</v>
      </c>
      <c r="AG714" t="n">
        <v>322.7325</v>
      </c>
      <c r="AH714" t="n">
        <v>0.0001777</v>
      </c>
      <c r="AI714" t="n">
        <v>0.516775</v>
      </c>
      <c r="AJ714" t="n">
        <v>46.1046</v>
      </c>
      <c r="AK714" t="n">
        <v>23.0523</v>
      </c>
      <c r="AL714" t="n">
        <v>-733.474</v>
      </c>
      <c r="AM714" t="n">
        <v>3545.9045</v>
      </c>
      <c r="AN714" t="n">
        <v>0.99</v>
      </c>
      <c r="AO714" t="inlineStr">
        <is>
          <t>High</t>
        </is>
      </c>
      <c r="AP714" t="inlineStr">
        <is>
          <t>On Track to Glide Path</t>
        </is>
      </c>
    </row>
    <row r="715">
      <c r="A715" t="inlineStr">
        <is>
          <t>SUP-0045</t>
        </is>
      </c>
      <c r="B715" t="inlineStr">
        <is>
          <t>Logistics Supplier 045</t>
        </is>
      </c>
      <c r="C715" t="inlineStr">
        <is>
          <t>Logistics</t>
        </is>
      </c>
      <c r="D715" t="n">
        <v>2024</v>
      </c>
      <c r="E715" t="n">
        <v>2019</v>
      </c>
      <c r="F715" t="n">
        <v>2035</v>
      </c>
      <c r="G715" t="n">
        <v>671.0594</v>
      </c>
      <c r="H715" t="n">
        <v>101.3782</v>
      </c>
      <c r="I715" t="n">
        <v>91.246</v>
      </c>
      <c r="J715" t="n">
        <v>474.1713</v>
      </c>
      <c r="K715" t="n">
        <v>1698255.43</v>
      </c>
      <c r="L715" t="n">
        <v>11816970.36</v>
      </c>
      <c r="M715" t="n">
        <v>671.0594</v>
      </c>
      <c r="N715" t="inlineStr">
        <is>
          <t>Provided Total Emissions</t>
        </is>
      </c>
      <c r="O715" t="b">
        <v>1</v>
      </c>
      <c r="P715" t="n">
        <v>0.02489</v>
      </c>
      <c r="Q715" t="n">
        <v>-0.028898</v>
      </c>
      <c r="R715" t="n">
        <v>379.5431</v>
      </c>
      <c r="S715" t="n">
        <v>5646.9756</v>
      </c>
      <c r="T715" t="n">
        <v>-291.5163</v>
      </c>
      <c r="U715" t="n">
        <v>4975.9162</v>
      </c>
      <c r="V715" t="n">
        <v>-0.434412</v>
      </c>
      <c r="W715" t="n">
        <v>7.415016</v>
      </c>
      <c r="X715" t="inlineStr">
        <is>
          <t>High</t>
        </is>
      </c>
      <c r="Y715" t="inlineStr">
        <is>
          <t>None</t>
        </is>
      </c>
      <c r="Z715" t="inlineStr">
        <is>
          <t>Valid</t>
        </is>
      </c>
      <c r="AA715" t="n">
        <v>2034</v>
      </c>
      <c r="AB715" t="inlineStr">
        <is>
          <t>Supplier Target Pathway</t>
        </is>
      </c>
      <c r="AC715" t="n">
        <v>624.5126</v>
      </c>
      <c r="AD715" t="n">
        <v>255.6755</v>
      </c>
      <c r="AE715" t="n">
        <v>278.7278</v>
      </c>
      <c r="AF715" t="n">
        <v>278.7278</v>
      </c>
      <c r="AG715" t="n">
        <v>345.7848</v>
      </c>
      <c r="AH715" t="n">
        <v>0.00016413</v>
      </c>
      <c r="AI715" t="n">
        <v>0.553687</v>
      </c>
      <c r="AJ715" t="n">
        <v>23.0523</v>
      </c>
      <c r="AK715" t="n">
        <v>23.0523</v>
      </c>
      <c r="AL715" t="n">
        <v>-1012.2018</v>
      </c>
      <c r="AM715" t="n">
        <v>3824.6323</v>
      </c>
      <c r="AN715" t="n">
        <v>0.99</v>
      </c>
      <c r="AO715" t="inlineStr">
        <is>
          <t>Medium</t>
        </is>
      </c>
      <c r="AP715" t="inlineStr">
        <is>
          <t>On Track to Glide Path</t>
        </is>
      </c>
    </row>
    <row r="716">
      <c r="A716" t="inlineStr">
        <is>
          <t>SUP-0045</t>
        </is>
      </c>
      <c r="B716" t="inlineStr">
        <is>
          <t>Logistics Supplier 045</t>
        </is>
      </c>
      <c r="C716" t="inlineStr">
        <is>
          <t>Logistics</t>
        </is>
      </c>
      <c r="D716" t="n">
        <v>2024</v>
      </c>
      <c r="E716" t="n">
        <v>2019</v>
      </c>
      <c r="F716" t="n">
        <v>2035</v>
      </c>
      <c r="G716" t="n">
        <v>671.0594</v>
      </c>
      <c r="H716" t="n">
        <v>101.3782</v>
      </c>
      <c r="I716" t="n">
        <v>91.246</v>
      </c>
      <c r="J716" t="n">
        <v>474.1713</v>
      </c>
      <c r="K716" t="n">
        <v>1698255.43</v>
      </c>
      <c r="L716" t="n">
        <v>11816970.36</v>
      </c>
      <c r="M716" t="n">
        <v>671.0594</v>
      </c>
      <c r="N716" t="inlineStr">
        <is>
          <t>Provided Total Emissions</t>
        </is>
      </c>
      <c r="O716" t="b">
        <v>1</v>
      </c>
      <c r="P716" t="n">
        <v>0.02489</v>
      </c>
      <c r="Q716" t="n">
        <v>-0.028898</v>
      </c>
      <c r="R716" t="n">
        <v>379.5431</v>
      </c>
      <c r="S716" t="n">
        <v>5646.9756</v>
      </c>
      <c r="T716" t="n">
        <v>-291.5163</v>
      </c>
      <c r="U716" t="n">
        <v>4975.9162</v>
      </c>
      <c r="V716" t="n">
        <v>-0.434412</v>
      </c>
      <c r="W716" t="n">
        <v>7.415016</v>
      </c>
      <c r="X716" t="inlineStr">
        <is>
          <t>High</t>
        </is>
      </c>
      <c r="Y716" t="inlineStr">
        <is>
          <t>None</t>
        </is>
      </c>
      <c r="Z716" t="inlineStr">
        <is>
          <t>Valid</t>
        </is>
      </c>
      <c r="AA716" t="n">
        <v>2035</v>
      </c>
      <c r="AB716" t="inlineStr">
        <is>
          <t>Supplier Target Pathway</t>
        </is>
      </c>
      <c r="AC716" t="n">
        <v>624.5126</v>
      </c>
      <c r="AD716" t="n">
        <v>255.6755</v>
      </c>
      <c r="AE716" t="n">
        <v>255.6755</v>
      </c>
      <c r="AF716" t="n">
        <v>255.6755</v>
      </c>
      <c r="AG716" t="n">
        <v>368.8371</v>
      </c>
      <c r="AH716" t="n">
        <v>0.00015055</v>
      </c>
      <c r="AI716" t="n">
        <v>0.5906</v>
      </c>
      <c r="AJ716" t="n">
        <v>0</v>
      </c>
      <c r="AK716" t="n">
        <v>23.0523</v>
      </c>
      <c r="AL716" t="n">
        <v>-1267.8773</v>
      </c>
      <c r="AM716" t="n">
        <v>4080.3078</v>
      </c>
      <c r="AN716" t="n">
        <v>0.99</v>
      </c>
      <c r="AO716" t="inlineStr">
        <is>
          <t>Low</t>
        </is>
      </c>
      <c r="AP716" t="inlineStr">
        <is>
          <t>On Track</t>
        </is>
      </c>
    </row>
    <row r="717">
      <c r="A717" t="inlineStr">
        <is>
          <t>SUP-0045</t>
        </is>
      </c>
      <c r="B717" t="inlineStr">
        <is>
          <t>Logistics Supplier 045</t>
        </is>
      </c>
      <c r="C717" t="inlineStr">
        <is>
          <t>Logistics</t>
        </is>
      </c>
      <c r="D717" t="n">
        <v>2024</v>
      </c>
      <c r="E717" t="n">
        <v>2019</v>
      </c>
      <c r="F717" t="n">
        <v>2035</v>
      </c>
      <c r="G717" t="n">
        <v>671.0594</v>
      </c>
      <c r="H717" t="n">
        <v>101.3782</v>
      </c>
      <c r="I717" t="n">
        <v>91.246</v>
      </c>
      <c r="J717" t="n">
        <v>474.1713</v>
      </c>
      <c r="K717" t="n">
        <v>1698255.43</v>
      </c>
      <c r="L717" t="n">
        <v>11816970.36</v>
      </c>
      <c r="M717" t="n">
        <v>671.0594</v>
      </c>
      <c r="N717" t="inlineStr">
        <is>
          <t>Provided Total Emissions</t>
        </is>
      </c>
      <c r="O717" t="b">
        <v>1</v>
      </c>
      <c r="P717" t="n">
        <v>0.02489</v>
      </c>
      <c r="Q717" t="n">
        <v>-0.028898</v>
      </c>
      <c r="R717" t="n">
        <v>379.5431</v>
      </c>
      <c r="S717" t="n">
        <v>5646.9756</v>
      </c>
      <c r="T717" t="n">
        <v>-291.5163</v>
      </c>
      <c r="U717" t="n">
        <v>4975.9162</v>
      </c>
      <c r="V717" t="n">
        <v>-0.434412</v>
      </c>
      <c r="W717" t="n">
        <v>7.415016</v>
      </c>
      <c r="X717" t="inlineStr">
        <is>
          <t>High</t>
        </is>
      </c>
      <c r="Y717" t="inlineStr">
        <is>
          <t>None</t>
        </is>
      </c>
      <c r="Z717" t="inlineStr">
        <is>
          <t>Valid</t>
        </is>
      </c>
      <c r="AA717" t="n">
        <v>2036</v>
      </c>
      <c r="AB717" t="inlineStr">
        <is>
          <t>Supplier Target Pathway</t>
        </is>
      </c>
      <c r="AC717" t="n">
        <v>624.5126</v>
      </c>
      <c r="AD717" t="n">
        <v>255.6755</v>
      </c>
      <c r="AE717" t="n">
        <v>255.6755</v>
      </c>
      <c r="AF717" t="n">
        <v>255.6755</v>
      </c>
      <c r="AG717" t="n">
        <v>368.8371</v>
      </c>
      <c r="AH717" t="n">
        <v>0.00015055</v>
      </c>
      <c r="AI717" t="n">
        <v>0.5906</v>
      </c>
      <c r="AJ717" t="n">
        <v>0</v>
      </c>
      <c r="AK717" t="n">
        <v>23.0523</v>
      </c>
      <c r="AL717" t="n">
        <v>-1523.5528</v>
      </c>
      <c r="AM717" t="n">
        <v>4335.9833</v>
      </c>
      <c r="AN717" t="n">
        <v>0.99</v>
      </c>
      <c r="AO717" t="inlineStr">
        <is>
          <t>Low</t>
        </is>
      </c>
      <c r="AP717" t="inlineStr">
        <is>
          <t>On Track</t>
        </is>
      </c>
    </row>
    <row r="718">
      <c r="A718" t="inlineStr">
        <is>
          <t>SUP-0045</t>
        </is>
      </c>
      <c r="B718" t="inlineStr">
        <is>
          <t>Logistics Supplier 045</t>
        </is>
      </c>
      <c r="C718" t="inlineStr">
        <is>
          <t>Logistics</t>
        </is>
      </c>
      <c r="D718" t="n">
        <v>2024</v>
      </c>
      <c r="E718" t="n">
        <v>2019</v>
      </c>
      <c r="F718" t="n">
        <v>2035</v>
      </c>
      <c r="G718" t="n">
        <v>671.0594</v>
      </c>
      <c r="H718" t="n">
        <v>101.3782</v>
      </c>
      <c r="I718" t="n">
        <v>91.246</v>
      </c>
      <c r="J718" t="n">
        <v>474.1713</v>
      </c>
      <c r="K718" t="n">
        <v>1698255.43</v>
      </c>
      <c r="L718" t="n">
        <v>11816970.36</v>
      </c>
      <c r="M718" t="n">
        <v>671.0594</v>
      </c>
      <c r="N718" t="inlineStr">
        <is>
          <t>Provided Total Emissions</t>
        </is>
      </c>
      <c r="O718" t="b">
        <v>1</v>
      </c>
      <c r="P718" t="n">
        <v>0.02489</v>
      </c>
      <c r="Q718" t="n">
        <v>-0.028898</v>
      </c>
      <c r="R718" t="n">
        <v>379.5431</v>
      </c>
      <c r="S718" t="n">
        <v>5646.9756</v>
      </c>
      <c r="T718" t="n">
        <v>-291.5163</v>
      </c>
      <c r="U718" t="n">
        <v>4975.9162</v>
      </c>
      <c r="V718" t="n">
        <v>-0.434412</v>
      </c>
      <c r="W718" t="n">
        <v>7.415016</v>
      </c>
      <c r="X718" t="inlineStr">
        <is>
          <t>High</t>
        </is>
      </c>
      <c r="Y718" t="inlineStr">
        <is>
          <t>None</t>
        </is>
      </c>
      <c r="Z718" t="inlineStr">
        <is>
          <t>Valid</t>
        </is>
      </c>
      <c r="AA718" t="n">
        <v>2037</v>
      </c>
      <c r="AB718" t="inlineStr">
        <is>
          <t>Supplier Target Pathway</t>
        </is>
      </c>
      <c r="AC718" t="n">
        <v>624.5126</v>
      </c>
      <c r="AD718" t="n">
        <v>255.6755</v>
      </c>
      <c r="AE718" t="n">
        <v>255.6755</v>
      </c>
      <c r="AF718" t="n">
        <v>255.6755</v>
      </c>
      <c r="AG718" t="n">
        <v>368.8371</v>
      </c>
      <c r="AH718" t="n">
        <v>0.00015055</v>
      </c>
      <c r="AI718" t="n">
        <v>0.5906</v>
      </c>
      <c r="AJ718" t="n">
        <v>0</v>
      </c>
      <c r="AK718" t="n">
        <v>23.0523</v>
      </c>
      <c r="AL718" t="n">
        <v>-1779.2283</v>
      </c>
      <c r="AM718" t="n">
        <v>4591.6588</v>
      </c>
      <c r="AN718" t="n">
        <v>0.99</v>
      </c>
      <c r="AO718" t="inlineStr">
        <is>
          <t>Low</t>
        </is>
      </c>
      <c r="AP718" t="inlineStr">
        <is>
          <t>On Track</t>
        </is>
      </c>
    </row>
    <row r="719">
      <c r="A719" t="inlineStr">
        <is>
          <t>SUP-0045</t>
        </is>
      </c>
      <c r="B719" t="inlineStr">
        <is>
          <t>Logistics Supplier 045</t>
        </is>
      </c>
      <c r="C719" t="inlineStr">
        <is>
          <t>Logistics</t>
        </is>
      </c>
      <c r="D719" t="n">
        <v>2024</v>
      </c>
      <c r="E719" t="n">
        <v>2019</v>
      </c>
      <c r="F719" t="n">
        <v>2035</v>
      </c>
      <c r="G719" t="n">
        <v>671.0594</v>
      </c>
      <c r="H719" t="n">
        <v>101.3782</v>
      </c>
      <c r="I719" t="n">
        <v>91.246</v>
      </c>
      <c r="J719" t="n">
        <v>474.1713</v>
      </c>
      <c r="K719" t="n">
        <v>1698255.43</v>
      </c>
      <c r="L719" t="n">
        <v>11816970.36</v>
      </c>
      <c r="M719" t="n">
        <v>671.0594</v>
      </c>
      <c r="N719" t="inlineStr">
        <is>
          <t>Provided Total Emissions</t>
        </is>
      </c>
      <c r="O719" t="b">
        <v>1</v>
      </c>
      <c r="P719" t="n">
        <v>0.02489</v>
      </c>
      <c r="Q719" t="n">
        <v>-0.028898</v>
      </c>
      <c r="R719" t="n">
        <v>379.5431</v>
      </c>
      <c r="S719" t="n">
        <v>5646.9756</v>
      </c>
      <c r="T719" t="n">
        <v>-291.5163</v>
      </c>
      <c r="U719" t="n">
        <v>4975.9162</v>
      </c>
      <c r="V719" t="n">
        <v>-0.434412</v>
      </c>
      <c r="W719" t="n">
        <v>7.415016</v>
      </c>
      <c r="X719" t="inlineStr">
        <is>
          <t>High</t>
        </is>
      </c>
      <c r="Y719" t="inlineStr">
        <is>
          <t>None</t>
        </is>
      </c>
      <c r="Z719" t="inlineStr">
        <is>
          <t>Valid</t>
        </is>
      </c>
      <c r="AA719" t="n">
        <v>2038</v>
      </c>
      <c r="AB719" t="inlineStr">
        <is>
          <t>Supplier Target Pathway</t>
        </is>
      </c>
      <c r="AC719" t="n">
        <v>624.5126</v>
      </c>
      <c r="AD719" t="n">
        <v>255.6755</v>
      </c>
      <c r="AE719" t="n">
        <v>255.6755</v>
      </c>
      <c r="AF719" t="n">
        <v>255.6755</v>
      </c>
      <c r="AG719" t="n">
        <v>368.8371</v>
      </c>
      <c r="AH719" t="n">
        <v>0.00015055</v>
      </c>
      <c r="AI719" t="n">
        <v>0.5906</v>
      </c>
      <c r="AJ719" t="n">
        <v>0</v>
      </c>
      <c r="AK719" t="n">
        <v>23.0523</v>
      </c>
      <c r="AL719" t="n">
        <v>-2034.9038</v>
      </c>
      <c r="AM719" t="n">
        <v>4847.3343</v>
      </c>
      <c r="AN719" t="n">
        <v>0.99</v>
      </c>
      <c r="AO719" t="inlineStr">
        <is>
          <t>Low</t>
        </is>
      </c>
      <c r="AP719" t="inlineStr">
        <is>
          <t>On Track</t>
        </is>
      </c>
    </row>
    <row r="720">
      <c r="A720" t="inlineStr">
        <is>
          <t>SUP-0045</t>
        </is>
      </c>
      <c r="B720" t="inlineStr">
        <is>
          <t>Logistics Supplier 045</t>
        </is>
      </c>
      <c r="C720" t="inlineStr">
        <is>
          <t>Logistics</t>
        </is>
      </c>
      <c r="D720" t="n">
        <v>2024</v>
      </c>
      <c r="E720" t="n">
        <v>2019</v>
      </c>
      <c r="F720" t="n">
        <v>2035</v>
      </c>
      <c r="G720" t="n">
        <v>671.0594</v>
      </c>
      <c r="H720" t="n">
        <v>101.3782</v>
      </c>
      <c r="I720" t="n">
        <v>91.246</v>
      </c>
      <c r="J720" t="n">
        <v>474.1713</v>
      </c>
      <c r="K720" t="n">
        <v>1698255.43</v>
      </c>
      <c r="L720" t="n">
        <v>11816970.36</v>
      </c>
      <c r="M720" t="n">
        <v>671.0594</v>
      </c>
      <c r="N720" t="inlineStr">
        <is>
          <t>Provided Total Emissions</t>
        </is>
      </c>
      <c r="O720" t="b">
        <v>1</v>
      </c>
      <c r="P720" t="n">
        <v>0.02489</v>
      </c>
      <c r="Q720" t="n">
        <v>-0.028898</v>
      </c>
      <c r="R720" t="n">
        <v>379.5431</v>
      </c>
      <c r="S720" t="n">
        <v>5646.9756</v>
      </c>
      <c r="T720" t="n">
        <v>-291.5163</v>
      </c>
      <c r="U720" t="n">
        <v>4975.9162</v>
      </c>
      <c r="V720" t="n">
        <v>-0.434412</v>
      </c>
      <c r="W720" t="n">
        <v>7.415016</v>
      </c>
      <c r="X720" t="inlineStr">
        <is>
          <t>High</t>
        </is>
      </c>
      <c r="Y720" t="inlineStr">
        <is>
          <t>None</t>
        </is>
      </c>
      <c r="Z720" t="inlineStr">
        <is>
          <t>Valid</t>
        </is>
      </c>
      <c r="AA720" t="n">
        <v>2039</v>
      </c>
      <c r="AB720" t="inlineStr">
        <is>
          <t>Supplier Target Pathway</t>
        </is>
      </c>
      <c r="AC720" t="n">
        <v>624.5126</v>
      </c>
      <c r="AD720" t="n">
        <v>255.6755</v>
      </c>
      <c r="AE720" t="n">
        <v>255.6755</v>
      </c>
      <c r="AF720" t="n">
        <v>255.6755</v>
      </c>
      <c r="AG720" t="n">
        <v>368.8371</v>
      </c>
      <c r="AH720" t="n">
        <v>0.00015055</v>
      </c>
      <c r="AI720" t="n">
        <v>0.5906</v>
      </c>
      <c r="AJ720" t="n">
        <v>0</v>
      </c>
      <c r="AK720" t="n">
        <v>23.0523</v>
      </c>
      <c r="AL720" t="n">
        <v>-2290.5793</v>
      </c>
      <c r="AM720" t="n">
        <v>5103.0098</v>
      </c>
      <c r="AN720" t="n">
        <v>0.99</v>
      </c>
      <c r="AO720" t="inlineStr">
        <is>
          <t>Low</t>
        </is>
      </c>
      <c r="AP720" t="inlineStr">
        <is>
          <t>On Track</t>
        </is>
      </c>
    </row>
    <row r="721">
      <c r="A721" t="inlineStr">
        <is>
          <t>SUP-0045</t>
        </is>
      </c>
      <c r="B721" t="inlineStr">
        <is>
          <t>Logistics Supplier 045</t>
        </is>
      </c>
      <c r="C721" t="inlineStr">
        <is>
          <t>Logistics</t>
        </is>
      </c>
      <c r="D721" t="n">
        <v>2024</v>
      </c>
      <c r="E721" t="n">
        <v>2019</v>
      </c>
      <c r="F721" t="n">
        <v>2035</v>
      </c>
      <c r="G721" t="n">
        <v>671.0594</v>
      </c>
      <c r="H721" t="n">
        <v>101.3782</v>
      </c>
      <c r="I721" t="n">
        <v>91.246</v>
      </c>
      <c r="J721" t="n">
        <v>474.1713</v>
      </c>
      <c r="K721" t="n">
        <v>1698255.43</v>
      </c>
      <c r="L721" t="n">
        <v>11816970.36</v>
      </c>
      <c r="M721" t="n">
        <v>671.0594</v>
      </c>
      <c r="N721" t="inlineStr">
        <is>
          <t>Provided Total Emissions</t>
        </is>
      </c>
      <c r="O721" t="b">
        <v>1</v>
      </c>
      <c r="P721" t="n">
        <v>0.02489</v>
      </c>
      <c r="Q721" t="n">
        <v>-0.028898</v>
      </c>
      <c r="R721" t="n">
        <v>379.5431</v>
      </c>
      <c r="S721" t="n">
        <v>5646.9756</v>
      </c>
      <c r="T721" t="n">
        <v>-291.5163</v>
      </c>
      <c r="U721" t="n">
        <v>4975.9162</v>
      </c>
      <c r="V721" t="n">
        <v>-0.434412</v>
      </c>
      <c r="W721" t="n">
        <v>7.415016</v>
      </c>
      <c r="X721" t="inlineStr">
        <is>
          <t>High</t>
        </is>
      </c>
      <c r="Y721" t="inlineStr">
        <is>
          <t>None</t>
        </is>
      </c>
      <c r="Z721" t="inlineStr">
        <is>
          <t>Valid</t>
        </is>
      </c>
      <c r="AA721" t="n">
        <v>2040</v>
      </c>
      <c r="AB721" t="inlineStr">
        <is>
          <t>Supplier Target Pathway</t>
        </is>
      </c>
      <c r="AC721" t="n">
        <v>624.5126</v>
      </c>
      <c r="AD721" t="n">
        <v>255.6755</v>
      </c>
      <c r="AE721" t="n">
        <v>255.6755</v>
      </c>
      <c r="AF721" t="n">
        <v>255.6755</v>
      </c>
      <c r="AG721" t="n">
        <v>368.8371</v>
      </c>
      <c r="AH721" t="n">
        <v>0.00015055</v>
      </c>
      <c r="AI721" t="n">
        <v>0.5906</v>
      </c>
      <c r="AJ721" t="n">
        <v>0</v>
      </c>
      <c r="AK721" t="n">
        <v>23.0523</v>
      </c>
      <c r="AL721" t="n">
        <v>-2546.2548</v>
      </c>
      <c r="AM721" t="n">
        <v>5358.6853</v>
      </c>
      <c r="AN721" t="n">
        <v>0.99</v>
      </c>
      <c r="AO721" t="inlineStr">
        <is>
          <t>Low</t>
        </is>
      </c>
      <c r="AP721" t="inlineStr">
        <is>
          <t>On Track</t>
        </is>
      </c>
    </row>
    <row r="722">
      <c r="A722" t="inlineStr">
        <is>
          <t>SUP-0046</t>
        </is>
      </c>
      <c r="B722" t="inlineStr">
        <is>
          <t>Textiles Supplier 046</t>
        </is>
      </c>
      <c r="C722" t="inlineStr">
        <is>
          <t>Textiles</t>
        </is>
      </c>
      <c r="D722" t="n">
        <v>2024</v>
      </c>
      <c r="E722" t="n">
        <v>2015</v>
      </c>
      <c r="F722" t="n">
        <v>2030</v>
      </c>
      <c r="G722" t="n">
        <v>10245.2754</v>
      </c>
      <c r="H722" t="n">
        <v>2575.2464</v>
      </c>
      <c r="I722" t="n">
        <v>1393.8351</v>
      </c>
      <c r="J722" t="n">
        <v>6178.8654</v>
      </c>
      <c r="K722" t="n">
        <v>35669239.14</v>
      </c>
      <c r="L722" t="n">
        <v>298991933.66</v>
      </c>
      <c r="M722" t="n">
        <v>10245.2754</v>
      </c>
      <c r="N722" t="inlineStr">
        <is>
          <t>Provided Total Emissions</t>
        </is>
      </c>
      <c r="O722" t="b">
        <v>1</v>
      </c>
      <c r="P722" t="n">
        <v>-0.011304</v>
      </c>
      <c r="Q722" t="n">
        <v>0.044866</v>
      </c>
      <c r="R722" t="n">
        <v>10422.9084</v>
      </c>
      <c r="S722" t="n">
        <v>51854.1711</v>
      </c>
      <c r="T722" t="n">
        <v>177.633</v>
      </c>
      <c r="U722" t="n">
        <v>41608.8957</v>
      </c>
      <c r="V722" t="n">
        <v>0.017338</v>
      </c>
      <c r="W722" t="n">
        <v>4.061276</v>
      </c>
      <c r="X722" t="inlineStr">
        <is>
          <t>High</t>
        </is>
      </c>
      <c r="Y722" t="inlineStr">
        <is>
          <t>None</t>
        </is>
      </c>
      <c r="Z722" t="inlineStr">
        <is>
          <t>Valid</t>
        </is>
      </c>
      <c r="AA722" t="n">
        <v>2025</v>
      </c>
      <c r="AB722" t="inlineStr">
        <is>
          <t>Industry Haircut Pathway</t>
        </is>
      </c>
      <c r="AC722" t="n">
        <v>11348.9965</v>
      </c>
      <c r="AD722" t="n">
        <v>7750.2297</v>
      </c>
      <c r="AE722" t="n">
        <v>8949.818600000001</v>
      </c>
      <c r="AF722" t="n">
        <v>8949.818600000001</v>
      </c>
      <c r="AG722" t="n">
        <v>2399.1779</v>
      </c>
      <c r="AH722" t="n">
        <v>0.00025091</v>
      </c>
      <c r="AI722" t="n">
        <v>0.2114</v>
      </c>
      <c r="AJ722" t="n">
        <v>1199.5889</v>
      </c>
      <c r="AK722" t="n">
        <v>239.9178</v>
      </c>
      <c r="AL722" t="n">
        <v>37551.5596</v>
      </c>
      <c r="AM722" t="n">
        <v>8949.818600000001</v>
      </c>
      <c r="AN722" t="n">
        <v>0.95</v>
      </c>
      <c r="AO722" t="inlineStr">
        <is>
          <t>High</t>
        </is>
      </c>
      <c r="AP722" t="inlineStr">
        <is>
          <t>On Track to Glide Path</t>
        </is>
      </c>
    </row>
    <row r="723">
      <c r="A723" t="inlineStr">
        <is>
          <t>SUP-0046</t>
        </is>
      </c>
      <c r="B723" t="inlineStr">
        <is>
          <t>Textiles Supplier 046</t>
        </is>
      </c>
      <c r="C723" t="inlineStr">
        <is>
          <t>Textiles</t>
        </is>
      </c>
      <c r="D723" t="n">
        <v>2024</v>
      </c>
      <c r="E723" t="n">
        <v>2015</v>
      </c>
      <c r="F723" t="n">
        <v>2030</v>
      </c>
      <c r="G723" t="n">
        <v>10245.2754</v>
      </c>
      <c r="H723" t="n">
        <v>2575.2464</v>
      </c>
      <c r="I723" t="n">
        <v>1393.8351</v>
      </c>
      <c r="J723" t="n">
        <v>6178.8654</v>
      </c>
      <c r="K723" t="n">
        <v>35669239.14</v>
      </c>
      <c r="L723" t="n">
        <v>298991933.66</v>
      </c>
      <c r="M723" t="n">
        <v>10245.2754</v>
      </c>
      <c r="N723" t="inlineStr">
        <is>
          <t>Provided Total Emissions</t>
        </is>
      </c>
      <c r="O723" t="b">
        <v>1</v>
      </c>
      <c r="P723" t="n">
        <v>-0.011304</v>
      </c>
      <c r="Q723" t="n">
        <v>0.044866</v>
      </c>
      <c r="R723" t="n">
        <v>10422.9084</v>
      </c>
      <c r="S723" t="n">
        <v>51854.1711</v>
      </c>
      <c r="T723" t="n">
        <v>177.633</v>
      </c>
      <c r="U723" t="n">
        <v>41608.8957</v>
      </c>
      <c r="V723" t="n">
        <v>0.017338</v>
      </c>
      <c r="W723" t="n">
        <v>4.061276</v>
      </c>
      <c r="X723" t="inlineStr">
        <is>
          <t>High</t>
        </is>
      </c>
      <c r="Y723" t="inlineStr">
        <is>
          <t>None</t>
        </is>
      </c>
      <c r="Z723" t="inlineStr">
        <is>
          <t>Valid</t>
        </is>
      </c>
      <c r="AA723" t="n">
        <v>2026</v>
      </c>
      <c r="AB723" t="inlineStr">
        <is>
          <t>Industry Haircut Pathway</t>
        </is>
      </c>
      <c r="AC723" t="n">
        <v>11348.9965</v>
      </c>
      <c r="AD723" t="n">
        <v>7750.2297</v>
      </c>
      <c r="AE723" t="n">
        <v>8709.900900000001</v>
      </c>
      <c r="AF723" t="n">
        <v>8709.900900000001</v>
      </c>
      <c r="AG723" t="n">
        <v>2639.0956</v>
      </c>
      <c r="AH723" t="n">
        <v>0.00024419</v>
      </c>
      <c r="AI723" t="n">
        <v>0.23254</v>
      </c>
      <c r="AJ723" t="n">
        <v>959.6711</v>
      </c>
      <c r="AK723" t="n">
        <v>239.9178</v>
      </c>
      <c r="AL723" t="n">
        <v>28841.6587</v>
      </c>
      <c r="AM723" t="n">
        <v>17659.7195</v>
      </c>
      <c r="AN723" t="n">
        <v>0.95</v>
      </c>
      <c r="AO723" t="inlineStr">
        <is>
          <t>Medium</t>
        </is>
      </c>
      <c r="AP723" t="inlineStr">
        <is>
          <t>On Track to Glide Path</t>
        </is>
      </c>
    </row>
    <row r="724">
      <c r="A724" t="inlineStr">
        <is>
          <t>SUP-0046</t>
        </is>
      </c>
      <c r="B724" t="inlineStr">
        <is>
          <t>Textiles Supplier 046</t>
        </is>
      </c>
      <c r="C724" t="inlineStr">
        <is>
          <t>Textiles</t>
        </is>
      </c>
      <c r="D724" t="n">
        <v>2024</v>
      </c>
      <c r="E724" t="n">
        <v>2015</v>
      </c>
      <c r="F724" t="n">
        <v>2030</v>
      </c>
      <c r="G724" t="n">
        <v>10245.2754</v>
      </c>
      <c r="H724" t="n">
        <v>2575.2464</v>
      </c>
      <c r="I724" t="n">
        <v>1393.8351</v>
      </c>
      <c r="J724" t="n">
        <v>6178.8654</v>
      </c>
      <c r="K724" t="n">
        <v>35669239.14</v>
      </c>
      <c r="L724" t="n">
        <v>298991933.66</v>
      </c>
      <c r="M724" t="n">
        <v>10245.2754</v>
      </c>
      <c r="N724" t="inlineStr">
        <is>
          <t>Provided Total Emissions</t>
        </is>
      </c>
      <c r="O724" t="b">
        <v>1</v>
      </c>
      <c r="P724" t="n">
        <v>-0.011304</v>
      </c>
      <c r="Q724" t="n">
        <v>0.044866</v>
      </c>
      <c r="R724" t="n">
        <v>10422.9084</v>
      </c>
      <c r="S724" t="n">
        <v>51854.1711</v>
      </c>
      <c r="T724" t="n">
        <v>177.633</v>
      </c>
      <c r="U724" t="n">
        <v>41608.8957</v>
      </c>
      <c r="V724" t="n">
        <v>0.017338</v>
      </c>
      <c r="W724" t="n">
        <v>4.061276</v>
      </c>
      <c r="X724" t="inlineStr">
        <is>
          <t>High</t>
        </is>
      </c>
      <c r="Y724" t="inlineStr">
        <is>
          <t>None</t>
        </is>
      </c>
      <c r="Z724" t="inlineStr">
        <is>
          <t>Valid</t>
        </is>
      </c>
      <c r="AA724" t="n">
        <v>2027</v>
      </c>
      <c r="AB724" t="inlineStr">
        <is>
          <t>Industry Haircut Pathway</t>
        </is>
      </c>
      <c r="AC724" t="n">
        <v>11348.9965</v>
      </c>
      <c r="AD724" t="n">
        <v>7750.2297</v>
      </c>
      <c r="AE724" t="n">
        <v>8469.983099999999</v>
      </c>
      <c r="AF724" t="n">
        <v>8469.983099999999</v>
      </c>
      <c r="AG724" t="n">
        <v>2879.0134</v>
      </c>
      <c r="AH724" t="n">
        <v>0.00023746</v>
      </c>
      <c r="AI724" t="n">
        <v>0.25368</v>
      </c>
      <c r="AJ724" t="n">
        <v>719.7534000000001</v>
      </c>
      <c r="AK724" t="n">
        <v>239.9178</v>
      </c>
      <c r="AL724" t="n">
        <v>20371.6756</v>
      </c>
      <c r="AM724" t="n">
        <v>26129.7026</v>
      </c>
      <c r="AN724" t="n">
        <v>0.95</v>
      </c>
      <c r="AO724" t="inlineStr">
        <is>
          <t>Medium</t>
        </is>
      </c>
      <c r="AP724" t="inlineStr">
        <is>
          <t>On Track to Glide Path</t>
        </is>
      </c>
    </row>
    <row r="725">
      <c r="A725" t="inlineStr">
        <is>
          <t>SUP-0046</t>
        </is>
      </c>
      <c r="B725" t="inlineStr">
        <is>
          <t>Textiles Supplier 046</t>
        </is>
      </c>
      <c r="C725" t="inlineStr">
        <is>
          <t>Textiles</t>
        </is>
      </c>
      <c r="D725" t="n">
        <v>2024</v>
      </c>
      <c r="E725" t="n">
        <v>2015</v>
      </c>
      <c r="F725" t="n">
        <v>2030</v>
      </c>
      <c r="G725" t="n">
        <v>10245.2754</v>
      </c>
      <c r="H725" t="n">
        <v>2575.2464</v>
      </c>
      <c r="I725" t="n">
        <v>1393.8351</v>
      </c>
      <c r="J725" t="n">
        <v>6178.8654</v>
      </c>
      <c r="K725" t="n">
        <v>35669239.14</v>
      </c>
      <c r="L725" t="n">
        <v>298991933.66</v>
      </c>
      <c r="M725" t="n">
        <v>10245.2754</v>
      </c>
      <c r="N725" t="inlineStr">
        <is>
          <t>Provided Total Emissions</t>
        </is>
      </c>
      <c r="O725" t="b">
        <v>1</v>
      </c>
      <c r="P725" t="n">
        <v>-0.011304</v>
      </c>
      <c r="Q725" t="n">
        <v>0.044866</v>
      </c>
      <c r="R725" t="n">
        <v>10422.9084</v>
      </c>
      <c r="S725" t="n">
        <v>51854.1711</v>
      </c>
      <c r="T725" t="n">
        <v>177.633</v>
      </c>
      <c r="U725" t="n">
        <v>41608.8957</v>
      </c>
      <c r="V725" t="n">
        <v>0.017338</v>
      </c>
      <c r="W725" t="n">
        <v>4.061276</v>
      </c>
      <c r="X725" t="inlineStr">
        <is>
          <t>High</t>
        </is>
      </c>
      <c r="Y725" t="inlineStr">
        <is>
          <t>None</t>
        </is>
      </c>
      <c r="Z725" t="inlineStr">
        <is>
          <t>Valid</t>
        </is>
      </c>
      <c r="AA725" t="n">
        <v>2028</v>
      </c>
      <c r="AB725" t="inlineStr">
        <is>
          <t>Industry Haircut Pathway</t>
        </is>
      </c>
      <c r="AC725" t="n">
        <v>11348.9965</v>
      </c>
      <c r="AD725" t="n">
        <v>7750.2297</v>
      </c>
      <c r="AE725" t="n">
        <v>8230.0653</v>
      </c>
      <c r="AF725" t="n">
        <v>8230.0653</v>
      </c>
      <c r="AG725" t="n">
        <v>3118.9312</v>
      </c>
      <c r="AH725" t="n">
        <v>0.00023073</v>
      </c>
      <c r="AI725" t="n">
        <v>0.27482</v>
      </c>
      <c r="AJ725" t="n">
        <v>479.8356</v>
      </c>
      <c r="AK725" t="n">
        <v>239.9178</v>
      </c>
      <c r="AL725" t="n">
        <v>12141.6103</v>
      </c>
      <c r="AM725" t="n">
        <v>34359.7679</v>
      </c>
      <c r="AN725" t="n">
        <v>0.95</v>
      </c>
      <c r="AO725" t="inlineStr">
        <is>
          <t>Medium</t>
        </is>
      </c>
      <c r="AP725" t="inlineStr">
        <is>
          <t>On Track to Glide Path</t>
        </is>
      </c>
    </row>
    <row r="726">
      <c r="A726" t="inlineStr">
        <is>
          <t>SUP-0046</t>
        </is>
      </c>
      <c r="B726" t="inlineStr">
        <is>
          <t>Textiles Supplier 046</t>
        </is>
      </c>
      <c r="C726" t="inlineStr">
        <is>
          <t>Textiles</t>
        </is>
      </c>
      <c r="D726" t="n">
        <v>2024</v>
      </c>
      <c r="E726" t="n">
        <v>2015</v>
      </c>
      <c r="F726" t="n">
        <v>2030</v>
      </c>
      <c r="G726" t="n">
        <v>10245.2754</v>
      </c>
      <c r="H726" t="n">
        <v>2575.2464</v>
      </c>
      <c r="I726" t="n">
        <v>1393.8351</v>
      </c>
      <c r="J726" t="n">
        <v>6178.8654</v>
      </c>
      <c r="K726" t="n">
        <v>35669239.14</v>
      </c>
      <c r="L726" t="n">
        <v>298991933.66</v>
      </c>
      <c r="M726" t="n">
        <v>10245.2754</v>
      </c>
      <c r="N726" t="inlineStr">
        <is>
          <t>Provided Total Emissions</t>
        </is>
      </c>
      <c r="O726" t="b">
        <v>1</v>
      </c>
      <c r="P726" t="n">
        <v>-0.011304</v>
      </c>
      <c r="Q726" t="n">
        <v>0.044866</v>
      </c>
      <c r="R726" t="n">
        <v>10422.9084</v>
      </c>
      <c r="S726" t="n">
        <v>51854.1711</v>
      </c>
      <c r="T726" t="n">
        <v>177.633</v>
      </c>
      <c r="U726" t="n">
        <v>41608.8957</v>
      </c>
      <c r="V726" t="n">
        <v>0.017338</v>
      </c>
      <c r="W726" t="n">
        <v>4.061276</v>
      </c>
      <c r="X726" t="inlineStr">
        <is>
          <t>High</t>
        </is>
      </c>
      <c r="Y726" t="inlineStr">
        <is>
          <t>None</t>
        </is>
      </c>
      <c r="Z726" t="inlineStr">
        <is>
          <t>Valid</t>
        </is>
      </c>
      <c r="AA726" t="n">
        <v>2029</v>
      </c>
      <c r="AB726" t="inlineStr">
        <is>
          <t>Industry Haircut Pathway</t>
        </is>
      </c>
      <c r="AC726" t="n">
        <v>11348.9965</v>
      </c>
      <c r="AD726" t="n">
        <v>7750.2297</v>
      </c>
      <c r="AE726" t="n">
        <v>7990.1475</v>
      </c>
      <c r="AF726" t="n">
        <v>7990.1475</v>
      </c>
      <c r="AG726" t="n">
        <v>3358.849</v>
      </c>
      <c r="AH726" t="n">
        <v>0.00022401</v>
      </c>
      <c r="AI726" t="n">
        <v>0.29596</v>
      </c>
      <c r="AJ726" t="n">
        <v>239.9178</v>
      </c>
      <c r="AK726" t="n">
        <v>239.9178</v>
      </c>
      <c r="AL726" t="n">
        <v>4151.4628</v>
      </c>
      <c r="AM726" t="n">
        <v>42349.9154</v>
      </c>
      <c r="AN726" t="n">
        <v>0.95</v>
      </c>
      <c r="AO726" t="inlineStr">
        <is>
          <t>Medium</t>
        </is>
      </c>
      <c r="AP726" t="inlineStr">
        <is>
          <t>On Track to Glide Path</t>
        </is>
      </c>
    </row>
    <row r="727">
      <c r="A727" t="inlineStr">
        <is>
          <t>SUP-0046</t>
        </is>
      </c>
      <c r="B727" t="inlineStr">
        <is>
          <t>Textiles Supplier 046</t>
        </is>
      </c>
      <c r="C727" t="inlineStr">
        <is>
          <t>Textiles</t>
        </is>
      </c>
      <c r="D727" t="n">
        <v>2024</v>
      </c>
      <c r="E727" t="n">
        <v>2015</v>
      </c>
      <c r="F727" t="n">
        <v>2030</v>
      </c>
      <c r="G727" t="n">
        <v>10245.2754</v>
      </c>
      <c r="H727" t="n">
        <v>2575.2464</v>
      </c>
      <c r="I727" t="n">
        <v>1393.8351</v>
      </c>
      <c r="J727" t="n">
        <v>6178.8654</v>
      </c>
      <c r="K727" t="n">
        <v>35669239.14</v>
      </c>
      <c r="L727" t="n">
        <v>298991933.66</v>
      </c>
      <c r="M727" t="n">
        <v>10245.2754</v>
      </c>
      <c r="N727" t="inlineStr">
        <is>
          <t>Provided Total Emissions</t>
        </is>
      </c>
      <c r="O727" t="b">
        <v>1</v>
      </c>
      <c r="P727" t="n">
        <v>-0.011304</v>
      </c>
      <c r="Q727" t="n">
        <v>0.044866</v>
      </c>
      <c r="R727" t="n">
        <v>10422.9084</v>
      </c>
      <c r="S727" t="n">
        <v>51854.1711</v>
      </c>
      <c r="T727" t="n">
        <v>177.633</v>
      </c>
      <c r="U727" t="n">
        <v>41608.8957</v>
      </c>
      <c r="V727" t="n">
        <v>0.017338</v>
      </c>
      <c r="W727" t="n">
        <v>4.061276</v>
      </c>
      <c r="X727" t="inlineStr">
        <is>
          <t>High</t>
        </is>
      </c>
      <c r="Y727" t="inlineStr">
        <is>
          <t>None</t>
        </is>
      </c>
      <c r="Z727" t="inlineStr">
        <is>
          <t>Valid</t>
        </is>
      </c>
      <c r="AA727" t="n">
        <v>2030</v>
      </c>
      <c r="AB727" t="inlineStr">
        <is>
          <t>Industry Haircut Pathway</t>
        </is>
      </c>
      <c r="AC727" t="n">
        <v>11348.9965</v>
      </c>
      <c r="AD727" t="n">
        <v>7750.2297</v>
      </c>
      <c r="AE727" t="n">
        <v>7750.2297</v>
      </c>
      <c r="AF727" t="n">
        <v>7750.2297</v>
      </c>
      <c r="AG727" t="n">
        <v>3598.7668</v>
      </c>
      <c r="AH727" t="n">
        <v>0.00021728</v>
      </c>
      <c r="AI727" t="n">
        <v>0.3171</v>
      </c>
      <c r="AJ727" t="n">
        <v>0</v>
      </c>
      <c r="AK727" t="n">
        <v>239.9178</v>
      </c>
      <c r="AL727" t="n">
        <v>-3598.7669</v>
      </c>
      <c r="AM727" t="n">
        <v>50100.1451</v>
      </c>
      <c r="AN727" t="n">
        <v>0.95</v>
      </c>
      <c r="AO727" t="inlineStr">
        <is>
          <t>Low</t>
        </is>
      </c>
      <c r="AP727" t="inlineStr">
        <is>
          <t>On Track</t>
        </is>
      </c>
    </row>
    <row r="728">
      <c r="A728" t="inlineStr">
        <is>
          <t>SUP-0046</t>
        </is>
      </c>
      <c r="B728" t="inlineStr">
        <is>
          <t>Textiles Supplier 046</t>
        </is>
      </c>
      <c r="C728" t="inlineStr">
        <is>
          <t>Textiles</t>
        </is>
      </c>
      <c r="D728" t="n">
        <v>2024</v>
      </c>
      <c r="E728" t="n">
        <v>2015</v>
      </c>
      <c r="F728" t="n">
        <v>2030</v>
      </c>
      <c r="G728" t="n">
        <v>10245.2754</v>
      </c>
      <c r="H728" t="n">
        <v>2575.2464</v>
      </c>
      <c r="I728" t="n">
        <v>1393.8351</v>
      </c>
      <c r="J728" t="n">
        <v>6178.8654</v>
      </c>
      <c r="K728" t="n">
        <v>35669239.14</v>
      </c>
      <c r="L728" t="n">
        <v>298991933.66</v>
      </c>
      <c r="M728" t="n">
        <v>10245.2754</v>
      </c>
      <c r="N728" t="inlineStr">
        <is>
          <t>Provided Total Emissions</t>
        </is>
      </c>
      <c r="O728" t="b">
        <v>1</v>
      </c>
      <c r="P728" t="n">
        <v>-0.011304</v>
      </c>
      <c r="Q728" t="n">
        <v>0.044866</v>
      </c>
      <c r="R728" t="n">
        <v>10422.9084</v>
      </c>
      <c r="S728" t="n">
        <v>51854.1711</v>
      </c>
      <c r="T728" t="n">
        <v>177.633</v>
      </c>
      <c r="U728" t="n">
        <v>41608.8957</v>
      </c>
      <c r="V728" t="n">
        <v>0.017338</v>
      </c>
      <c r="W728" t="n">
        <v>4.061276</v>
      </c>
      <c r="X728" t="inlineStr">
        <is>
          <t>High</t>
        </is>
      </c>
      <c r="Y728" t="inlineStr">
        <is>
          <t>None</t>
        </is>
      </c>
      <c r="Z728" t="inlineStr">
        <is>
          <t>Valid</t>
        </is>
      </c>
      <c r="AA728" t="n">
        <v>2031</v>
      </c>
      <c r="AB728" t="inlineStr">
        <is>
          <t>Industry Haircut Pathway</t>
        </is>
      </c>
      <c r="AC728" t="n">
        <v>11348.9965</v>
      </c>
      <c r="AD728" t="n">
        <v>7750.2297</v>
      </c>
      <c r="AE728" t="n">
        <v>7750.2297</v>
      </c>
      <c r="AF728" t="n">
        <v>7750.2297</v>
      </c>
      <c r="AG728" t="n">
        <v>3598.7668</v>
      </c>
      <c r="AH728" t="n">
        <v>0.00021728</v>
      </c>
      <c r="AI728" t="n">
        <v>0.3171</v>
      </c>
      <c r="AJ728" t="n">
        <v>0</v>
      </c>
      <c r="AK728" t="n">
        <v>239.9178</v>
      </c>
      <c r="AL728" t="n">
        <v>-11348.9966</v>
      </c>
      <c r="AM728" t="n">
        <v>57850.3748</v>
      </c>
      <c r="AN728" t="n">
        <v>0.95</v>
      </c>
      <c r="AO728" t="inlineStr">
        <is>
          <t>Low</t>
        </is>
      </c>
      <c r="AP728" t="inlineStr">
        <is>
          <t>On Track</t>
        </is>
      </c>
    </row>
    <row r="729">
      <c r="A729" t="inlineStr">
        <is>
          <t>SUP-0046</t>
        </is>
      </c>
      <c r="B729" t="inlineStr">
        <is>
          <t>Textiles Supplier 046</t>
        </is>
      </c>
      <c r="C729" t="inlineStr">
        <is>
          <t>Textiles</t>
        </is>
      </c>
      <c r="D729" t="n">
        <v>2024</v>
      </c>
      <c r="E729" t="n">
        <v>2015</v>
      </c>
      <c r="F729" t="n">
        <v>2030</v>
      </c>
      <c r="G729" t="n">
        <v>10245.2754</v>
      </c>
      <c r="H729" t="n">
        <v>2575.2464</v>
      </c>
      <c r="I729" t="n">
        <v>1393.8351</v>
      </c>
      <c r="J729" t="n">
        <v>6178.8654</v>
      </c>
      <c r="K729" t="n">
        <v>35669239.14</v>
      </c>
      <c r="L729" t="n">
        <v>298991933.66</v>
      </c>
      <c r="M729" t="n">
        <v>10245.2754</v>
      </c>
      <c r="N729" t="inlineStr">
        <is>
          <t>Provided Total Emissions</t>
        </is>
      </c>
      <c r="O729" t="b">
        <v>1</v>
      </c>
      <c r="P729" t="n">
        <v>-0.011304</v>
      </c>
      <c r="Q729" t="n">
        <v>0.044866</v>
      </c>
      <c r="R729" t="n">
        <v>10422.9084</v>
      </c>
      <c r="S729" t="n">
        <v>51854.1711</v>
      </c>
      <c r="T729" t="n">
        <v>177.633</v>
      </c>
      <c r="U729" t="n">
        <v>41608.8957</v>
      </c>
      <c r="V729" t="n">
        <v>0.017338</v>
      </c>
      <c r="W729" t="n">
        <v>4.061276</v>
      </c>
      <c r="X729" t="inlineStr">
        <is>
          <t>High</t>
        </is>
      </c>
      <c r="Y729" t="inlineStr">
        <is>
          <t>None</t>
        </is>
      </c>
      <c r="Z729" t="inlineStr">
        <is>
          <t>Valid</t>
        </is>
      </c>
      <c r="AA729" t="n">
        <v>2032</v>
      </c>
      <c r="AB729" t="inlineStr">
        <is>
          <t>Industry Haircut Pathway</t>
        </is>
      </c>
      <c r="AC729" t="n">
        <v>11348.9965</v>
      </c>
      <c r="AD729" t="n">
        <v>7750.2297</v>
      </c>
      <c r="AE729" t="n">
        <v>7750.2297</v>
      </c>
      <c r="AF729" t="n">
        <v>7750.2297</v>
      </c>
      <c r="AG729" t="n">
        <v>3598.7668</v>
      </c>
      <c r="AH729" t="n">
        <v>0.00021728</v>
      </c>
      <c r="AI729" t="n">
        <v>0.3171</v>
      </c>
      <c r="AJ729" t="n">
        <v>0</v>
      </c>
      <c r="AK729" t="n">
        <v>239.9178</v>
      </c>
      <c r="AL729" t="n">
        <v>-19099.2263</v>
      </c>
      <c r="AM729" t="n">
        <v>65600.6045</v>
      </c>
      <c r="AN729" t="n">
        <v>0.95</v>
      </c>
      <c r="AO729" t="inlineStr">
        <is>
          <t>Low</t>
        </is>
      </c>
      <c r="AP729" t="inlineStr">
        <is>
          <t>On Track</t>
        </is>
      </c>
    </row>
    <row r="730">
      <c r="A730" t="inlineStr">
        <is>
          <t>SUP-0046</t>
        </is>
      </c>
      <c r="B730" t="inlineStr">
        <is>
          <t>Textiles Supplier 046</t>
        </is>
      </c>
      <c r="C730" t="inlineStr">
        <is>
          <t>Textiles</t>
        </is>
      </c>
      <c r="D730" t="n">
        <v>2024</v>
      </c>
      <c r="E730" t="n">
        <v>2015</v>
      </c>
      <c r="F730" t="n">
        <v>2030</v>
      </c>
      <c r="G730" t="n">
        <v>10245.2754</v>
      </c>
      <c r="H730" t="n">
        <v>2575.2464</v>
      </c>
      <c r="I730" t="n">
        <v>1393.8351</v>
      </c>
      <c r="J730" t="n">
        <v>6178.8654</v>
      </c>
      <c r="K730" t="n">
        <v>35669239.14</v>
      </c>
      <c r="L730" t="n">
        <v>298991933.66</v>
      </c>
      <c r="M730" t="n">
        <v>10245.2754</v>
      </c>
      <c r="N730" t="inlineStr">
        <is>
          <t>Provided Total Emissions</t>
        </is>
      </c>
      <c r="O730" t="b">
        <v>1</v>
      </c>
      <c r="P730" t="n">
        <v>-0.011304</v>
      </c>
      <c r="Q730" t="n">
        <v>0.044866</v>
      </c>
      <c r="R730" t="n">
        <v>10422.9084</v>
      </c>
      <c r="S730" t="n">
        <v>51854.1711</v>
      </c>
      <c r="T730" t="n">
        <v>177.633</v>
      </c>
      <c r="U730" t="n">
        <v>41608.8957</v>
      </c>
      <c r="V730" t="n">
        <v>0.017338</v>
      </c>
      <c r="W730" t="n">
        <v>4.061276</v>
      </c>
      <c r="X730" t="inlineStr">
        <is>
          <t>High</t>
        </is>
      </c>
      <c r="Y730" t="inlineStr">
        <is>
          <t>None</t>
        </is>
      </c>
      <c r="Z730" t="inlineStr">
        <is>
          <t>Valid</t>
        </is>
      </c>
      <c r="AA730" t="n">
        <v>2033</v>
      </c>
      <c r="AB730" t="inlineStr">
        <is>
          <t>Industry Haircut Pathway</t>
        </is>
      </c>
      <c r="AC730" t="n">
        <v>11348.9965</v>
      </c>
      <c r="AD730" t="n">
        <v>7750.2297</v>
      </c>
      <c r="AE730" t="n">
        <v>7750.2297</v>
      </c>
      <c r="AF730" t="n">
        <v>7750.2297</v>
      </c>
      <c r="AG730" t="n">
        <v>3598.7668</v>
      </c>
      <c r="AH730" t="n">
        <v>0.00021728</v>
      </c>
      <c r="AI730" t="n">
        <v>0.3171</v>
      </c>
      <c r="AJ730" t="n">
        <v>0</v>
      </c>
      <c r="AK730" t="n">
        <v>239.9178</v>
      </c>
      <c r="AL730" t="n">
        <v>-26849.456</v>
      </c>
      <c r="AM730" t="n">
        <v>73350.8342</v>
      </c>
      <c r="AN730" t="n">
        <v>0.95</v>
      </c>
      <c r="AO730" t="inlineStr">
        <is>
          <t>Low</t>
        </is>
      </c>
      <c r="AP730" t="inlineStr">
        <is>
          <t>On Track</t>
        </is>
      </c>
    </row>
    <row r="731">
      <c r="A731" t="inlineStr">
        <is>
          <t>SUP-0046</t>
        </is>
      </c>
      <c r="B731" t="inlineStr">
        <is>
          <t>Textiles Supplier 046</t>
        </is>
      </c>
      <c r="C731" t="inlineStr">
        <is>
          <t>Textiles</t>
        </is>
      </c>
      <c r="D731" t="n">
        <v>2024</v>
      </c>
      <c r="E731" t="n">
        <v>2015</v>
      </c>
      <c r="F731" t="n">
        <v>2030</v>
      </c>
      <c r="G731" t="n">
        <v>10245.2754</v>
      </c>
      <c r="H731" t="n">
        <v>2575.2464</v>
      </c>
      <c r="I731" t="n">
        <v>1393.8351</v>
      </c>
      <c r="J731" t="n">
        <v>6178.8654</v>
      </c>
      <c r="K731" t="n">
        <v>35669239.14</v>
      </c>
      <c r="L731" t="n">
        <v>298991933.66</v>
      </c>
      <c r="M731" t="n">
        <v>10245.2754</v>
      </c>
      <c r="N731" t="inlineStr">
        <is>
          <t>Provided Total Emissions</t>
        </is>
      </c>
      <c r="O731" t="b">
        <v>1</v>
      </c>
      <c r="P731" t="n">
        <v>-0.011304</v>
      </c>
      <c r="Q731" t="n">
        <v>0.044866</v>
      </c>
      <c r="R731" t="n">
        <v>10422.9084</v>
      </c>
      <c r="S731" t="n">
        <v>51854.1711</v>
      </c>
      <c r="T731" t="n">
        <v>177.633</v>
      </c>
      <c r="U731" t="n">
        <v>41608.8957</v>
      </c>
      <c r="V731" t="n">
        <v>0.017338</v>
      </c>
      <c r="W731" t="n">
        <v>4.061276</v>
      </c>
      <c r="X731" t="inlineStr">
        <is>
          <t>High</t>
        </is>
      </c>
      <c r="Y731" t="inlineStr">
        <is>
          <t>None</t>
        </is>
      </c>
      <c r="Z731" t="inlineStr">
        <is>
          <t>Valid</t>
        </is>
      </c>
      <c r="AA731" t="n">
        <v>2034</v>
      </c>
      <c r="AB731" t="inlineStr">
        <is>
          <t>Industry Haircut Pathway</t>
        </is>
      </c>
      <c r="AC731" t="n">
        <v>11348.9965</v>
      </c>
      <c r="AD731" t="n">
        <v>7750.2297</v>
      </c>
      <c r="AE731" t="n">
        <v>7750.2297</v>
      </c>
      <c r="AF731" t="n">
        <v>7750.2297</v>
      </c>
      <c r="AG731" t="n">
        <v>3598.7668</v>
      </c>
      <c r="AH731" t="n">
        <v>0.00021728</v>
      </c>
      <c r="AI731" t="n">
        <v>0.3171</v>
      </c>
      <c r="AJ731" t="n">
        <v>0</v>
      </c>
      <c r="AK731" t="n">
        <v>239.9178</v>
      </c>
      <c r="AL731" t="n">
        <v>-34599.6857</v>
      </c>
      <c r="AM731" t="n">
        <v>81101.06389999999</v>
      </c>
      <c r="AN731" t="n">
        <v>0.95</v>
      </c>
      <c r="AO731" t="inlineStr">
        <is>
          <t>Low</t>
        </is>
      </c>
      <c r="AP731" t="inlineStr">
        <is>
          <t>On Track</t>
        </is>
      </c>
    </row>
    <row r="732">
      <c r="A732" t="inlineStr">
        <is>
          <t>SUP-0046</t>
        </is>
      </c>
      <c r="B732" t="inlineStr">
        <is>
          <t>Textiles Supplier 046</t>
        </is>
      </c>
      <c r="C732" t="inlineStr">
        <is>
          <t>Textiles</t>
        </is>
      </c>
      <c r="D732" t="n">
        <v>2024</v>
      </c>
      <c r="E732" t="n">
        <v>2015</v>
      </c>
      <c r="F732" t="n">
        <v>2030</v>
      </c>
      <c r="G732" t="n">
        <v>10245.2754</v>
      </c>
      <c r="H732" t="n">
        <v>2575.2464</v>
      </c>
      <c r="I732" t="n">
        <v>1393.8351</v>
      </c>
      <c r="J732" t="n">
        <v>6178.8654</v>
      </c>
      <c r="K732" t="n">
        <v>35669239.14</v>
      </c>
      <c r="L732" t="n">
        <v>298991933.66</v>
      </c>
      <c r="M732" t="n">
        <v>10245.2754</v>
      </c>
      <c r="N732" t="inlineStr">
        <is>
          <t>Provided Total Emissions</t>
        </is>
      </c>
      <c r="O732" t="b">
        <v>1</v>
      </c>
      <c r="P732" t="n">
        <v>-0.011304</v>
      </c>
      <c r="Q732" t="n">
        <v>0.044866</v>
      </c>
      <c r="R732" t="n">
        <v>10422.9084</v>
      </c>
      <c r="S732" t="n">
        <v>51854.1711</v>
      </c>
      <c r="T732" t="n">
        <v>177.633</v>
      </c>
      <c r="U732" t="n">
        <v>41608.8957</v>
      </c>
      <c r="V732" t="n">
        <v>0.017338</v>
      </c>
      <c r="W732" t="n">
        <v>4.061276</v>
      </c>
      <c r="X732" t="inlineStr">
        <is>
          <t>High</t>
        </is>
      </c>
      <c r="Y732" t="inlineStr">
        <is>
          <t>None</t>
        </is>
      </c>
      <c r="Z732" t="inlineStr">
        <is>
          <t>Valid</t>
        </is>
      </c>
      <c r="AA732" t="n">
        <v>2035</v>
      </c>
      <c r="AB732" t="inlineStr">
        <is>
          <t>Industry Haircut Pathway</t>
        </is>
      </c>
      <c r="AC732" t="n">
        <v>11348.9965</v>
      </c>
      <c r="AD732" t="n">
        <v>7750.2297</v>
      </c>
      <c r="AE732" t="n">
        <v>7750.2297</v>
      </c>
      <c r="AF732" t="n">
        <v>7750.2297</v>
      </c>
      <c r="AG732" t="n">
        <v>3598.7668</v>
      </c>
      <c r="AH732" t="n">
        <v>0.00021728</v>
      </c>
      <c r="AI732" t="n">
        <v>0.3171</v>
      </c>
      <c r="AJ732" t="n">
        <v>0</v>
      </c>
      <c r="AK732" t="n">
        <v>239.9178</v>
      </c>
      <c r="AL732" t="n">
        <v>-42349.9154</v>
      </c>
      <c r="AM732" t="n">
        <v>88851.2936</v>
      </c>
      <c r="AN732" t="n">
        <v>0.95</v>
      </c>
      <c r="AO732" t="inlineStr">
        <is>
          <t>Low</t>
        </is>
      </c>
      <c r="AP732" t="inlineStr">
        <is>
          <t>On Track</t>
        </is>
      </c>
    </row>
    <row r="733">
      <c r="A733" t="inlineStr">
        <is>
          <t>SUP-0046</t>
        </is>
      </c>
      <c r="B733" t="inlineStr">
        <is>
          <t>Textiles Supplier 046</t>
        </is>
      </c>
      <c r="C733" t="inlineStr">
        <is>
          <t>Textiles</t>
        </is>
      </c>
      <c r="D733" t="n">
        <v>2024</v>
      </c>
      <c r="E733" t="n">
        <v>2015</v>
      </c>
      <c r="F733" t="n">
        <v>2030</v>
      </c>
      <c r="G733" t="n">
        <v>10245.2754</v>
      </c>
      <c r="H733" t="n">
        <v>2575.2464</v>
      </c>
      <c r="I733" t="n">
        <v>1393.8351</v>
      </c>
      <c r="J733" t="n">
        <v>6178.8654</v>
      </c>
      <c r="K733" t="n">
        <v>35669239.14</v>
      </c>
      <c r="L733" t="n">
        <v>298991933.66</v>
      </c>
      <c r="M733" t="n">
        <v>10245.2754</v>
      </c>
      <c r="N733" t="inlineStr">
        <is>
          <t>Provided Total Emissions</t>
        </is>
      </c>
      <c r="O733" t="b">
        <v>1</v>
      </c>
      <c r="P733" t="n">
        <v>-0.011304</v>
      </c>
      <c r="Q733" t="n">
        <v>0.044866</v>
      </c>
      <c r="R733" t="n">
        <v>10422.9084</v>
      </c>
      <c r="S733" t="n">
        <v>51854.1711</v>
      </c>
      <c r="T733" t="n">
        <v>177.633</v>
      </c>
      <c r="U733" t="n">
        <v>41608.8957</v>
      </c>
      <c r="V733" t="n">
        <v>0.017338</v>
      </c>
      <c r="W733" t="n">
        <v>4.061276</v>
      </c>
      <c r="X733" t="inlineStr">
        <is>
          <t>High</t>
        </is>
      </c>
      <c r="Y733" t="inlineStr">
        <is>
          <t>None</t>
        </is>
      </c>
      <c r="Z733" t="inlineStr">
        <is>
          <t>Valid</t>
        </is>
      </c>
      <c r="AA733" t="n">
        <v>2036</v>
      </c>
      <c r="AB733" t="inlineStr">
        <is>
          <t>Industry Haircut Pathway</t>
        </is>
      </c>
      <c r="AC733" t="n">
        <v>11348.9965</v>
      </c>
      <c r="AD733" t="n">
        <v>7750.2297</v>
      </c>
      <c r="AE733" t="n">
        <v>7750.2297</v>
      </c>
      <c r="AF733" t="n">
        <v>7750.2297</v>
      </c>
      <c r="AG733" t="n">
        <v>3598.7668</v>
      </c>
      <c r="AH733" t="n">
        <v>0.00021728</v>
      </c>
      <c r="AI733" t="n">
        <v>0.3171</v>
      </c>
      <c r="AJ733" t="n">
        <v>0</v>
      </c>
      <c r="AK733" t="n">
        <v>239.9178</v>
      </c>
      <c r="AL733" t="n">
        <v>-50100.1451</v>
      </c>
      <c r="AM733" t="n">
        <v>96601.5233</v>
      </c>
      <c r="AN733" t="n">
        <v>0.95</v>
      </c>
      <c r="AO733" t="inlineStr">
        <is>
          <t>Low</t>
        </is>
      </c>
      <c r="AP733" t="inlineStr">
        <is>
          <t>On Track</t>
        </is>
      </c>
    </row>
    <row r="734">
      <c r="A734" t="inlineStr">
        <is>
          <t>SUP-0046</t>
        </is>
      </c>
      <c r="B734" t="inlineStr">
        <is>
          <t>Textiles Supplier 046</t>
        </is>
      </c>
      <c r="C734" t="inlineStr">
        <is>
          <t>Textiles</t>
        </is>
      </c>
      <c r="D734" t="n">
        <v>2024</v>
      </c>
      <c r="E734" t="n">
        <v>2015</v>
      </c>
      <c r="F734" t="n">
        <v>2030</v>
      </c>
      <c r="G734" t="n">
        <v>10245.2754</v>
      </c>
      <c r="H734" t="n">
        <v>2575.2464</v>
      </c>
      <c r="I734" t="n">
        <v>1393.8351</v>
      </c>
      <c r="J734" t="n">
        <v>6178.8654</v>
      </c>
      <c r="K734" t="n">
        <v>35669239.14</v>
      </c>
      <c r="L734" t="n">
        <v>298991933.66</v>
      </c>
      <c r="M734" t="n">
        <v>10245.2754</v>
      </c>
      <c r="N734" t="inlineStr">
        <is>
          <t>Provided Total Emissions</t>
        </is>
      </c>
      <c r="O734" t="b">
        <v>1</v>
      </c>
      <c r="P734" t="n">
        <v>-0.011304</v>
      </c>
      <c r="Q734" t="n">
        <v>0.044866</v>
      </c>
      <c r="R734" t="n">
        <v>10422.9084</v>
      </c>
      <c r="S734" t="n">
        <v>51854.1711</v>
      </c>
      <c r="T734" t="n">
        <v>177.633</v>
      </c>
      <c r="U734" t="n">
        <v>41608.8957</v>
      </c>
      <c r="V734" t="n">
        <v>0.017338</v>
      </c>
      <c r="W734" t="n">
        <v>4.061276</v>
      </c>
      <c r="X734" t="inlineStr">
        <is>
          <t>High</t>
        </is>
      </c>
      <c r="Y734" t="inlineStr">
        <is>
          <t>None</t>
        </is>
      </c>
      <c r="Z734" t="inlineStr">
        <is>
          <t>Valid</t>
        </is>
      </c>
      <c r="AA734" t="n">
        <v>2037</v>
      </c>
      <c r="AB734" t="inlineStr">
        <is>
          <t>Industry Haircut Pathway</t>
        </is>
      </c>
      <c r="AC734" t="n">
        <v>11348.9965</v>
      </c>
      <c r="AD734" t="n">
        <v>7750.2297</v>
      </c>
      <c r="AE734" t="n">
        <v>7750.2297</v>
      </c>
      <c r="AF734" t="n">
        <v>7750.2297</v>
      </c>
      <c r="AG734" t="n">
        <v>3598.7668</v>
      </c>
      <c r="AH734" t="n">
        <v>0.00021728</v>
      </c>
      <c r="AI734" t="n">
        <v>0.3171</v>
      </c>
      <c r="AJ734" t="n">
        <v>0</v>
      </c>
      <c r="AK734" t="n">
        <v>239.9178</v>
      </c>
      <c r="AL734" t="n">
        <v>-57850.3748</v>
      </c>
      <c r="AM734" t="n">
        <v>104351.753</v>
      </c>
      <c r="AN734" t="n">
        <v>0.95</v>
      </c>
      <c r="AO734" t="inlineStr">
        <is>
          <t>Low</t>
        </is>
      </c>
      <c r="AP734" t="inlineStr">
        <is>
          <t>On Track</t>
        </is>
      </c>
    </row>
    <row r="735">
      <c r="A735" t="inlineStr">
        <is>
          <t>SUP-0046</t>
        </is>
      </c>
      <c r="B735" t="inlineStr">
        <is>
          <t>Textiles Supplier 046</t>
        </is>
      </c>
      <c r="C735" t="inlineStr">
        <is>
          <t>Textiles</t>
        </is>
      </c>
      <c r="D735" t="n">
        <v>2024</v>
      </c>
      <c r="E735" t="n">
        <v>2015</v>
      </c>
      <c r="F735" t="n">
        <v>2030</v>
      </c>
      <c r="G735" t="n">
        <v>10245.2754</v>
      </c>
      <c r="H735" t="n">
        <v>2575.2464</v>
      </c>
      <c r="I735" t="n">
        <v>1393.8351</v>
      </c>
      <c r="J735" t="n">
        <v>6178.8654</v>
      </c>
      <c r="K735" t="n">
        <v>35669239.14</v>
      </c>
      <c r="L735" t="n">
        <v>298991933.66</v>
      </c>
      <c r="M735" t="n">
        <v>10245.2754</v>
      </c>
      <c r="N735" t="inlineStr">
        <is>
          <t>Provided Total Emissions</t>
        </is>
      </c>
      <c r="O735" t="b">
        <v>1</v>
      </c>
      <c r="P735" t="n">
        <v>-0.011304</v>
      </c>
      <c r="Q735" t="n">
        <v>0.044866</v>
      </c>
      <c r="R735" t="n">
        <v>10422.9084</v>
      </c>
      <c r="S735" t="n">
        <v>51854.1711</v>
      </c>
      <c r="T735" t="n">
        <v>177.633</v>
      </c>
      <c r="U735" t="n">
        <v>41608.8957</v>
      </c>
      <c r="V735" t="n">
        <v>0.017338</v>
      </c>
      <c r="W735" t="n">
        <v>4.061276</v>
      </c>
      <c r="X735" t="inlineStr">
        <is>
          <t>High</t>
        </is>
      </c>
      <c r="Y735" t="inlineStr">
        <is>
          <t>None</t>
        </is>
      </c>
      <c r="Z735" t="inlineStr">
        <is>
          <t>Valid</t>
        </is>
      </c>
      <c r="AA735" t="n">
        <v>2038</v>
      </c>
      <c r="AB735" t="inlineStr">
        <is>
          <t>Industry Haircut Pathway</t>
        </is>
      </c>
      <c r="AC735" t="n">
        <v>11348.9965</v>
      </c>
      <c r="AD735" t="n">
        <v>7750.2297</v>
      </c>
      <c r="AE735" t="n">
        <v>7750.2297</v>
      </c>
      <c r="AF735" t="n">
        <v>7750.2297</v>
      </c>
      <c r="AG735" t="n">
        <v>3598.7668</v>
      </c>
      <c r="AH735" t="n">
        <v>0.00021728</v>
      </c>
      <c r="AI735" t="n">
        <v>0.3171</v>
      </c>
      <c r="AJ735" t="n">
        <v>0</v>
      </c>
      <c r="AK735" t="n">
        <v>239.9178</v>
      </c>
      <c r="AL735" t="n">
        <v>-65600.6045</v>
      </c>
      <c r="AM735" t="n">
        <v>112101.9827</v>
      </c>
      <c r="AN735" t="n">
        <v>0.95</v>
      </c>
      <c r="AO735" t="inlineStr">
        <is>
          <t>Low</t>
        </is>
      </c>
      <c r="AP735" t="inlineStr">
        <is>
          <t>On Track</t>
        </is>
      </c>
    </row>
    <row r="736">
      <c r="A736" t="inlineStr">
        <is>
          <t>SUP-0046</t>
        </is>
      </c>
      <c r="B736" t="inlineStr">
        <is>
          <t>Textiles Supplier 046</t>
        </is>
      </c>
      <c r="C736" t="inlineStr">
        <is>
          <t>Textiles</t>
        </is>
      </c>
      <c r="D736" t="n">
        <v>2024</v>
      </c>
      <c r="E736" t="n">
        <v>2015</v>
      </c>
      <c r="F736" t="n">
        <v>2030</v>
      </c>
      <c r="G736" t="n">
        <v>10245.2754</v>
      </c>
      <c r="H736" t="n">
        <v>2575.2464</v>
      </c>
      <c r="I736" t="n">
        <v>1393.8351</v>
      </c>
      <c r="J736" t="n">
        <v>6178.8654</v>
      </c>
      <c r="K736" t="n">
        <v>35669239.14</v>
      </c>
      <c r="L736" t="n">
        <v>298991933.66</v>
      </c>
      <c r="M736" t="n">
        <v>10245.2754</v>
      </c>
      <c r="N736" t="inlineStr">
        <is>
          <t>Provided Total Emissions</t>
        </is>
      </c>
      <c r="O736" t="b">
        <v>1</v>
      </c>
      <c r="P736" t="n">
        <v>-0.011304</v>
      </c>
      <c r="Q736" t="n">
        <v>0.044866</v>
      </c>
      <c r="R736" t="n">
        <v>10422.9084</v>
      </c>
      <c r="S736" t="n">
        <v>51854.1711</v>
      </c>
      <c r="T736" t="n">
        <v>177.633</v>
      </c>
      <c r="U736" t="n">
        <v>41608.8957</v>
      </c>
      <c r="V736" t="n">
        <v>0.017338</v>
      </c>
      <c r="W736" t="n">
        <v>4.061276</v>
      </c>
      <c r="X736" t="inlineStr">
        <is>
          <t>High</t>
        </is>
      </c>
      <c r="Y736" t="inlineStr">
        <is>
          <t>None</t>
        </is>
      </c>
      <c r="Z736" t="inlineStr">
        <is>
          <t>Valid</t>
        </is>
      </c>
      <c r="AA736" t="n">
        <v>2039</v>
      </c>
      <c r="AB736" t="inlineStr">
        <is>
          <t>Industry Haircut Pathway</t>
        </is>
      </c>
      <c r="AC736" t="n">
        <v>11348.9965</v>
      </c>
      <c r="AD736" t="n">
        <v>7750.2297</v>
      </c>
      <c r="AE736" t="n">
        <v>7750.2297</v>
      </c>
      <c r="AF736" t="n">
        <v>7750.2297</v>
      </c>
      <c r="AG736" t="n">
        <v>3598.7668</v>
      </c>
      <c r="AH736" t="n">
        <v>0.00021728</v>
      </c>
      <c r="AI736" t="n">
        <v>0.3171</v>
      </c>
      <c r="AJ736" t="n">
        <v>0</v>
      </c>
      <c r="AK736" t="n">
        <v>239.9178</v>
      </c>
      <c r="AL736" t="n">
        <v>-73350.8342</v>
      </c>
      <c r="AM736" t="n">
        <v>119852.2124</v>
      </c>
      <c r="AN736" t="n">
        <v>0.95</v>
      </c>
      <c r="AO736" t="inlineStr">
        <is>
          <t>Low</t>
        </is>
      </c>
      <c r="AP736" t="inlineStr">
        <is>
          <t>On Track</t>
        </is>
      </c>
    </row>
    <row r="737">
      <c r="A737" t="inlineStr">
        <is>
          <t>SUP-0046</t>
        </is>
      </c>
      <c r="B737" t="inlineStr">
        <is>
          <t>Textiles Supplier 046</t>
        </is>
      </c>
      <c r="C737" t="inlineStr">
        <is>
          <t>Textiles</t>
        </is>
      </c>
      <c r="D737" t="n">
        <v>2024</v>
      </c>
      <c r="E737" t="n">
        <v>2015</v>
      </c>
      <c r="F737" t="n">
        <v>2030</v>
      </c>
      <c r="G737" t="n">
        <v>10245.2754</v>
      </c>
      <c r="H737" t="n">
        <v>2575.2464</v>
      </c>
      <c r="I737" t="n">
        <v>1393.8351</v>
      </c>
      <c r="J737" t="n">
        <v>6178.8654</v>
      </c>
      <c r="K737" t="n">
        <v>35669239.14</v>
      </c>
      <c r="L737" t="n">
        <v>298991933.66</v>
      </c>
      <c r="M737" t="n">
        <v>10245.2754</v>
      </c>
      <c r="N737" t="inlineStr">
        <is>
          <t>Provided Total Emissions</t>
        </is>
      </c>
      <c r="O737" t="b">
        <v>1</v>
      </c>
      <c r="P737" t="n">
        <v>-0.011304</v>
      </c>
      <c r="Q737" t="n">
        <v>0.044866</v>
      </c>
      <c r="R737" t="n">
        <v>10422.9084</v>
      </c>
      <c r="S737" t="n">
        <v>51854.1711</v>
      </c>
      <c r="T737" t="n">
        <v>177.633</v>
      </c>
      <c r="U737" t="n">
        <v>41608.8957</v>
      </c>
      <c r="V737" t="n">
        <v>0.017338</v>
      </c>
      <c r="W737" t="n">
        <v>4.061276</v>
      </c>
      <c r="X737" t="inlineStr">
        <is>
          <t>High</t>
        </is>
      </c>
      <c r="Y737" t="inlineStr">
        <is>
          <t>None</t>
        </is>
      </c>
      <c r="Z737" t="inlineStr">
        <is>
          <t>Valid</t>
        </is>
      </c>
      <c r="AA737" t="n">
        <v>2040</v>
      </c>
      <c r="AB737" t="inlineStr">
        <is>
          <t>Industry Haircut Pathway</t>
        </is>
      </c>
      <c r="AC737" t="n">
        <v>11348.9965</v>
      </c>
      <c r="AD737" t="n">
        <v>7750.2297</v>
      </c>
      <c r="AE737" t="n">
        <v>7750.2297</v>
      </c>
      <c r="AF737" t="n">
        <v>7750.2297</v>
      </c>
      <c r="AG737" t="n">
        <v>3598.7668</v>
      </c>
      <c r="AH737" t="n">
        <v>0.00021728</v>
      </c>
      <c r="AI737" t="n">
        <v>0.3171</v>
      </c>
      <c r="AJ737" t="n">
        <v>0</v>
      </c>
      <c r="AK737" t="n">
        <v>239.9178</v>
      </c>
      <c r="AL737" t="n">
        <v>-81101.06389999999</v>
      </c>
      <c r="AM737" t="n">
        <v>127602.4421</v>
      </c>
      <c r="AN737" t="n">
        <v>0.95</v>
      </c>
      <c r="AO737" t="inlineStr">
        <is>
          <t>Low</t>
        </is>
      </c>
      <c r="AP737" t="inlineStr">
        <is>
          <t>On Track</t>
        </is>
      </c>
    </row>
    <row r="738">
      <c r="A738" t="inlineStr">
        <is>
          <t>SUP-0047</t>
        </is>
      </c>
      <c r="B738" t="inlineStr">
        <is>
          <t>Packaging Supplier 047</t>
        </is>
      </c>
      <c r="C738" t="inlineStr">
        <is>
          <t>Packaging</t>
        </is>
      </c>
      <c r="D738" t="n">
        <v>2024</v>
      </c>
      <c r="E738" t="n">
        <v>2018</v>
      </c>
      <c r="F738" t="n">
        <v>2040</v>
      </c>
      <c r="G738" t="n">
        <v>13482.4768</v>
      </c>
      <c r="H738" t="n">
        <v>1729.6497</v>
      </c>
      <c r="I738" t="n">
        <v>2219.6431</v>
      </c>
      <c r="J738" t="n">
        <v>9242.878500000001</v>
      </c>
      <c r="K738" t="n">
        <v>26170616.74</v>
      </c>
      <c r="L738" t="n">
        <v>101956949.16</v>
      </c>
      <c r="M738" t="n">
        <v>13482.4768</v>
      </c>
      <c r="N738" t="inlineStr">
        <is>
          <t>Provided Total Emissions</t>
        </is>
      </c>
      <c r="O738" t="b">
        <v>1</v>
      </c>
      <c r="P738" t="n">
        <v>0.008567</v>
      </c>
      <c r="Q738" t="n">
        <v>0.050527</v>
      </c>
      <c r="R738" t="n">
        <v>28272.1173</v>
      </c>
      <c r="S738" t="n">
        <v>80490.93309999999</v>
      </c>
      <c r="T738" t="n">
        <v>14789.6405</v>
      </c>
      <c r="U738" t="n">
        <v>67008.45630000001</v>
      </c>
      <c r="V738" t="n">
        <v>1.096953</v>
      </c>
      <c r="W738" t="n">
        <v>4.970041</v>
      </c>
      <c r="X738" t="inlineStr">
        <is>
          <t>High</t>
        </is>
      </c>
      <c r="Y738" t="inlineStr">
        <is>
          <t>None</t>
        </is>
      </c>
      <c r="Z738" t="inlineStr">
        <is>
          <t>Valid</t>
        </is>
      </c>
      <c r="AA738" t="n">
        <v>2025</v>
      </c>
      <c r="AB738" t="inlineStr">
        <is>
          <t>Supplier Target Pathway</t>
        </is>
      </c>
      <c r="AC738" t="n">
        <v>11313.691</v>
      </c>
      <c r="AD738" t="n">
        <v>6857.2281</v>
      </c>
      <c r="AE738" t="n">
        <v>9895.7255</v>
      </c>
      <c r="AF738" t="n">
        <v>9895.7255</v>
      </c>
      <c r="AG738" t="n">
        <v>1417.9655</v>
      </c>
      <c r="AH738" t="n">
        <v>0.00037812</v>
      </c>
      <c r="AI738" t="n">
        <v>0.125332</v>
      </c>
      <c r="AJ738" t="n">
        <v>3038.4974</v>
      </c>
      <c r="AK738" t="n">
        <v>202.5665</v>
      </c>
      <c r="AL738" t="n">
        <v>99819.9241</v>
      </c>
      <c r="AM738" t="n">
        <v>9895.7255</v>
      </c>
      <c r="AN738" t="n">
        <v>0.99</v>
      </c>
      <c r="AO738" t="inlineStr">
        <is>
          <t>Critical</t>
        </is>
      </c>
      <c r="AP738" t="inlineStr">
        <is>
          <t>On Track to Glide Path</t>
        </is>
      </c>
    </row>
    <row r="739">
      <c r="A739" t="inlineStr">
        <is>
          <t>SUP-0047</t>
        </is>
      </c>
      <c r="B739" t="inlineStr">
        <is>
          <t>Packaging Supplier 047</t>
        </is>
      </c>
      <c r="C739" t="inlineStr">
        <is>
          <t>Packaging</t>
        </is>
      </c>
      <c r="D739" t="n">
        <v>2024</v>
      </c>
      <c r="E739" t="n">
        <v>2018</v>
      </c>
      <c r="F739" t="n">
        <v>2040</v>
      </c>
      <c r="G739" t="n">
        <v>13482.4768</v>
      </c>
      <c r="H739" t="n">
        <v>1729.6497</v>
      </c>
      <c r="I739" t="n">
        <v>2219.6431</v>
      </c>
      <c r="J739" t="n">
        <v>9242.878500000001</v>
      </c>
      <c r="K739" t="n">
        <v>26170616.74</v>
      </c>
      <c r="L739" t="n">
        <v>101956949.16</v>
      </c>
      <c r="M739" t="n">
        <v>13482.4768</v>
      </c>
      <c r="N739" t="inlineStr">
        <is>
          <t>Provided Total Emissions</t>
        </is>
      </c>
      <c r="O739" t="b">
        <v>1</v>
      </c>
      <c r="P739" t="n">
        <v>0.008567</v>
      </c>
      <c r="Q739" t="n">
        <v>0.050527</v>
      </c>
      <c r="R739" t="n">
        <v>28272.1173</v>
      </c>
      <c r="S739" t="n">
        <v>80490.93309999999</v>
      </c>
      <c r="T739" t="n">
        <v>14789.6405</v>
      </c>
      <c r="U739" t="n">
        <v>67008.45630000001</v>
      </c>
      <c r="V739" t="n">
        <v>1.096953</v>
      </c>
      <c r="W739" t="n">
        <v>4.970041</v>
      </c>
      <c r="X739" t="inlineStr">
        <is>
          <t>High</t>
        </is>
      </c>
      <c r="Y739" t="inlineStr">
        <is>
          <t>None</t>
        </is>
      </c>
      <c r="Z739" t="inlineStr">
        <is>
          <t>Valid</t>
        </is>
      </c>
      <c r="AA739" t="n">
        <v>2026</v>
      </c>
      <c r="AB739" t="inlineStr">
        <is>
          <t>Supplier Target Pathway</t>
        </is>
      </c>
      <c r="AC739" t="n">
        <v>11313.691</v>
      </c>
      <c r="AD739" t="n">
        <v>6857.2281</v>
      </c>
      <c r="AE739" t="n">
        <v>9693.159</v>
      </c>
      <c r="AF739" t="n">
        <v>9693.159</v>
      </c>
      <c r="AG739" t="n">
        <v>1620.532</v>
      </c>
      <c r="AH739" t="n">
        <v>0.00037038</v>
      </c>
      <c r="AI739" t="n">
        <v>0.143236</v>
      </c>
      <c r="AJ739" t="n">
        <v>2835.9309</v>
      </c>
      <c r="AK739" t="n">
        <v>202.5665</v>
      </c>
      <c r="AL739" t="n">
        <v>90126.7651</v>
      </c>
      <c r="AM739" t="n">
        <v>19588.8845</v>
      </c>
      <c r="AN739" t="n">
        <v>0.99</v>
      </c>
      <c r="AO739" t="inlineStr">
        <is>
          <t>Critical</t>
        </is>
      </c>
      <c r="AP739" t="inlineStr">
        <is>
          <t>On Track to Glide Path</t>
        </is>
      </c>
    </row>
    <row r="740">
      <c r="A740" t="inlineStr">
        <is>
          <t>SUP-0047</t>
        </is>
      </c>
      <c r="B740" t="inlineStr">
        <is>
          <t>Packaging Supplier 047</t>
        </is>
      </c>
      <c r="C740" t="inlineStr">
        <is>
          <t>Packaging</t>
        </is>
      </c>
      <c r="D740" t="n">
        <v>2024</v>
      </c>
      <c r="E740" t="n">
        <v>2018</v>
      </c>
      <c r="F740" t="n">
        <v>2040</v>
      </c>
      <c r="G740" t="n">
        <v>13482.4768</v>
      </c>
      <c r="H740" t="n">
        <v>1729.6497</v>
      </c>
      <c r="I740" t="n">
        <v>2219.6431</v>
      </c>
      <c r="J740" t="n">
        <v>9242.878500000001</v>
      </c>
      <c r="K740" t="n">
        <v>26170616.74</v>
      </c>
      <c r="L740" t="n">
        <v>101956949.16</v>
      </c>
      <c r="M740" t="n">
        <v>13482.4768</v>
      </c>
      <c r="N740" t="inlineStr">
        <is>
          <t>Provided Total Emissions</t>
        </is>
      </c>
      <c r="O740" t="b">
        <v>1</v>
      </c>
      <c r="P740" t="n">
        <v>0.008567</v>
      </c>
      <c r="Q740" t="n">
        <v>0.050527</v>
      </c>
      <c r="R740" t="n">
        <v>28272.1173</v>
      </c>
      <c r="S740" t="n">
        <v>80490.93309999999</v>
      </c>
      <c r="T740" t="n">
        <v>14789.6405</v>
      </c>
      <c r="U740" t="n">
        <v>67008.45630000001</v>
      </c>
      <c r="V740" t="n">
        <v>1.096953</v>
      </c>
      <c r="W740" t="n">
        <v>4.970041</v>
      </c>
      <c r="X740" t="inlineStr">
        <is>
          <t>High</t>
        </is>
      </c>
      <c r="Y740" t="inlineStr">
        <is>
          <t>None</t>
        </is>
      </c>
      <c r="Z740" t="inlineStr">
        <is>
          <t>Valid</t>
        </is>
      </c>
      <c r="AA740" t="n">
        <v>2027</v>
      </c>
      <c r="AB740" t="inlineStr">
        <is>
          <t>Supplier Target Pathway</t>
        </is>
      </c>
      <c r="AC740" t="n">
        <v>11313.691</v>
      </c>
      <c r="AD740" t="n">
        <v>6857.2281</v>
      </c>
      <c r="AE740" t="n">
        <v>9490.592500000001</v>
      </c>
      <c r="AF740" t="n">
        <v>9490.592500000001</v>
      </c>
      <c r="AG740" t="n">
        <v>1823.0985</v>
      </c>
      <c r="AH740" t="n">
        <v>0.00036264</v>
      </c>
      <c r="AI740" t="n">
        <v>0.161141</v>
      </c>
      <c r="AJ740" t="n">
        <v>2633.3644</v>
      </c>
      <c r="AK740" t="n">
        <v>202.5665</v>
      </c>
      <c r="AL740" t="n">
        <v>80636.17260000001</v>
      </c>
      <c r="AM740" t="n">
        <v>29079.477</v>
      </c>
      <c r="AN740" t="n">
        <v>0.99</v>
      </c>
      <c r="AO740" t="inlineStr">
        <is>
          <t>Critical</t>
        </is>
      </c>
      <c r="AP740" t="inlineStr">
        <is>
          <t>On Track to Glide Path</t>
        </is>
      </c>
    </row>
    <row r="741">
      <c r="A741" t="inlineStr">
        <is>
          <t>SUP-0047</t>
        </is>
      </c>
      <c r="B741" t="inlineStr">
        <is>
          <t>Packaging Supplier 047</t>
        </is>
      </c>
      <c r="C741" t="inlineStr">
        <is>
          <t>Packaging</t>
        </is>
      </c>
      <c r="D741" t="n">
        <v>2024</v>
      </c>
      <c r="E741" t="n">
        <v>2018</v>
      </c>
      <c r="F741" t="n">
        <v>2040</v>
      </c>
      <c r="G741" t="n">
        <v>13482.4768</v>
      </c>
      <c r="H741" t="n">
        <v>1729.6497</v>
      </c>
      <c r="I741" t="n">
        <v>2219.6431</v>
      </c>
      <c r="J741" t="n">
        <v>9242.878500000001</v>
      </c>
      <c r="K741" t="n">
        <v>26170616.74</v>
      </c>
      <c r="L741" t="n">
        <v>101956949.16</v>
      </c>
      <c r="M741" t="n">
        <v>13482.4768</v>
      </c>
      <c r="N741" t="inlineStr">
        <is>
          <t>Provided Total Emissions</t>
        </is>
      </c>
      <c r="O741" t="b">
        <v>1</v>
      </c>
      <c r="P741" t="n">
        <v>0.008567</v>
      </c>
      <c r="Q741" t="n">
        <v>0.050527</v>
      </c>
      <c r="R741" t="n">
        <v>28272.1173</v>
      </c>
      <c r="S741" t="n">
        <v>80490.93309999999</v>
      </c>
      <c r="T741" t="n">
        <v>14789.6405</v>
      </c>
      <c r="U741" t="n">
        <v>67008.45630000001</v>
      </c>
      <c r="V741" t="n">
        <v>1.096953</v>
      </c>
      <c r="W741" t="n">
        <v>4.970041</v>
      </c>
      <c r="X741" t="inlineStr">
        <is>
          <t>High</t>
        </is>
      </c>
      <c r="Y741" t="inlineStr">
        <is>
          <t>None</t>
        </is>
      </c>
      <c r="Z741" t="inlineStr">
        <is>
          <t>Valid</t>
        </is>
      </c>
      <c r="AA741" t="n">
        <v>2028</v>
      </c>
      <c r="AB741" t="inlineStr">
        <is>
          <t>Supplier Target Pathway</t>
        </is>
      </c>
      <c r="AC741" t="n">
        <v>11313.691</v>
      </c>
      <c r="AD741" t="n">
        <v>6857.2281</v>
      </c>
      <c r="AE741" t="n">
        <v>9288.026099999999</v>
      </c>
      <c r="AF741" t="n">
        <v>9288.026099999999</v>
      </c>
      <c r="AG741" t="n">
        <v>2025.6649</v>
      </c>
      <c r="AH741" t="n">
        <v>0.0003549</v>
      </c>
      <c r="AI741" t="n">
        <v>0.179045</v>
      </c>
      <c r="AJ741" t="n">
        <v>2430.7979</v>
      </c>
      <c r="AK741" t="n">
        <v>202.5665</v>
      </c>
      <c r="AL741" t="n">
        <v>71348.1465</v>
      </c>
      <c r="AM741" t="n">
        <v>38367.5031</v>
      </c>
      <c r="AN741" t="n">
        <v>0.99</v>
      </c>
      <c r="AO741" t="inlineStr">
        <is>
          <t>Critical</t>
        </is>
      </c>
      <c r="AP741" t="inlineStr">
        <is>
          <t>On Track to Glide Path</t>
        </is>
      </c>
    </row>
    <row r="742">
      <c r="A742" t="inlineStr">
        <is>
          <t>SUP-0047</t>
        </is>
      </c>
      <c r="B742" t="inlineStr">
        <is>
          <t>Packaging Supplier 047</t>
        </is>
      </c>
      <c r="C742" t="inlineStr">
        <is>
          <t>Packaging</t>
        </is>
      </c>
      <c r="D742" t="n">
        <v>2024</v>
      </c>
      <c r="E742" t="n">
        <v>2018</v>
      </c>
      <c r="F742" t="n">
        <v>2040</v>
      </c>
      <c r="G742" t="n">
        <v>13482.4768</v>
      </c>
      <c r="H742" t="n">
        <v>1729.6497</v>
      </c>
      <c r="I742" t="n">
        <v>2219.6431</v>
      </c>
      <c r="J742" t="n">
        <v>9242.878500000001</v>
      </c>
      <c r="K742" t="n">
        <v>26170616.74</v>
      </c>
      <c r="L742" t="n">
        <v>101956949.16</v>
      </c>
      <c r="M742" t="n">
        <v>13482.4768</v>
      </c>
      <c r="N742" t="inlineStr">
        <is>
          <t>Provided Total Emissions</t>
        </is>
      </c>
      <c r="O742" t="b">
        <v>1</v>
      </c>
      <c r="P742" t="n">
        <v>0.008567</v>
      </c>
      <c r="Q742" t="n">
        <v>0.050527</v>
      </c>
      <c r="R742" t="n">
        <v>28272.1173</v>
      </c>
      <c r="S742" t="n">
        <v>80490.93309999999</v>
      </c>
      <c r="T742" t="n">
        <v>14789.6405</v>
      </c>
      <c r="U742" t="n">
        <v>67008.45630000001</v>
      </c>
      <c r="V742" t="n">
        <v>1.096953</v>
      </c>
      <c r="W742" t="n">
        <v>4.970041</v>
      </c>
      <c r="X742" t="inlineStr">
        <is>
          <t>High</t>
        </is>
      </c>
      <c r="Y742" t="inlineStr">
        <is>
          <t>None</t>
        </is>
      </c>
      <c r="Z742" t="inlineStr">
        <is>
          <t>Valid</t>
        </is>
      </c>
      <c r="AA742" t="n">
        <v>2029</v>
      </c>
      <c r="AB742" t="inlineStr">
        <is>
          <t>Supplier Target Pathway</t>
        </is>
      </c>
      <c r="AC742" t="n">
        <v>11313.691</v>
      </c>
      <c r="AD742" t="n">
        <v>6857.2281</v>
      </c>
      <c r="AE742" t="n">
        <v>9085.4596</v>
      </c>
      <c r="AF742" t="n">
        <v>9085.4596</v>
      </c>
      <c r="AG742" t="n">
        <v>2228.2314</v>
      </c>
      <c r="AH742" t="n">
        <v>0.00034716</v>
      </c>
      <c r="AI742" t="n">
        <v>0.19695</v>
      </c>
      <c r="AJ742" t="n">
        <v>2228.2314</v>
      </c>
      <c r="AK742" t="n">
        <v>202.5665</v>
      </c>
      <c r="AL742" t="n">
        <v>62262.6869</v>
      </c>
      <c r="AM742" t="n">
        <v>47452.9627</v>
      </c>
      <c r="AN742" t="n">
        <v>0.99</v>
      </c>
      <c r="AO742" t="inlineStr">
        <is>
          <t>High</t>
        </is>
      </c>
      <c r="AP742" t="inlineStr">
        <is>
          <t>On Track to Glide Path</t>
        </is>
      </c>
    </row>
    <row r="743">
      <c r="A743" t="inlineStr">
        <is>
          <t>SUP-0047</t>
        </is>
      </c>
      <c r="B743" t="inlineStr">
        <is>
          <t>Packaging Supplier 047</t>
        </is>
      </c>
      <c r="C743" t="inlineStr">
        <is>
          <t>Packaging</t>
        </is>
      </c>
      <c r="D743" t="n">
        <v>2024</v>
      </c>
      <c r="E743" t="n">
        <v>2018</v>
      </c>
      <c r="F743" t="n">
        <v>2040</v>
      </c>
      <c r="G743" t="n">
        <v>13482.4768</v>
      </c>
      <c r="H743" t="n">
        <v>1729.6497</v>
      </c>
      <c r="I743" t="n">
        <v>2219.6431</v>
      </c>
      <c r="J743" t="n">
        <v>9242.878500000001</v>
      </c>
      <c r="K743" t="n">
        <v>26170616.74</v>
      </c>
      <c r="L743" t="n">
        <v>101956949.16</v>
      </c>
      <c r="M743" t="n">
        <v>13482.4768</v>
      </c>
      <c r="N743" t="inlineStr">
        <is>
          <t>Provided Total Emissions</t>
        </is>
      </c>
      <c r="O743" t="b">
        <v>1</v>
      </c>
      <c r="P743" t="n">
        <v>0.008567</v>
      </c>
      <c r="Q743" t="n">
        <v>0.050527</v>
      </c>
      <c r="R743" t="n">
        <v>28272.1173</v>
      </c>
      <c r="S743" t="n">
        <v>80490.93309999999</v>
      </c>
      <c r="T743" t="n">
        <v>14789.6405</v>
      </c>
      <c r="U743" t="n">
        <v>67008.45630000001</v>
      </c>
      <c r="V743" t="n">
        <v>1.096953</v>
      </c>
      <c r="W743" t="n">
        <v>4.970041</v>
      </c>
      <c r="X743" t="inlineStr">
        <is>
          <t>High</t>
        </is>
      </c>
      <c r="Y743" t="inlineStr">
        <is>
          <t>None</t>
        </is>
      </c>
      <c r="Z743" t="inlineStr">
        <is>
          <t>Valid</t>
        </is>
      </c>
      <c r="AA743" t="n">
        <v>2030</v>
      </c>
      <c r="AB743" t="inlineStr">
        <is>
          <t>Supplier Target Pathway</t>
        </is>
      </c>
      <c r="AC743" t="n">
        <v>11313.691</v>
      </c>
      <c r="AD743" t="n">
        <v>6857.2281</v>
      </c>
      <c r="AE743" t="n">
        <v>8882.893099999999</v>
      </c>
      <c r="AF743" t="n">
        <v>8882.893099999999</v>
      </c>
      <c r="AG743" t="n">
        <v>2430.7979</v>
      </c>
      <c r="AH743" t="n">
        <v>0.00033942</v>
      </c>
      <c r="AI743" t="n">
        <v>0.214855</v>
      </c>
      <c r="AJ743" t="n">
        <v>2025.6649</v>
      </c>
      <c r="AK743" t="n">
        <v>202.5665</v>
      </c>
      <c r="AL743" t="n">
        <v>53379.7938</v>
      </c>
      <c r="AM743" t="n">
        <v>56335.8558</v>
      </c>
      <c r="AN743" t="n">
        <v>0.99</v>
      </c>
      <c r="AO743" t="inlineStr">
        <is>
          <t>High</t>
        </is>
      </c>
      <c r="AP743" t="inlineStr">
        <is>
          <t>On Track to Glide Path</t>
        </is>
      </c>
    </row>
    <row r="744">
      <c r="A744" t="inlineStr">
        <is>
          <t>SUP-0047</t>
        </is>
      </c>
      <c r="B744" t="inlineStr">
        <is>
          <t>Packaging Supplier 047</t>
        </is>
      </c>
      <c r="C744" t="inlineStr">
        <is>
          <t>Packaging</t>
        </is>
      </c>
      <c r="D744" t="n">
        <v>2024</v>
      </c>
      <c r="E744" t="n">
        <v>2018</v>
      </c>
      <c r="F744" t="n">
        <v>2040</v>
      </c>
      <c r="G744" t="n">
        <v>13482.4768</v>
      </c>
      <c r="H744" t="n">
        <v>1729.6497</v>
      </c>
      <c r="I744" t="n">
        <v>2219.6431</v>
      </c>
      <c r="J744" t="n">
        <v>9242.878500000001</v>
      </c>
      <c r="K744" t="n">
        <v>26170616.74</v>
      </c>
      <c r="L744" t="n">
        <v>101956949.16</v>
      </c>
      <c r="M744" t="n">
        <v>13482.4768</v>
      </c>
      <c r="N744" t="inlineStr">
        <is>
          <t>Provided Total Emissions</t>
        </is>
      </c>
      <c r="O744" t="b">
        <v>1</v>
      </c>
      <c r="P744" t="n">
        <v>0.008567</v>
      </c>
      <c r="Q744" t="n">
        <v>0.050527</v>
      </c>
      <c r="R744" t="n">
        <v>28272.1173</v>
      </c>
      <c r="S744" t="n">
        <v>80490.93309999999</v>
      </c>
      <c r="T744" t="n">
        <v>14789.6405</v>
      </c>
      <c r="U744" t="n">
        <v>67008.45630000001</v>
      </c>
      <c r="V744" t="n">
        <v>1.096953</v>
      </c>
      <c r="W744" t="n">
        <v>4.970041</v>
      </c>
      <c r="X744" t="inlineStr">
        <is>
          <t>High</t>
        </is>
      </c>
      <c r="Y744" t="inlineStr">
        <is>
          <t>None</t>
        </is>
      </c>
      <c r="Z744" t="inlineStr">
        <is>
          <t>Valid</t>
        </is>
      </c>
      <c r="AA744" t="n">
        <v>2031</v>
      </c>
      <c r="AB744" t="inlineStr">
        <is>
          <t>Supplier Target Pathway</t>
        </is>
      </c>
      <c r="AC744" t="n">
        <v>11313.691</v>
      </c>
      <c r="AD744" t="n">
        <v>6857.2281</v>
      </c>
      <c r="AE744" t="n">
        <v>8680.3266</v>
      </c>
      <c r="AF744" t="n">
        <v>8680.3266</v>
      </c>
      <c r="AG744" t="n">
        <v>2633.3644</v>
      </c>
      <c r="AH744" t="n">
        <v>0.00033168</v>
      </c>
      <c r="AI744" t="n">
        <v>0.232759</v>
      </c>
      <c r="AJ744" t="n">
        <v>1823.0985</v>
      </c>
      <c r="AK744" t="n">
        <v>202.5665</v>
      </c>
      <c r="AL744" t="n">
        <v>44699.4672</v>
      </c>
      <c r="AM744" t="n">
        <v>65016.1824</v>
      </c>
      <c r="AN744" t="n">
        <v>0.99</v>
      </c>
      <c r="AO744" t="inlineStr">
        <is>
          <t>High</t>
        </is>
      </c>
      <c r="AP744" t="inlineStr">
        <is>
          <t>On Track to Glide Path</t>
        </is>
      </c>
    </row>
    <row r="745">
      <c r="A745" t="inlineStr">
        <is>
          <t>SUP-0047</t>
        </is>
      </c>
      <c r="B745" t="inlineStr">
        <is>
          <t>Packaging Supplier 047</t>
        </is>
      </c>
      <c r="C745" t="inlineStr">
        <is>
          <t>Packaging</t>
        </is>
      </c>
      <c r="D745" t="n">
        <v>2024</v>
      </c>
      <c r="E745" t="n">
        <v>2018</v>
      </c>
      <c r="F745" t="n">
        <v>2040</v>
      </c>
      <c r="G745" t="n">
        <v>13482.4768</v>
      </c>
      <c r="H745" t="n">
        <v>1729.6497</v>
      </c>
      <c r="I745" t="n">
        <v>2219.6431</v>
      </c>
      <c r="J745" t="n">
        <v>9242.878500000001</v>
      </c>
      <c r="K745" t="n">
        <v>26170616.74</v>
      </c>
      <c r="L745" t="n">
        <v>101956949.16</v>
      </c>
      <c r="M745" t="n">
        <v>13482.4768</v>
      </c>
      <c r="N745" t="inlineStr">
        <is>
          <t>Provided Total Emissions</t>
        </is>
      </c>
      <c r="O745" t="b">
        <v>1</v>
      </c>
      <c r="P745" t="n">
        <v>0.008567</v>
      </c>
      <c r="Q745" t="n">
        <v>0.050527</v>
      </c>
      <c r="R745" t="n">
        <v>28272.1173</v>
      </c>
      <c r="S745" t="n">
        <v>80490.93309999999</v>
      </c>
      <c r="T745" t="n">
        <v>14789.6405</v>
      </c>
      <c r="U745" t="n">
        <v>67008.45630000001</v>
      </c>
      <c r="V745" t="n">
        <v>1.096953</v>
      </c>
      <c r="W745" t="n">
        <v>4.970041</v>
      </c>
      <c r="X745" t="inlineStr">
        <is>
          <t>High</t>
        </is>
      </c>
      <c r="Y745" t="inlineStr">
        <is>
          <t>None</t>
        </is>
      </c>
      <c r="Z745" t="inlineStr">
        <is>
          <t>Valid</t>
        </is>
      </c>
      <c r="AA745" t="n">
        <v>2032</v>
      </c>
      <c r="AB745" t="inlineStr">
        <is>
          <t>Supplier Target Pathway</t>
        </is>
      </c>
      <c r="AC745" t="n">
        <v>11313.691</v>
      </c>
      <c r="AD745" t="n">
        <v>6857.2281</v>
      </c>
      <c r="AE745" t="n">
        <v>8477.7601</v>
      </c>
      <c r="AF745" t="n">
        <v>8477.7601</v>
      </c>
      <c r="AG745" t="n">
        <v>2835.9309</v>
      </c>
      <c r="AH745" t="n">
        <v>0.00032394</v>
      </c>
      <c r="AI745" t="n">
        <v>0.250664</v>
      </c>
      <c r="AJ745" t="n">
        <v>1620.532</v>
      </c>
      <c r="AK745" t="n">
        <v>202.5665</v>
      </c>
      <c r="AL745" t="n">
        <v>36221.7071</v>
      </c>
      <c r="AM745" t="n">
        <v>73493.9425</v>
      </c>
      <c r="AN745" t="n">
        <v>0.99</v>
      </c>
      <c r="AO745" t="inlineStr">
        <is>
          <t>High</t>
        </is>
      </c>
      <c r="AP745" t="inlineStr">
        <is>
          <t>On Track to Glide Path</t>
        </is>
      </c>
    </row>
    <row r="746">
      <c r="A746" t="inlineStr">
        <is>
          <t>SUP-0047</t>
        </is>
      </c>
      <c r="B746" t="inlineStr">
        <is>
          <t>Packaging Supplier 047</t>
        </is>
      </c>
      <c r="C746" t="inlineStr">
        <is>
          <t>Packaging</t>
        </is>
      </c>
      <c r="D746" t="n">
        <v>2024</v>
      </c>
      <c r="E746" t="n">
        <v>2018</v>
      </c>
      <c r="F746" t="n">
        <v>2040</v>
      </c>
      <c r="G746" t="n">
        <v>13482.4768</v>
      </c>
      <c r="H746" t="n">
        <v>1729.6497</v>
      </c>
      <c r="I746" t="n">
        <v>2219.6431</v>
      </c>
      <c r="J746" t="n">
        <v>9242.878500000001</v>
      </c>
      <c r="K746" t="n">
        <v>26170616.74</v>
      </c>
      <c r="L746" t="n">
        <v>101956949.16</v>
      </c>
      <c r="M746" t="n">
        <v>13482.4768</v>
      </c>
      <c r="N746" t="inlineStr">
        <is>
          <t>Provided Total Emissions</t>
        </is>
      </c>
      <c r="O746" t="b">
        <v>1</v>
      </c>
      <c r="P746" t="n">
        <v>0.008567</v>
      </c>
      <c r="Q746" t="n">
        <v>0.050527</v>
      </c>
      <c r="R746" t="n">
        <v>28272.1173</v>
      </c>
      <c r="S746" t="n">
        <v>80490.93309999999</v>
      </c>
      <c r="T746" t="n">
        <v>14789.6405</v>
      </c>
      <c r="U746" t="n">
        <v>67008.45630000001</v>
      </c>
      <c r="V746" t="n">
        <v>1.096953</v>
      </c>
      <c r="W746" t="n">
        <v>4.970041</v>
      </c>
      <c r="X746" t="inlineStr">
        <is>
          <t>High</t>
        </is>
      </c>
      <c r="Y746" t="inlineStr">
        <is>
          <t>None</t>
        </is>
      </c>
      <c r="Z746" t="inlineStr">
        <is>
          <t>Valid</t>
        </is>
      </c>
      <c r="AA746" t="n">
        <v>2033</v>
      </c>
      <c r="AB746" t="inlineStr">
        <is>
          <t>Supplier Target Pathway</t>
        </is>
      </c>
      <c r="AC746" t="n">
        <v>11313.691</v>
      </c>
      <c r="AD746" t="n">
        <v>6857.2281</v>
      </c>
      <c r="AE746" t="n">
        <v>8275.193600000001</v>
      </c>
      <c r="AF746" t="n">
        <v>8275.193600000001</v>
      </c>
      <c r="AG746" t="n">
        <v>3038.4974</v>
      </c>
      <c r="AH746" t="n">
        <v>0.0003162</v>
      </c>
      <c r="AI746" t="n">
        <v>0.268568</v>
      </c>
      <c r="AJ746" t="n">
        <v>1417.9655</v>
      </c>
      <c r="AK746" t="n">
        <v>202.5665</v>
      </c>
      <c r="AL746" t="n">
        <v>27946.5135</v>
      </c>
      <c r="AM746" t="n">
        <v>81769.1361</v>
      </c>
      <c r="AN746" t="n">
        <v>0.99</v>
      </c>
      <c r="AO746" t="inlineStr">
        <is>
          <t>High</t>
        </is>
      </c>
      <c r="AP746" t="inlineStr">
        <is>
          <t>On Track to Glide Path</t>
        </is>
      </c>
    </row>
    <row r="747">
      <c r="A747" t="inlineStr">
        <is>
          <t>SUP-0047</t>
        </is>
      </c>
      <c r="B747" t="inlineStr">
        <is>
          <t>Packaging Supplier 047</t>
        </is>
      </c>
      <c r="C747" t="inlineStr">
        <is>
          <t>Packaging</t>
        </is>
      </c>
      <c r="D747" t="n">
        <v>2024</v>
      </c>
      <c r="E747" t="n">
        <v>2018</v>
      </c>
      <c r="F747" t="n">
        <v>2040</v>
      </c>
      <c r="G747" t="n">
        <v>13482.4768</v>
      </c>
      <c r="H747" t="n">
        <v>1729.6497</v>
      </c>
      <c r="I747" t="n">
        <v>2219.6431</v>
      </c>
      <c r="J747" t="n">
        <v>9242.878500000001</v>
      </c>
      <c r="K747" t="n">
        <v>26170616.74</v>
      </c>
      <c r="L747" t="n">
        <v>101956949.16</v>
      </c>
      <c r="M747" t="n">
        <v>13482.4768</v>
      </c>
      <c r="N747" t="inlineStr">
        <is>
          <t>Provided Total Emissions</t>
        </is>
      </c>
      <c r="O747" t="b">
        <v>1</v>
      </c>
      <c r="P747" t="n">
        <v>0.008567</v>
      </c>
      <c r="Q747" t="n">
        <v>0.050527</v>
      </c>
      <c r="R747" t="n">
        <v>28272.1173</v>
      </c>
      <c r="S747" t="n">
        <v>80490.93309999999</v>
      </c>
      <c r="T747" t="n">
        <v>14789.6405</v>
      </c>
      <c r="U747" t="n">
        <v>67008.45630000001</v>
      </c>
      <c r="V747" t="n">
        <v>1.096953</v>
      </c>
      <c r="W747" t="n">
        <v>4.970041</v>
      </c>
      <c r="X747" t="inlineStr">
        <is>
          <t>High</t>
        </is>
      </c>
      <c r="Y747" t="inlineStr">
        <is>
          <t>None</t>
        </is>
      </c>
      <c r="Z747" t="inlineStr">
        <is>
          <t>Valid</t>
        </is>
      </c>
      <c r="AA747" t="n">
        <v>2034</v>
      </c>
      <c r="AB747" t="inlineStr">
        <is>
          <t>Supplier Target Pathway</t>
        </is>
      </c>
      <c r="AC747" t="n">
        <v>11313.691</v>
      </c>
      <c r="AD747" t="n">
        <v>6857.2281</v>
      </c>
      <c r="AE747" t="n">
        <v>8072.6271</v>
      </c>
      <c r="AF747" t="n">
        <v>8072.6271</v>
      </c>
      <c r="AG747" t="n">
        <v>3241.0639</v>
      </c>
      <c r="AH747" t="n">
        <v>0.00030846</v>
      </c>
      <c r="AI747" t="n">
        <v>0.286473</v>
      </c>
      <c r="AJ747" t="n">
        <v>1215.399</v>
      </c>
      <c r="AK747" t="n">
        <v>202.5665</v>
      </c>
      <c r="AL747" t="n">
        <v>19873.8864</v>
      </c>
      <c r="AM747" t="n">
        <v>89841.7632</v>
      </c>
      <c r="AN747" t="n">
        <v>0.99</v>
      </c>
      <c r="AO747" t="inlineStr">
        <is>
          <t>High</t>
        </is>
      </c>
      <c r="AP747" t="inlineStr">
        <is>
          <t>On Track to Glide Path</t>
        </is>
      </c>
    </row>
    <row r="748">
      <c r="A748" t="inlineStr">
        <is>
          <t>SUP-0047</t>
        </is>
      </c>
      <c r="B748" t="inlineStr">
        <is>
          <t>Packaging Supplier 047</t>
        </is>
      </c>
      <c r="C748" t="inlineStr">
        <is>
          <t>Packaging</t>
        </is>
      </c>
      <c r="D748" t="n">
        <v>2024</v>
      </c>
      <c r="E748" t="n">
        <v>2018</v>
      </c>
      <c r="F748" t="n">
        <v>2040</v>
      </c>
      <c r="G748" t="n">
        <v>13482.4768</v>
      </c>
      <c r="H748" t="n">
        <v>1729.6497</v>
      </c>
      <c r="I748" t="n">
        <v>2219.6431</v>
      </c>
      <c r="J748" t="n">
        <v>9242.878500000001</v>
      </c>
      <c r="K748" t="n">
        <v>26170616.74</v>
      </c>
      <c r="L748" t="n">
        <v>101956949.16</v>
      </c>
      <c r="M748" t="n">
        <v>13482.4768</v>
      </c>
      <c r="N748" t="inlineStr">
        <is>
          <t>Provided Total Emissions</t>
        </is>
      </c>
      <c r="O748" t="b">
        <v>1</v>
      </c>
      <c r="P748" t="n">
        <v>0.008567</v>
      </c>
      <c r="Q748" t="n">
        <v>0.050527</v>
      </c>
      <c r="R748" t="n">
        <v>28272.1173</v>
      </c>
      <c r="S748" t="n">
        <v>80490.93309999999</v>
      </c>
      <c r="T748" t="n">
        <v>14789.6405</v>
      </c>
      <c r="U748" t="n">
        <v>67008.45630000001</v>
      </c>
      <c r="V748" t="n">
        <v>1.096953</v>
      </c>
      <c r="W748" t="n">
        <v>4.970041</v>
      </c>
      <c r="X748" t="inlineStr">
        <is>
          <t>High</t>
        </is>
      </c>
      <c r="Y748" t="inlineStr">
        <is>
          <t>None</t>
        </is>
      </c>
      <c r="Z748" t="inlineStr">
        <is>
          <t>Valid</t>
        </is>
      </c>
      <c r="AA748" t="n">
        <v>2035</v>
      </c>
      <c r="AB748" t="inlineStr">
        <is>
          <t>Supplier Target Pathway</t>
        </is>
      </c>
      <c r="AC748" t="n">
        <v>11313.691</v>
      </c>
      <c r="AD748" t="n">
        <v>6857.2281</v>
      </c>
      <c r="AE748" t="n">
        <v>7870.0606</v>
      </c>
      <c r="AF748" t="n">
        <v>7870.0606</v>
      </c>
      <c r="AG748" t="n">
        <v>3443.6304</v>
      </c>
      <c r="AH748" t="n">
        <v>0.00030072</v>
      </c>
      <c r="AI748" t="n">
        <v>0.304377</v>
      </c>
      <c r="AJ748" t="n">
        <v>1012.8325</v>
      </c>
      <c r="AK748" t="n">
        <v>202.5665</v>
      </c>
      <c r="AL748" t="n">
        <v>12003.8258</v>
      </c>
      <c r="AM748" t="n">
        <v>97711.8238</v>
      </c>
      <c r="AN748" t="n">
        <v>0.99</v>
      </c>
      <c r="AO748" t="inlineStr">
        <is>
          <t>Medium</t>
        </is>
      </c>
      <c r="AP748" t="inlineStr">
        <is>
          <t>On Track to Glide Path</t>
        </is>
      </c>
    </row>
    <row r="749">
      <c r="A749" t="inlineStr">
        <is>
          <t>SUP-0047</t>
        </is>
      </c>
      <c r="B749" t="inlineStr">
        <is>
          <t>Packaging Supplier 047</t>
        </is>
      </c>
      <c r="C749" t="inlineStr">
        <is>
          <t>Packaging</t>
        </is>
      </c>
      <c r="D749" t="n">
        <v>2024</v>
      </c>
      <c r="E749" t="n">
        <v>2018</v>
      </c>
      <c r="F749" t="n">
        <v>2040</v>
      </c>
      <c r="G749" t="n">
        <v>13482.4768</v>
      </c>
      <c r="H749" t="n">
        <v>1729.6497</v>
      </c>
      <c r="I749" t="n">
        <v>2219.6431</v>
      </c>
      <c r="J749" t="n">
        <v>9242.878500000001</v>
      </c>
      <c r="K749" t="n">
        <v>26170616.74</v>
      </c>
      <c r="L749" t="n">
        <v>101956949.16</v>
      </c>
      <c r="M749" t="n">
        <v>13482.4768</v>
      </c>
      <c r="N749" t="inlineStr">
        <is>
          <t>Provided Total Emissions</t>
        </is>
      </c>
      <c r="O749" t="b">
        <v>1</v>
      </c>
      <c r="P749" t="n">
        <v>0.008567</v>
      </c>
      <c r="Q749" t="n">
        <v>0.050527</v>
      </c>
      <c r="R749" t="n">
        <v>28272.1173</v>
      </c>
      <c r="S749" t="n">
        <v>80490.93309999999</v>
      </c>
      <c r="T749" t="n">
        <v>14789.6405</v>
      </c>
      <c r="U749" t="n">
        <v>67008.45630000001</v>
      </c>
      <c r="V749" t="n">
        <v>1.096953</v>
      </c>
      <c r="W749" t="n">
        <v>4.970041</v>
      </c>
      <c r="X749" t="inlineStr">
        <is>
          <t>High</t>
        </is>
      </c>
      <c r="Y749" t="inlineStr">
        <is>
          <t>None</t>
        </is>
      </c>
      <c r="Z749" t="inlineStr">
        <is>
          <t>Valid</t>
        </is>
      </c>
      <c r="AA749" t="n">
        <v>2036</v>
      </c>
      <c r="AB749" t="inlineStr">
        <is>
          <t>Supplier Target Pathway</t>
        </is>
      </c>
      <c r="AC749" t="n">
        <v>11313.691</v>
      </c>
      <c r="AD749" t="n">
        <v>6857.2281</v>
      </c>
      <c r="AE749" t="n">
        <v>7667.4941</v>
      </c>
      <c r="AF749" t="n">
        <v>7667.4941</v>
      </c>
      <c r="AG749" t="n">
        <v>3646.1969</v>
      </c>
      <c r="AH749" t="n">
        <v>0.00029298</v>
      </c>
      <c r="AI749" t="n">
        <v>0.322282</v>
      </c>
      <c r="AJ749" t="n">
        <v>810.266</v>
      </c>
      <c r="AK749" t="n">
        <v>202.5665</v>
      </c>
      <c r="AL749" t="n">
        <v>4336.3317</v>
      </c>
      <c r="AM749" t="n">
        <v>105379.3179</v>
      </c>
      <c r="AN749" t="n">
        <v>0.99</v>
      </c>
      <c r="AO749" t="inlineStr">
        <is>
          <t>Medium</t>
        </is>
      </c>
      <c r="AP749" t="inlineStr">
        <is>
          <t>On Track to Glide Path</t>
        </is>
      </c>
    </row>
    <row r="750">
      <c r="A750" t="inlineStr">
        <is>
          <t>SUP-0047</t>
        </is>
      </c>
      <c r="B750" t="inlineStr">
        <is>
          <t>Packaging Supplier 047</t>
        </is>
      </c>
      <c r="C750" t="inlineStr">
        <is>
          <t>Packaging</t>
        </is>
      </c>
      <c r="D750" t="n">
        <v>2024</v>
      </c>
      <c r="E750" t="n">
        <v>2018</v>
      </c>
      <c r="F750" t="n">
        <v>2040</v>
      </c>
      <c r="G750" t="n">
        <v>13482.4768</v>
      </c>
      <c r="H750" t="n">
        <v>1729.6497</v>
      </c>
      <c r="I750" t="n">
        <v>2219.6431</v>
      </c>
      <c r="J750" t="n">
        <v>9242.878500000001</v>
      </c>
      <c r="K750" t="n">
        <v>26170616.74</v>
      </c>
      <c r="L750" t="n">
        <v>101956949.16</v>
      </c>
      <c r="M750" t="n">
        <v>13482.4768</v>
      </c>
      <c r="N750" t="inlineStr">
        <is>
          <t>Provided Total Emissions</t>
        </is>
      </c>
      <c r="O750" t="b">
        <v>1</v>
      </c>
      <c r="P750" t="n">
        <v>0.008567</v>
      </c>
      <c r="Q750" t="n">
        <v>0.050527</v>
      </c>
      <c r="R750" t="n">
        <v>28272.1173</v>
      </c>
      <c r="S750" t="n">
        <v>80490.93309999999</v>
      </c>
      <c r="T750" t="n">
        <v>14789.6405</v>
      </c>
      <c r="U750" t="n">
        <v>67008.45630000001</v>
      </c>
      <c r="V750" t="n">
        <v>1.096953</v>
      </c>
      <c r="W750" t="n">
        <v>4.970041</v>
      </c>
      <c r="X750" t="inlineStr">
        <is>
          <t>High</t>
        </is>
      </c>
      <c r="Y750" t="inlineStr">
        <is>
          <t>None</t>
        </is>
      </c>
      <c r="Z750" t="inlineStr">
        <is>
          <t>Valid</t>
        </is>
      </c>
      <c r="AA750" t="n">
        <v>2037</v>
      </c>
      <c r="AB750" t="inlineStr">
        <is>
          <t>Supplier Target Pathway</t>
        </is>
      </c>
      <c r="AC750" t="n">
        <v>11313.691</v>
      </c>
      <c r="AD750" t="n">
        <v>6857.2281</v>
      </c>
      <c r="AE750" t="n">
        <v>7464.9276</v>
      </c>
      <c r="AF750" t="n">
        <v>7464.9276</v>
      </c>
      <c r="AG750" t="n">
        <v>3848.7634</v>
      </c>
      <c r="AH750" t="n">
        <v>0.00028524</v>
      </c>
      <c r="AI750" t="n">
        <v>0.340186</v>
      </c>
      <c r="AJ750" t="n">
        <v>607.6994999999999</v>
      </c>
      <c r="AK750" t="n">
        <v>202.5665</v>
      </c>
      <c r="AL750" t="n">
        <v>-3128.5959</v>
      </c>
      <c r="AM750" t="n">
        <v>112844.2455</v>
      </c>
      <c r="AN750" t="n">
        <v>0.99</v>
      </c>
      <c r="AO750" t="inlineStr">
        <is>
          <t>Medium</t>
        </is>
      </c>
      <c r="AP750" t="inlineStr">
        <is>
          <t>On Track to Glide Path</t>
        </is>
      </c>
    </row>
    <row r="751">
      <c r="A751" t="inlineStr">
        <is>
          <t>SUP-0047</t>
        </is>
      </c>
      <c r="B751" t="inlineStr">
        <is>
          <t>Packaging Supplier 047</t>
        </is>
      </c>
      <c r="C751" t="inlineStr">
        <is>
          <t>Packaging</t>
        </is>
      </c>
      <c r="D751" t="n">
        <v>2024</v>
      </c>
      <c r="E751" t="n">
        <v>2018</v>
      </c>
      <c r="F751" t="n">
        <v>2040</v>
      </c>
      <c r="G751" t="n">
        <v>13482.4768</v>
      </c>
      <c r="H751" t="n">
        <v>1729.6497</v>
      </c>
      <c r="I751" t="n">
        <v>2219.6431</v>
      </c>
      <c r="J751" t="n">
        <v>9242.878500000001</v>
      </c>
      <c r="K751" t="n">
        <v>26170616.74</v>
      </c>
      <c r="L751" t="n">
        <v>101956949.16</v>
      </c>
      <c r="M751" t="n">
        <v>13482.4768</v>
      </c>
      <c r="N751" t="inlineStr">
        <is>
          <t>Provided Total Emissions</t>
        </is>
      </c>
      <c r="O751" t="b">
        <v>1</v>
      </c>
      <c r="P751" t="n">
        <v>0.008567</v>
      </c>
      <c r="Q751" t="n">
        <v>0.050527</v>
      </c>
      <c r="R751" t="n">
        <v>28272.1173</v>
      </c>
      <c r="S751" t="n">
        <v>80490.93309999999</v>
      </c>
      <c r="T751" t="n">
        <v>14789.6405</v>
      </c>
      <c r="U751" t="n">
        <v>67008.45630000001</v>
      </c>
      <c r="V751" t="n">
        <v>1.096953</v>
      </c>
      <c r="W751" t="n">
        <v>4.970041</v>
      </c>
      <c r="X751" t="inlineStr">
        <is>
          <t>High</t>
        </is>
      </c>
      <c r="Y751" t="inlineStr">
        <is>
          <t>None</t>
        </is>
      </c>
      <c r="Z751" t="inlineStr">
        <is>
          <t>Valid</t>
        </is>
      </c>
      <c r="AA751" t="n">
        <v>2038</v>
      </c>
      <c r="AB751" t="inlineStr">
        <is>
          <t>Supplier Target Pathway</t>
        </is>
      </c>
      <c r="AC751" t="n">
        <v>11313.691</v>
      </c>
      <c r="AD751" t="n">
        <v>6857.2281</v>
      </c>
      <c r="AE751" t="n">
        <v>7262.3611</v>
      </c>
      <c r="AF751" t="n">
        <v>7262.3611</v>
      </c>
      <c r="AG751" t="n">
        <v>4051.3299</v>
      </c>
      <c r="AH751" t="n">
        <v>0.0002775</v>
      </c>
      <c r="AI751" t="n">
        <v>0.358091</v>
      </c>
      <c r="AJ751" t="n">
        <v>405.133</v>
      </c>
      <c r="AK751" t="n">
        <v>202.5665</v>
      </c>
      <c r="AL751" t="n">
        <v>-10390.957</v>
      </c>
      <c r="AM751" t="n">
        <v>120106.6066</v>
      </c>
      <c r="AN751" t="n">
        <v>0.99</v>
      </c>
      <c r="AO751" t="inlineStr">
        <is>
          <t>Medium</t>
        </is>
      </c>
      <c r="AP751" t="inlineStr">
        <is>
          <t>On Track to Glide Path</t>
        </is>
      </c>
    </row>
    <row r="752">
      <c r="A752" t="inlineStr">
        <is>
          <t>SUP-0047</t>
        </is>
      </c>
      <c r="B752" t="inlineStr">
        <is>
          <t>Packaging Supplier 047</t>
        </is>
      </c>
      <c r="C752" t="inlineStr">
        <is>
          <t>Packaging</t>
        </is>
      </c>
      <c r="D752" t="n">
        <v>2024</v>
      </c>
      <c r="E752" t="n">
        <v>2018</v>
      </c>
      <c r="F752" t="n">
        <v>2040</v>
      </c>
      <c r="G752" t="n">
        <v>13482.4768</v>
      </c>
      <c r="H752" t="n">
        <v>1729.6497</v>
      </c>
      <c r="I752" t="n">
        <v>2219.6431</v>
      </c>
      <c r="J752" t="n">
        <v>9242.878500000001</v>
      </c>
      <c r="K752" t="n">
        <v>26170616.74</v>
      </c>
      <c r="L752" t="n">
        <v>101956949.16</v>
      </c>
      <c r="M752" t="n">
        <v>13482.4768</v>
      </c>
      <c r="N752" t="inlineStr">
        <is>
          <t>Provided Total Emissions</t>
        </is>
      </c>
      <c r="O752" t="b">
        <v>1</v>
      </c>
      <c r="P752" t="n">
        <v>0.008567</v>
      </c>
      <c r="Q752" t="n">
        <v>0.050527</v>
      </c>
      <c r="R752" t="n">
        <v>28272.1173</v>
      </c>
      <c r="S752" t="n">
        <v>80490.93309999999</v>
      </c>
      <c r="T752" t="n">
        <v>14789.6405</v>
      </c>
      <c r="U752" t="n">
        <v>67008.45630000001</v>
      </c>
      <c r="V752" t="n">
        <v>1.096953</v>
      </c>
      <c r="W752" t="n">
        <v>4.970041</v>
      </c>
      <c r="X752" t="inlineStr">
        <is>
          <t>High</t>
        </is>
      </c>
      <c r="Y752" t="inlineStr">
        <is>
          <t>None</t>
        </is>
      </c>
      <c r="Z752" t="inlineStr">
        <is>
          <t>Valid</t>
        </is>
      </c>
      <c r="AA752" t="n">
        <v>2039</v>
      </c>
      <c r="AB752" t="inlineStr">
        <is>
          <t>Supplier Target Pathway</t>
        </is>
      </c>
      <c r="AC752" t="n">
        <v>11313.691</v>
      </c>
      <c r="AD752" t="n">
        <v>6857.2281</v>
      </c>
      <c r="AE752" t="n">
        <v>7059.7946</v>
      </c>
      <c r="AF752" t="n">
        <v>7059.7946</v>
      </c>
      <c r="AG752" t="n">
        <v>4253.8964</v>
      </c>
      <c r="AH752" t="n">
        <v>0.00026976</v>
      </c>
      <c r="AI752" t="n">
        <v>0.375995</v>
      </c>
      <c r="AJ752" t="n">
        <v>202.5665</v>
      </c>
      <c r="AK752" t="n">
        <v>202.5665</v>
      </c>
      <c r="AL752" t="n">
        <v>-17450.7516</v>
      </c>
      <c r="AM752" t="n">
        <v>127166.4012</v>
      </c>
      <c r="AN752" t="n">
        <v>0.99</v>
      </c>
      <c r="AO752" t="inlineStr">
        <is>
          <t>Medium</t>
        </is>
      </c>
      <c r="AP752" t="inlineStr">
        <is>
          <t>On Track to Glide Path</t>
        </is>
      </c>
    </row>
    <row r="753">
      <c r="A753" t="inlineStr">
        <is>
          <t>SUP-0047</t>
        </is>
      </c>
      <c r="B753" t="inlineStr">
        <is>
          <t>Packaging Supplier 047</t>
        </is>
      </c>
      <c r="C753" t="inlineStr">
        <is>
          <t>Packaging</t>
        </is>
      </c>
      <c r="D753" t="n">
        <v>2024</v>
      </c>
      <c r="E753" t="n">
        <v>2018</v>
      </c>
      <c r="F753" t="n">
        <v>2040</v>
      </c>
      <c r="G753" t="n">
        <v>13482.4768</v>
      </c>
      <c r="H753" t="n">
        <v>1729.6497</v>
      </c>
      <c r="I753" t="n">
        <v>2219.6431</v>
      </c>
      <c r="J753" t="n">
        <v>9242.878500000001</v>
      </c>
      <c r="K753" t="n">
        <v>26170616.74</v>
      </c>
      <c r="L753" t="n">
        <v>101956949.16</v>
      </c>
      <c r="M753" t="n">
        <v>13482.4768</v>
      </c>
      <c r="N753" t="inlineStr">
        <is>
          <t>Provided Total Emissions</t>
        </is>
      </c>
      <c r="O753" t="b">
        <v>1</v>
      </c>
      <c r="P753" t="n">
        <v>0.008567</v>
      </c>
      <c r="Q753" t="n">
        <v>0.050527</v>
      </c>
      <c r="R753" t="n">
        <v>28272.1173</v>
      </c>
      <c r="S753" t="n">
        <v>80490.93309999999</v>
      </c>
      <c r="T753" t="n">
        <v>14789.6405</v>
      </c>
      <c r="U753" t="n">
        <v>67008.45630000001</v>
      </c>
      <c r="V753" t="n">
        <v>1.096953</v>
      </c>
      <c r="W753" t="n">
        <v>4.970041</v>
      </c>
      <c r="X753" t="inlineStr">
        <is>
          <t>High</t>
        </is>
      </c>
      <c r="Y753" t="inlineStr">
        <is>
          <t>None</t>
        </is>
      </c>
      <c r="Z753" t="inlineStr">
        <is>
          <t>Valid</t>
        </is>
      </c>
      <c r="AA753" t="n">
        <v>2040</v>
      </c>
      <c r="AB753" t="inlineStr">
        <is>
          <t>Supplier Target Pathway</t>
        </is>
      </c>
      <c r="AC753" t="n">
        <v>11313.691</v>
      </c>
      <c r="AD753" t="n">
        <v>6857.2281</v>
      </c>
      <c r="AE753" t="n">
        <v>6857.2281</v>
      </c>
      <c r="AF753" t="n">
        <v>6857.2281</v>
      </c>
      <c r="AG753" t="n">
        <v>4456.4629</v>
      </c>
      <c r="AH753" t="n">
        <v>0.00026202</v>
      </c>
      <c r="AI753" t="n">
        <v>0.3939</v>
      </c>
      <c r="AJ753" t="n">
        <v>0</v>
      </c>
      <c r="AK753" t="n">
        <v>202.5665</v>
      </c>
      <c r="AL753" t="n">
        <v>-24307.9797</v>
      </c>
      <c r="AM753" t="n">
        <v>134023.6293</v>
      </c>
      <c r="AN753" t="n">
        <v>0.99</v>
      </c>
      <c r="AO753" t="inlineStr">
        <is>
          <t>Low</t>
        </is>
      </c>
      <c r="AP753" t="inlineStr">
        <is>
          <t>On Track</t>
        </is>
      </c>
    </row>
    <row r="754">
      <c r="A754" t="inlineStr">
        <is>
          <t>SUP-0048</t>
        </is>
      </c>
      <c r="B754" t="inlineStr">
        <is>
          <t>Logistics Supplier 048</t>
        </is>
      </c>
      <c r="C754" t="inlineStr">
        <is>
          <t>Logistics</t>
        </is>
      </c>
      <c r="D754" t="n">
        <v>2024</v>
      </c>
      <c r="E754" t="n">
        <v>2015</v>
      </c>
      <c r="F754" t="n">
        <v>2040</v>
      </c>
      <c r="G754" t="n">
        <v>3591.2892</v>
      </c>
      <c r="H754" t="n">
        <v>889.4317</v>
      </c>
      <c r="I754" t="n">
        <v>772.1653</v>
      </c>
      <c r="J754" t="n">
        <v>2020.8447</v>
      </c>
      <c r="K754" t="n">
        <v>19025466.64</v>
      </c>
      <c r="L754" t="n">
        <v>69879977.98</v>
      </c>
      <c r="M754" t="n">
        <v>3591.2892</v>
      </c>
      <c r="N754" t="inlineStr">
        <is>
          <t>Provided Total Emissions</t>
        </is>
      </c>
      <c r="O754" t="b">
        <v>1</v>
      </c>
      <c r="P754" t="n">
        <v>-0.030788</v>
      </c>
      <c r="Q754" t="n">
        <v>0.000198</v>
      </c>
      <c r="R754" t="n">
        <v>4252.0015</v>
      </c>
      <c r="S754" t="n">
        <v>33393.5451</v>
      </c>
      <c r="T754" t="n">
        <v>660.7123</v>
      </c>
      <c r="U754" t="n">
        <v>29802.2559</v>
      </c>
      <c r="V754" t="n">
        <v>0.183976</v>
      </c>
      <c r="W754" t="n">
        <v>8.298484</v>
      </c>
      <c r="X754" t="inlineStr">
        <is>
          <t>High</t>
        </is>
      </c>
      <c r="Y754" t="inlineStr">
        <is>
          <t>None</t>
        </is>
      </c>
      <c r="Z754" t="inlineStr">
        <is>
          <t>Valid</t>
        </is>
      </c>
      <c r="AA754" t="n">
        <v>2025</v>
      </c>
      <c r="AB754" t="inlineStr">
        <is>
          <t>Industry Haircut Pathway</t>
        </is>
      </c>
      <c r="AC754" t="n">
        <v>4758.622</v>
      </c>
      <c r="AD754" t="n">
        <v>2562.0421</v>
      </c>
      <c r="AE754" t="n">
        <v>3879.99</v>
      </c>
      <c r="AF754" t="n">
        <v>3879.99</v>
      </c>
      <c r="AG754" t="n">
        <v>878.6319999999999</v>
      </c>
      <c r="AH754" t="n">
        <v>0.00020394</v>
      </c>
      <c r="AI754" t="n">
        <v>0.18464</v>
      </c>
      <c r="AJ754" t="n">
        <v>1317.9479</v>
      </c>
      <c r="AK754" t="n">
        <v>87.86320000000001</v>
      </c>
      <c r="AL754" t="n">
        <v>37112.6836</v>
      </c>
      <c r="AM754" t="n">
        <v>3879.99</v>
      </c>
      <c r="AN754" t="n">
        <v>0.95</v>
      </c>
      <c r="AO754" t="inlineStr">
        <is>
          <t>Critical</t>
        </is>
      </c>
      <c r="AP754" t="inlineStr">
        <is>
          <t>On Track to Glide Path</t>
        </is>
      </c>
    </row>
    <row r="755">
      <c r="A755" t="inlineStr">
        <is>
          <t>SUP-0048</t>
        </is>
      </c>
      <c r="B755" t="inlineStr">
        <is>
          <t>Logistics Supplier 048</t>
        </is>
      </c>
      <c r="C755" t="inlineStr">
        <is>
          <t>Logistics</t>
        </is>
      </c>
      <c r="D755" t="n">
        <v>2024</v>
      </c>
      <c r="E755" t="n">
        <v>2015</v>
      </c>
      <c r="F755" t="n">
        <v>2040</v>
      </c>
      <c r="G755" t="n">
        <v>3591.2892</v>
      </c>
      <c r="H755" t="n">
        <v>889.4317</v>
      </c>
      <c r="I755" t="n">
        <v>772.1653</v>
      </c>
      <c r="J755" t="n">
        <v>2020.8447</v>
      </c>
      <c r="K755" t="n">
        <v>19025466.64</v>
      </c>
      <c r="L755" t="n">
        <v>69879977.98</v>
      </c>
      <c r="M755" t="n">
        <v>3591.2892</v>
      </c>
      <c r="N755" t="inlineStr">
        <is>
          <t>Provided Total Emissions</t>
        </is>
      </c>
      <c r="O755" t="b">
        <v>1</v>
      </c>
      <c r="P755" t="n">
        <v>-0.030788</v>
      </c>
      <c r="Q755" t="n">
        <v>0.000198</v>
      </c>
      <c r="R755" t="n">
        <v>4252.0015</v>
      </c>
      <c r="S755" t="n">
        <v>33393.5451</v>
      </c>
      <c r="T755" t="n">
        <v>660.7123</v>
      </c>
      <c r="U755" t="n">
        <v>29802.2559</v>
      </c>
      <c r="V755" t="n">
        <v>0.183976</v>
      </c>
      <c r="W755" t="n">
        <v>8.298484</v>
      </c>
      <c r="X755" t="inlineStr">
        <is>
          <t>High</t>
        </is>
      </c>
      <c r="Y755" t="inlineStr">
        <is>
          <t>None</t>
        </is>
      </c>
      <c r="Z755" t="inlineStr">
        <is>
          <t>Valid</t>
        </is>
      </c>
      <c r="AA755" t="n">
        <v>2026</v>
      </c>
      <c r="AB755" t="inlineStr">
        <is>
          <t>Industry Haircut Pathway</t>
        </is>
      </c>
      <c r="AC755" t="n">
        <v>4758.622</v>
      </c>
      <c r="AD755" t="n">
        <v>2562.0421</v>
      </c>
      <c r="AE755" t="n">
        <v>3792.1268</v>
      </c>
      <c r="AF755" t="n">
        <v>3792.1268</v>
      </c>
      <c r="AG755" t="n">
        <v>966.4952</v>
      </c>
      <c r="AH755" t="n">
        <v>0.00019932</v>
      </c>
      <c r="AI755" t="n">
        <v>0.203104</v>
      </c>
      <c r="AJ755" t="n">
        <v>1230.0848</v>
      </c>
      <c r="AK755" t="n">
        <v>87.86320000000001</v>
      </c>
      <c r="AL755" t="n">
        <v>33320.5568</v>
      </c>
      <c r="AM755" t="n">
        <v>7672.1168</v>
      </c>
      <c r="AN755" t="n">
        <v>0.95</v>
      </c>
      <c r="AO755" t="inlineStr">
        <is>
          <t>Critical</t>
        </is>
      </c>
      <c r="AP755" t="inlineStr">
        <is>
          <t>On Track to Glide Path</t>
        </is>
      </c>
    </row>
    <row r="756">
      <c r="A756" t="inlineStr">
        <is>
          <t>SUP-0048</t>
        </is>
      </c>
      <c r="B756" t="inlineStr">
        <is>
          <t>Logistics Supplier 048</t>
        </is>
      </c>
      <c r="C756" t="inlineStr">
        <is>
          <t>Logistics</t>
        </is>
      </c>
      <c r="D756" t="n">
        <v>2024</v>
      </c>
      <c r="E756" t="n">
        <v>2015</v>
      </c>
      <c r="F756" t="n">
        <v>2040</v>
      </c>
      <c r="G756" t="n">
        <v>3591.2892</v>
      </c>
      <c r="H756" t="n">
        <v>889.4317</v>
      </c>
      <c r="I756" t="n">
        <v>772.1653</v>
      </c>
      <c r="J756" t="n">
        <v>2020.8447</v>
      </c>
      <c r="K756" t="n">
        <v>19025466.64</v>
      </c>
      <c r="L756" t="n">
        <v>69879977.98</v>
      </c>
      <c r="M756" t="n">
        <v>3591.2892</v>
      </c>
      <c r="N756" t="inlineStr">
        <is>
          <t>Provided Total Emissions</t>
        </is>
      </c>
      <c r="O756" t="b">
        <v>1</v>
      </c>
      <c r="P756" t="n">
        <v>-0.030788</v>
      </c>
      <c r="Q756" t="n">
        <v>0.000198</v>
      </c>
      <c r="R756" t="n">
        <v>4252.0015</v>
      </c>
      <c r="S756" t="n">
        <v>33393.5451</v>
      </c>
      <c r="T756" t="n">
        <v>660.7123</v>
      </c>
      <c r="U756" t="n">
        <v>29802.2559</v>
      </c>
      <c r="V756" t="n">
        <v>0.183976</v>
      </c>
      <c r="W756" t="n">
        <v>8.298484</v>
      </c>
      <c r="X756" t="inlineStr">
        <is>
          <t>High</t>
        </is>
      </c>
      <c r="Y756" t="inlineStr">
        <is>
          <t>None</t>
        </is>
      </c>
      <c r="Z756" t="inlineStr">
        <is>
          <t>Valid</t>
        </is>
      </c>
      <c r="AA756" t="n">
        <v>2027</v>
      </c>
      <c r="AB756" t="inlineStr">
        <is>
          <t>Industry Haircut Pathway</t>
        </is>
      </c>
      <c r="AC756" t="n">
        <v>4758.622</v>
      </c>
      <c r="AD756" t="n">
        <v>2562.0421</v>
      </c>
      <c r="AE756" t="n">
        <v>3704.2636</v>
      </c>
      <c r="AF756" t="n">
        <v>3704.2636</v>
      </c>
      <c r="AG756" t="n">
        <v>1054.3584</v>
      </c>
      <c r="AH756" t="n">
        <v>0.0001947</v>
      </c>
      <c r="AI756" t="n">
        <v>0.221568</v>
      </c>
      <c r="AJ756" t="n">
        <v>1142.2216</v>
      </c>
      <c r="AK756" t="n">
        <v>87.86320000000001</v>
      </c>
      <c r="AL756" t="n">
        <v>29616.2932</v>
      </c>
      <c r="AM756" t="n">
        <v>11376.3804</v>
      </c>
      <c r="AN756" t="n">
        <v>0.95</v>
      </c>
      <c r="AO756" t="inlineStr">
        <is>
          <t>Critical</t>
        </is>
      </c>
      <c r="AP756" t="inlineStr">
        <is>
          <t>On Track to Glide Path</t>
        </is>
      </c>
    </row>
    <row r="757">
      <c r="A757" t="inlineStr">
        <is>
          <t>SUP-0048</t>
        </is>
      </c>
      <c r="B757" t="inlineStr">
        <is>
          <t>Logistics Supplier 048</t>
        </is>
      </c>
      <c r="C757" t="inlineStr">
        <is>
          <t>Logistics</t>
        </is>
      </c>
      <c r="D757" t="n">
        <v>2024</v>
      </c>
      <c r="E757" t="n">
        <v>2015</v>
      </c>
      <c r="F757" t="n">
        <v>2040</v>
      </c>
      <c r="G757" t="n">
        <v>3591.2892</v>
      </c>
      <c r="H757" t="n">
        <v>889.4317</v>
      </c>
      <c r="I757" t="n">
        <v>772.1653</v>
      </c>
      <c r="J757" t="n">
        <v>2020.8447</v>
      </c>
      <c r="K757" t="n">
        <v>19025466.64</v>
      </c>
      <c r="L757" t="n">
        <v>69879977.98</v>
      </c>
      <c r="M757" t="n">
        <v>3591.2892</v>
      </c>
      <c r="N757" t="inlineStr">
        <is>
          <t>Provided Total Emissions</t>
        </is>
      </c>
      <c r="O757" t="b">
        <v>1</v>
      </c>
      <c r="P757" t="n">
        <v>-0.030788</v>
      </c>
      <c r="Q757" t="n">
        <v>0.000198</v>
      </c>
      <c r="R757" t="n">
        <v>4252.0015</v>
      </c>
      <c r="S757" t="n">
        <v>33393.5451</v>
      </c>
      <c r="T757" t="n">
        <v>660.7123</v>
      </c>
      <c r="U757" t="n">
        <v>29802.2559</v>
      </c>
      <c r="V757" t="n">
        <v>0.183976</v>
      </c>
      <c r="W757" t="n">
        <v>8.298484</v>
      </c>
      <c r="X757" t="inlineStr">
        <is>
          <t>High</t>
        </is>
      </c>
      <c r="Y757" t="inlineStr">
        <is>
          <t>None</t>
        </is>
      </c>
      <c r="Z757" t="inlineStr">
        <is>
          <t>Valid</t>
        </is>
      </c>
      <c r="AA757" t="n">
        <v>2028</v>
      </c>
      <c r="AB757" t="inlineStr">
        <is>
          <t>Industry Haircut Pathway</t>
        </is>
      </c>
      <c r="AC757" t="n">
        <v>4758.622</v>
      </c>
      <c r="AD757" t="n">
        <v>2562.0421</v>
      </c>
      <c r="AE757" t="n">
        <v>3616.4004</v>
      </c>
      <c r="AF757" t="n">
        <v>3616.4004</v>
      </c>
      <c r="AG757" t="n">
        <v>1142.2216</v>
      </c>
      <c r="AH757" t="n">
        <v>0.00019008</v>
      </c>
      <c r="AI757" t="n">
        <v>0.240032</v>
      </c>
      <c r="AJ757" t="n">
        <v>1054.3584</v>
      </c>
      <c r="AK757" t="n">
        <v>87.86320000000001</v>
      </c>
      <c r="AL757" t="n">
        <v>25999.8928</v>
      </c>
      <c r="AM757" t="n">
        <v>14992.7808</v>
      </c>
      <c r="AN757" t="n">
        <v>0.95</v>
      </c>
      <c r="AO757" t="inlineStr">
        <is>
          <t>Critical</t>
        </is>
      </c>
      <c r="AP757" t="inlineStr">
        <is>
          <t>On Track to Glide Path</t>
        </is>
      </c>
    </row>
    <row r="758">
      <c r="A758" t="inlineStr">
        <is>
          <t>SUP-0048</t>
        </is>
      </c>
      <c r="B758" t="inlineStr">
        <is>
          <t>Logistics Supplier 048</t>
        </is>
      </c>
      <c r="C758" t="inlineStr">
        <is>
          <t>Logistics</t>
        </is>
      </c>
      <c r="D758" t="n">
        <v>2024</v>
      </c>
      <c r="E758" t="n">
        <v>2015</v>
      </c>
      <c r="F758" t="n">
        <v>2040</v>
      </c>
      <c r="G758" t="n">
        <v>3591.2892</v>
      </c>
      <c r="H758" t="n">
        <v>889.4317</v>
      </c>
      <c r="I758" t="n">
        <v>772.1653</v>
      </c>
      <c r="J758" t="n">
        <v>2020.8447</v>
      </c>
      <c r="K758" t="n">
        <v>19025466.64</v>
      </c>
      <c r="L758" t="n">
        <v>69879977.98</v>
      </c>
      <c r="M758" t="n">
        <v>3591.2892</v>
      </c>
      <c r="N758" t="inlineStr">
        <is>
          <t>Provided Total Emissions</t>
        </is>
      </c>
      <c r="O758" t="b">
        <v>1</v>
      </c>
      <c r="P758" t="n">
        <v>-0.030788</v>
      </c>
      <c r="Q758" t="n">
        <v>0.000198</v>
      </c>
      <c r="R758" t="n">
        <v>4252.0015</v>
      </c>
      <c r="S758" t="n">
        <v>33393.5451</v>
      </c>
      <c r="T758" t="n">
        <v>660.7123</v>
      </c>
      <c r="U758" t="n">
        <v>29802.2559</v>
      </c>
      <c r="V758" t="n">
        <v>0.183976</v>
      </c>
      <c r="W758" t="n">
        <v>8.298484</v>
      </c>
      <c r="X758" t="inlineStr">
        <is>
          <t>High</t>
        </is>
      </c>
      <c r="Y758" t="inlineStr">
        <is>
          <t>None</t>
        </is>
      </c>
      <c r="Z758" t="inlineStr">
        <is>
          <t>Valid</t>
        </is>
      </c>
      <c r="AA758" t="n">
        <v>2029</v>
      </c>
      <c r="AB758" t="inlineStr">
        <is>
          <t>Industry Haircut Pathway</t>
        </is>
      </c>
      <c r="AC758" t="n">
        <v>4758.622</v>
      </c>
      <c r="AD758" t="n">
        <v>2562.0421</v>
      </c>
      <c r="AE758" t="n">
        <v>3528.5372</v>
      </c>
      <c r="AF758" t="n">
        <v>3528.5372</v>
      </c>
      <c r="AG758" t="n">
        <v>1230.0848</v>
      </c>
      <c r="AH758" t="n">
        <v>0.00018546</v>
      </c>
      <c r="AI758" t="n">
        <v>0.258496</v>
      </c>
      <c r="AJ758" t="n">
        <v>966.4952</v>
      </c>
      <c r="AK758" t="n">
        <v>87.86320000000001</v>
      </c>
      <c r="AL758" t="n">
        <v>22471.3556</v>
      </c>
      <c r="AM758" t="n">
        <v>18521.318</v>
      </c>
      <c r="AN758" t="n">
        <v>0.95</v>
      </c>
      <c r="AO758" t="inlineStr">
        <is>
          <t>Critical</t>
        </is>
      </c>
      <c r="AP758" t="inlineStr">
        <is>
          <t>On Track to Glide Path</t>
        </is>
      </c>
    </row>
    <row r="759">
      <c r="A759" t="inlineStr">
        <is>
          <t>SUP-0048</t>
        </is>
      </c>
      <c r="B759" t="inlineStr">
        <is>
          <t>Logistics Supplier 048</t>
        </is>
      </c>
      <c r="C759" t="inlineStr">
        <is>
          <t>Logistics</t>
        </is>
      </c>
      <c r="D759" t="n">
        <v>2024</v>
      </c>
      <c r="E759" t="n">
        <v>2015</v>
      </c>
      <c r="F759" t="n">
        <v>2040</v>
      </c>
      <c r="G759" t="n">
        <v>3591.2892</v>
      </c>
      <c r="H759" t="n">
        <v>889.4317</v>
      </c>
      <c r="I759" t="n">
        <v>772.1653</v>
      </c>
      <c r="J759" t="n">
        <v>2020.8447</v>
      </c>
      <c r="K759" t="n">
        <v>19025466.64</v>
      </c>
      <c r="L759" t="n">
        <v>69879977.98</v>
      </c>
      <c r="M759" t="n">
        <v>3591.2892</v>
      </c>
      <c r="N759" t="inlineStr">
        <is>
          <t>Provided Total Emissions</t>
        </is>
      </c>
      <c r="O759" t="b">
        <v>1</v>
      </c>
      <c r="P759" t="n">
        <v>-0.030788</v>
      </c>
      <c r="Q759" t="n">
        <v>0.000198</v>
      </c>
      <c r="R759" t="n">
        <v>4252.0015</v>
      </c>
      <c r="S759" t="n">
        <v>33393.5451</v>
      </c>
      <c r="T759" t="n">
        <v>660.7123</v>
      </c>
      <c r="U759" t="n">
        <v>29802.2559</v>
      </c>
      <c r="V759" t="n">
        <v>0.183976</v>
      </c>
      <c r="W759" t="n">
        <v>8.298484</v>
      </c>
      <c r="X759" t="inlineStr">
        <is>
          <t>High</t>
        </is>
      </c>
      <c r="Y759" t="inlineStr">
        <is>
          <t>None</t>
        </is>
      </c>
      <c r="Z759" t="inlineStr">
        <is>
          <t>Valid</t>
        </is>
      </c>
      <c r="AA759" t="n">
        <v>2030</v>
      </c>
      <c r="AB759" t="inlineStr">
        <is>
          <t>Industry Haircut Pathway</t>
        </is>
      </c>
      <c r="AC759" t="n">
        <v>4758.622</v>
      </c>
      <c r="AD759" t="n">
        <v>2562.0421</v>
      </c>
      <c r="AE759" t="n">
        <v>3440.6741</v>
      </c>
      <c r="AF759" t="n">
        <v>3440.6741</v>
      </c>
      <c r="AG759" t="n">
        <v>1317.9479</v>
      </c>
      <c r="AH759" t="n">
        <v>0.00018085</v>
      </c>
      <c r="AI759" t="n">
        <v>0.27696</v>
      </c>
      <c r="AJ759" t="n">
        <v>878.6319999999999</v>
      </c>
      <c r="AK759" t="n">
        <v>87.86320000000001</v>
      </c>
      <c r="AL759" t="n">
        <v>19030.6815</v>
      </c>
      <c r="AM759" t="n">
        <v>21961.9921</v>
      </c>
      <c r="AN759" t="n">
        <v>0.95</v>
      </c>
      <c r="AO759" t="inlineStr">
        <is>
          <t>High</t>
        </is>
      </c>
      <c r="AP759" t="inlineStr">
        <is>
          <t>On Track to Glide Path</t>
        </is>
      </c>
    </row>
    <row r="760">
      <c r="A760" t="inlineStr">
        <is>
          <t>SUP-0048</t>
        </is>
      </c>
      <c r="B760" t="inlineStr">
        <is>
          <t>Logistics Supplier 048</t>
        </is>
      </c>
      <c r="C760" t="inlineStr">
        <is>
          <t>Logistics</t>
        </is>
      </c>
      <c r="D760" t="n">
        <v>2024</v>
      </c>
      <c r="E760" t="n">
        <v>2015</v>
      </c>
      <c r="F760" t="n">
        <v>2040</v>
      </c>
      <c r="G760" t="n">
        <v>3591.2892</v>
      </c>
      <c r="H760" t="n">
        <v>889.4317</v>
      </c>
      <c r="I760" t="n">
        <v>772.1653</v>
      </c>
      <c r="J760" t="n">
        <v>2020.8447</v>
      </c>
      <c r="K760" t="n">
        <v>19025466.64</v>
      </c>
      <c r="L760" t="n">
        <v>69879977.98</v>
      </c>
      <c r="M760" t="n">
        <v>3591.2892</v>
      </c>
      <c r="N760" t="inlineStr">
        <is>
          <t>Provided Total Emissions</t>
        </is>
      </c>
      <c r="O760" t="b">
        <v>1</v>
      </c>
      <c r="P760" t="n">
        <v>-0.030788</v>
      </c>
      <c r="Q760" t="n">
        <v>0.000198</v>
      </c>
      <c r="R760" t="n">
        <v>4252.0015</v>
      </c>
      <c r="S760" t="n">
        <v>33393.5451</v>
      </c>
      <c r="T760" t="n">
        <v>660.7123</v>
      </c>
      <c r="U760" t="n">
        <v>29802.2559</v>
      </c>
      <c r="V760" t="n">
        <v>0.183976</v>
      </c>
      <c r="W760" t="n">
        <v>8.298484</v>
      </c>
      <c r="X760" t="inlineStr">
        <is>
          <t>High</t>
        </is>
      </c>
      <c r="Y760" t="inlineStr">
        <is>
          <t>None</t>
        </is>
      </c>
      <c r="Z760" t="inlineStr">
        <is>
          <t>Valid</t>
        </is>
      </c>
      <c r="AA760" t="n">
        <v>2031</v>
      </c>
      <c r="AB760" t="inlineStr">
        <is>
          <t>Industry Haircut Pathway</t>
        </is>
      </c>
      <c r="AC760" t="n">
        <v>4758.622</v>
      </c>
      <c r="AD760" t="n">
        <v>2562.0421</v>
      </c>
      <c r="AE760" t="n">
        <v>3352.8109</v>
      </c>
      <c r="AF760" t="n">
        <v>3352.8109</v>
      </c>
      <c r="AG760" t="n">
        <v>1405.8111</v>
      </c>
      <c r="AH760" t="n">
        <v>0.00017623</v>
      </c>
      <c r="AI760" t="n">
        <v>0.295424</v>
      </c>
      <c r="AJ760" t="n">
        <v>790.7688000000001</v>
      </c>
      <c r="AK760" t="n">
        <v>87.86320000000001</v>
      </c>
      <c r="AL760" t="n">
        <v>15677.8706</v>
      </c>
      <c r="AM760" t="n">
        <v>25314.803</v>
      </c>
      <c r="AN760" t="n">
        <v>0.95</v>
      </c>
      <c r="AO760" t="inlineStr">
        <is>
          <t>High</t>
        </is>
      </c>
      <c r="AP760" t="inlineStr">
        <is>
          <t>On Track to Glide Path</t>
        </is>
      </c>
    </row>
    <row r="761">
      <c r="A761" t="inlineStr">
        <is>
          <t>SUP-0048</t>
        </is>
      </c>
      <c r="B761" t="inlineStr">
        <is>
          <t>Logistics Supplier 048</t>
        </is>
      </c>
      <c r="C761" t="inlineStr">
        <is>
          <t>Logistics</t>
        </is>
      </c>
      <c r="D761" t="n">
        <v>2024</v>
      </c>
      <c r="E761" t="n">
        <v>2015</v>
      </c>
      <c r="F761" t="n">
        <v>2040</v>
      </c>
      <c r="G761" t="n">
        <v>3591.2892</v>
      </c>
      <c r="H761" t="n">
        <v>889.4317</v>
      </c>
      <c r="I761" t="n">
        <v>772.1653</v>
      </c>
      <c r="J761" t="n">
        <v>2020.8447</v>
      </c>
      <c r="K761" t="n">
        <v>19025466.64</v>
      </c>
      <c r="L761" t="n">
        <v>69879977.98</v>
      </c>
      <c r="M761" t="n">
        <v>3591.2892</v>
      </c>
      <c r="N761" t="inlineStr">
        <is>
          <t>Provided Total Emissions</t>
        </is>
      </c>
      <c r="O761" t="b">
        <v>1</v>
      </c>
      <c r="P761" t="n">
        <v>-0.030788</v>
      </c>
      <c r="Q761" t="n">
        <v>0.000198</v>
      </c>
      <c r="R761" t="n">
        <v>4252.0015</v>
      </c>
      <c r="S761" t="n">
        <v>33393.5451</v>
      </c>
      <c r="T761" t="n">
        <v>660.7123</v>
      </c>
      <c r="U761" t="n">
        <v>29802.2559</v>
      </c>
      <c r="V761" t="n">
        <v>0.183976</v>
      </c>
      <c r="W761" t="n">
        <v>8.298484</v>
      </c>
      <c r="X761" t="inlineStr">
        <is>
          <t>High</t>
        </is>
      </c>
      <c r="Y761" t="inlineStr">
        <is>
          <t>None</t>
        </is>
      </c>
      <c r="Z761" t="inlineStr">
        <is>
          <t>Valid</t>
        </is>
      </c>
      <c r="AA761" t="n">
        <v>2032</v>
      </c>
      <c r="AB761" t="inlineStr">
        <is>
          <t>Industry Haircut Pathway</t>
        </is>
      </c>
      <c r="AC761" t="n">
        <v>4758.622</v>
      </c>
      <c r="AD761" t="n">
        <v>2562.0421</v>
      </c>
      <c r="AE761" t="n">
        <v>3264.9477</v>
      </c>
      <c r="AF761" t="n">
        <v>3264.9477</v>
      </c>
      <c r="AG761" t="n">
        <v>1493.6743</v>
      </c>
      <c r="AH761" t="n">
        <v>0.00017161</v>
      </c>
      <c r="AI761" t="n">
        <v>0.313888</v>
      </c>
      <c r="AJ761" t="n">
        <v>702.9056</v>
      </c>
      <c r="AK761" t="n">
        <v>87.86320000000001</v>
      </c>
      <c r="AL761" t="n">
        <v>12412.9229</v>
      </c>
      <c r="AM761" t="n">
        <v>28579.7507</v>
      </c>
      <c r="AN761" t="n">
        <v>0.95</v>
      </c>
      <c r="AO761" t="inlineStr">
        <is>
          <t>High</t>
        </is>
      </c>
      <c r="AP761" t="inlineStr">
        <is>
          <t>On Track to Glide Path</t>
        </is>
      </c>
    </row>
    <row r="762">
      <c r="A762" t="inlineStr">
        <is>
          <t>SUP-0048</t>
        </is>
      </c>
      <c r="B762" t="inlineStr">
        <is>
          <t>Logistics Supplier 048</t>
        </is>
      </c>
      <c r="C762" t="inlineStr">
        <is>
          <t>Logistics</t>
        </is>
      </c>
      <c r="D762" t="n">
        <v>2024</v>
      </c>
      <c r="E762" t="n">
        <v>2015</v>
      </c>
      <c r="F762" t="n">
        <v>2040</v>
      </c>
      <c r="G762" t="n">
        <v>3591.2892</v>
      </c>
      <c r="H762" t="n">
        <v>889.4317</v>
      </c>
      <c r="I762" t="n">
        <v>772.1653</v>
      </c>
      <c r="J762" t="n">
        <v>2020.8447</v>
      </c>
      <c r="K762" t="n">
        <v>19025466.64</v>
      </c>
      <c r="L762" t="n">
        <v>69879977.98</v>
      </c>
      <c r="M762" t="n">
        <v>3591.2892</v>
      </c>
      <c r="N762" t="inlineStr">
        <is>
          <t>Provided Total Emissions</t>
        </is>
      </c>
      <c r="O762" t="b">
        <v>1</v>
      </c>
      <c r="P762" t="n">
        <v>-0.030788</v>
      </c>
      <c r="Q762" t="n">
        <v>0.000198</v>
      </c>
      <c r="R762" t="n">
        <v>4252.0015</v>
      </c>
      <c r="S762" t="n">
        <v>33393.5451</v>
      </c>
      <c r="T762" t="n">
        <v>660.7123</v>
      </c>
      <c r="U762" t="n">
        <v>29802.2559</v>
      </c>
      <c r="V762" t="n">
        <v>0.183976</v>
      </c>
      <c r="W762" t="n">
        <v>8.298484</v>
      </c>
      <c r="X762" t="inlineStr">
        <is>
          <t>High</t>
        </is>
      </c>
      <c r="Y762" t="inlineStr">
        <is>
          <t>None</t>
        </is>
      </c>
      <c r="Z762" t="inlineStr">
        <is>
          <t>Valid</t>
        </is>
      </c>
      <c r="AA762" t="n">
        <v>2033</v>
      </c>
      <c r="AB762" t="inlineStr">
        <is>
          <t>Industry Haircut Pathway</t>
        </is>
      </c>
      <c r="AC762" t="n">
        <v>4758.622</v>
      </c>
      <c r="AD762" t="n">
        <v>2562.0421</v>
      </c>
      <c r="AE762" t="n">
        <v>3177.0845</v>
      </c>
      <c r="AF762" t="n">
        <v>3177.0845</v>
      </c>
      <c r="AG762" t="n">
        <v>1581.5375</v>
      </c>
      <c r="AH762" t="n">
        <v>0.00016699</v>
      </c>
      <c r="AI762" t="n">
        <v>0.332352</v>
      </c>
      <c r="AJ762" t="n">
        <v>615.0424</v>
      </c>
      <c r="AK762" t="n">
        <v>87.86320000000001</v>
      </c>
      <c r="AL762" t="n">
        <v>9235.838400000001</v>
      </c>
      <c r="AM762" t="n">
        <v>31756.8352</v>
      </c>
      <c r="AN762" t="n">
        <v>0.95</v>
      </c>
      <c r="AO762" t="inlineStr">
        <is>
          <t>High</t>
        </is>
      </c>
      <c r="AP762" t="inlineStr">
        <is>
          <t>On Track to Glide Path</t>
        </is>
      </c>
    </row>
    <row r="763">
      <c r="A763" t="inlineStr">
        <is>
          <t>SUP-0048</t>
        </is>
      </c>
      <c r="B763" t="inlineStr">
        <is>
          <t>Logistics Supplier 048</t>
        </is>
      </c>
      <c r="C763" t="inlineStr">
        <is>
          <t>Logistics</t>
        </is>
      </c>
      <c r="D763" t="n">
        <v>2024</v>
      </c>
      <c r="E763" t="n">
        <v>2015</v>
      </c>
      <c r="F763" t="n">
        <v>2040</v>
      </c>
      <c r="G763" t="n">
        <v>3591.2892</v>
      </c>
      <c r="H763" t="n">
        <v>889.4317</v>
      </c>
      <c r="I763" t="n">
        <v>772.1653</v>
      </c>
      <c r="J763" t="n">
        <v>2020.8447</v>
      </c>
      <c r="K763" t="n">
        <v>19025466.64</v>
      </c>
      <c r="L763" t="n">
        <v>69879977.98</v>
      </c>
      <c r="M763" t="n">
        <v>3591.2892</v>
      </c>
      <c r="N763" t="inlineStr">
        <is>
          <t>Provided Total Emissions</t>
        </is>
      </c>
      <c r="O763" t="b">
        <v>1</v>
      </c>
      <c r="P763" t="n">
        <v>-0.030788</v>
      </c>
      <c r="Q763" t="n">
        <v>0.000198</v>
      </c>
      <c r="R763" t="n">
        <v>4252.0015</v>
      </c>
      <c r="S763" t="n">
        <v>33393.5451</v>
      </c>
      <c r="T763" t="n">
        <v>660.7123</v>
      </c>
      <c r="U763" t="n">
        <v>29802.2559</v>
      </c>
      <c r="V763" t="n">
        <v>0.183976</v>
      </c>
      <c r="W763" t="n">
        <v>8.298484</v>
      </c>
      <c r="X763" t="inlineStr">
        <is>
          <t>High</t>
        </is>
      </c>
      <c r="Y763" t="inlineStr">
        <is>
          <t>None</t>
        </is>
      </c>
      <c r="Z763" t="inlineStr">
        <is>
          <t>Valid</t>
        </is>
      </c>
      <c r="AA763" t="n">
        <v>2034</v>
      </c>
      <c r="AB763" t="inlineStr">
        <is>
          <t>Industry Haircut Pathway</t>
        </is>
      </c>
      <c r="AC763" t="n">
        <v>4758.622</v>
      </c>
      <c r="AD763" t="n">
        <v>2562.0421</v>
      </c>
      <c r="AE763" t="n">
        <v>3089.2213</v>
      </c>
      <c r="AF763" t="n">
        <v>3089.2213</v>
      </c>
      <c r="AG763" t="n">
        <v>1669.4007</v>
      </c>
      <c r="AH763" t="n">
        <v>0.00016237</v>
      </c>
      <c r="AI763" t="n">
        <v>0.350816</v>
      </c>
      <c r="AJ763" t="n">
        <v>527.1792</v>
      </c>
      <c r="AK763" t="n">
        <v>87.86320000000001</v>
      </c>
      <c r="AL763" t="n">
        <v>6146.6171</v>
      </c>
      <c r="AM763" t="n">
        <v>34846.0565</v>
      </c>
      <c r="AN763" t="n">
        <v>0.95</v>
      </c>
      <c r="AO763" t="inlineStr">
        <is>
          <t>High</t>
        </is>
      </c>
      <c r="AP763" t="inlineStr">
        <is>
          <t>On Track to Glide Path</t>
        </is>
      </c>
    </row>
    <row r="764">
      <c r="A764" t="inlineStr">
        <is>
          <t>SUP-0048</t>
        </is>
      </c>
      <c r="B764" t="inlineStr">
        <is>
          <t>Logistics Supplier 048</t>
        </is>
      </c>
      <c r="C764" t="inlineStr">
        <is>
          <t>Logistics</t>
        </is>
      </c>
      <c r="D764" t="n">
        <v>2024</v>
      </c>
      <c r="E764" t="n">
        <v>2015</v>
      </c>
      <c r="F764" t="n">
        <v>2040</v>
      </c>
      <c r="G764" t="n">
        <v>3591.2892</v>
      </c>
      <c r="H764" t="n">
        <v>889.4317</v>
      </c>
      <c r="I764" t="n">
        <v>772.1653</v>
      </c>
      <c r="J764" t="n">
        <v>2020.8447</v>
      </c>
      <c r="K764" t="n">
        <v>19025466.64</v>
      </c>
      <c r="L764" t="n">
        <v>69879977.98</v>
      </c>
      <c r="M764" t="n">
        <v>3591.2892</v>
      </c>
      <c r="N764" t="inlineStr">
        <is>
          <t>Provided Total Emissions</t>
        </is>
      </c>
      <c r="O764" t="b">
        <v>1</v>
      </c>
      <c r="P764" t="n">
        <v>-0.030788</v>
      </c>
      <c r="Q764" t="n">
        <v>0.000198</v>
      </c>
      <c r="R764" t="n">
        <v>4252.0015</v>
      </c>
      <c r="S764" t="n">
        <v>33393.5451</v>
      </c>
      <c r="T764" t="n">
        <v>660.7123</v>
      </c>
      <c r="U764" t="n">
        <v>29802.2559</v>
      </c>
      <c r="V764" t="n">
        <v>0.183976</v>
      </c>
      <c r="W764" t="n">
        <v>8.298484</v>
      </c>
      <c r="X764" t="inlineStr">
        <is>
          <t>High</t>
        </is>
      </c>
      <c r="Y764" t="inlineStr">
        <is>
          <t>None</t>
        </is>
      </c>
      <c r="Z764" t="inlineStr">
        <is>
          <t>Valid</t>
        </is>
      </c>
      <c r="AA764" t="n">
        <v>2035</v>
      </c>
      <c r="AB764" t="inlineStr">
        <is>
          <t>Industry Haircut Pathway</t>
        </is>
      </c>
      <c r="AC764" t="n">
        <v>4758.622</v>
      </c>
      <c r="AD764" t="n">
        <v>2562.0421</v>
      </c>
      <c r="AE764" t="n">
        <v>3001.3581</v>
      </c>
      <c r="AF764" t="n">
        <v>3001.3581</v>
      </c>
      <c r="AG764" t="n">
        <v>1757.2639</v>
      </c>
      <c r="AH764" t="n">
        <v>0.00015775</v>
      </c>
      <c r="AI764" t="n">
        <v>0.36928</v>
      </c>
      <c r="AJ764" t="n">
        <v>439.316</v>
      </c>
      <c r="AK764" t="n">
        <v>87.86320000000001</v>
      </c>
      <c r="AL764" t="n">
        <v>3145.259</v>
      </c>
      <c r="AM764" t="n">
        <v>37847.4146</v>
      </c>
      <c r="AN764" t="n">
        <v>0.95</v>
      </c>
      <c r="AO764" t="inlineStr">
        <is>
          <t>High</t>
        </is>
      </c>
      <c r="AP764" t="inlineStr">
        <is>
          <t>On Track to Glide Path</t>
        </is>
      </c>
    </row>
    <row r="765">
      <c r="A765" t="inlineStr">
        <is>
          <t>SUP-0048</t>
        </is>
      </c>
      <c r="B765" t="inlineStr">
        <is>
          <t>Logistics Supplier 048</t>
        </is>
      </c>
      <c r="C765" t="inlineStr">
        <is>
          <t>Logistics</t>
        </is>
      </c>
      <c r="D765" t="n">
        <v>2024</v>
      </c>
      <c r="E765" t="n">
        <v>2015</v>
      </c>
      <c r="F765" t="n">
        <v>2040</v>
      </c>
      <c r="G765" t="n">
        <v>3591.2892</v>
      </c>
      <c r="H765" t="n">
        <v>889.4317</v>
      </c>
      <c r="I765" t="n">
        <v>772.1653</v>
      </c>
      <c r="J765" t="n">
        <v>2020.8447</v>
      </c>
      <c r="K765" t="n">
        <v>19025466.64</v>
      </c>
      <c r="L765" t="n">
        <v>69879977.98</v>
      </c>
      <c r="M765" t="n">
        <v>3591.2892</v>
      </c>
      <c r="N765" t="inlineStr">
        <is>
          <t>Provided Total Emissions</t>
        </is>
      </c>
      <c r="O765" t="b">
        <v>1</v>
      </c>
      <c r="P765" t="n">
        <v>-0.030788</v>
      </c>
      <c r="Q765" t="n">
        <v>0.000198</v>
      </c>
      <c r="R765" t="n">
        <v>4252.0015</v>
      </c>
      <c r="S765" t="n">
        <v>33393.5451</v>
      </c>
      <c r="T765" t="n">
        <v>660.7123</v>
      </c>
      <c r="U765" t="n">
        <v>29802.2559</v>
      </c>
      <c r="V765" t="n">
        <v>0.183976</v>
      </c>
      <c r="W765" t="n">
        <v>8.298484</v>
      </c>
      <c r="X765" t="inlineStr">
        <is>
          <t>High</t>
        </is>
      </c>
      <c r="Y765" t="inlineStr">
        <is>
          <t>None</t>
        </is>
      </c>
      <c r="Z765" t="inlineStr">
        <is>
          <t>Valid</t>
        </is>
      </c>
      <c r="AA765" t="n">
        <v>2036</v>
      </c>
      <c r="AB765" t="inlineStr">
        <is>
          <t>Industry Haircut Pathway</t>
        </is>
      </c>
      <c r="AC765" t="n">
        <v>4758.622</v>
      </c>
      <c r="AD765" t="n">
        <v>2562.0421</v>
      </c>
      <c r="AE765" t="n">
        <v>2913.4949</v>
      </c>
      <c r="AF765" t="n">
        <v>2913.4949</v>
      </c>
      <c r="AG765" t="n">
        <v>1845.1271</v>
      </c>
      <c r="AH765" t="n">
        <v>0.00015314</v>
      </c>
      <c r="AI765" t="n">
        <v>0.387744</v>
      </c>
      <c r="AJ765" t="n">
        <v>351.4528</v>
      </c>
      <c r="AK765" t="n">
        <v>87.86320000000001</v>
      </c>
      <c r="AL765" t="n">
        <v>231.7641</v>
      </c>
      <c r="AM765" t="n">
        <v>40760.9095</v>
      </c>
      <c r="AN765" t="n">
        <v>0.95</v>
      </c>
      <c r="AO765" t="inlineStr">
        <is>
          <t>Medium</t>
        </is>
      </c>
      <c r="AP765" t="inlineStr">
        <is>
          <t>On Track to Glide Path</t>
        </is>
      </c>
    </row>
    <row r="766">
      <c r="A766" t="inlineStr">
        <is>
          <t>SUP-0048</t>
        </is>
      </c>
      <c r="B766" t="inlineStr">
        <is>
          <t>Logistics Supplier 048</t>
        </is>
      </c>
      <c r="C766" t="inlineStr">
        <is>
          <t>Logistics</t>
        </is>
      </c>
      <c r="D766" t="n">
        <v>2024</v>
      </c>
      <c r="E766" t="n">
        <v>2015</v>
      </c>
      <c r="F766" t="n">
        <v>2040</v>
      </c>
      <c r="G766" t="n">
        <v>3591.2892</v>
      </c>
      <c r="H766" t="n">
        <v>889.4317</v>
      </c>
      <c r="I766" t="n">
        <v>772.1653</v>
      </c>
      <c r="J766" t="n">
        <v>2020.8447</v>
      </c>
      <c r="K766" t="n">
        <v>19025466.64</v>
      </c>
      <c r="L766" t="n">
        <v>69879977.98</v>
      </c>
      <c r="M766" t="n">
        <v>3591.2892</v>
      </c>
      <c r="N766" t="inlineStr">
        <is>
          <t>Provided Total Emissions</t>
        </is>
      </c>
      <c r="O766" t="b">
        <v>1</v>
      </c>
      <c r="P766" t="n">
        <v>-0.030788</v>
      </c>
      <c r="Q766" t="n">
        <v>0.000198</v>
      </c>
      <c r="R766" t="n">
        <v>4252.0015</v>
      </c>
      <c r="S766" t="n">
        <v>33393.5451</v>
      </c>
      <c r="T766" t="n">
        <v>660.7123</v>
      </c>
      <c r="U766" t="n">
        <v>29802.2559</v>
      </c>
      <c r="V766" t="n">
        <v>0.183976</v>
      </c>
      <c r="W766" t="n">
        <v>8.298484</v>
      </c>
      <c r="X766" t="inlineStr">
        <is>
          <t>High</t>
        </is>
      </c>
      <c r="Y766" t="inlineStr">
        <is>
          <t>None</t>
        </is>
      </c>
      <c r="Z766" t="inlineStr">
        <is>
          <t>Valid</t>
        </is>
      </c>
      <c r="AA766" t="n">
        <v>2037</v>
      </c>
      <c r="AB766" t="inlineStr">
        <is>
          <t>Industry Haircut Pathway</t>
        </is>
      </c>
      <c r="AC766" t="n">
        <v>4758.622</v>
      </c>
      <c r="AD766" t="n">
        <v>2562.0421</v>
      </c>
      <c r="AE766" t="n">
        <v>2825.6317</v>
      </c>
      <c r="AF766" t="n">
        <v>2825.6317</v>
      </c>
      <c r="AG766" t="n">
        <v>1932.9903</v>
      </c>
      <c r="AH766" t="n">
        <v>0.00014852</v>
      </c>
      <c r="AI766" t="n">
        <v>0.406208</v>
      </c>
      <c r="AJ766" t="n">
        <v>263.5896</v>
      </c>
      <c r="AK766" t="n">
        <v>87.86320000000001</v>
      </c>
      <c r="AL766" t="n">
        <v>-2593.8676</v>
      </c>
      <c r="AM766" t="n">
        <v>43586.5412</v>
      </c>
      <c r="AN766" t="n">
        <v>0.95</v>
      </c>
      <c r="AO766" t="inlineStr">
        <is>
          <t>Medium</t>
        </is>
      </c>
      <c r="AP766" t="inlineStr">
        <is>
          <t>On Track to Glide Path</t>
        </is>
      </c>
    </row>
    <row r="767">
      <c r="A767" t="inlineStr">
        <is>
          <t>SUP-0048</t>
        </is>
      </c>
      <c r="B767" t="inlineStr">
        <is>
          <t>Logistics Supplier 048</t>
        </is>
      </c>
      <c r="C767" t="inlineStr">
        <is>
          <t>Logistics</t>
        </is>
      </c>
      <c r="D767" t="n">
        <v>2024</v>
      </c>
      <c r="E767" t="n">
        <v>2015</v>
      </c>
      <c r="F767" t="n">
        <v>2040</v>
      </c>
      <c r="G767" t="n">
        <v>3591.2892</v>
      </c>
      <c r="H767" t="n">
        <v>889.4317</v>
      </c>
      <c r="I767" t="n">
        <v>772.1653</v>
      </c>
      <c r="J767" t="n">
        <v>2020.8447</v>
      </c>
      <c r="K767" t="n">
        <v>19025466.64</v>
      </c>
      <c r="L767" t="n">
        <v>69879977.98</v>
      </c>
      <c r="M767" t="n">
        <v>3591.2892</v>
      </c>
      <c r="N767" t="inlineStr">
        <is>
          <t>Provided Total Emissions</t>
        </is>
      </c>
      <c r="O767" t="b">
        <v>1</v>
      </c>
      <c r="P767" t="n">
        <v>-0.030788</v>
      </c>
      <c r="Q767" t="n">
        <v>0.000198</v>
      </c>
      <c r="R767" t="n">
        <v>4252.0015</v>
      </c>
      <c r="S767" t="n">
        <v>33393.5451</v>
      </c>
      <c r="T767" t="n">
        <v>660.7123</v>
      </c>
      <c r="U767" t="n">
        <v>29802.2559</v>
      </c>
      <c r="V767" t="n">
        <v>0.183976</v>
      </c>
      <c r="W767" t="n">
        <v>8.298484</v>
      </c>
      <c r="X767" t="inlineStr">
        <is>
          <t>High</t>
        </is>
      </c>
      <c r="Y767" t="inlineStr">
        <is>
          <t>None</t>
        </is>
      </c>
      <c r="Z767" t="inlineStr">
        <is>
          <t>Valid</t>
        </is>
      </c>
      <c r="AA767" t="n">
        <v>2038</v>
      </c>
      <c r="AB767" t="inlineStr">
        <is>
          <t>Industry Haircut Pathway</t>
        </is>
      </c>
      <c r="AC767" t="n">
        <v>4758.622</v>
      </c>
      <c r="AD767" t="n">
        <v>2562.0421</v>
      </c>
      <c r="AE767" t="n">
        <v>2737.7685</v>
      </c>
      <c r="AF767" t="n">
        <v>2737.7685</v>
      </c>
      <c r="AG767" t="n">
        <v>2020.8535</v>
      </c>
      <c r="AH767" t="n">
        <v>0.0001439</v>
      </c>
      <c r="AI767" t="n">
        <v>0.424672</v>
      </c>
      <c r="AJ767" t="n">
        <v>175.7264</v>
      </c>
      <c r="AK767" t="n">
        <v>87.86320000000001</v>
      </c>
      <c r="AL767" t="n">
        <v>-5331.6361</v>
      </c>
      <c r="AM767" t="n">
        <v>46324.3097</v>
      </c>
      <c r="AN767" t="n">
        <v>0.95</v>
      </c>
      <c r="AO767" t="inlineStr">
        <is>
          <t>Medium</t>
        </is>
      </c>
      <c r="AP767" t="inlineStr">
        <is>
          <t>On Track to Glide Path</t>
        </is>
      </c>
    </row>
    <row r="768">
      <c r="A768" t="inlineStr">
        <is>
          <t>SUP-0048</t>
        </is>
      </c>
      <c r="B768" t="inlineStr">
        <is>
          <t>Logistics Supplier 048</t>
        </is>
      </c>
      <c r="C768" t="inlineStr">
        <is>
          <t>Logistics</t>
        </is>
      </c>
      <c r="D768" t="n">
        <v>2024</v>
      </c>
      <c r="E768" t="n">
        <v>2015</v>
      </c>
      <c r="F768" t="n">
        <v>2040</v>
      </c>
      <c r="G768" t="n">
        <v>3591.2892</v>
      </c>
      <c r="H768" t="n">
        <v>889.4317</v>
      </c>
      <c r="I768" t="n">
        <v>772.1653</v>
      </c>
      <c r="J768" t="n">
        <v>2020.8447</v>
      </c>
      <c r="K768" t="n">
        <v>19025466.64</v>
      </c>
      <c r="L768" t="n">
        <v>69879977.98</v>
      </c>
      <c r="M768" t="n">
        <v>3591.2892</v>
      </c>
      <c r="N768" t="inlineStr">
        <is>
          <t>Provided Total Emissions</t>
        </is>
      </c>
      <c r="O768" t="b">
        <v>1</v>
      </c>
      <c r="P768" t="n">
        <v>-0.030788</v>
      </c>
      <c r="Q768" t="n">
        <v>0.000198</v>
      </c>
      <c r="R768" t="n">
        <v>4252.0015</v>
      </c>
      <c r="S768" t="n">
        <v>33393.5451</v>
      </c>
      <c r="T768" t="n">
        <v>660.7123</v>
      </c>
      <c r="U768" t="n">
        <v>29802.2559</v>
      </c>
      <c r="V768" t="n">
        <v>0.183976</v>
      </c>
      <c r="W768" t="n">
        <v>8.298484</v>
      </c>
      <c r="X768" t="inlineStr">
        <is>
          <t>High</t>
        </is>
      </c>
      <c r="Y768" t="inlineStr">
        <is>
          <t>None</t>
        </is>
      </c>
      <c r="Z768" t="inlineStr">
        <is>
          <t>Valid</t>
        </is>
      </c>
      <c r="AA768" t="n">
        <v>2039</v>
      </c>
      <c r="AB768" t="inlineStr">
        <is>
          <t>Industry Haircut Pathway</t>
        </is>
      </c>
      <c r="AC768" t="n">
        <v>4758.622</v>
      </c>
      <c r="AD768" t="n">
        <v>2562.0421</v>
      </c>
      <c r="AE768" t="n">
        <v>2649.9053</v>
      </c>
      <c r="AF768" t="n">
        <v>2649.9053</v>
      </c>
      <c r="AG768" t="n">
        <v>2108.7167</v>
      </c>
      <c r="AH768" t="n">
        <v>0.00013928</v>
      </c>
      <c r="AI768" t="n">
        <v>0.443136</v>
      </c>
      <c r="AJ768" t="n">
        <v>87.86320000000001</v>
      </c>
      <c r="AK768" t="n">
        <v>87.86320000000001</v>
      </c>
      <c r="AL768" t="n">
        <v>-7981.5414</v>
      </c>
      <c r="AM768" t="n">
        <v>48974.215</v>
      </c>
      <c r="AN768" t="n">
        <v>0.95</v>
      </c>
      <c r="AO768" t="inlineStr">
        <is>
          <t>Medium</t>
        </is>
      </c>
      <c r="AP768" t="inlineStr">
        <is>
          <t>On Track to Glide Path</t>
        </is>
      </c>
    </row>
    <row r="769">
      <c r="A769" t="inlineStr">
        <is>
          <t>SUP-0048</t>
        </is>
      </c>
      <c r="B769" t="inlineStr">
        <is>
          <t>Logistics Supplier 048</t>
        </is>
      </c>
      <c r="C769" t="inlineStr">
        <is>
          <t>Logistics</t>
        </is>
      </c>
      <c r="D769" t="n">
        <v>2024</v>
      </c>
      <c r="E769" t="n">
        <v>2015</v>
      </c>
      <c r="F769" t="n">
        <v>2040</v>
      </c>
      <c r="G769" t="n">
        <v>3591.2892</v>
      </c>
      <c r="H769" t="n">
        <v>889.4317</v>
      </c>
      <c r="I769" t="n">
        <v>772.1653</v>
      </c>
      <c r="J769" t="n">
        <v>2020.8447</v>
      </c>
      <c r="K769" t="n">
        <v>19025466.64</v>
      </c>
      <c r="L769" t="n">
        <v>69879977.98</v>
      </c>
      <c r="M769" t="n">
        <v>3591.2892</v>
      </c>
      <c r="N769" t="inlineStr">
        <is>
          <t>Provided Total Emissions</t>
        </is>
      </c>
      <c r="O769" t="b">
        <v>1</v>
      </c>
      <c r="P769" t="n">
        <v>-0.030788</v>
      </c>
      <c r="Q769" t="n">
        <v>0.000198</v>
      </c>
      <c r="R769" t="n">
        <v>4252.0015</v>
      </c>
      <c r="S769" t="n">
        <v>33393.5451</v>
      </c>
      <c r="T769" t="n">
        <v>660.7123</v>
      </c>
      <c r="U769" t="n">
        <v>29802.2559</v>
      </c>
      <c r="V769" t="n">
        <v>0.183976</v>
      </c>
      <c r="W769" t="n">
        <v>8.298484</v>
      </c>
      <c r="X769" t="inlineStr">
        <is>
          <t>High</t>
        </is>
      </c>
      <c r="Y769" t="inlineStr">
        <is>
          <t>None</t>
        </is>
      </c>
      <c r="Z769" t="inlineStr">
        <is>
          <t>Valid</t>
        </is>
      </c>
      <c r="AA769" t="n">
        <v>2040</v>
      </c>
      <c r="AB769" t="inlineStr">
        <is>
          <t>Industry Haircut Pathway</t>
        </is>
      </c>
      <c r="AC769" t="n">
        <v>4758.622</v>
      </c>
      <c r="AD769" t="n">
        <v>2562.0421</v>
      </c>
      <c r="AE769" t="n">
        <v>2562.0421</v>
      </c>
      <c r="AF769" t="n">
        <v>2562.0421</v>
      </c>
      <c r="AG769" t="n">
        <v>2196.5799</v>
      </c>
      <c r="AH769" t="n">
        <v>0.00013466</v>
      </c>
      <c r="AI769" t="n">
        <v>0.4616</v>
      </c>
      <c r="AJ769" t="n">
        <v>0</v>
      </c>
      <c r="AK769" t="n">
        <v>87.86320000000001</v>
      </c>
      <c r="AL769" t="n">
        <v>-10543.5835</v>
      </c>
      <c r="AM769" t="n">
        <v>51536.2571</v>
      </c>
      <c r="AN769" t="n">
        <v>0.95</v>
      </c>
      <c r="AO769" t="inlineStr">
        <is>
          <t>Low</t>
        </is>
      </c>
      <c r="AP769" t="inlineStr">
        <is>
          <t>On Track</t>
        </is>
      </c>
    </row>
    <row r="770">
      <c r="A770" t="inlineStr">
        <is>
          <t>SUP-0049</t>
        </is>
      </c>
      <c r="B770" t="inlineStr">
        <is>
          <t>Logistics Supplier 049</t>
        </is>
      </c>
      <c r="C770" t="inlineStr">
        <is>
          <t>Logistics</t>
        </is>
      </c>
      <c r="D770" t="n">
        <v>2024</v>
      </c>
      <c r="E770" t="n">
        <v>2019</v>
      </c>
      <c r="F770" t="n">
        <v>2030</v>
      </c>
      <c r="G770" t="n">
        <v>1693.5044</v>
      </c>
      <c r="H770" t="n">
        <v>390.5338</v>
      </c>
      <c r="I770" t="n">
        <v>375.4377</v>
      </c>
      <c r="J770" t="n">
        <v>937.9883</v>
      </c>
      <c r="K770" t="n">
        <v>26134542.66</v>
      </c>
      <c r="L770" t="n">
        <v>253220040.05</v>
      </c>
      <c r="M770" t="n">
        <v>1693.5044</v>
      </c>
      <c r="N770" t="inlineStr">
        <is>
          <t>Provided Total Emissions</t>
        </is>
      </c>
      <c r="O770" t="b">
        <v>1</v>
      </c>
      <c r="P770" t="n">
        <v>-0.06886100000000001</v>
      </c>
      <c r="Q770" t="n">
        <v>0.004334</v>
      </c>
      <c r="R770" t="n">
        <v>5840.8089</v>
      </c>
      <c r="S770" t="n">
        <v>121006.2605</v>
      </c>
      <c r="T770" t="n">
        <v>4147.3045</v>
      </c>
      <c r="U770" t="n">
        <v>119312.7561</v>
      </c>
      <c r="V770" t="n">
        <v>2.448948</v>
      </c>
      <c r="W770" t="n">
        <v>70.453172</v>
      </c>
      <c r="X770" t="inlineStr">
        <is>
          <t>High</t>
        </is>
      </c>
      <c r="Y770" t="inlineStr">
        <is>
          <t>None</t>
        </is>
      </c>
      <c r="Z770" t="inlineStr">
        <is>
          <t>Valid</t>
        </is>
      </c>
      <c r="AA770" t="n">
        <v>2025</v>
      </c>
      <c r="AB770" t="inlineStr">
        <is>
          <t>Supplier Target Pathway</t>
        </is>
      </c>
      <c r="AC770" t="n">
        <v>3454.0256</v>
      </c>
      <c r="AD770" t="n">
        <v>2638.8756</v>
      </c>
      <c r="AE770" t="n">
        <v>3009.3983</v>
      </c>
      <c r="AF770" t="n">
        <v>3009.3983</v>
      </c>
      <c r="AG770" t="n">
        <v>444.6273</v>
      </c>
      <c r="AH770" t="n">
        <v>0.00011515</v>
      </c>
      <c r="AI770" t="n">
        <v>0.128727</v>
      </c>
      <c r="AJ770" t="n">
        <v>370.5227</v>
      </c>
      <c r="AK770" t="n">
        <v>74.1045</v>
      </c>
      <c r="AL770" t="n">
        <v>12823.8553</v>
      </c>
      <c r="AM770" t="n">
        <v>3009.3983</v>
      </c>
      <c r="AN770" t="n">
        <v>0.99</v>
      </c>
      <c r="AO770" t="inlineStr">
        <is>
          <t>Medium</t>
        </is>
      </c>
      <c r="AP770" t="inlineStr">
        <is>
          <t>On Track to Glide Path</t>
        </is>
      </c>
    </row>
    <row r="771">
      <c r="A771" t="inlineStr">
        <is>
          <t>SUP-0049</t>
        </is>
      </c>
      <c r="B771" t="inlineStr">
        <is>
          <t>Logistics Supplier 049</t>
        </is>
      </c>
      <c r="C771" t="inlineStr">
        <is>
          <t>Logistics</t>
        </is>
      </c>
      <c r="D771" t="n">
        <v>2024</v>
      </c>
      <c r="E771" t="n">
        <v>2019</v>
      </c>
      <c r="F771" t="n">
        <v>2030</v>
      </c>
      <c r="G771" t="n">
        <v>1693.5044</v>
      </c>
      <c r="H771" t="n">
        <v>390.5338</v>
      </c>
      <c r="I771" t="n">
        <v>375.4377</v>
      </c>
      <c r="J771" t="n">
        <v>937.9883</v>
      </c>
      <c r="K771" t="n">
        <v>26134542.66</v>
      </c>
      <c r="L771" t="n">
        <v>253220040.05</v>
      </c>
      <c r="M771" t="n">
        <v>1693.5044</v>
      </c>
      <c r="N771" t="inlineStr">
        <is>
          <t>Provided Total Emissions</t>
        </is>
      </c>
      <c r="O771" t="b">
        <v>1</v>
      </c>
      <c r="P771" t="n">
        <v>-0.06886100000000001</v>
      </c>
      <c r="Q771" t="n">
        <v>0.004334</v>
      </c>
      <c r="R771" t="n">
        <v>5840.8089</v>
      </c>
      <c r="S771" t="n">
        <v>121006.2605</v>
      </c>
      <c r="T771" t="n">
        <v>4147.3045</v>
      </c>
      <c r="U771" t="n">
        <v>119312.7561</v>
      </c>
      <c r="V771" t="n">
        <v>2.448948</v>
      </c>
      <c r="W771" t="n">
        <v>70.453172</v>
      </c>
      <c r="X771" t="inlineStr">
        <is>
          <t>High</t>
        </is>
      </c>
      <c r="Y771" t="inlineStr">
        <is>
          <t>None</t>
        </is>
      </c>
      <c r="Z771" t="inlineStr">
        <is>
          <t>Valid</t>
        </is>
      </c>
      <c r="AA771" t="n">
        <v>2026</v>
      </c>
      <c r="AB771" t="inlineStr">
        <is>
          <t>Supplier Target Pathway</t>
        </is>
      </c>
      <c r="AC771" t="n">
        <v>3454.0256</v>
      </c>
      <c r="AD771" t="n">
        <v>2638.8756</v>
      </c>
      <c r="AE771" t="n">
        <v>2935.2938</v>
      </c>
      <c r="AF771" t="n">
        <v>2935.2938</v>
      </c>
      <c r="AG771" t="n">
        <v>518.7318</v>
      </c>
      <c r="AH771" t="n">
        <v>0.00011231</v>
      </c>
      <c r="AI771" t="n">
        <v>0.150182</v>
      </c>
      <c r="AJ771" t="n">
        <v>296.4182</v>
      </c>
      <c r="AK771" t="n">
        <v>74.1045</v>
      </c>
      <c r="AL771" t="n">
        <v>9888.5615</v>
      </c>
      <c r="AM771" t="n">
        <v>5944.6921</v>
      </c>
      <c r="AN771" t="n">
        <v>0.99</v>
      </c>
      <c r="AO771" t="inlineStr">
        <is>
          <t>Medium</t>
        </is>
      </c>
      <c r="AP771" t="inlineStr">
        <is>
          <t>On Track to Glide Path</t>
        </is>
      </c>
    </row>
    <row r="772">
      <c r="A772" t="inlineStr">
        <is>
          <t>SUP-0049</t>
        </is>
      </c>
      <c r="B772" t="inlineStr">
        <is>
          <t>Logistics Supplier 049</t>
        </is>
      </c>
      <c r="C772" t="inlineStr">
        <is>
          <t>Logistics</t>
        </is>
      </c>
      <c r="D772" t="n">
        <v>2024</v>
      </c>
      <c r="E772" t="n">
        <v>2019</v>
      </c>
      <c r="F772" t="n">
        <v>2030</v>
      </c>
      <c r="G772" t="n">
        <v>1693.5044</v>
      </c>
      <c r="H772" t="n">
        <v>390.5338</v>
      </c>
      <c r="I772" t="n">
        <v>375.4377</v>
      </c>
      <c r="J772" t="n">
        <v>937.9883</v>
      </c>
      <c r="K772" t="n">
        <v>26134542.66</v>
      </c>
      <c r="L772" t="n">
        <v>253220040.05</v>
      </c>
      <c r="M772" t="n">
        <v>1693.5044</v>
      </c>
      <c r="N772" t="inlineStr">
        <is>
          <t>Provided Total Emissions</t>
        </is>
      </c>
      <c r="O772" t="b">
        <v>1</v>
      </c>
      <c r="P772" t="n">
        <v>-0.06886100000000001</v>
      </c>
      <c r="Q772" t="n">
        <v>0.004334</v>
      </c>
      <c r="R772" t="n">
        <v>5840.8089</v>
      </c>
      <c r="S772" t="n">
        <v>121006.2605</v>
      </c>
      <c r="T772" t="n">
        <v>4147.3045</v>
      </c>
      <c r="U772" t="n">
        <v>119312.7561</v>
      </c>
      <c r="V772" t="n">
        <v>2.448948</v>
      </c>
      <c r="W772" t="n">
        <v>70.453172</v>
      </c>
      <c r="X772" t="inlineStr">
        <is>
          <t>High</t>
        </is>
      </c>
      <c r="Y772" t="inlineStr">
        <is>
          <t>None</t>
        </is>
      </c>
      <c r="Z772" t="inlineStr">
        <is>
          <t>Valid</t>
        </is>
      </c>
      <c r="AA772" t="n">
        <v>2027</v>
      </c>
      <c r="AB772" t="inlineStr">
        <is>
          <t>Supplier Target Pathway</t>
        </is>
      </c>
      <c r="AC772" t="n">
        <v>3454.0256</v>
      </c>
      <c r="AD772" t="n">
        <v>2638.8756</v>
      </c>
      <c r="AE772" t="n">
        <v>2861.1892</v>
      </c>
      <c r="AF772" t="n">
        <v>2861.1892</v>
      </c>
      <c r="AG772" t="n">
        <v>592.8364</v>
      </c>
      <c r="AH772" t="n">
        <v>0.00010948</v>
      </c>
      <c r="AI772" t="n">
        <v>0.171636</v>
      </c>
      <c r="AJ772" t="n">
        <v>222.3136</v>
      </c>
      <c r="AK772" t="n">
        <v>74.1045</v>
      </c>
      <c r="AL772" t="n">
        <v>7027.3723</v>
      </c>
      <c r="AM772" t="n">
        <v>8805.881299999999</v>
      </c>
      <c r="AN772" t="n">
        <v>0.99</v>
      </c>
      <c r="AO772" t="inlineStr">
        <is>
          <t>Medium</t>
        </is>
      </c>
      <c r="AP772" t="inlineStr">
        <is>
          <t>On Track to Glide Path</t>
        </is>
      </c>
    </row>
    <row r="773">
      <c r="A773" t="inlineStr">
        <is>
          <t>SUP-0049</t>
        </is>
      </c>
      <c r="B773" t="inlineStr">
        <is>
          <t>Logistics Supplier 049</t>
        </is>
      </c>
      <c r="C773" t="inlineStr">
        <is>
          <t>Logistics</t>
        </is>
      </c>
      <c r="D773" t="n">
        <v>2024</v>
      </c>
      <c r="E773" t="n">
        <v>2019</v>
      </c>
      <c r="F773" t="n">
        <v>2030</v>
      </c>
      <c r="G773" t="n">
        <v>1693.5044</v>
      </c>
      <c r="H773" t="n">
        <v>390.5338</v>
      </c>
      <c r="I773" t="n">
        <v>375.4377</v>
      </c>
      <c r="J773" t="n">
        <v>937.9883</v>
      </c>
      <c r="K773" t="n">
        <v>26134542.66</v>
      </c>
      <c r="L773" t="n">
        <v>253220040.05</v>
      </c>
      <c r="M773" t="n">
        <v>1693.5044</v>
      </c>
      <c r="N773" t="inlineStr">
        <is>
          <t>Provided Total Emissions</t>
        </is>
      </c>
      <c r="O773" t="b">
        <v>1</v>
      </c>
      <c r="P773" t="n">
        <v>-0.06886100000000001</v>
      </c>
      <c r="Q773" t="n">
        <v>0.004334</v>
      </c>
      <c r="R773" t="n">
        <v>5840.8089</v>
      </c>
      <c r="S773" t="n">
        <v>121006.2605</v>
      </c>
      <c r="T773" t="n">
        <v>4147.3045</v>
      </c>
      <c r="U773" t="n">
        <v>119312.7561</v>
      </c>
      <c r="V773" t="n">
        <v>2.448948</v>
      </c>
      <c r="W773" t="n">
        <v>70.453172</v>
      </c>
      <c r="X773" t="inlineStr">
        <is>
          <t>High</t>
        </is>
      </c>
      <c r="Y773" t="inlineStr">
        <is>
          <t>None</t>
        </is>
      </c>
      <c r="Z773" t="inlineStr">
        <is>
          <t>Valid</t>
        </is>
      </c>
      <c r="AA773" t="n">
        <v>2028</v>
      </c>
      <c r="AB773" t="inlineStr">
        <is>
          <t>Supplier Target Pathway</t>
        </is>
      </c>
      <c r="AC773" t="n">
        <v>3454.0256</v>
      </c>
      <c r="AD773" t="n">
        <v>2638.8756</v>
      </c>
      <c r="AE773" t="n">
        <v>2787.0847</v>
      </c>
      <c r="AF773" t="n">
        <v>2787.0847</v>
      </c>
      <c r="AG773" t="n">
        <v>666.9409000000001</v>
      </c>
      <c r="AH773" t="n">
        <v>0.00010664</v>
      </c>
      <c r="AI773" t="n">
        <v>0.193091</v>
      </c>
      <c r="AJ773" t="n">
        <v>148.2091</v>
      </c>
      <c r="AK773" t="n">
        <v>74.1045</v>
      </c>
      <c r="AL773" t="n">
        <v>4240.2876</v>
      </c>
      <c r="AM773" t="n">
        <v>11592.966</v>
      </c>
      <c r="AN773" t="n">
        <v>0.99</v>
      </c>
      <c r="AO773" t="inlineStr">
        <is>
          <t>Medium</t>
        </is>
      </c>
      <c r="AP773" t="inlineStr">
        <is>
          <t>On Track to Glide Path</t>
        </is>
      </c>
    </row>
    <row r="774">
      <c r="A774" t="inlineStr">
        <is>
          <t>SUP-0049</t>
        </is>
      </c>
      <c r="B774" t="inlineStr">
        <is>
          <t>Logistics Supplier 049</t>
        </is>
      </c>
      <c r="C774" t="inlineStr">
        <is>
          <t>Logistics</t>
        </is>
      </c>
      <c r="D774" t="n">
        <v>2024</v>
      </c>
      <c r="E774" t="n">
        <v>2019</v>
      </c>
      <c r="F774" t="n">
        <v>2030</v>
      </c>
      <c r="G774" t="n">
        <v>1693.5044</v>
      </c>
      <c r="H774" t="n">
        <v>390.5338</v>
      </c>
      <c r="I774" t="n">
        <v>375.4377</v>
      </c>
      <c r="J774" t="n">
        <v>937.9883</v>
      </c>
      <c r="K774" t="n">
        <v>26134542.66</v>
      </c>
      <c r="L774" t="n">
        <v>253220040.05</v>
      </c>
      <c r="M774" t="n">
        <v>1693.5044</v>
      </c>
      <c r="N774" t="inlineStr">
        <is>
          <t>Provided Total Emissions</t>
        </is>
      </c>
      <c r="O774" t="b">
        <v>1</v>
      </c>
      <c r="P774" t="n">
        <v>-0.06886100000000001</v>
      </c>
      <c r="Q774" t="n">
        <v>0.004334</v>
      </c>
      <c r="R774" t="n">
        <v>5840.8089</v>
      </c>
      <c r="S774" t="n">
        <v>121006.2605</v>
      </c>
      <c r="T774" t="n">
        <v>4147.3045</v>
      </c>
      <c r="U774" t="n">
        <v>119312.7561</v>
      </c>
      <c r="V774" t="n">
        <v>2.448948</v>
      </c>
      <c r="W774" t="n">
        <v>70.453172</v>
      </c>
      <c r="X774" t="inlineStr">
        <is>
          <t>High</t>
        </is>
      </c>
      <c r="Y774" t="inlineStr">
        <is>
          <t>None</t>
        </is>
      </c>
      <c r="Z774" t="inlineStr">
        <is>
          <t>Valid</t>
        </is>
      </c>
      <c r="AA774" t="n">
        <v>2029</v>
      </c>
      <c r="AB774" t="inlineStr">
        <is>
          <t>Supplier Target Pathway</t>
        </is>
      </c>
      <c r="AC774" t="n">
        <v>3454.0256</v>
      </c>
      <c r="AD774" t="n">
        <v>2638.8756</v>
      </c>
      <c r="AE774" t="n">
        <v>2712.9801</v>
      </c>
      <c r="AF774" t="n">
        <v>2712.9801</v>
      </c>
      <c r="AG774" t="n">
        <v>741.0454999999999</v>
      </c>
      <c r="AH774" t="n">
        <v>0.00010381</v>
      </c>
      <c r="AI774" t="n">
        <v>0.214545</v>
      </c>
      <c r="AJ774" t="n">
        <v>74.1045</v>
      </c>
      <c r="AK774" t="n">
        <v>74.1045</v>
      </c>
      <c r="AL774" t="n">
        <v>1527.3075</v>
      </c>
      <c r="AM774" t="n">
        <v>14305.9461</v>
      </c>
      <c r="AN774" t="n">
        <v>0.99</v>
      </c>
      <c r="AO774" t="inlineStr">
        <is>
          <t>Medium</t>
        </is>
      </c>
      <c r="AP774" t="inlineStr">
        <is>
          <t>On Track to Glide Path</t>
        </is>
      </c>
    </row>
    <row r="775">
      <c r="A775" t="inlineStr">
        <is>
          <t>SUP-0049</t>
        </is>
      </c>
      <c r="B775" t="inlineStr">
        <is>
          <t>Logistics Supplier 049</t>
        </is>
      </c>
      <c r="C775" t="inlineStr">
        <is>
          <t>Logistics</t>
        </is>
      </c>
      <c r="D775" t="n">
        <v>2024</v>
      </c>
      <c r="E775" t="n">
        <v>2019</v>
      </c>
      <c r="F775" t="n">
        <v>2030</v>
      </c>
      <c r="G775" t="n">
        <v>1693.5044</v>
      </c>
      <c r="H775" t="n">
        <v>390.5338</v>
      </c>
      <c r="I775" t="n">
        <v>375.4377</v>
      </c>
      <c r="J775" t="n">
        <v>937.9883</v>
      </c>
      <c r="K775" t="n">
        <v>26134542.66</v>
      </c>
      <c r="L775" t="n">
        <v>253220040.05</v>
      </c>
      <c r="M775" t="n">
        <v>1693.5044</v>
      </c>
      <c r="N775" t="inlineStr">
        <is>
          <t>Provided Total Emissions</t>
        </is>
      </c>
      <c r="O775" t="b">
        <v>1</v>
      </c>
      <c r="P775" t="n">
        <v>-0.06886100000000001</v>
      </c>
      <c r="Q775" t="n">
        <v>0.004334</v>
      </c>
      <c r="R775" t="n">
        <v>5840.8089</v>
      </c>
      <c r="S775" t="n">
        <v>121006.2605</v>
      </c>
      <c r="T775" t="n">
        <v>4147.3045</v>
      </c>
      <c r="U775" t="n">
        <v>119312.7561</v>
      </c>
      <c r="V775" t="n">
        <v>2.448948</v>
      </c>
      <c r="W775" t="n">
        <v>70.453172</v>
      </c>
      <c r="X775" t="inlineStr">
        <is>
          <t>High</t>
        </is>
      </c>
      <c r="Y775" t="inlineStr">
        <is>
          <t>None</t>
        </is>
      </c>
      <c r="Z775" t="inlineStr">
        <is>
          <t>Valid</t>
        </is>
      </c>
      <c r="AA775" t="n">
        <v>2030</v>
      </c>
      <c r="AB775" t="inlineStr">
        <is>
          <t>Supplier Target Pathway</t>
        </is>
      </c>
      <c r="AC775" t="n">
        <v>3454.0256</v>
      </c>
      <c r="AD775" t="n">
        <v>2638.8756</v>
      </c>
      <c r="AE775" t="n">
        <v>2638.8756</v>
      </c>
      <c r="AF775" t="n">
        <v>2638.8756</v>
      </c>
      <c r="AG775" t="n">
        <v>815.15</v>
      </c>
      <c r="AH775" t="n">
        <v>0.00010097</v>
      </c>
      <c r="AI775" t="n">
        <v>0.236</v>
      </c>
      <c r="AJ775" t="n">
        <v>0</v>
      </c>
      <c r="AK775" t="n">
        <v>74.1045</v>
      </c>
      <c r="AL775" t="n">
        <v>-1111.5681</v>
      </c>
      <c r="AM775" t="n">
        <v>16944.8217</v>
      </c>
      <c r="AN775" t="n">
        <v>0.99</v>
      </c>
      <c r="AO775" t="inlineStr">
        <is>
          <t>Low</t>
        </is>
      </c>
      <c r="AP775" t="inlineStr">
        <is>
          <t>On Track</t>
        </is>
      </c>
    </row>
    <row r="776">
      <c r="A776" t="inlineStr">
        <is>
          <t>SUP-0049</t>
        </is>
      </c>
      <c r="B776" t="inlineStr">
        <is>
          <t>Logistics Supplier 049</t>
        </is>
      </c>
      <c r="C776" t="inlineStr">
        <is>
          <t>Logistics</t>
        </is>
      </c>
      <c r="D776" t="n">
        <v>2024</v>
      </c>
      <c r="E776" t="n">
        <v>2019</v>
      </c>
      <c r="F776" t="n">
        <v>2030</v>
      </c>
      <c r="G776" t="n">
        <v>1693.5044</v>
      </c>
      <c r="H776" t="n">
        <v>390.5338</v>
      </c>
      <c r="I776" t="n">
        <v>375.4377</v>
      </c>
      <c r="J776" t="n">
        <v>937.9883</v>
      </c>
      <c r="K776" t="n">
        <v>26134542.66</v>
      </c>
      <c r="L776" t="n">
        <v>253220040.05</v>
      </c>
      <c r="M776" t="n">
        <v>1693.5044</v>
      </c>
      <c r="N776" t="inlineStr">
        <is>
          <t>Provided Total Emissions</t>
        </is>
      </c>
      <c r="O776" t="b">
        <v>1</v>
      </c>
      <c r="P776" t="n">
        <v>-0.06886100000000001</v>
      </c>
      <c r="Q776" t="n">
        <v>0.004334</v>
      </c>
      <c r="R776" t="n">
        <v>5840.8089</v>
      </c>
      <c r="S776" t="n">
        <v>121006.2605</v>
      </c>
      <c r="T776" t="n">
        <v>4147.3045</v>
      </c>
      <c r="U776" t="n">
        <v>119312.7561</v>
      </c>
      <c r="V776" t="n">
        <v>2.448948</v>
      </c>
      <c r="W776" t="n">
        <v>70.453172</v>
      </c>
      <c r="X776" t="inlineStr">
        <is>
          <t>High</t>
        </is>
      </c>
      <c r="Y776" t="inlineStr">
        <is>
          <t>None</t>
        </is>
      </c>
      <c r="Z776" t="inlineStr">
        <is>
          <t>Valid</t>
        </is>
      </c>
      <c r="AA776" t="n">
        <v>2031</v>
      </c>
      <c r="AB776" t="inlineStr">
        <is>
          <t>Supplier Target Pathway</t>
        </is>
      </c>
      <c r="AC776" t="n">
        <v>3454.0256</v>
      </c>
      <c r="AD776" t="n">
        <v>2638.8756</v>
      </c>
      <c r="AE776" t="n">
        <v>2638.8756</v>
      </c>
      <c r="AF776" t="n">
        <v>2638.8756</v>
      </c>
      <c r="AG776" t="n">
        <v>815.15</v>
      </c>
      <c r="AH776" t="n">
        <v>0.00010097</v>
      </c>
      <c r="AI776" t="n">
        <v>0.236</v>
      </c>
      <c r="AJ776" t="n">
        <v>0</v>
      </c>
      <c r="AK776" t="n">
        <v>74.1045</v>
      </c>
      <c r="AL776" t="n">
        <v>-3750.4437</v>
      </c>
      <c r="AM776" t="n">
        <v>19583.6973</v>
      </c>
      <c r="AN776" t="n">
        <v>0.99</v>
      </c>
      <c r="AO776" t="inlineStr">
        <is>
          <t>Low</t>
        </is>
      </c>
      <c r="AP776" t="inlineStr">
        <is>
          <t>On Track</t>
        </is>
      </c>
    </row>
    <row r="777">
      <c r="A777" t="inlineStr">
        <is>
          <t>SUP-0049</t>
        </is>
      </c>
      <c r="B777" t="inlineStr">
        <is>
          <t>Logistics Supplier 049</t>
        </is>
      </c>
      <c r="C777" t="inlineStr">
        <is>
          <t>Logistics</t>
        </is>
      </c>
      <c r="D777" t="n">
        <v>2024</v>
      </c>
      <c r="E777" t="n">
        <v>2019</v>
      </c>
      <c r="F777" t="n">
        <v>2030</v>
      </c>
      <c r="G777" t="n">
        <v>1693.5044</v>
      </c>
      <c r="H777" t="n">
        <v>390.5338</v>
      </c>
      <c r="I777" t="n">
        <v>375.4377</v>
      </c>
      <c r="J777" t="n">
        <v>937.9883</v>
      </c>
      <c r="K777" t="n">
        <v>26134542.66</v>
      </c>
      <c r="L777" t="n">
        <v>253220040.05</v>
      </c>
      <c r="M777" t="n">
        <v>1693.5044</v>
      </c>
      <c r="N777" t="inlineStr">
        <is>
          <t>Provided Total Emissions</t>
        </is>
      </c>
      <c r="O777" t="b">
        <v>1</v>
      </c>
      <c r="P777" t="n">
        <v>-0.06886100000000001</v>
      </c>
      <c r="Q777" t="n">
        <v>0.004334</v>
      </c>
      <c r="R777" t="n">
        <v>5840.8089</v>
      </c>
      <c r="S777" t="n">
        <v>121006.2605</v>
      </c>
      <c r="T777" t="n">
        <v>4147.3045</v>
      </c>
      <c r="U777" t="n">
        <v>119312.7561</v>
      </c>
      <c r="V777" t="n">
        <v>2.448948</v>
      </c>
      <c r="W777" t="n">
        <v>70.453172</v>
      </c>
      <c r="X777" t="inlineStr">
        <is>
          <t>High</t>
        </is>
      </c>
      <c r="Y777" t="inlineStr">
        <is>
          <t>None</t>
        </is>
      </c>
      <c r="Z777" t="inlineStr">
        <is>
          <t>Valid</t>
        </is>
      </c>
      <c r="AA777" t="n">
        <v>2032</v>
      </c>
      <c r="AB777" t="inlineStr">
        <is>
          <t>Supplier Target Pathway</t>
        </is>
      </c>
      <c r="AC777" t="n">
        <v>3454.0256</v>
      </c>
      <c r="AD777" t="n">
        <v>2638.8756</v>
      </c>
      <c r="AE777" t="n">
        <v>2638.8756</v>
      </c>
      <c r="AF777" t="n">
        <v>2638.8756</v>
      </c>
      <c r="AG777" t="n">
        <v>815.15</v>
      </c>
      <c r="AH777" t="n">
        <v>0.00010097</v>
      </c>
      <c r="AI777" t="n">
        <v>0.236</v>
      </c>
      <c r="AJ777" t="n">
        <v>0</v>
      </c>
      <c r="AK777" t="n">
        <v>74.1045</v>
      </c>
      <c r="AL777" t="n">
        <v>-6389.3193</v>
      </c>
      <c r="AM777" t="n">
        <v>22222.5729</v>
      </c>
      <c r="AN777" t="n">
        <v>0.99</v>
      </c>
      <c r="AO777" t="inlineStr">
        <is>
          <t>Low</t>
        </is>
      </c>
      <c r="AP777" t="inlineStr">
        <is>
          <t>On Track</t>
        </is>
      </c>
    </row>
    <row r="778">
      <c r="A778" t="inlineStr">
        <is>
          <t>SUP-0049</t>
        </is>
      </c>
      <c r="B778" t="inlineStr">
        <is>
          <t>Logistics Supplier 049</t>
        </is>
      </c>
      <c r="C778" t="inlineStr">
        <is>
          <t>Logistics</t>
        </is>
      </c>
      <c r="D778" t="n">
        <v>2024</v>
      </c>
      <c r="E778" t="n">
        <v>2019</v>
      </c>
      <c r="F778" t="n">
        <v>2030</v>
      </c>
      <c r="G778" t="n">
        <v>1693.5044</v>
      </c>
      <c r="H778" t="n">
        <v>390.5338</v>
      </c>
      <c r="I778" t="n">
        <v>375.4377</v>
      </c>
      <c r="J778" t="n">
        <v>937.9883</v>
      </c>
      <c r="K778" t="n">
        <v>26134542.66</v>
      </c>
      <c r="L778" t="n">
        <v>253220040.05</v>
      </c>
      <c r="M778" t="n">
        <v>1693.5044</v>
      </c>
      <c r="N778" t="inlineStr">
        <is>
          <t>Provided Total Emissions</t>
        </is>
      </c>
      <c r="O778" t="b">
        <v>1</v>
      </c>
      <c r="P778" t="n">
        <v>-0.06886100000000001</v>
      </c>
      <c r="Q778" t="n">
        <v>0.004334</v>
      </c>
      <c r="R778" t="n">
        <v>5840.8089</v>
      </c>
      <c r="S778" t="n">
        <v>121006.2605</v>
      </c>
      <c r="T778" t="n">
        <v>4147.3045</v>
      </c>
      <c r="U778" t="n">
        <v>119312.7561</v>
      </c>
      <c r="V778" t="n">
        <v>2.448948</v>
      </c>
      <c r="W778" t="n">
        <v>70.453172</v>
      </c>
      <c r="X778" t="inlineStr">
        <is>
          <t>High</t>
        </is>
      </c>
      <c r="Y778" t="inlineStr">
        <is>
          <t>None</t>
        </is>
      </c>
      <c r="Z778" t="inlineStr">
        <is>
          <t>Valid</t>
        </is>
      </c>
      <c r="AA778" t="n">
        <v>2033</v>
      </c>
      <c r="AB778" t="inlineStr">
        <is>
          <t>Supplier Target Pathway</t>
        </is>
      </c>
      <c r="AC778" t="n">
        <v>3454.0256</v>
      </c>
      <c r="AD778" t="n">
        <v>2638.8756</v>
      </c>
      <c r="AE778" t="n">
        <v>2638.8756</v>
      </c>
      <c r="AF778" t="n">
        <v>2638.8756</v>
      </c>
      <c r="AG778" t="n">
        <v>815.15</v>
      </c>
      <c r="AH778" t="n">
        <v>0.00010097</v>
      </c>
      <c r="AI778" t="n">
        <v>0.236</v>
      </c>
      <c r="AJ778" t="n">
        <v>0</v>
      </c>
      <c r="AK778" t="n">
        <v>74.1045</v>
      </c>
      <c r="AL778" t="n">
        <v>-9028.1949</v>
      </c>
      <c r="AM778" t="n">
        <v>24861.4485</v>
      </c>
      <c r="AN778" t="n">
        <v>0.99</v>
      </c>
      <c r="AO778" t="inlineStr">
        <is>
          <t>Low</t>
        </is>
      </c>
      <c r="AP778" t="inlineStr">
        <is>
          <t>On Track</t>
        </is>
      </c>
    </row>
    <row r="779">
      <c r="A779" t="inlineStr">
        <is>
          <t>SUP-0049</t>
        </is>
      </c>
      <c r="B779" t="inlineStr">
        <is>
          <t>Logistics Supplier 049</t>
        </is>
      </c>
      <c r="C779" t="inlineStr">
        <is>
          <t>Logistics</t>
        </is>
      </c>
      <c r="D779" t="n">
        <v>2024</v>
      </c>
      <c r="E779" t="n">
        <v>2019</v>
      </c>
      <c r="F779" t="n">
        <v>2030</v>
      </c>
      <c r="G779" t="n">
        <v>1693.5044</v>
      </c>
      <c r="H779" t="n">
        <v>390.5338</v>
      </c>
      <c r="I779" t="n">
        <v>375.4377</v>
      </c>
      <c r="J779" t="n">
        <v>937.9883</v>
      </c>
      <c r="K779" t="n">
        <v>26134542.66</v>
      </c>
      <c r="L779" t="n">
        <v>253220040.05</v>
      </c>
      <c r="M779" t="n">
        <v>1693.5044</v>
      </c>
      <c r="N779" t="inlineStr">
        <is>
          <t>Provided Total Emissions</t>
        </is>
      </c>
      <c r="O779" t="b">
        <v>1</v>
      </c>
      <c r="P779" t="n">
        <v>-0.06886100000000001</v>
      </c>
      <c r="Q779" t="n">
        <v>0.004334</v>
      </c>
      <c r="R779" t="n">
        <v>5840.8089</v>
      </c>
      <c r="S779" t="n">
        <v>121006.2605</v>
      </c>
      <c r="T779" t="n">
        <v>4147.3045</v>
      </c>
      <c r="U779" t="n">
        <v>119312.7561</v>
      </c>
      <c r="V779" t="n">
        <v>2.448948</v>
      </c>
      <c r="W779" t="n">
        <v>70.453172</v>
      </c>
      <c r="X779" t="inlineStr">
        <is>
          <t>High</t>
        </is>
      </c>
      <c r="Y779" t="inlineStr">
        <is>
          <t>None</t>
        </is>
      </c>
      <c r="Z779" t="inlineStr">
        <is>
          <t>Valid</t>
        </is>
      </c>
      <c r="AA779" t="n">
        <v>2034</v>
      </c>
      <c r="AB779" t="inlineStr">
        <is>
          <t>Supplier Target Pathway</t>
        </is>
      </c>
      <c r="AC779" t="n">
        <v>3454.0256</v>
      </c>
      <c r="AD779" t="n">
        <v>2638.8756</v>
      </c>
      <c r="AE779" t="n">
        <v>2638.8756</v>
      </c>
      <c r="AF779" t="n">
        <v>2638.8756</v>
      </c>
      <c r="AG779" t="n">
        <v>815.15</v>
      </c>
      <c r="AH779" t="n">
        <v>0.00010097</v>
      </c>
      <c r="AI779" t="n">
        <v>0.236</v>
      </c>
      <c r="AJ779" t="n">
        <v>0</v>
      </c>
      <c r="AK779" t="n">
        <v>74.1045</v>
      </c>
      <c r="AL779" t="n">
        <v>-11667.0705</v>
      </c>
      <c r="AM779" t="n">
        <v>27500.3241</v>
      </c>
      <c r="AN779" t="n">
        <v>0.99</v>
      </c>
      <c r="AO779" t="inlineStr">
        <is>
          <t>Low</t>
        </is>
      </c>
      <c r="AP779" t="inlineStr">
        <is>
          <t>On Track</t>
        </is>
      </c>
    </row>
    <row r="780">
      <c r="A780" t="inlineStr">
        <is>
          <t>SUP-0049</t>
        </is>
      </c>
      <c r="B780" t="inlineStr">
        <is>
          <t>Logistics Supplier 049</t>
        </is>
      </c>
      <c r="C780" t="inlineStr">
        <is>
          <t>Logistics</t>
        </is>
      </c>
      <c r="D780" t="n">
        <v>2024</v>
      </c>
      <c r="E780" t="n">
        <v>2019</v>
      </c>
      <c r="F780" t="n">
        <v>2030</v>
      </c>
      <c r="G780" t="n">
        <v>1693.5044</v>
      </c>
      <c r="H780" t="n">
        <v>390.5338</v>
      </c>
      <c r="I780" t="n">
        <v>375.4377</v>
      </c>
      <c r="J780" t="n">
        <v>937.9883</v>
      </c>
      <c r="K780" t="n">
        <v>26134542.66</v>
      </c>
      <c r="L780" t="n">
        <v>253220040.05</v>
      </c>
      <c r="M780" t="n">
        <v>1693.5044</v>
      </c>
      <c r="N780" t="inlineStr">
        <is>
          <t>Provided Total Emissions</t>
        </is>
      </c>
      <c r="O780" t="b">
        <v>1</v>
      </c>
      <c r="P780" t="n">
        <v>-0.06886100000000001</v>
      </c>
      <c r="Q780" t="n">
        <v>0.004334</v>
      </c>
      <c r="R780" t="n">
        <v>5840.8089</v>
      </c>
      <c r="S780" t="n">
        <v>121006.2605</v>
      </c>
      <c r="T780" t="n">
        <v>4147.3045</v>
      </c>
      <c r="U780" t="n">
        <v>119312.7561</v>
      </c>
      <c r="V780" t="n">
        <v>2.448948</v>
      </c>
      <c r="W780" t="n">
        <v>70.453172</v>
      </c>
      <c r="X780" t="inlineStr">
        <is>
          <t>High</t>
        </is>
      </c>
      <c r="Y780" t="inlineStr">
        <is>
          <t>None</t>
        </is>
      </c>
      <c r="Z780" t="inlineStr">
        <is>
          <t>Valid</t>
        </is>
      </c>
      <c r="AA780" t="n">
        <v>2035</v>
      </c>
      <c r="AB780" t="inlineStr">
        <is>
          <t>Supplier Target Pathway</t>
        </is>
      </c>
      <c r="AC780" t="n">
        <v>3454.0256</v>
      </c>
      <c r="AD780" t="n">
        <v>2638.8756</v>
      </c>
      <c r="AE780" t="n">
        <v>2638.8756</v>
      </c>
      <c r="AF780" t="n">
        <v>2638.8756</v>
      </c>
      <c r="AG780" t="n">
        <v>815.15</v>
      </c>
      <c r="AH780" t="n">
        <v>0.00010097</v>
      </c>
      <c r="AI780" t="n">
        <v>0.236</v>
      </c>
      <c r="AJ780" t="n">
        <v>0</v>
      </c>
      <c r="AK780" t="n">
        <v>74.1045</v>
      </c>
      <c r="AL780" t="n">
        <v>-14305.9461</v>
      </c>
      <c r="AM780" t="n">
        <v>30139.1997</v>
      </c>
      <c r="AN780" t="n">
        <v>0.99</v>
      </c>
      <c r="AO780" t="inlineStr">
        <is>
          <t>Low</t>
        </is>
      </c>
      <c r="AP780" t="inlineStr">
        <is>
          <t>On Track</t>
        </is>
      </c>
    </row>
    <row r="781">
      <c r="A781" t="inlineStr">
        <is>
          <t>SUP-0049</t>
        </is>
      </c>
      <c r="B781" t="inlineStr">
        <is>
          <t>Logistics Supplier 049</t>
        </is>
      </c>
      <c r="C781" t="inlineStr">
        <is>
          <t>Logistics</t>
        </is>
      </c>
      <c r="D781" t="n">
        <v>2024</v>
      </c>
      <c r="E781" t="n">
        <v>2019</v>
      </c>
      <c r="F781" t="n">
        <v>2030</v>
      </c>
      <c r="G781" t="n">
        <v>1693.5044</v>
      </c>
      <c r="H781" t="n">
        <v>390.5338</v>
      </c>
      <c r="I781" t="n">
        <v>375.4377</v>
      </c>
      <c r="J781" t="n">
        <v>937.9883</v>
      </c>
      <c r="K781" t="n">
        <v>26134542.66</v>
      </c>
      <c r="L781" t="n">
        <v>253220040.05</v>
      </c>
      <c r="M781" t="n">
        <v>1693.5044</v>
      </c>
      <c r="N781" t="inlineStr">
        <is>
          <t>Provided Total Emissions</t>
        </is>
      </c>
      <c r="O781" t="b">
        <v>1</v>
      </c>
      <c r="P781" t="n">
        <v>-0.06886100000000001</v>
      </c>
      <c r="Q781" t="n">
        <v>0.004334</v>
      </c>
      <c r="R781" t="n">
        <v>5840.8089</v>
      </c>
      <c r="S781" t="n">
        <v>121006.2605</v>
      </c>
      <c r="T781" t="n">
        <v>4147.3045</v>
      </c>
      <c r="U781" t="n">
        <v>119312.7561</v>
      </c>
      <c r="V781" t="n">
        <v>2.448948</v>
      </c>
      <c r="W781" t="n">
        <v>70.453172</v>
      </c>
      <c r="X781" t="inlineStr">
        <is>
          <t>High</t>
        </is>
      </c>
      <c r="Y781" t="inlineStr">
        <is>
          <t>None</t>
        </is>
      </c>
      <c r="Z781" t="inlineStr">
        <is>
          <t>Valid</t>
        </is>
      </c>
      <c r="AA781" t="n">
        <v>2036</v>
      </c>
      <c r="AB781" t="inlineStr">
        <is>
          <t>Supplier Target Pathway</t>
        </is>
      </c>
      <c r="AC781" t="n">
        <v>3454.0256</v>
      </c>
      <c r="AD781" t="n">
        <v>2638.8756</v>
      </c>
      <c r="AE781" t="n">
        <v>2638.8756</v>
      </c>
      <c r="AF781" t="n">
        <v>2638.8756</v>
      </c>
      <c r="AG781" t="n">
        <v>815.15</v>
      </c>
      <c r="AH781" t="n">
        <v>0.00010097</v>
      </c>
      <c r="AI781" t="n">
        <v>0.236</v>
      </c>
      <c r="AJ781" t="n">
        <v>0</v>
      </c>
      <c r="AK781" t="n">
        <v>74.1045</v>
      </c>
      <c r="AL781" t="n">
        <v>-16944.8217</v>
      </c>
      <c r="AM781" t="n">
        <v>32778.0753</v>
      </c>
      <c r="AN781" t="n">
        <v>0.99</v>
      </c>
      <c r="AO781" t="inlineStr">
        <is>
          <t>Low</t>
        </is>
      </c>
      <c r="AP781" t="inlineStr">
        <is>
          <t>On Track</t>
        </is>
      </c>
    </row>
    <row r="782">
      <c r="A782" t="inlineStr">
        <is>
          <t>SUP-0049</t>
        </is>
      </c>
      <c r="B782" t="inlineStr">
        <is>
          <t>Logistics Supplier 049</t>
        </is>
      </c>
      <c r="C782" t="inlineStr">
        <is>
          <t>Logistics</t>
        </is>
      </c>
      <c r="D782" t="n">
        <v>2024</v>
      </c>
      <c r="E782" t="n">
        <v>2019</v>
      </c>
      <c r="F782" t="n">
        <v>2030</v>
      </c>
      <c r="G782" t="n">
        <v>1693.5044</v>
      </c>
      <c r="H782" t="n">
        <v>390.5338</v>
      </c>
      <c r="I782" t="n">
        <v>375.4377</v>
      </c>
      <c r="J782" t="n">
        <v>937.9883</v>
      </c>
      <c r="K782" t="n">
        <v>26134542.66</v>
      </c>
      <c r="L782" t="n">
        <v>253220040.05</v>
      </c>
      <c r="M782" t="n">
        <v>1693.5044</v>
      </c>
      <c r="N782" t="inlineStr">
        <is>
          <t>Provided Total Emissions</t>
        </is>
      </c>
      <c r="O782" t="b">
        <v>1</v>
      </c>
      <c r="P782" t="n">
        <v>-0.06886100000000001</v>
      </c>
      <c r="Q782" t="n">
        <v>0.004334</v>
      </c>
      <c r="R782" t="n">
        <v>5840.8089</v>
      </c>
      <c r="S782" t="n">
        <v>121006.2605</v>
      </c>
      <c r="T782" t="n">
        <v>4147.3045</v>
      </c>
      <c r="U782" t="n">
        <v>119312.7561</v>
      </c>
      <c r="V782" t="n">
        <v>2.448948</v>
      </c>
      <c r="W782" t="n">
        <v>70.453172</v>
      </c>
      <c r="X782" t="inlineStr">
        <is>
          <t>High</t>
        </is>
      </c>
      <c r="Y782" t="inlineStr">
        <is>
          <t>None</t>
        </is>
      </c>
      <c r="Z782" t="inlineStr">
        <is>
          <t>Valid</t>
        </is>
      </c>
      <c r="AA782" t="n">
        <v>2037</v>
      </c>
      <c r="AB782" t="inlineStr">
        <is>
          <t>Supplier Target Pathway</t>
        </is>
      </c>
      <c r="AC782" t="n">
        <v>3454.0256</v>
      </c>
      <c r="AD782" t="n">
        <v>2638.8756</v>
      </c>
      <c r="AE782" t="n">
        <v>2638.8756</v>
      </c>
      <c r="AF782" t="n">
        <v>2638.8756</v>
      </c>
      <c r="AG782" t="n">
        <v>815.15</v>
      </c>
      <c r="AH782" t="n">
        <v>0.00010097</v>
      </c>
      <c r="AI782" t="n">
        <v>0.236</v>
      </c>
      <c r="AJ782" t="n">
        <v>0</v>
      </c>
      <c r="AK782" t="n">
        <v>74.1045</v>
      </c>
      <c r="AL782" t="n">
        <v>-19583.6973</v>
      </c>
      <c r="AM782" t="n">
        <v>35416.9509</v>
      </c>
      <c r="AN782" t="n">
        <v>0.99</v>
      </c>
      <c r="AO782" t="inlineStr">
        <is>
          <t>Low</t>
        </is>
      </c>
      <c r="AP782" t="inlineStr">
        <is>
          <t>On Track</t>
        </is>
      </c>
    </row>
    <row r="783">
      <c r="A783" t="inlineStr">
        <is>
          <t>SUP-0049</t>
        </is>
      </c>
      <c r="B783" t="inlineStr">
        <is>
          <t>Logistics Supplier 049</t>
        </is>
      </c>
      <c r="C783" t="inlineStr">
        <is>
          <t>Logistics</t>
        </is>
      </c>
      <c r="D783" t="n">
        <v>2024</v>
      </c>
      <c r="E783" t="n">
        <v>2019</v>
      </c>
      <c r="F783" t="n">
        <v>2030</v>
      </c>
      <c r="G783" t="n">
        <v>1693.5044</v>
      </c>
      <c r="H783" t="n">
        <v>390.5338</v>
      </c>
      <c r="I783" t="n">
        <v>375.4377</v>
      </c>
      <c r="J783" t="n">
        <v>937.9883</v>
      </c>
      <c r="K783" t="n">
        <v>26134542.66</v>
      </c>
      <c r="L783" t="n">
        <v>253220040.05</v>
      </c>
      <c r="M783" t="n">
        <v>1693.5044</v>
      </c>
      <c r="N783" t="inlineStr">
        <is>
          <t>Provided Total Emissions</t>
        </is>
      </c>
      <c r="O783" t="b">
        <v>1</v>
      </c>
      <c r="P783" t="n">
        <v>-0.06886100000000001</v>
      </c>
      <c r="Q783" t="n">
        <v>0.004334</v>
      </c>
      <c r="R783" t="n">
        <v>5840.8089</v>
      </c>
      <c r="S783" t="n">
        <v>121006.2605</v>
      </c>
      <c r="T783" t="n">
        <v>4147.3045</v>
      </c>
      <c r="U783" t="n">
        <v>119312.7561</v>
      </c>
      <c r="V783" t="n">
        <v>2.448948</v>
      </c>
      <c r="W783" t="n">
        <v>70.453172</v>
      </c>
      <c r="X783" t="inlineStr">
        <is>
          <t>High</t>
        </is>
      </c>
      <c r="Y783" t="inlineStr">
        <is>
          <t>None</t>
        </is>
      </c>
      <c r="Z783" t="inlineStr">
        <is>
          <t>Valid</t>
        </is>
      </c>
      <c r="AA783" t="n">
        <v>2038</v>
      </c>
      <c r="AB783" t="inlineStr">
        <is>
          <t>Supplier Target Pathway</t>
        </is>
      </c>
      <c r="AC783" t="n">
        <v>3454.0256</v>
      </c>
      <c r="AD783" t="n">
        <v>2638.8756</v>
      </c>
      <c r="AE783" t="n">
        <v>2638.8756</v>
      </c>
      <c r="AF783" t="n">
        <v>2638.8756</v>
      </c>
      <c r="AG783" t="n">
        <v>815.15</v>
      </c>
      <c r="AH783" t="n">
        <v>0.00010097</v>
      </c>
      <c r="AI783" t="n">
        <v>0.236</v>
      </c>
      <c r="AJ783" t="n">
        <v>0</v>
      </c>
      <c r="AK783" t="n">
        <v>74.1045</v>
      </c>
      <c r="AL783" t="n">
        <v>-22222.5729</v>
      </c>
      <c r="AM783" t="n">
        <v>38055.8265</v>
      </c>
      <c r="AN783" t="n">
        <v>0.99</v>
      </c>
      <c r="AO783" t="inlineStr">
        <is>
          <t>Low</t>
        </is>
      </c>
      <c r="AP783" t="inlineStr">
        <is>
          <t>On Track</t>
        </is>
      </c>
    </row>
    <row r="784">
      <c r="A784" t="inlineStr">
        <is>
          <t>SUP-0049</t>
        </is>
      </c>
      <c r="B784" t="inlineStr">
        <is>
          <t>Logistics Supplier 049</t>
        </is>
      </c>
      <c r="C784" t="inlineStr">
        <is>
          <t>Logistics</t>
        </is>
      </c>
      <c r="D784" t="n">
        <v>2024</v>
      </c>
      <c r="E784" t="n">
        <v>2019</v>
      </c>
      <c r="F784" t="n">
        <v>2030</v>
      </c>
      <c r="G784" t="n">
        <v>1693.5044</v>
      </c>
      <c r="H784" t="n">
        <v>390.5338</v>
      </c>
      <c r="I784" t="n">
        <v>375.4377</v>
      </c>
      <c r="J784" t="n">
        <v>937.9883</v>
      </c>
      <c r="K784" t="n">
        <v>26134542.66</v>
      </c>
      <c r="L784" t="n">
        <v>253220040.05</v>
      </c>
      <c r="M784" t="n">
        <v>1693.5044</v>
      </c>
      <c r="N784" t="inlineStr">
        <is>
          <t>Provided Total Emissions</t>
        </is>
      </c>
      <c r="O784" t="b">
        <v>1</v>
      </c>
      <c r="P784" t="n">
        <v>-0.06886100000000001</v>
      </c>
      <c r="Q784" t="n">
        <v>0.004334</v>
      </c>
      <c r="R784" t="n">
        <v>5840.8089</v>
      </c>
      <c r="S784" t="n">
        <v>121006.2605</v>
      </c>
      <c r="T784" t="n">
        <v>4147.3045</v>
      </c>
      <c r="U784" t="n">
        <v>119312.7561</v>
      </c>
      <c r="V784" t="n">
        <v>2.448948</v>
      </c>
      <c r="W784" t="n">
        <v>70.453172</v>
      </c>
      <c r="X784" t="inlineStr">
        <is>
          <t>High</t>
        </is>
      </c>
      <c r="Y784" t="inlineStr">
        <is>
          <t>None</t>
        </is>
      </c>
      <c r="Z784" t="inlineStr">
        <is>
          <t>Valid</t>
        </is>
      </c>
      <c r="AA784" t="n">
        <v>2039</v>
      </c>
      <c r="AB784" t="inlineStr">
        <is>
          <t>Supplier Target Pathway</t>
        </is>
      </c>
      <c r="AC784" t="n">
        <v>3454.0256</v>
      </c>
      <c r="AD784" t="n">
        <v>2638.8756</v>
      </c>
      <c r="AE784" t="n">
        <v>2638.8756</v>
      </c>
      <c r="AF784" t="n">
        <v>2638.8756</v>
      </c>
      <c r="AG784" t="n">
        <v>815.15</v>
      </c>
      <c r="AH784" t="n">
        <v>0.00010097</v>
      </c>
      <c r="AI784" t="n">
        <v>0.236</v>
      </c>
      <c r="AJ784" t="n">
        <v>0</v>
      </c>
      <c r="AK784" t="n">
        <v>74.1045</v>
      </c>
      <c r="AL784" t="n">
        <v>-24861.4485</v>
      </c>
      <c r="AM784" t="n">
        <v>40694.7021</v>
      </c>
      <c r="AN784" t="n">
        <v>0.99</v>
      </c>
      <c r="AO784" t="inlineStr">
        <is>
          <t>Low</t>
        </is>
      </c>
      <c r="AP784" t="inlineStr">
        <is>
          <t>On Track</t>
        </is>
      </c>
    </row>
    <row r="785">
      <c r="A785" t="inlineStr">
        <is>
          <t>SUP-0049</t>
        </is>
      </c>
      <c r="B785" t="inlineStr">
        <is>
          <t>Logistics Supplier 049</t>
        </is>
      </c>
      <c r="C785" t="inlineStr">
        <is>
          <t>Logistics</t>
        </is>
      </c>
      <c r="D785" t="n">
        <v>2024</v>
      </c>
      <c r="E785" t="n">
        <v>2019</v>
      </c>
      <c r="F785" t="n">
        <v>2030</v>
      </c>
      <c r="G785" t="n">
        <v>1693.5044</v>
      </c>
      <c r="H785" t="n">
        <v>390.5338</v>
      </c>
      <c r="I785" t="n">
        <v>375.4377</v>
      </c>
      <c r="J785" t="n">
        <v>937.9883</v>
      </c>
      <c r="K785" t="n">
        <v>26134542.66</v>
      </c>
      <c r="L785" t="n">
        <v>253220040.05</v>
      </c>
      <c r="M785" t="n">
        <v>1693.5044</v>
      </c>
      <c r="N785" t="inlineStr">
        <is>
          <t>Provided Total Emissions</t>
        </is>
      </c>
      <c r="O785" t="b">
        <v>1</v>
      </c>
      <c r="P785" t="n">
        <v>-0.06886100000000001</v>
      </c>
      <c r="Q785" t="n">
        <v>0.004334</v>
      </c>
      <c r="R785" t="n">
        <v>5840.8089</v>
      </c>
      <c r="S785" t="n">
        <v>121006.2605</v>
      </c>
      <c r="T785" t="n">
        <v>4147.3045</v>
      </c>
      <c r="U785" t="n">
        <v>119312.7561</v>
      </c>
      <c r="V785" t="n">
        <v>2.448948</v>
      </c>
      <c r="W785" t="n">
        <v>70.453172</v>
      </c>
      <c r="X785" t="inlineStr">
        <is>
          <t>High</t>
        </is>
      </c>
      <c r="Y785" t="inlineStr">
        <is>
          <t>None</t>
        </is>
      </c>
      <c r="Z785" t="inlineStr">
        <is>
          <t>Valid</t>
        </is>
      </c>
      <c r="AA785" t="n">
        <v>2040</v>
      </c>
      <c r="AB785" t="inlineStr">
        <is>
          <t>Supplier Target Pathway</t>
        </is>
      </c>
      <c r="AC785" t="n">
        <v>3454.0256</v>
      </c>
      <c r="AD785" t="n">
        <v>2638.8756</v>
      </c>
      <c r="AE785" t="n">
        <v>2638.8756</v>
      </c>
      <c r="AF785" t="n">
        <v>2638.8756</v>
      </c>
      <c r="AG785" t="n">
        <v>815.15</v>
      </c>
      <c r="AH785" t="n">
        <v>0.00010097</v>
      </c>
      <c r="AI785" t="n">
        <v>0.236</v>
      </c>
      <c r="AJ785" t="n">
        <v>0</v>
      </c>
      <c r="AK785" t="n">
        <v>74.1045</v>
      </c>
      <c r="AL785" t="n">
        <v>-27500.3241</v>
      </c>
      <c r="AM785" t="n">
        <v>43333.5777</v>
      </c>
      <c r="AN785" t="n">
        <v>0.99</v>
      </c>
      <c r="AO785" t="inlineStr">
        <is>
          <t>Low</t>
        </is>
      </c>
      <c r="AP785" t="inlineStr">
        <is>
          <t>On Track</t>
        </is>
      </c>
    </row>
    <row r="786">
      <c r="A786" t="inlineStr">
        <is>
          <t>SUP-0050</t>
        </is>
      </c>
      <c r="B786" t="inlineStr">
        <is>
          <t>Electronics Supplier 050</t>
        </is>
      </c>
      <c r="C786" t="inlineStr">
        <is>
          <t>Electronics</t>
        </is>
      </c>
      <c r="D786" t="n">
        <v>2024</v>
      </c>
      <c r="E786" t="n">
        <v>2015</v>
      </c>
      <c r="F786" t="n">
        <v>2040</v>
      </c>
      <c r="G786" t="n">
        <v>26983.1476</v>
      </c>
      <c r="H786" t="n">
        <v>5642.8221</v>
      </c>
      <c r="I786" t="n">
        <v>3907.9537</v>
      </c>
      <c r="J786" t="n">
        <v>16597.9242</v>
      </c>
      <c r="K786" t="n">
        <v>30128796.93</v>
      </c>
      <c r="L786" t="n">
        <v>167804865.66</v>
      </c>
      <c r="M786" t="n">
        <v>26983.1476</v>
      </c>
      <c r="N786" t="inlineStr">
        <is>
          <t>Provided Total Emissions</t>
        </is>
      </c>
      <c r="O786" t="b">
        <v>1</v>
      </c>
      <c r="P786" t="n">
        <v>0.060335</v>
      </c>
      <c r="Q786" t="n">
        <v>0.042056</v>
      </c>
      <c r="R786" t="n">
        <v>25942.4006</v>
      </c>
      <c r="S786" t="n">
        <v>23403.7446</v>
      </c>
      <c r="T786" t="n">
        <v>-1040.747</v>
      </c>
      <c r="U786" t="n">
        <v>-3579.403</v>
      </c>
      <c r="V786" t="n">
        <v>-0.03857</v>
      </c>
      <c r="W786" t="n">
        <v>-0.132653</v>
      </c>
      <c r="X786" t="inlineStr">
        <is>
          <t>High</t>
        </is>
      </c>
      <c r="Y786" t="inlineStr">
        <is>
          <t>None</t>
        </is>
      </c>
      <c r="Z786" t="inlineStr">
        <is>
          <t>Valid</t>
        </is>
      </c>
      <c r="AA786" t="n">
        <v>2025</v>
      </c>
      <c r="AB786" t="inlineStr">
        <is>
          <t>Industry Haircut Pathway</t>
        </is>
      </c>
      <c r="AC786" t="n">
        <v>15925.9302</v>
      </c>
      <c r="AD786" t="n">
        <v>10472.8917</v>
      </c>
      <c r="AE786" t="n">
        <v>13744.7148</v>
      </c>
      <c r="AF786" t="n">
        <v>13744.7148</v>
      </c>
      <c r="AG786" t="n">
        <v>2181.2154</v>
      </c>
      <c r="AH786" t="n">
        <v>0.0004562</v>
      </c>
      <c r="AI786" t="n">
        <v>0.13696</v>
      </c>
      <c r="AJ786" t="n">
        <v>3271.8231</v>
      </c>
      <c r="AK786" t="n">
        <v>218.1215</v>
      </c>
      <c r="AL786" t="n">
        <v>153821.5524</v>
      </c>
      <c r="AM786" t="n">
        <v>13744.7148</v>
      </c>
      <c r="AN786" t="n">
        <v>0.95</v>
      </c>
      <c r="AO786" t="inlineStr">
        <is>
          <t>High</t>
        </is>
      </c>
      <c r="AP786" t="inlineStr">
        <is>
          <t>On Track to Glide Path</t>
        </is>
      </c>
    </row>
    <row r="787">
      <c r="A787" t="inlineStr">
        <is>
          <t>SUP-0050</t>
        </is>
      </c>
      <c r="B787" t="inlineStr">
        <is>
          <t>Electronics Supplier 050</t>
        </is>
      </c>
      <c r="C787" t="inlineStr">
        <is>
          <t>Electronics</t>
        </is>
      </c>
      <c r="D787" t="n">
        <v>2024</v>
      </c>
      <c r="E787" t="n">
        <v>2015</v>
      </c>
      <c r="F787" t="n">
        <v>2040</v>
      </c>
      <c r="G787" t="n">
        <v>26983.1476</v>
      </c>
      <c r="H787" t="n">
        <v>5642.8221</v>
      </c>
      <c r="I787" t="n">
        <v>3907.9537</v>
      </c>
      <c r="J787" t="n">
        <v>16597.9242</v>
      </c>
      <c r="K787" t="n">
        <v>30128796.93</v>
      </c>
      <c r="L787" t="n">
        <v>167804865.66</v>
      </c>
      <c r="M787" t="n">
        <v>26983.1476</v>
      </c>
      <c r="N787" t="inlineStr">
        <is>
          <t>Provided Total Emissions</t>
        </is>
      </c>
      <c r="O787" t="b">
        <v>1</v>
      </c>
      <c r="P787" t="n">
        <v>0.060335</v>
      </c>
      <c r="Q787" t="n">
        <v>0.042056</v>
      </c>
      <c r="R787" t="n">
        <v>25942.4006</v>
      </c>
      <c r="S787" t="n">
        <v>23403.7446</v>
      </c>
      <c r="T787" t="n">
        <v>-1040.747</v>
      </c>
      <c r="U787" t="n">
        <v>-3579.403</v>
      </c>
      <c r="V787" t="n">
        <v>-0.03857</v>
      </c>
      <c r="W787" t="n">
        <v>-0.132653</v>
      </c>
      <c r="X787" t="inlineStr">
        <is>
          <t>High</t>
        </is>
      </c>
      <c r="Y787" t="inlineStr">
        <is>
          <t>None</t>
        </is>
      </c>
      <c r="Z787" t="inlineStr">
        <is>
          <t>Valid</t>
        </is>
      </c>
      <c r="AA787" t="n">
        <v>2026</v>
      </c>
      <c r="AB787" t="inlineStr">
        <is>
          <t>Industry Haircut Pathway</t>
        </is>
      </c>
      <c r="AC787" t="n">
        <v>15925.9302</v>
      </c>
      <c r="AD787" t="n">
        <v>10472.8917</v>
      </c>
      <c r="AE787" t="n">
        <v>13526.5933</v>
      </c>
      <c r="AF787" t="n">
        <v>13526.5933</v>
      </c>
      <c r="AG787" t="n">
        <v>2399.3369</v>
      </c>
      <c r="AH787" t="n">
        <v>0.00044896</v>
      </c>
      <c r="AI787" t="n">
        <v>0.150656</v>
      </c>
      <c r="AJ787" t="n">
        <v>3053.7016</v>
      </c>
      <c r="AK787" t="n">
        <v>218.1215</v>
      </c>
      <c r="AL787" t="n">
        <v>140294.9591</v>
      </c>
      <c r="AM787" t="n">
        <v>27271.3081</v>
      </c>
      <c r="AN787" t="n">
        <v>0.95</v>
      </c>
      <c r="AO787" t="inlineStr">
        <is>
          <t>High</t>
        </is>
      </c>
      <c r="AP787" t="inlineStr">
        <is>
          <t>On Track to Glide Path</t>
        </is>
      </c>
    </row>
    <row r="788">
      <c r="A788" t="inlineStr">
        <is>
          <t>SUP-0050</t>
        </is>
      </c>
      <c r="B788" t="inlineStr">
        <is>
          <t>Electronics Supplier 050</t>
        </is>
      </c>
      <c r="C788" t="inlineStr">
        <is>
          <t>Electronics</t>
        </is>
      </c>
      <c r="D788" t="n">
        <v>2024</v>
      </c>
      <c r="E788" t="n">
        <v>2015</v>
      </c>
      <c r="F788" t="n">
        <v>2040</v>
      </c>
      <c r="G788" t="n">
        <v>26983.1476</v>
      </c>
      <c r="H788" t="n">
        <v>5642.8221</v>
      </c>
      <c r="I788" t="n">
        <v>3907.9537</v>
      </c>
      <c r="J788" t="n">
        <v>16597.9242</v>
      </c>
      <c r="K788" t="n">
        <v>30128796.93</v>
      </c>
      <c r="L788" t="n">
        <v>167804865.66</v>
      </c>
      <c r="M788" t="n">
        <v>26983.1476</v>
      </c>
      <c r="N788" t="inlineStr">
        <is>
          <t>Provided Total Emissions</t>
        </is>
      </c>
      <c r="O788" t="b">
        <v>1</v>
      </c>
      <c r="P788" t="n">
        <v>0.060335</v>
      </c>
      <c r="Q788" t="n">
        <v>0.042056</v>
      </c>
      <c r="R788" t="n">
        <v>25942.4006</v>
      </c>
      <c r="S788" t="n">
        <v>23403.7446</v>
      </c>
      <c r="T788" t="n">
        <v>-1040.747</v>
      </c>
      <c r="U788" t="n">
        <v>-3579.403</v>
      </c>
      <c r="V788" t="n">
        <v>-0.03857</v>
      </c>
      <c r="W788" t="n">
        <v>-0.132653</v>
      </c>
      <c r="X788" t="inlineStr">
        <is>
          <t>High</t>
        </is>
      </c>
      <c r="Y788" t="inlineStr">
        <is>
          <t>None</t>
        </is>
      </c>
      <c r="Z788" t="inlineStr">
        <is>
          <t>Valid</t>
        </is>
      </c>
      <c r="AA788" t="n">
        <v>2027</v>
      </c>
      <c r="AB788" t="inlineStr">
        <is>
          <t>Industry Haircut Pathway</t>
        </is>
      </c>
      <c r="AC788" t="n">
        <v>15925.9302</v>
      </c>
      <c r="AD788" t="n">
        <v>10472.8917</v>
      </c>
      <c r="AE788" t="n">
        <v>13308.4717</v>
      </c>
      <c r="AF788" t="n">
        <v>13308.4717</v>
      </c>
      <c r="AG788" t="n">
        <v>2617.4585</v>
      </c>
      <c r="AH788" t="n">
        <v>0.00044172</v>
      </c>
      <c r="AI788" t="n">
        <v>0.164352</v>
      </c>
      <c r="AJ788" t="n">
        <v>2835.58</v>
      </c>
      <c r="AK788" t="n">
        <v>218.1215</v>
      </c>
      <c r="AL788" t="n">
        <v>126986.4874</v>
      </c>
      <c r="AM788" t="n">
        <v>40579.7798</v>
      </c>
      <c r="AN788" t="n">
        <v>0.95</v>
      </c>
      <c r="AO788" t="inlineStr">
        <is>
          <t>High</t>
        </is>
      </c>
      <c r="AP788" t="inlineStr">
        <is>
          <t>On Track to Glide Path</t>
        </is>
      </c>
    </row>
    <row r="789">
      <c r="A789" t="inlineStr">
        <is>
          <t>SUP-0050</t>
        </is>
      </c>
      <c r="B789" t="inlineStr">
        <is>
          <t>Electronics Supplier 050</t>
        </is>
      </c>
      <c r="C789" t="inlineStr">
        <is>
          <t>Electronics</t>
        </is>
      </c>
      <c r="D789" t="n">
        <v>2024</v>
      </c>
      <c r="E789" t="n">
        <v>2015</v>
      </c>
      <c r="F789" t="n">
        <v>2040</v>
      </c>
      <c r="G789" t="n">
        <v>26983.1476</v>
      </c>
      <c r="H789" t="n">
        <v>5642.8221</v>
      </c>
      <c r="I789" t="n">
        <v>3907.9537</v>
      </c>
      <c r="J789" t="n">
        <v>16597.9242</v>
      </c>
      <c r="K789" t="n">
        <v>30128796.93</v>
      </c>
      <c r="L789" t="n">
        <v>167804865.66</v>
      </c>
      <c r="M789" t="n">
        <v>26983.1476</v>
      </c>
      <c r="N789" t="inlineStr">
        <is>
          <t>Provided Total Emissions</t>
        </is>
      </c>
      <c r="O789" t="b">
        <v>1</v>
      </c>
      <c r="P789" t="n">
        <v>0.060335</v>
      </c>
      <c r="Q789" t="n">
        <v>0.042056</v>
      </c>
      <c r="R789" t="n">
        <v>25942.4006</v>
      </c>
      <c r="S789" t="n">
        <v>23403.7446</v>
      </c>
      <c r="T789" t="n">
        <v>-1040.747</v>
      </c>
      <c r="U789" t="n">
        <v>-3579.403</v>
      </c>
      <c r="V789" t="n">
        <v>-0.03857</v>
      </c>
      <c r="W789" t="n">
        <v>-0.132653</v>
      </c>
      <c r="X789" t="inlineStr">
        <is>
          <t>High</t>
        </is>
      </c>
      <c r="Y789" t="inlineStr">
        <is>
          <t>None</t>
        </is>
      </c>
      <c r="Z789" t="inlineStr">
        <is>
          <t>Valid</t>
        </is>
      </c>
      <c r="AA789" t="n">
        <v>2028</v>
      </c>
      <c r="AB789" t="inlineStr">
        <is>
          <t>Industry Haircut Pathway</t>
        </is>
      </c>
      <c r="AC789" t="n">
        <v>15925.9302</v>
      </c>
      <c r="AD789" t="n">
        <v>10472.8917</v>
      </c>
      <c r="AE789" t="n">
        <v>13090.3502</v>
      </c>
      <c r="AF789" t="n">
        <v>13090.3502</v>
      </c>
      <c r="AG789" t="n">
        <v>2835.58</v>
      </c>
      <c r="AH789" t="n">
        <v>0.00043448</v>
      </c>
      <c r="AI789" t="n">
        <v>0.178048</v>
      </c>
      <c r="AJ789" t="n">
        <v>2617.4585</v>
      </c>
      <c r="AK789" t="n">
        <v>218.1215</v>
      </c>
      <c r="AL789" t="n">
        <v>113896.1372</v>
      </c>
      <c r="AM789" t="n">
        <v>53670.13</v>
      </c>
      <c r="AN789" t="n">
        <v>0.95</v>
      </c>
      <c r="AO789" t="inlineStr">
        <is>
          <t>High</t>
        </is>
      </c>
      <c r="AP789" t="inlineStr">
        <is>
          <t>On Track to Glide Path</t>
        </is>
      </c>
    </row>
    <row r="790">
      <c r="A790" t="inlineStr">
        <is>
          <t>SUP-0050</t>
        </is>
      </c>
      <c r="B790" t="inlineStr">
        <is>
          <t>Electronics Supplier 050</t>
        </is>
      </c>
      <c r="C790" t="inlineStr">
        <is>
          <t>Electronics</t>
        </is>
      </c>
      <c r="D790" t="n">
        <v>2024</v>
      </c>
      <c r="E790" t="n">
        <v>2015</v>
      </c>
      <c r="F790" t="n">
        <v>2040</v>
      </c>
      <c r="G790" t="n">
        <v>26983.1476</v>
      </c>
      <c r="H790" t="n">
        <v>5642.8221</v>
      </c>
      <c r="I790" t="n">
        <v>3907.9537</v>
      </c>
      <c r="J790" t="n">
        <v>16597.9242</v>
      </c>
      <c r="K790" t="n">
        <v>30128796.93</v>
      </c>
      <c r="L790" t="n">
        <v>167804865.66</v>
      </c>
      <c r="M790" t="n">
        <v>26983.1476</v>
      </c>
      <c r="N790" t="inlineStr">
        <is>
          <t>Provided Total Emissions</t>
        </is>
      </c>
      <c r="O790" t="b">
        <v>1</v>
      </c>
      <c r="P790" t="n">
        <v>0.060335</v>
      </c>
      <c r="Q790" t="n">
        <v>0.042056</v>
      </c>
      <c r="R790" t="n">
        <v>25942.4006</v>
      </c>
      <c r="S790" t="n">
        <v>23403.7446</v>
      </c>
      <c r="T790" t="n">
        <v>-1040.747</v>
      </c>
      <c r="U790" t="n">
        <v>-3579.403</v>
      </c>
      <c r="V790" t="n">
        <v>-0.03857</v>
      </c>
      <c r="W790" t="n">
        <v>-0.132653</v>
      </c>
      <c r="X790" t="inlineStr">
        <is>
          <t>High</t>
        </is>
      </c>
      <c r="Y790" t="inlineStr">
        <is>
          <t>None</t>
        </is>
      </c>
      <c r="Z790" t="inlineStr">
        <is>
          <t>Valid</t>
        </is>
      </c>
      <c r="AA790" t="n">
        <v>2029</v>
      </c>
      <c r="AB790" t="inlineStr">
        <is>
          <t>Industry Haircut Pathway</t>
        </is>
      </c>
      <c r="AC790" t="n">
        <v>15925.9302</v>
      </c>
      <c r="AD790" t="n">
        <v>10472.8917</v>
      </c>
      <c r="AE790" t="n">
        <v>12872.2286</v>
      </c>
      <c r="AF790" t="n">
        <v>12872.2286</v>
      </c>
      <c r="AG790" t="n">
        <v>3053.7016</v>
      </c>
      <c r="AH790" t="n">
        <v>0.00042724</v>
      </c>
      <c r="AI790" t="n">
        <v>0.191744</v>
      </c>
      <c r="AJ790" t="n">
        <v>2399.3369</v>
      </c>
      <c r="AK790" t="n">
        <v>218.1215</v>
      </c>
      <c r="AL790" t="n">
        <v>101023.9086</v>
      </c>
      <c r="AM790" t="n">
        <v>66542.35860000001</v>
      </c>
      <c r="AN790" t="n">
        <v>0.95</v>
      </c>
      <c r="AO790" t="inlineStr">
        <is>
          <t>High</t>
        </is>
      </c>
      <c r="AP790" t="inlineStr">
        <is>
          <t>On Track to Glide Path</t>
        </is>
      </c>
    </row>
    <row r="791">
      <c r="A791" t="inlineStr">
        <is>
          <t>SUP-0050</t>
        </is>
      </c>
      <c r="B791" t="inlineStr">
        <is>
          <t>Electronics Supplier 050</t>
        </is>
      </c>
      <c r="C791" t="inlineStr">
        <is>
          <t>Electronics</t>
        </is>
      </c>
      <c r="D791" t="n">
        <v>2024</v>
      </c>
      <c r="E791" t="n">
        <v>2015</v>
      </c>
      <c r="F791" t="n">
        <v>2040</v>
      </c>
      <c r="G791" t="n">
        <v>26983.1476</v>
      </c>
      <c r="H791" t="n">
        <v>5642.8221</v>
      </c>
      <c r="I791" t="n">
        <v>3907.9537</v>
      </c>
      <c r="J791" t="n">
        <v>16597.9242</v>
      </c>
      <c r="K791" t="n">
        <v>30128796.93</v>
      </c>
      <c r="L791" t="n">
        <v>167804865.66</v>
      </c>
      <c r="M791" t="n">
        <v>26983.1476</v>
      </c>
      <c r="N791" t="inlineStr">
        <is>
          <t>Provided Total Emissions</t>
        </is>
      </c>
      <c r="O791" t="b">
        <v>1</v>
      </c>
      <c r="P791" t="n">
        <v>0.060335</v>
      </c>
      <c r="Q791" t="n">
        <v>0.042056</v>
      </c>
      <c r="R791" t="n">
        <v>25942.4006</v>
      </c>
      <c r="S791" t="n">
        <v>23403.7446</v>
      </c>
      <c r="T791" t="n">
        <v>-1040.747</v>
      </c>
      <c r="U791" t="n">
        <v>-3579.403</v>
      </c>
      <c r="V791" t="n">
        <v>-0.03857</v>
      </c>
      <c r="W791" t="n">
        <v>-0.132653</v>
      </c>
      <c r="X791" t="inlineStr">
        <is>
          <t>High</t>
        </is>
      </c>
      <c r="Y791" t="inlineStr">
        <is>
          <t>None</t>
        </is>
      </c>
      <c r="Z791" t="inlineStr">
        <is>
          <t>Valid</t>
        </is>
      </c>
      <c r="AA791" t="n">
        <v>2030</v>
      </c>
      <c r="AB791" t="inlineStr">
        <is>
          <t>Industry Haircut Pathway</t>
        </is>
      </c>
      <c r="AC791" t="n">
        <v>15925.9302</v>
      </c>
      <c r="AD791" t="n">
        <v>10472.8917</v>
      </c>
      <c r="AE791" t="n">
        <v>12654.1071</v>
      </c>
      <c r="AF791" t="n">
        <v>12654.1071</v>
      </c>
      <c r="AG791" t="n">
        <v>3271.8231</v>
      </c>
      <c r="AH791" t="n">
        <v>0.00042</v>
      </c>
      <c r="AI791" t="n">
        <v>0.20544</v>
      </c>
      <c r="AJ791" t="n">
        <v>2181.2154</v>
      </c>
      <c r="AK791" t="n">
        <v>218.1215</v>
      </c>
      <c r="AL791" t="n">
        <v>88369.8015</v>
      </c>
      <c r="AM791" t="n">
        <v>79196.4657</v>
      </c>
      <c r="AN791" t="n">
        <v>0.95</v>
      </c>
      <c r="AO791" t="inlineStr">
        <is>
          <t>High</t>
        </is>
      </c>
      <c r="AP791" t="inlineStr">
        <is>
          <t>On Track to Glide Path</t>
        </is>
      </c>
    </row>
    <row r="792">
      <c r="A792" t="inlineStr">
        <is>
          <t>SUP-0050</t>
        </is>
      </c>
      <c r="B792" t="inlineStr">
        <is>
          <t>Electronics Supplier 050</t>
        </is>
      </c>
      <c r="C792" t="inlineStr">
        <is>
          <t>Electronics</t>
        </is>
      </c>
      <c r="D792" t="n">
        <v>2024</v>
      </c>
      <c r="E792" t="n">
        <v>2015</v>
      </c>
      <c r="F792" t="n">
        <v>2040</v>
      </c>
      <c r="G792" t="n">
        <v>26983.1476</v>
      </c>
      <c r="H792" t="n">
        <v>5642.8221</v>
      </c>
      <c r="I792" t="n">
        <v>3907.9537</v>
      </c>
      <c r="J792" t="n">
        <v>16597.9242</v>
      </c>
      <c r="K792" t="n">
        <v>30128796.93</v>
      </c>
      <c r="L792" t="n">
        <v>167804865.66</v>
      </c>
      <c r="M792" t="n">
        <v>26983.1476</v>
      </c>
      <c r="N792" t="inlineStr">
        <is>
          <t>Provided Total Emissions</t>
        </is>
      </c>
      <c r="O792" t="b">
        <v>1</v>
      </c>
      <c r="P792" t="n">
        <v>0.060335</v>
      </c>
      <c r="Q792" t="n">
        <v>0.042056</v>
      </c>
      <c r="R792" t="n">
        <v>25942.4006</v>
      </c>
      <c r="S792" t="n">
        <v>23403.7446</v>
      </c>
      <c r="T792" t="n">
        <v>-1040.747</v>
      </c>
      <c r="U792" t="n">
        <v>-3579.403</v>
      </c>
      <c r="V792" t="n">
        <v>-0.03857</v>
      </c>
      <c r="W792" t="n">
        <v>-0.132653</v>
      </c>
      <c r="X792" t="inlineStr">
        <is>
          <t>High</t>
        </is>
      </c>
      <c r="Y792" t="inlineStr">
        <is>
          <t>None</t>
        </is>
      </c>
      <c r="Z792" t="inlineStr">
        <is>
          <t>Valid</t>
        </is>
      </c>
      <c r="AA792" t="n">
        <v>2031</v>
      </c>
      <c r="AB792" t="inlineStr">
        <is>
          <t>Industry Haircut Pathway</t>
        </is>
      </c>
      <c r="AC792" t="n">
        <v>15925.9302</v>
      </c>
      <c r="AD792" t="n">
        <v>10472.8917</v>
      </c>
      <c r="AE792" t="n">
        <v>12435.9856</v>
      </c>
      <c r="AF792" t="n">
        <v>12435.9856</v>
      </c>
      <c r="AG792" t="n">
        <v>3489.9446</v>
      </c>
      <c r="AH792" t="n">
        <v>0.00041276</v>
      </c>
      <c r="AI792" t="n">
        <v>0.219136</v>
      </c>
      <c r="AJ792" t="n">
        <v>1963.0939</v>
      </c>
      <c r="AK792" t="n">
        <v>218.1215</v>
      </c>
      <c r="AL792" t="n">
        <v>75933.8159</v>
      </c>
      <c r="AM792" t="n">
        <v>91632.4513</v>
      </c>
      <c r="AN792" t="n">
        <v>0.95</v>
      </c>
      <c r="AO792" t="inlineStr">
        <is>
          <t>High</t>
        </is>
      </c>
      <c r="AP792" t="inlineStr">
        <is>
          <t>On Track to Glide Path</t>
        </is>
      </c>
    </row>
    <row r="793">
      <c r="A793" t="inlineStr">
        <is>
          <t>SUP-0050</t>
        </is>
      </c>
      <c r="B793" t="inlineStr">
        <is>
          <t>Electronics Supplier 050</t>
        </is>
      </c>
      <c r="C793" t="inlineStr">
        <is>
          <t>Electronics</t>
        </is>
      </c>
      <c r="D793" t="n">
        <v>2024</v>
      </c>
      <c r="E793" t="n">
        <v>2015</v>
      </c>
      <c r="F793" t="n">
        <v>2040</v>
      </c>
      <c r="G793" t="n">
        <v>26983.1476</v>
      </c>
      <c r="H793" t="n">
        <v>5642.8221</v>
      </c>
      <c r="I793" t="n">
        <v>3907.9537</v>
      </c>
      <c r="J793" t="n">
        <v>16597.9242</v>
      </c>
      <c r="K793" t="n">
        <v>30128796.93</v>
      </c>
      <c r="L793" t="n">
        <v>167804865.66</v>
      </c>
      <c r="M793" t="n">
        <v>26983.1476</v>
      </c>
      <c r="N793" t="inlineStr">
        <is>
          <t>Provided Total Emissions</t>
        </is>
      </c>
      <c r="O793" t="b">
        <v>1</v>
      </c>
      <c r="P793" t="n">
        <v>0.060335</v>
      </c>
      <c r="Q793" t="n">
        <v>0.042056</v>
      </c>
      <c r="R793" t="n">
        <v>25942.4006</v>
      </c>
      <c r="S793" t="n">
        <v>23403.7446</v>
      </c>
      <c r="T793" t="n">
        <v>-1040.747</v>
      </c>
      <c r="U793" t="n">
        <v>-3579.403</v>
      </c>
      <c r="V793" t="n">
        <v>-0.03857</v>
      </c>
      <c r="W793" t="n">
        <v>-0.132653</v>
      </c>
      <c r="X793" t="inlineStr">
        <is>
          <t>High</t>
        </is>
      </c>
      <c r="Y793" t="inlineStr">
        <is>
          <t>None</t>
        </is>
      </c>
      <c r="Z793" t="inlineStr">
        <is>
          <t>Valid</t>
        </is>
      </c>
      <c r="AA793" t="n">
        <v>2032</v>
      </c>
      <c r="AB793" t="inlineStr">
        <is>
          <t>Industry Haircut Pathway</t>
        </is>
      </c>
      <c r="AC793" t="n">
        <v>15925.9302</v>
      </c>
      <c r="AD793" t="n">
        <v>10472.8917</v>
      </c>
      <c r="AE793" t="n">
        <v>12217.864</v>
      </c>
      <c r="AF793" t="n">
        <v>12217.864</v>
      </c>
      <c r="AG793" t="n">
        <v>3708.0662</v>
      </c>
      <c r="AH793" t="n">
        <v>0.00040552</v>
      </c>
      <c r="AI793" t="n">
        <v>0.232832</v>
      </c>
      <c r="AJ793" t="n">
        <v>1744.9723</v>
      </c>
      <c r="AK793" t="n">
        <v>218.1215</v>
      </c>
      <c r="AL793" t="n">
        <v>63715.9519</v>
      </c>
      <c r="AM793" t="n">
        <v>103850.3153</v>
      </c>
      <c r="AN793" t="n">
        <v>0.95</v>
      </c>
      <c r="AO793" t="inlineStr">
        <is>
          <t>High</t>
        </is>
      </c>
      <c r="AP793" t="inlineStr">
        <is>
          <t>On Track to Glide Path</t>
        </is>
      </c>
    </row>
    <row r="794">
      <c r="A794" t="inlineStr">
        <is>
          <t>SUP-0050</t>
        </is>
      </c>
      <c r="B794" t="inlineStr">
        <is>
          <t>Electronics Supplier 050</t>
        </is>
      </c>
      <c r="C794" t="inlineStr">
        <is>
          <t>Electronics</t>
        </is>
      </c>
      <c r="D794" t="n">
        <v>2024</v>
      </c>
      <c r="E794" t="n">
        <v>2015</v>
      </c>
      <c r="F794" t="n">
        <v>2040</v>
      </c>
      <c r="G794" t="n">
        <v>26983.1476</v>
      </c>
      <c r="H794" t="n">
        <v>5642.8221</v>
      </c>
      <c r="I794" t="n">
        <v>3907.9537</v>
      </c>
      <c r="J794" t="n">
        <v>16597.9242</v>
      </c>
      <c r="K794" t="n">
        <v>30128796.93</v>
      </c>
      <c r="L794" t="n">
        <v>167804865.66</v>
      </c>
      <c r="M794" t="n">
        <v>26983.1476</v>
      </c>
      <c r="N794" t="inlineStr">
        <is>
          <t>Provided Total Emissions</t>
        </is>
      </c>
      <c r="O794" t="b">
        <v>1</v>
      </c>
      <c r="P794" t="n">
        <v>0.060335</v>
      </c>
      <c r="Q794" t="n">
        <v>0.042056</v>
      </c>
      <c r="R794" t="n">
        <v>25942.4006</v>
      </c>
      <c r="S794" t="n">
        <v>23403.7446</v>
      </c>
      <c r="T794" t="n">
        <v>-1040.747</v>
      </c>
      <c r="U794" t="n">
        <v>-3579.403</v>
      </c>
      <c r="V794" t="n">
        <v>-0.03857</v>
      </c>
      <c r="W794" t="n">
        <v>-0.132653</v>
      </c>
      <c r="X794" t="inlineStr">
        <is>
          <t>High</t>
        </is>
      </c>
      <c r="Y794" t="inlineStr">
        <is>
          <t>None</t>
        </is>
      </c>
      <c r="Z794" t="inlineStr">
        <is>
          <t>Valid</t>
        </is>
      </c>
      <c r="AA794" t="n">
        <v>2033</v>
      </c>
      <c r="AB794" t="inlineStr">
        <is>
          <t>Industry Haircut Pathway</t>
        </is>
      </c>
      <c r="AC794" t="n">
        <v>15925.9302</v>
      </c>
      <c r="AD794" t="n">
        <v>10472.8917</v>
      </c>
      <c r="AE794" t="n">
        <v>11999.7425</v>
      </c>
      <c r="AF794" t="n">
        <v>11999.7425</v>
      </c>
      <c r="AG794" t="n">
        <v>3926.1877</v>
      </c>
      <c r="AH794" t="n">
        <v>0.00039828</v>
      </c>
      <c r="AI794" t="n">
        <v>0.246528</v>
      </c>
      <c r="AJ794" t="n">
        <v>1526.8508</v>
      </c>
      <c r="AK794" t="n">
        <v>218.1215</v>
      </c>
      <c r="AL794" t="n">
        <v>51716.2094</v>
      </c>
      <c r="AM794" t="n">
        <v>115850.0578</v>
      </c>
      <c r="AN794" t="n">
        <v>0.95</v>
      </c>
      <c r="AO794" t="inlineStr">
        <is>
          <t>Medium</t>
        </is>
      </c>
      <c r="AP794" t="inlineStr">
        <is>
          <t>On Track to Glide Path</t>
        </is>
      </c>
    </row>
    <row r="795">
      <c r="A795" t="inlineStr">
        <is>
          <t>SUP-0050</t>
        </is>
      </c>
      <c r="B795" t="inlineStr">
        <is>
          <t>Electronics Supplier 050</t>
        </is>
      </c>
      <c r="C795" t="inlineStr">
        <is>
          <t>Electronics</t>
        </is>
      </c>
      <c r="D795" t="n">
        <v>2024</v>
      </c>
      <c r="E795" t="n">
        <v>2015</v>
      </c>
      <c r="F795" t="n">
        <v>2040</v>
      </c>
      <c r="G795" t="n">
        <v>26983.1476</v>
      </c>
      <c r="H795" t="n">
        <v>5642.8221</v>
      </c>
      <c r="I795" t="n">
        <v>3907.9537</v>
      </c>
      <c r="J795" t="n">
        <v>16597.9242</v>
      </c>
      <c r="K795" t="n">
        <v>30128796.93</v>
      </c>
      <c r="L795" t="n">
        <v>167804865.66</v>
      </c>
      <c r="M795" t="n">
        <v>26983.1476</v>
      </c>
      <c r="N795" t="inlineStr">
        <is>
          <t>Provided Total Emissions</t>
        </is>
      </c>
      <c r="O795" t="b">
        <v>1</v>
      </c>
      <c r="P795" t="n">
        <v>0.060335</v>
      </c>
      <c r="Q795" t="n">
        <v>0.042056</v>
      </c>
      <c r="R795" t="n">
        <v>25942.4006</v>
      </c>
      <c r="S795" t="n">
        <v>23403.7446</v>
      </c>
      <c r="T795" t="n">
        <v>-1040.747</v>
      </c>
      <c r="U795" t="n">
        <v>-3579.403</v>
      </c>
      <c r="V795" t="n">
        <v>-0.03857</v>
      </c>
      <c r="W795" t="n">
        <v>-0.132653</v>
      </c>
      <c r="X795" t="inlineStr">
        <is>
          <t>High</t>
        </is>
      </c>
      <c r="Y795" t="inlineStr">
        <is>
          <t>None</t>
        </is>
      </c>
      <c r="Z795" t="inlineStr">
        <is>
          <t>Valid</t>
        </is>
      </c>
      <c r="AA795" t="n">
        <v>2034</v>
      </c>
      <c r="AB795" t="inlineStr">
        <is>
          <t>Industry Haircut Pathway</t>
        </is>
      </c>
      <c r="AC795" t="n">
        <v>15925.9302</v>
      </c>
      <c r="AD795" t="n">
        <v>10472.8917</v>
      </c>
      <c r="AE795" t="n">
        <v>11781.6209</v>
      </c>
      <c r="AF795" t="n">
        <v>11781.6209</v>
      </c>
      <c r="AG795" t="n">
        <v>4144.3093</v>
      </c>
      <c r="AH795" t="n">
        <v>0.00039104</v>
      </c>
      <c r="AI795" t="n">
        <v>0.260224</v>
      </c>
      <c r="AJ795" t="n">
        <v>1308.7292</v>
      </c>
      <c r="AK795" t="n">
        <v>218.1215</v>
      </c>
      <c r="AL795" t="n">
        <v>39934.5885</v>
      </c>
      <c r="AM795" t="n">
        <v>127631.6787</v>
      </c>
      <c r="AN795" t="n">
        <v>0.95</v>
      </c>
      <c r="AO795" t="inlineStr">
        <is>
          <t>Medium</t>
        </is>
      </c>
      <c r="AP795" t="inlineStr">
        <is>
          <t>On Track to Glide Path</t>
        </is>
      </c>
    </row>
    <row r="796">
      <c r="A796" t="inlineStr">
        <is>
          <t>SUP-0050</t>
        </is>
      </c>
      <c r="B796" t="inlineStr">
        <is>
          <t>Electronics Supplier 050</t>
        </is>
      </c>
      <c r="C796" t="inlineStr">
        <is>
          <t>Electronics</t>
        </is>
      </c>
      <c r="D796" t="n">
        <v>2024</v>
      </c>
      <c r="E796" t="n">
        <v>2015</v>
      </c>
      <c r="F796" t="n">
        <v>2040</v>
      </c>
      <c r="G796" t="n">
        <v>26983.1476</v>
      </c>
      <c r="H796" t="n">
        <v>5642.8221</v>
      </c>
      <c r="I796" t="n">
        <v>3907.9537</v>
      </c>
      <c r="J796" t="n">
        <v>16597.9242</v>
      </c>
      <c r="K796" t="n">
        <v>30128796.93</v>
      </c>
      <c r="L796" t="n">
        <v>167804865.66</v>
      </c>
      <c r="M796" t="n">
        <v>26983.1476</v>
      </c>
      <c r="N796" t="inlineStr">
        <is>
          <t>Provided Total Emissions</t>
        </is>
      </c>
      <c r="O796" t="b">
        <v>1</v>
      </c>
      <c r="P796" t="n">
        <v>0.060335</v>
      </c>
      <c r="Q796" t="n">
        <v>0.042056</v>
      </c>
      <c r="R796" t="n">
        <v>25942.4006</v>
      </c>
      <c r="S796" t="n">
        <v>23403.7446</v>
      </c>
      <c r="T796" t="n">
        <v>-1040.747</v>
      </c>
      <c r="U796" t="n">
        <v>-3579.403</v>
      </c>
      <c r="V796" t="n">
        <v>-0.03857</v>
      </c>
      <c r="W796" t="n">
        <v>-0.132653</v>
      </c>
      <c r="X796" t="inlineStr">
        <is>
          <t>High</t>
        </is>
      </c>
      <c r="Y796" t="inlineStr">
        <is>
          <t>None</t>
        </is>
      </c>
      <c r="Z796" t="inlineStr">
        <is>
          <t>Valid</t>
        </is>
      </c>
      <c r="AA796" t="n">
        <v>2035</v>
      </c>
      <c r="AB796" t="inlineStr">
        <is>
          <t>Industry Haircut Pathway</t>
        </is>
      </c>
      <c r="AC796" t="n">
        <v>15925.9302</v>
      </c>
      <c r="AD796" t="n">
        <v>10472.8917</v>
      </c>
      <c r="AE796" t="n">
        <v>11563.4994</v>
      </c>
      <c r="AF796" t="n">
        <v>11563.4994</v>
      </c>
      <c r="AG796" t="n">
        <v>4362.4308</v>
      </c>
      <c r="AH796" t="n">
        <v>0.0003838</v>
      </c>
      <c r="AI796" t="n">
        <v>0.27392</v>
      </c>
      <c r="AJ796" t="n">
        <v>1090.6077</v>
      </c>
      <c r="AK796" t="n">
        <v>218.1215</v>
      </c>
      <c r="AL796" t="n">
        <v>28371.0891</v>
      </c>
      <c r="AM796" t="n">
        <v>139195.1781</v>
      </c>
      <c r="AN796" t="n">
        <v>0.95</v>
      </c>
      <c r="AO796" t="inlineStr">
        <is>
          <t>Medium</t>
        </is>
      </c>
      <c r="AP796" t="inlineStr">
        <is>
          <t>On Track to Glide Path</t>
        </is>
      </c>
    </row>
    <row r="797">
      <c r="A797" t="inlineStr">
        <is>
          <t>SUP-0050</t>
        </is>
      </c>
      <c r="B797" t="inlineStr">
        <is>
          <t>Electronics Supplier 050</t>
        </is>
      </c>
      <c r="C797" t="inlineStr">
        <is>
          <t>Electronics</t>
        </is>
      </c>
      <c r="D797" t="n">
        <v>2024</v>
      </c>
      <c r="E797" t="n">
        <v>2015</v>
      </c>
      <c r="F797" t="n">
        <v>2040</v>
      </c>
      <c r="G797" t="n">
        <v>26983.1476</v>
      </c>
      <c r="H797" t="n">
        <v>5642.8221</v>
      </c>
      <c r="I797" t="n">
        <v>3907.9537</v>
      </c>
      <c r="J797" t="n">
        <v>16597.9242</v>
      </c>
      <c r="K797" t="n">
        <v>30128796.93</v>
      </c>
      <c r="L797" t="n">
        <v>167804865.66</v>
      </c>
      <c r="M797" t="n">
        <v>26983.1476</v>
      </c>
      <c r="N797" t="inlineStr">
        <is>
          <t>Provided Total Emissions</t>
        </is>
      </c>
      <c r="O797" t="b">
        <v>1</v>
      </c>
      <c r="P797" t="n">
        <v>0.060335</v>
      </c>
      <c r="Q797" t="n">
        <v>0.042056</v>
      </c>
      <c r="R797" t="n">
        <v>25942.4006</v>
      </c>
      <c r="S797" t="n">
        <v>23403.7446</v>
      </c>
      <c r="T797" t="n">
        <v>-1040.747</v>
      </c>
      <c r="U797" t="n">
        <v>-3579.403</v>
      </c>
      <c r="V797" t="n">
        <v>-0.03857</v>
      </c>
      <c r="W797" t="n">
        <v>-0.132653</v>
      </c>
      <c r="X797" t="inlineStr">
        <is>
          <t>High</t>
        </is>
      </c>
      <c r="Y797" t="inlineStr">
        <is>
          <t>None</t>
        </is>
      </c>
      <c r="Z797" t="inlineStr">
        <is>
          <t>Valid</t>
        </is>
      </c>
      <c r="AA797" t="n">
        <v>2036</v>
      </c>
      <c r="AB797" t="inlineStr">
        <is>
          <t>Industry Haircut Pathway</t>
        </is>
      </c>
      <c r="AC797" t="n">
        <v>15925.9302</v>
      </c>
      <c r="AD797" t="n">
        <v>10472.8917</v>
      </c>
      <c r="AE797" t="n">
        <v>11345.3779</v>
      </c>
      <c r="AF797" t="n">
        <v>11345.3779</v>
      </c>
      <c r="AG797" t="n">
        <v>4580.5523</v>
      </c>
      <c r="AH797" t="n">
        <v>0.00037656</v>
      </c>
      <c r="AI797" t="n">
        <v>0.287616</v>
      </c>
      <c r="AJ797" t="n">
        <v>872.4862000000001</v>
      </c>
      <c r="AK797" t="n">
        <v>218.1215</v>
      </c>
      <c r="AL797" t="n">
        <v>17025.7112</v>
      </c>
      <c r="AM797" t="n">
        <v>150540.556</v>
      </c>
      <c r="AN797" t="n">
        <v>0.95</v>
      </c>
      <c r="AO797" t="inlineStr">
        <is>
          <t>Medium</t>
        </is>
      </c>
      <c r="AP797" t="inlineStr">
        <is>
          <t>On Track to Glide Path</t>
        </is>
      </c>
    </row>
    <row r="798">
      <c r="A798" t="inlineStr">
        <is>
          <t>SUP-0050</t>
        </is>
      </c>
      <c r="B798" t="inlineStr">
        <is>
          <t>Electronics Supplier 050</t>
        </is>
      </c>
      <c r="C798" t="inlineStr">
        <is>
          <t>Electronics</t>
        </is>
      </c>
      <c r="D798" t="n">
        <v>2024</v>
      </c>
      <c r="E798" t="n">
        <v>2015</v>
      </c>
      <c r="F798" t="n">
        <v>2040</v>
      </c>
      <c r="G798" t="n">
        <v>26983.1476</v>
      </c>
      <c r="H798" t="n">
        <v>5642.8221</v>
      </c>
      <c r="I798" t="n">
        <v>3907.9537</v>
      </c>
      <c r="J798" t="n">
        <v>16597.9242</v>
      </c>
      <c r="K798" t="n">
        <v>30128796.93</v>
      </c>
      <c r="L798" t="n">
        <v>167804865.66</v>
      </c>
      <c r="M798" t="n">
        <v>26983.1476</v>
      </c>
      <c r="N798" t="inlineStr">
        <is>
          <t>Provided Total Emissions</t>
        </is>
      </c>
      <c r="O798" t="b">
        <v>1</v>
      </c>
      <c r="P798" t="n">
        <v>0.060335</v>
      </c>
      <c r="Q798" t="n">
        <v>0.042056</v>
      </c>
      <c r="R798" t="n">
        <v>25942.4006</v>
      </c>
      <c r="S798" t="n">
        <v>23403.7446</v>
      </c>
      <c r="T798" t="n">
        <v>-1040.747</v>
      </c>
      <c r="U798" t="n">
        <v>-3579.403</v>
      </c>
      <c r="V798" t="n">
        <v>-0.03857</v>
      </c>
      <c r="W798" t="n">
        <v>-0.132653</v>
      </c>
      <c r="X798" t="inlineStr">
        <is>
          <t>High</t>
        </is>
      </c>
      <c r="Y798" t="inlineStr">
        <is>
          <t>None</t>
        </is>
      </c>
      <c r="Z798" t="inlineStr">
        <is>
          <t>Valid</t>
        </is>
      </c>
      <c r="AA798" t="n">
        <v>2037</v>
      </c>
      <c r="AB798" t="inlineStr">
        <is>
          <t>Industry Haircut Pathway</t>
        </is>
      </c>
      <c r="AC798" t="n">
        <v>15925.9302</v>
      </c>
      <c r="AD798" t="n">
        <v>10472.8917</v>
      </c>
      <c r="AE798" t="n">
        <v>11127.2563</v>
      </c>
      <c r="AF798" t="n">
        <v>11127.2563</v>
      </c>
      <c r="AG798" t="n">
        <v>4798.6739</v>
      </c>
      <c r="AH798" t="n">
        <v>0.00036932</v>
      </c>
      <c r="AI798" t="n">
        <v>0.301312</v>
      </c>
      <c r="AJ798" t="n">
        <v>654.3646</v>
      </c>
      <c r="AK798" t="n">
        <v>218.1215</v>
      </c>
      <c r="AL798" t="n">
        <v>5898.4549</v>
      </c>
      <c r="AM798" t="n">
        <v>161667.8123</v>
      </c>
      <c r="AN798" t="n">
        <v>0.95</v>
      </c>
      <c r="AO798" t="inlineStr">
        <is>
          <t>Medium</t>
        </is>
      </c>
      <c r="AP798" t="inlineStr">
        <is>
          <t>On Track to Glide Path</t>
        </is>
      </c>
    </row>
    <row r="799">
      <c r="A799" t="inlineStr">
        <is>
          <t>SUP-0050</t>
        </is>
      </c>
      <c r="B799" t="inlineStr">
        <is>
          <t>Electronics Supplier 050</t>
        </is>
      </c>
      <c r="C799" t="inlineStr">
        <is>
          <t>Electronics</t>
        </is>
      </c>
      <c r="D799" t="n">
        <v>2024</v>
      </c>
      <c r="E799" t="n">
        <v>2015</v>
      </c>
      <c r="F799" t="n">
        <v>2040</v>
      </c>
      <c r="G799" t="n">
        <v>26983.1476</v>
      </c>
      <c r="H799" t="n">
        <v>5642.8221</v>
      </c>
      <c r="I799" t="n">
        <v>3907.9537</v>
      </c>
      <c r="J799" t="n">
        <v>16597.9242</v>
      </c>
      <c r="K799" t="n">
        <v>30128796.93</v>
      </c>
      <c r="L799" t="n">
        <v>167804865.66</v>
      </c>
      <c r="M799" t="n">
        <v>26983.1476</v>
      </c>
      <c r="N799" t="inlineStr">
        <is>
          <t>Provided Total Emissions</t>
        </is>
      </c>
      <c r="O799" t="b">
        <v>1</v>
      </c>
      <c r="P799" t="n">
        <v>0.060335</v>
      </c>
      <c r="Q799" t="n">
        <v>0.042056</v>
      </c>
      <c r="R799" t="n">
        <v>25942.4006</v>
      </c>
      <c r="S799" t="n">
        <v>23403.7446</v>
      </c>
      <c r="T799" t="n">
        <v>-1040.747</v>
      </c>
      <c r="U799" t="n">
        <v>-3579.403</v>
      </c>
      <c r="V799" t="n">
        <v>-0.03857</v>
      </c>
      <c r="W799" t="n">
        <v>-0.132653</v>
      </c>
      <c r="X799" t="inlineStr">
        <is>
          <t>High</t>
        </is>
      </c>
      <c r="Y799" t="inlineStr">
        <is>
          <t>None</t>
        </is>
      </c>
      <c r="Z799" t="inlineStr">
        <is>
          <t>Valid</t>
        </is>
      </c>
      <c r="AA799" t="n">
        <v>2038</v>
      </c>
      <c r="AB799" t="inlineStr">
        <is>
          <t>Industry Haircut Pathway</t>
        </is>
      </c>
      <c r="AC799" t="n">
        <v>15925.9302</v>
      </c>
      <c r="AD799" t="n">
        <v>10472.8917</v>
      </c>
      <c r="AE799" t="n">
        <v>10909.1348</v>
      </c>
      <c r="AF799" t="n">
        <v>10909.1348</v>
      </c>
      <c r="AG799" t="n">
        <v>5016.7954</v>
      </c>
      <c r="AH799" t="n">
        <v>0.00036208</v>
      </c>
      <c r="AI799" t="n">
        <v>0.315008</v>
      </c>
      <c r="AJ799" t="n">
        <v>436.2431</v>
      </c>
      <c r="AK799" t="n">
        <v>218.1215</v>
      </c>
      <c r="AL799" t="n">
        <v>-5010.6799</v>
      </c>
      <c r="AM799" t="n">
        <v>172576.9471</v>
      </c>
      <c r="AN799" t="n">
        <v>0.95</v>
      </c>
      <c r="AO799" t="inlineStr">
        <is>
          <t>Medium</t>
        </is>
      </c>
      <c r="AP799" t="inlineStr">
        <is>
          <t>On Track to Glide Path</t>
        </is>
      </c>
    </row>
    <row r="800">
      <c r="A800" t="inlineStr">
        <is>
          <t>SUP-0050</t>
        </is>
      </c>
      <c r="B800" t="inlineStr">
        <is>
          <t>Electronics Supplier 050</t>
        </is>
      </c>
      <c r="C800" t="inlineStr">
        <is>
          <t>Electronics</t>
        </is>
      </c>
      <c r="D800" t="n">
        <v>2024</v>
      </c>
      <c r="E800" t="n">
        <v>2015</v>
      </c>
      <c r="F800" t="n">
        <v>2040</v>
      </c>
      <c r="G800" t="n">
        <v>26983.1476</v>
      </c>
      <c r="H800" t="n">
        <v>5642.8221</v>
      </c>
      <c r="I800" t="n">
        <v>3907.9537</v>
      </c>
      <c r="J800" t="n">
        <v>16597.9242</v>
      </c>
      <c r="K800" t="n">
        <v>30128796.93</v>
      </c>
      <c r="L800" t="n">
        <v>167804865.66</v>
      </c>
      <c r="M800" t="n">
        <v>26983.1476</v>
      </c>
      <c r="N800" t="inlineStr">
        <is>
          <t>Provided Total Emissions</t>
        </is>
      </c>
      <c r="O800" t="b">
        <v>1</v>
      </c>
      <c r="P800" t="n">
        <v>0.060335</v>
      </c>
      <c r="Q800" t="n">
        <v>0.042056</v>
      </c>
      <c r="R800" t="n">
        <v>25942.4006</v>
      </c>
      <c r="S800" t="n">
        <v>23403.7446</v>
      </c>
      <c r="T800" t="n">
        <v>-1040.747</v>
      </c>
      <c r="U800" t="n">
        <v>-3579.403</v>
      </c>
      <c r="V800" t="n">
        <v>-0.03857</v>
      </c>
      <c r="W800" t="n">
        <v>-0.132653</v>
      </c>
      <c r="X800" t="inlineStr">
        <is>
          <t>High</t>
        </is>
      </c>
      <c r="Y800" t="inlineStr">
        <is>
          <t>None</t>
        </is>
      </c>
      <c r="Z800" t="inlineStr">
        <is>
          <t>Valid</t>
        </is>
      </c>
      <c r="AA800" t="n">
        <v>2039</v>
      </c>
      <c r="AB800" t="inlineStr">
        <is>
          <t>Industry Haircut Pathway</t>
        </is>
      </c>
      <c r="AC800" t="n">
        <v>15925.9302</v>
      </c>
      <c r="AD800" t="n">
        <v>10472.8917</v>
      </c>
      <c r="AE800" t="n">
        <v>10691.0132</v>
      </c>
      <c r="AF800" t="n">
        <v>10691.0132</v>
      </c>
      <c r="AG800" t="n">
        <v>5234.917</v>
      </c>
      <c r="AH800" t="n">
        <v>0.00035484</v>
      </c>
      <c r="AI800" t="n">
        <v>0.328704</v>
      </c>
      <c r="AJ800" t="n">
        <v>218.1215</v>
      </c>
      <c r="AK800" t="n">
        <v>218.1215</v>
      </c>
      <c r="AL800" t="n">
        <v>-15701.6931</v>
      </c>
      <c r="AM800" t="n">
        <v>183267.9603</v>
      </c>
      <c r="AN800" t="n">
        <v>0.95</v>
      </c>
      <c r="AO800" t="inlineStr">
        <is>
          <t>Medium</t>
        </is>
      </c>
      <c r="AP800" t="inlineStr">
        <is>
          <t>On Track to Glide Path</t>
        </is>
      </c>
    </row>
    <row r="801">
      <c r="A801" t="inlineStr">
        <is>
          <t>SUP-0050</t>
        </is>
      </c>
      <c r="B801" t="inlineStr">
        <is>
          <t>Electronics Supplier 050</t>
        </is>
      </c>
      <c r="C801" t="inlineStr">
        <is>
          <t>Electronics</t>
        </is>
      </c>
      <c r="D801" t="n">
        <v>2024</v>
      </c>
      <c r="E801" t="n">
        <v>2015</v>
      </c>
      <c r="F801" t="n">
        <v>2040</v>
      </c>
      <c r="G801" t="n">
        <v>26983.1476</v>
      </c>
      <c r="H801" t="n">
        <v>5642.8221</v>
      </c>
      <c r="I801" t="n">
        <v>3907.9537</v>
      </c>
      <c r="J801" t="n">
        <v>16597.9242</v>
      </c>
      <c r="K801" t="n">
        <v>30128796.93</v>
      </c>
      <c r="L801" t="n">
        <v>167804865.66</v>
      </c>
      <c r="M801" t="n">
        <v>26983.1476</v>
      </c>
      <c r="N801" t="inlineStr">
        <is>
          <t>Provided Total Emissions</t>
        </is>
      </c>
      <c r="O801" t="b">
        <v>1</v>
      </c>
      <c r="P801" t="n">
        <v>0.060335</v>
      </c>
      <c r="Q801" t="n">
        <v>0.042056</v>
      </c>
      <c r="R801" t="n">
        <v>25942.4006</v>
      </c>
      <c r="S801" t="n">
        <v>23403.7446</v>
      </c>
      <c r="T801" t="n">
        <v>-1040.747</v>
      </c>
      <c r="U801" t="n">
        <v>-3579.403</v>
      </c>
      <c r="V801" t="n">
        <v>-0.03857</v>
      </c>
      <c r="W801" t="n">
        <v>-0.132653</v>
      </c>
      <c r="X801" t="inlineStr">
        <is>
          <t>High</t>
        </is>
      </c>
      <c r="Y801" t="inlineStr">
        <is>
          <t>None</t>
        </is>
      </c>
      <c r="Z801" t="inlineStr">
        <is>
          <t>Valid</t>
        </is>
      </c>
      <c r="AA801" t="n">
        <v>2040</v>
      </c>
      <c r="AB801" t="inlineStr">
        <is>
          <t>Industry Haircut Pathway</t>
        </is>
      </c>
      <c r="AC801" t="n">
        <v>15925.9302</v>
      </c>
      <c r="AD801" t="n">
        <v>10472.8917</v>
      </c>
      <c r="AE801" t="n">
        <v>10472.8917</v>
      </c>
      <c r="AF801" t="n">
        <v>10472.8917</v>
      </c>
      <c r="AG801" t="n">
        <v>5453.0385</v>
      </c>
      <c r="AH801" t="n">
        <v>0.0003476</v>
      </c>
      <c r="AI801" t="n">
        <v>0.3424</v>
      </c>
      <c r="AJ801" t="n">
        <v>0</v>
      </c>
      <c r="AK801" t="n">
        <v>218.1215</v>
      </c>
      <c r="AL801" t="n">
        <v>-26174.5848</v>
      </c>
      <c r="AM801" t="n">
        <v>193740.852</v>
      </c>
      <c r="AN801" t="n">
        <v>0.95</v>
      </c>
      <c r="AO801" t="inlineStr">
        <is>
          <t>Low</t>
        </is>
      </c>
      <c r="AP801" t="inlineStr">
        <is>
          <t>On Track</t>
        </is>
      </c>
    </row>
    <row r="802">
      <c r="A802" t="inlineStr">
        <is>
          <t>SUP-0051</t>
        </is>
      </c>
      <c r="B802" t="inlineStr">
        <is>
          <t>Textiles Supplier 051</t>
        </is>
      </c>
      <c r="C802" t="inlineStr">
        <is>
          <t>Textiles</t>
        </is>
      </c>
      <c r="D802" t="n">
        <v>2024</v>
      </c>
      <c r="E802" t="n">
        <v>2021</v>
      </c>
      <c r="F802" t="n">
        <v>2035</v>
      </c>
      <c r="G802" t="n">
        <v>1500.1231</v>
      </c>
      <c r="H802" t="n">
        <v>270.3479</v>
      </c>
      <c r="I802" t="n">
        <v>170.1741</v>
      </c>
      <c r="J802" t="n">
        <v>1090.4532</v>
      </c>
      <c r="K802" t="n">
        <v>6481538.48</v>
      </c>
      <c r="L802" t="n">
        <v>32335832.86</v>
      </c>
      <c r="M802" t="n">
        <v>1500.1231</v>
      </c>
      <c r="N802" t="inlineStr">
        <is>
          <t>Provided Total Emissions</t>
        </is>
      </c>
      <c r="O802" t="b">
        <v>1</v>
      </c>
      <c r="P802" t="n">
        <v>0.045827</v>
      </c>
      <c r="Q802" t="n">
        <v>0.059784</v>
      </c>
      <c r="R802" t="n">
        <v>1893.9704</v>
      </c>
      <c r="S802" t="n">
        <v>5608.0035</v>
      </c>
      <c r="T802" t="n">
        <v>393.8473</v>
      </c>
      <c r="U802" t="n">
        <v>4107.8804</v>
      </c>
      <c r="V802" t="n">
        <v>0.262543</v>
      </c>
      <c r="W802" t="n">
        <v>2.738362</v>
      </c>
      <c r="X802" t="inlineStr">
        <is>
          <t>High</t>
        </is>
      </c>
      <c r="Y802" t="inlineStr">
        <is>
          <t>None</t>
        </is>
      </c>
      <c r="Z802" t="inlineStr">
        <is>
          <t>Valid</t>
        </is>
      </c>
      <c r="AA802" t="n">
        <v>2025</v>
      </c>
      <c r="AB802" t="inlineStr">
        <is>
          <t>Supplier Target Pathway</t>
        </is>
      </c>
      <c r="AC802" t="n">
        <v>1552.8311</v>
      </c>
      <c r="AD802" t="n">
        <v>859.3367</v>
      </c>
      <c r="AE802" t="n">
        <v>1354.6899</v>
      </c>
      <c r="AF802" t="n">
        <v>1354.6899</v>
      </c>
      <c r="AG802" t="n">
        <v>198.1412</v>
      </c>
      <c r="AH802" t="n">
        <v>0.00020901</v>
      </c>
      <c r="AI802" t="n">
        <v>0.1276</v>
      </c>
      <c r="AJ802" t="n">
        <v>495.3531</v>
      </c>
      <c r="AK802" t="n">
        <v>49.5353</v>
      </c>
      <c r="AL802" t="n">
        <v>8098.0138</v>
      </c>
      <c r="AM802" t="n">
        <v>1354.6899</v>
      </c>
      <c r="AN802" t="n">
        <v>0.99</v>
      </c>
      <c r="AO802" t="inlineStr">
        <is>
          <t>Critical</t>
        </is>
      </c>
      <c r="AP802" t="inlineStr">
        <is>
          <t>On Track to Glide Path</t>
        </is>
      </c>
    </row>
    <row r="803">
      <c r="A803" t="inlineStr">
        <is>
          <t>SUP-0051</t>
        </is>
      </c>
      <c r="B803" t="inlineStr">
        <is>
          <t>Textiles Supplier 051</t>
        </is>
      </c>
      <c r="C803" t="inlineStr">
        <is>
          <t>Textiles</t>
        </is>
      </c>
      <c r="D803" t="n">
        <v>2024</v>
      </c>
      <c r="E803" t="n">
        <v>2021</v>
      </c>
      <c r="F803" t="n">
        <v>2035</v>
      </c>
      <c r="G803" t="n">
        <v>1500.1231</v>
      </c>
      <c r="H803" t="n">
        <v>270.3479</v>
      </c>
      <c r="I803" t="n">
        <v>170.1741</v>
      </c>
      <c r="J803" t="n">
        <v>1090.4532</v>
      </c>
      <c r="K803" t="n">
        <v>6481538.48</v>
      </c>
      <c r="L803" t="n">
        <v>32335832.86</v>
      </c>
      <c r="M803" t="n">
        <v>1500.1231</v>
      </c>
      <c r="N803" t="inlineStr">
        <is>
          <t>Provided Total Emissions</t>
        </is>
      </c>
      <c r="O803" t="b">
        <v>1</v>
      </c>
      <c r="P803" t="n">
        <v>0.045827</v>
      </c>
      <c r="Q803" t="n">
        <v>0.059784</v>
      </c>
      <c r="R803" t="n">
        <v>1893.9704</v>
      </c>
      <c r="S803" t="n">
        <v>5608.0035</v>
      </c>
      <c r="T803" t="n">
        <v>393.8473</v>
      </c>
      <c r="U803" t="n">
        <v>4107.8804</v>
      </c>
      <c r="V803" t="n">
        <v>0.262543</v>
      </c>
      <c r="W803" t="n">
        <v>2.738362</v>
      </c>
      <c r="X803" t="inlineStr">
        <is>
          <t>High</t>
        </is>
      </c>
      <c r="Y803" t="inlineStr">
        <is>
          <t>None</t>
        </is>
      </c>
      <c r="Z803" t="inlineStr">
        <is>
          <t>Valid</t>
        </is>
      </c>
      <c r="AA803" t="n">
        <v>2026</v>
      </c>
      <c r="AB803" t="inlineStr">
        <is>
          <t>Supplier Target Pathway</t>
        </is>
      </c>
      <c r="AC803" t="n">
        <v>1552.8311</v>
      </c>
      <c r="AD803" t="n">
        <v>859.3367</v>
      </c>
      <c r="AE803" t="n">
        <v>1305.1545</v>
      </c>
      <c r="AF803" t="n">
        <v>1305.1545</v>
      </c>
      <c r="AG803" t="n">
        <v>247.6766</v>
      </c>
      <c r="AH803" t="n">
        <v>0.00020136</v>
      </c>
      <c r="AI803" t="n">
        <v>0.1595</v>
      </c>
      <c r="AJ803" t="n">
        <v>445.8178</v>
      </c>
      <c r="AK803" t="n">
        <v>49.5353</v>
      </c>
      <c r="AL803" t="n">
        <v>6792.8593</v>
      </c>
      <c r="AM803" t="n">
        <v>2659.8444</v>
      </c>
      <c r="AN803" t="n">
        <v>0.99</v>
      </c>
      <c r="AO803" t="inlineStr">
        <is>
          <t>Critical</t>
        </is>
      </c>
      <c r="AP803" t="inlineStr">
        <is>
          <t>On Track to Glide Path</t>
        </is>
      </c>
    </row>
    <row r="804">
      <c r="A804" t="inlineStr">
        <is>
          <t>SUP-0051</t>
        </is>
      </c>
      <c r="B804" t="inlineStr">
        <is>
          <t>Textiles Supplier 051</t>
        </is>
      </c>
      <c r="C804" t="inlineStr">
        <is>
          <t>Textiles</t>
        </is>
      </c>
      <c r="D804" t="n">
        <v>2024</v>
      </c>
      <c r="E804" t="n">
        <v>2021</v>
      </c>
      <c r="F804" t="n">
        <v>2035</v>
      </c>
      <c r="G804" t="n">
        <v>1500.1231</v>
      </c>
      <c r="H804" t="n">
        <v>270.3479</v>
      </c>
      <c r="I804" t="n">
        <v>170.1741</v>
      </c>
      <c r="J804" t="n">
        <v>1090.4532</v>
      </c>
      <c r="K804" t="n">
        <v>6481538.48</v>
      </c>
      <c r="L804" t="n">
        <v>32335832.86</v>
      </c>
      <c r="M804" t="n">
        <v>1500.1231</v>
      </c>
      <c r="N804" t="inlineStr">
        <is>
          <t>Provided Total Emissions</t>
        </is>
      </c>
      <c r="O804" t="b">
        <v>1</v>
      </c>
      <c r="P804" t="n">
        <v>0.045827</v>
      </c>
      <c r="Q804" t="n">
        <v>0.059784</v>
      </c>
      <c r="R804" t="n">
        <v>1893.9704</v>
      </c>
      <c r="S804" t="n">
        <v>5608.0035</v>
      </c>
      <c r="T804" t="n">
        <v>393.8473</v>
      </c>
      <c r="U804" t="n">
        <v>4107.8804</v>
      </c>
      <c r="V804" t="n">
        <v>0.262543</v>
      </c>
      <c r="W804" t="n">
        <v>2.738362</v>
      </c>
      <c r="X804" t="inlineStr">
        <is>
          <t>High</t>
        </is>
      </c>
      <c r="Y804" t="inlineStr">
        <is>
          <t>None</t>
        </is>
      </c>
      <c r="Z804" t="inlineStr">
        <is>
          <t>Valid</t>
        </is>
      </c>
      <c r="AA804" t="n">
        <v>2027</v>
      </c>
      <c r="AB804" t="inlineStr">
        <is>
          <t>Supplier Target Pathway</t>
        </is>
      </c>
      <c r="AC804" t="n">
        <v>1552.8311</v>
      </c>
      <c r="AD804" t="n">
        <v>859.3367</v>
      </c>
      <c r="AE804" t="n">
        <v>1255.6192</v>
      </c>
      <c r="AF804" t="n">
        <v>1255.6192</v>
      </c>
      <c r="AG804" t="n">
        <v>297.2119</v>
      </c>
      <c r="AH804" t="n">
        <v>0.00019372</v>
      </c>
      <c r="AI804" t="n">
        <v>0.1914</v>
      </c>
      <c r="AJ804" t="n">
        <v>396.2825</v>
      </c>
      <c r="AK804" t="n">
        <v>49.5353</v>
      </c>
      <c r="AL804" t="n">
        <v>5537.2401</v>
      </c>
      <c r="AM804" t="n">
        <v>3915.4636</v>
      </c>
      <c r="AN804" t="n">
        <v>0.99</v>
      </c>
      <c r="AO804" t="inlineStr">
        <is>
          <t>Critical</t>
        </is>
      </c>
      <c r="AP804" t="inlineStr">
        <is>
          <t>On Track to Glide Path</t>
        </is>
      </c>
    </row>
    <row r="805">
      <c r="A805" t="inlineStr">
        <is>
          <t>SUP-0051</t>
        </is>
      </c>
      <c r="B805" t="inlineStr">
        <is>
          <t>Textiles Supplier 051</t>
        </is>
      </c>
      <c r="C805" t="inlineStr">
        <is>
          <t>Textiles</t>
        </is>
      </c>
      <c r="D805" t="n">
        <v>2024</v>
      </c>
      <c r="E805" t="n">
        <v>2021</v>
      </c>
      <c r="F805" t="n">
        <v>2035</v>
      </c>
      <c r="G805" t="n">
        <v>1500.1231</v>
      </c>
      <c r="H805" t="n">
        <v>270.3479</v>
      </c>
      <c r="I805" t="n">
        <v>170.1741</v>
      </c>
      <c r="J805" t="n">
        <v>1090.4532</v>
      </c>
      <c r="K805" t="n">
        <v>6481538.48</v>
      </c>
      <c r="L805" t="n">
        <v>32335832.86</v>
      </c>
      <c r="M805" t="n">
        <v>1500.1231</v>
      </c>
      <c r="N805" t="inlineStr">
        <is>
          <t>Provided Total Emissions</t>
        </is>
      </c>
      <c r="O805" t="b">
        <v>1</v>
      </c>
      <c r="P805" t="n">
        <v>0.045827</v>
      </c>
      <c r="Q805" t="n">
        <v>0.059784</v>
      </c>
      <c r="R805" t="n">
        <v>1893.9704</v>
      </c>
      <c r="S805" t="n">
        <v>5608.0035</v>
      </c>
      <c r="T805" t="n">
        <v>393.8473</v>
      </c>
      <c r="U805" t="n">
        <v>4107.8804</v>
      </c>
      <c r="V805" t="n">
        <v>0.262543</v>
      </c>
      <c r="W805" t="n">
        <v>2.738362</v>
      </c>
      <c r="X805" t="inlineStr">
        <is>
          <t>High</t>
        </is>
      </c>
      <c r="Y805" t="inlineStr">
        <is>
          <t>None</t>
        </is>
      </c>
      <c r="Z805" t="inlineStr">
        <is>
          <t>Valid</t>
        </is>
      </c>
      <c r="AA805" t="n">
        <v>2028</v>
      </c>
      <c r="AB805" t="inlineStr">
        <is>
          <t>Supplier Target Pathway</t>
        </is>
      </c>
      <c r="AC805" t="n">
        <v>1552.8311</v>
      </c>
      <c r="AD805" t="n">
        <v>859.3367</v>
      </c>
      <c r="AE805" t="n">
        <v>1206.0839</v>
      </c>
      <c r="AF805" t="n">
        <v>1206.0839</v>
      </c>
      <c r="AG805" t="n">
        <v>346.7472</v>
      </c>
      <c r="AH805" t="n">
        <v>0.00018608</v>
      </c>
      <c r="AI805" t="n">
        <v>0.2233</v>
      </c>
      <c r="AJ805" t="n">
        <v>346.7472</v>
      </c>
      <c r="AK805" t="n">
        <v>49.5353</v>
      </c>
      <c r="AL805" t="n">
        <v>4331.1562</v>
      </c>
      <c r="AM805" t="n">
        <v>5121.5475</v>
      </c>
      <c r="AN805" t="n">
        <v>0.99</v>
      </c>
      <c r="AO805" t="inlineStr">
        <is>
          <t>Critical</t>
        </is>
      </c>
      <c r="AP805" t="inlineStr">
        <is>
          <t>On Track to Glide Path</t>
        </is>
      </c>
    </row>
    <row r="806">
      <c r="A806" t="inlineStr">
        <is>
          <t>SUP-0051</t>
        </is>
      </c>
      <c r="B806" t="inlineStr">
        <is>
          <t>Textiles Supplier 051</t>
        </is>
      </c>
      <c r="C806" t="inlineStr">
        <is>
          <t>Textiles</t>
        </is>
      </c>
      <c r="D806" t="n">
        <v>2024</v>
      </c>
      <c r="E806" t="n">
        <v>2021</v>
      </c>
      <c r="F806" t="n">
        <v>2035</v>
      </c>
      <c r="G806" t="n">
        <v>1500.1231</v>
      </c>
      <c r="H806" t="n">
        <v>270.3479</v>
      </c>
      <c r="I806" t="n">
        <v>170.1741</v>
      </c>
      <c r="J806" t="n">
        <v>1090.4532</v>
      </c>
      <c r="K806" t="n">
        <v>6481538.48</v>
      </c>
      <c r="L806" t="n">
        <v>32335832.86</v>
      </c>
      <c r="M806" t="n">
        <v>1500.1231</v>
      </c>
      <c r="N806" t="inlineStr">
        <is>
          <t>Provided Total Emissions</t>
        </is>
      </c>
      <c r="O806" t="b">
        <v>1</v>
      </c>
      <c r="P806" t="n">
        <v>0.045827</v>
      </c>
      <c r="Q806" t="n">
        <v>0.059784</v>
      </c>
      <c r="R806" t="n">
        <v>1893.9704</v>
      </c>
      <c r="S806" t="n">
        <v>5608.0035</v>
      </c>
      <c r="T806" t="n">
        <v>393.8473</v>
      </c>
      <c r="U806" t="n">
        <v>4107.8804</v>
      </c>
      <c r="V806" t="n">
        <v>0.262543</v>
      </c>
      <c r="W806" t="n">
        <v>2.738362</v>
      </c>
      <c r="X806" t="inlineStr">
        <is>
          <t>High</t>
        </is>
      </c>
      <c r="Y806" t="inlineStr">
        <is>
          <t>None</t>
        </is>
      </c>
      <c r="Z806" t="inlineStr">
        <is>
          <t>Valid</t>
        </is>
      </c>
      <c r="AA806" t="n">
        <v>2029</v>
      </c>
      <c r="AB806" t="inlineStr">
        <is>
          <t>Supplier Target Pathway</t>
        </is>
      </c>
      <c r="AC806" t="n">
        <v>1552.8311</v>
      </c>
      <c r="AD806" t="n">
        <v>859.3367</v>
      </c>
      <c r="AE806" t="n">
        <v>1156.5486</v>
      </c>
      <c r="AF806" t="n">
        <v>1156.5486</v>
      </c>
      <c r="AG806" t="n">
        <v>396.2825</v>
      </c>
      <c r="AH806" t="n">
        <v>0.00017844</v>
      </c>
      <c r="AI806" t="n">
        <v>0.2552</v>
      </c>
      <c r="AJ806" t="n">
        <v>297.2119</v>
      </c>
      <c r="AK806" t="n">
        <v>49.5353</v>
      </c>
      <c r="AL806" t="n">
        <v>3174.6076</v>
      </c>
      <c r="AM806" t="n">
        <v>6278.0961</v>
      </c>
      <c r="AN806" t="n">
        <v>0.99</v>
      </c>
      <c r="AO806" t="inlineStr">
        <is>
          <t>High</t>
        </is>
      </c>
      <c r="AP806" t="inlineStr">
        <is>
          <t>On Track to Glide Path</t>
        </is>
      </c>
    </row>
    <row r="807">
      <c r="A807" t="inlineStr">
        <is>
          <t>SUP-0051</t>
        </is>
      </c>
      <c r="B807" t="inlineStr">
        <is>
          <t>Textiles Supplier 051</t>
        </is>
      </c>
      <c r="C807" t="inlineStr">
        <is>
          <t>Textiles</t>
        </is>
      </c>
      <c r="D807" t="n">
        <v>2024</v>
      </c>
      <c r="E807" t="n">
        <v>2021</v>
      </c>
      <c r="F807" t="n">
        <v>2035</v>
      </c>
      <c r="G807" t="n">
        <v>1500.1231</v>
      </c>
      <c r="H807" t="n">
        <v>270.3479</v>
      </c>
      <c r="I807" t="n">
        <v>170.1741</v>
      </c>
      <c r="J807" t="n">
        <v>1090.4532</v>
      </c>
      <c r="K807" t="n">
        <v>6481538.48</v>
      </c>
      <c r="L807" t="n">
        <v>32335832.86</v>
      </c>
      <c r="M807" t="n">
        <v>1500.1231</v>
      </c>
      <c r="N807" t="inlineStr">
        <is>
          <t>Provided Total Emissions</t>
        </is>
      </c>
      <c r="O807" t="b">
        <v>1</v>
      </c>
      <c r="P807" t="n">
        <v>0.045827</v>
      </c>
      <c r="Q807" t="n">
        <v>0.059784</v>
      </c>
      <c r="R807" t="n">
        <v>1893.9704</v>
      </c>
      <c r="S807" t="n">
        <v>5608.0035</v>
      </c>
      <c r="T807" t="n">
        <v>393.8473</v>
      </c>
      <c r="U807" t="n">
        <v>4107.8804</v>
      </c>
      <c r="V807" t="n">
        <v>0.262543</v>
      </c>
      <c r="W807" t="n">
        <v>2.738362</v>
      </c>
      <c r="X807" t="inlineStr">
        <is>
          <t>High</t>
        </is>
      </c>
      <c r="Y807" t="inlineStr">
        <is>
          <t>None</t>
        </is>
      </c>
      <c r="Z807" t="inlineStr">
        <is>
          <t>Valid</t>
        </is>
      </c>
      <c r="AA807" t="n">
        <v>2030</v>
      </c>
      <c r="AB807" t="inlineStr">
        <is>
          <t>Supplier Target Pathway</t>
        </is>
      </c>
      <c r="AC807" t="n">
        <v>1552.8311</v>
      </c>
      <c r="AD807" t="n">
        <v>859.3367</v>
      </c>
      <c r="AE807" t="n">
        <v>1107.0133</v>
      </c>
      <c r="AF807" t="n">
        <v>1107.0133</v>
      </c>
      <c r="AG807" t="n">
        <v>445.8178</v>
      </c>
      <c r="AH807" t="n">
        <v>0.00017079</v>
      </c>
      <c r="AI807" t="n">
        <v>0.2871</v>
      </c>
      <c r="AJ807" t="n">
        <v>247.6766</v>
      </c>
      <c r="AK807" t="n">
        <v>49.5353</v>
      </c>
      <c r="AL807" t="n">
        <v>2067.5943</v>
      </c>
      <c r="AM807" t="n">
        <v>7385.1094</v>
      </c>
      <c r="AN807" t="n">
        <v>0.99</v>
      </c>
      <c r="AO807" t="inlineStr">
        <is>
          <t>High</t>
        </is>
      </c>
      <c r="AP807" t="inlineStr">
        <is>
          <t>On Track to Glide Path</t>
        </is>
      </c>
    </row>
    <row r="808">
      <c r="A808" t="inlineStr">
        <is>
          <t>SUP-0051</t>
        </is>
      </c>
      <c r="B808" t="inlineStr">
        <is>
          <t>Textiles Supplier 051</t>
        </is>
      </c>
      <c r="C808" t="inlineStr">
        <is>
          <t>Textiles</t>
        </is>
      </c>
      <c r="D808" t="n">
        <v>2024</v>
      </c>
      <c r="E808" t="n">
        <v>2021</v>
      </c>
      <c r="F808" t="n">
        <v>2035</v>
      </c>
      <c r="G808" t="n">
        <v>1500.1231</v>
      </c>
      <c r="H808" t="n">
        <v>270.3479</v>
      </c>
      <c r="I808" t="n">
        <v>170.1741</v>
      </c>
      <c r="J808" t="n">
        <v>1090.4532</v>
      </c>
      <c r="K808" t="n">
        <v>6481538.48</v>
      </c>
      <c r="L808" t="n">
        <v>32335832.86</v>
      </c>
      <c r="M808" t="n">
        <v>1500.1231</v>
      </c>
      <c r="N808" t="inlineStr">
        <is>
          <t>Provided Total Emissions</t>
        </is>
      </c>
      <c r="O808" t="b">
        <v>1</v>
      </c>
      <c r="P808" t="n">
        <v>0.045827</v>
      </c>
      <c r="Q808" t="n">
        <v>0.059784</v>
      </c>
      <c r="R808" t="n">
        <v>1893.9704</v>
      </c>
      <c r="S808" t="n">
        <v>5608.0035</v>
      </c>
      <c r="T808" t="n">
        <v>393.8473</v>
      </c>
      <c r="U808" t="n">
        <v>4107.8804</v>
      </c>
      <c r="V808" t="n">
        <v>0.262543</v>
      </c>
      <c r="W808" t="n">
        <v>2.738362</v>
      </c>
      <c r="X808" t="inlineStr">
        <is>
          <t>High</t>
        </is>
      </c>
      <c r="Y808" t="inlineStr">
        <is>
          <t>None</t>
        </is>
      </c>
      <c r="Z808" t="inlineStr">
        <is>
          <t>Valid</t>
        </is>
      </c>
      <c r="AA808" t="n">
        <v>2031</v>
      </c>
      <c r="AB808" t="inlineStr">
        <is>
          <t>Supplier Target Pathway</t>
        </is>
      </c>
      <c r="AC808" t="n">
        <v>1552.8311</v>
      </c>
      <c r="AD808" t="n">
        <v>859.3367</v>
      </c>
      <c r="AE808" t="n">
        <v>1057.478</v>
      </c>
      <c r="AF808" t="n">
        <v>1057.478</v>
      </c>
      <c r="AG808" t="n">
        <v>495.3531</v>
      </c>
      <c r="AH808" t="n">
        <v>0.00016315</v>
      </c>
      <c r="AI808" t="n">
        <v>0.319</v>
      </c>
      <c r="AJ808" t="n">
        <v>198.1412</v>
      </c>
      <c r="AK808" t="n">
        <v>49.5353</v>
      </c>
      <c r="AL808" t="n">
        <v>1010.1163</v>
      </c>
      <c r="AM808" t="n">
        <v>8442.5874</v>
      </c>
      <c r="AN808" t="n">
        <v>0.99</v>
      </c>
      <c r="AO808" t="inlineStr">
        <is>
          <t>High</t>
        </is>
      </c>
      <c r="AP808" t="inlineStr">
        <is>
          <t>On Track to Glide Path</t>
        </is>
      </c>
    </row>
    <row r="809">
      <c r="A809" t="inlineStr">
        <is>
          <t>SUP-0051</t>
        </is>
      </c>
      <c r="B809" t="inlineStr">
        <is>
          <t>Textiles Supplier 051</t>
        </is>
      </c>
      <c r="C809" t="inlineStr">
        <is>
          <t>Textiles</t>
        </is>
      </c>
      <c r="D809" t="n">
        <v>2024</v>
      </c>
      <c r="E809" t="n">
        <v>2021</v>
      </c>
      <c r="F809" t="n">
        <v>2035</v>
      </c>
      <c r="G809" t="n">
        <v>1500.1231</v>
      </c>
      <c r="H809" t="n">
        <v>270.3479</v>
      </c>
      <c r="I809" t="n">
        <v>170.1741</v>
      </c>
      <c r="J809" t="n">
        <v>1090.4532</v>
      </c>
      <c r="K809" t="n">
        <v>6481538.48</v>
      </c>
      <c r="L809" t="n">
        <v>32335832.86</v>
      </c>
      <c r="M809" t="n">
        <v>1500.1231</v>
      </c>
      <c r="N809" t="inlineStr">
        <is>
          <t>Provided Total Emissions</t>
        </is>
      </c>
      <c r="O809" t="b">
        <v>1</v>
      </c>
      <c r="P809" t="n">
        <v>0.045827</v>
      </c>
      <c r="Q809" t="n">
        <v>0.059784</v>
      </c>
      <c r="R809" t="n">
        <v>1893.9704</v>
      </c>
      <c r="S809" t="n">
        <v>5608.0035</v>
      </c>
      <c r="T809" t="n">
        <v>393.8473</v>
      </c>
      <c r="U809" t="n">
        <v>4107.8804</v>
      </c>
      <c r="V809" t="n">
        <v>0.262543</v>
      </c>
      <c r="W809" t="n">
        <v>2.738362</v>
      </c>
      <c r="X809" t="inlineStr">
        <is>
          <t>High</t>
        </is>
      </c>
      <c r="Y809" t="inlineStr">
        <is>
          <t>None</t>
        </is>
      </c>
      <c r="Z809" t="inlineStr">
        <is>
          <t>Valid</t>
        </is>
      </c>
      <c r="AA809" t="n">
        <v>2032</v>
      </c>
      <c r="AB809" t="inlineStr">
        <is>
          <t>Supplier Target Pathway</t>
        </is>
      </c>
      <c r="AC809" t="n">
        <v>1552.8311</v>
      </c>
      <c r="AD809" t="n">
        <v>859.3367</v>
      </c>
      <c r="AE809" t="n">
        <v>1007.9427</v>
      </c>
      <c r="AF809" t="n">
        <v>1007.9427</v>
      </c>
      <c r="AG809" t="n">
        <v>544.8884</v>
      </c>
      <c r="AH809" t="n">
        <v>0.00015551</v>
      </c>
      <c r="AI809" t="n">
        <v>0.3509</v>
      </c>
      <c r="AJ809" t="n">
        <v>148.6059</v>
      </c>
      <c r="AK809" t="n">
        <v>49.5353</v>
      </c>
      <c r="AL809" t="n">
        <v>2.1736</v>
      </c>
      <c r="AM809" t="n">
        <v>9450.5301</v>
      </c>
      <c r="AN809" t="n">
        <v>0.99</v>
      </c>
      <c r="AO809" t="inlineStr">
        <is>
          <t>High</t>
        </is>
      </c>
      <c r="AP809" t="inlineStr">
        <is>
          <t>On Track to Glide Path</t>
        </is>
      </c>
    </row>
    <row r="810">
      <c r="A810" t="inlineStr">
        <is>
          <t>SUP-0051</t>
        </is>
      </c>
      <c r="B810" t="inlineStr">
        <is>
          <t>Textiles Supplier 051</t>
        </is>
      </c>
      <c r="C810" t="inlineStr">
        <is>
          <t>Textiles</t>
        </is>
      </c>
      <c r="D810" t="n">
        <v>2024</v>
      </c>
      <c r="E810" t="n">
        <v>2021</v>
      </c>
      <c r="F810" t="n">
        <v>2035</v>
      </c>
      <c r="G810" t="n">
        <v>1500.1231</v>
      </c>
      <c r="H810" t="n">
        <v>270.3479</v>
      </c>
      <c r="I810" t="n">
        <v>170.1741</v>
      </c>
      <c r="J810" t="n">
        <v>1090.4532</v>
      </c>
      <c r="K810" t="n">
        <v>6481538.48</v>
      </c>
      <c r="L810" t="n">
        <v>32335832.86</v>
      </c>
      <c r="M810" t="n">
        <v>1500.1231</v>
      </c>
      <c r="N810" t="inlineStr">
        <is>
          <t>Provided Total Emissions</t>
        </is>
      </c>
      <c r="O810" t="b">
        <v>1</v>
      </c>
      <c r="P810" t="n">
        <v>0.045827</v>
      </c>
      <c r="Q810" t="n">
        <v>0.059784</v>
      </c>
      <c r="R810" t="n">
        <v>1893.9704</v>
      </c>
      <c r="S810" t="n">
        <v>5608.0035</v>
      </c>
      <c r="T810" t="n">
        <v>393.8473</v>
      </c>
      <c r="U810" t="n">
        <v>4107.8804</v>
      </c>
      <c r="V810" t="n">
        <v>0.262543</v>
      </c>
      <c r="W810" t="n">
        <v>2.738362</v>
      </c>
      <c r="X810" t="inlineStr">
        <is>
          <t>High</t>
        </is>
      </c>
      <c r="Y810" t="inlineStr">
        <is>
          <t>None</t>
        </is>
      </c>
      <c r="Z810" t="inlineStr">
        <is>
          <t>Valid</t>
        </is>
      </c>
      <c r="AA810" t="n">
        <v>2033</v>
      </c>
      <c r="AB810" t="inlineStr">
        <is>
          <t>Supplier Target Pathway</t>
        </is>
      </c>
      <c r="AC810" t="n">
        <v>1552.8311</v>
      </c>
      <c r="AD810" t="n">
        <v>859.3367</v>
      </c>
      <c r="AE810" t="n">
        <v>958.4074000000001</v>
      </c>
      <c r="AF810" t="n">
        <v>958.4074000000001</v>
      </c>
      <c r="AG810" t="n">
        <v>594.4237000000001</v>
      </c>
      <c r="AH810" t="n">
        <v>0.00014787</v>
      </c>
      <c r="AI810" t="n">
        <v>0.3828</v>
      </c>
      <c r="AJ810" t="n">
        <v>99.0706</v>
      </c>
      <c r="AK810" t="n">
        <v>49.5353</v>
      </c>
      <c r="AL810" t="n">
        <v>-956.2338</v>
      </c>
      <c r="AM810" t="n">
        <v>10408.9375</v>
      </c>
      <c r="AN810" t="n">
        <v>0.99</v>
      </c>
      <c r="AO810" t="inlineStr">
        <is>
          <t>Medium</t>
        </is>
      </c>
      <c r="AP810" t="inlineStr">
        <is>
          <t>On Track to Glide Path</t>
        </is>
      </c>
    </row>
    <row r="811">
      <c r="A811" t="inlineStr">
        <is>
          <t>SUP-0051</t>
        </is>
      </c>
      <c r="B811" t="inlineStr">
        <is>
          <t>Textiles Supplier 051</t>
        </is>
      </c>
      <c r="C811" t="inlineStr">
        <is>
          <t>Textiles</t>
        </is>
      </c>
      <c r="D811" t="n">
        <v>2024</v>
      </c>
      <c r="E811" t="n">
        <v>2021</v>
      </c>
      <c r="F811" t="n">
        <v>2035</v>
      </c>
      <c r="G811" t="n">
        <v>1500.1231</v>
      </c>
      <c r="H811" t="n">
        <v>270.3479</v>
      </c>
      <c r="I811" t="n">
        <v>170.1741</v>
      </c>
      <c r="J811" t="n">
        <v>1090.4532</v>
      </c>
      <c r="K811" t="n">
        <v>6481538.48</v>
      </c>
      <c r="L811" t="n">
        <v>32335832.86</v>
      </c>
      <c r="M811" t="n">
        <v>1500.1231</v>
      </c>
      <c r="N811" t="inlineStr">
        <is>
          <t>Provided Total Emissions</t>
        </is>
      </c>
      <c r="O811" t="b">
        <v>1</v>
      </c>
      <c r="P811" t="n">
        <v>0.045827</v>
      </c>
      <c r="Q811" t="n">
        <v>0.059784</v>
      </c>
      <c r="R811" t="n">
        <v>1893.9704</v>
      </c>
      <c r="S811" t="n">
        <v>5608.0035</v>
      </c>
      <c r="T811" t="n">
        <v>393.8473</v>
      </c>
      <c r="U811" t="n">
        <v>4107.8804</v>
      </c>
      <c r="V811" t="n">
        <v>0.262543</v>
      </c>
      <c r="W811" t="n">
        <v>2.738362</v>
      </c>
      <c r="X811" t="inlineStr">
        <is>
          <t>High</t>
        </is>
      </c>
      <c r="Y811" t="inlineStr">
        <is>
          <t>None</t>
        </is>
      </c>
      <c r="Z811" t="inlineStr">
        <is>
          <t>Valid</t>
        </is>
      </c>
      <c r="AA811" t="n">
        <v>2034</v>
      </c>
      <c r="AB811" t="inlineStr">
        <is>
          <t>Supplier Target Pathway</t>
        </is>
      </c>
      <c r="AC811" t="n">
        <v>1552.8311</v>
      </c>
      <c r="AD811" t="n">
        <v>859.3367</v>
      </c>
      <c r="AE811" t="n">
        <v>908.872</v>
      </c>
      <c r="AF811" t="n">
        <v>908.872</v>
      </c>
      <c r="AG811" t="n">
        <v>643.9591</v>
      </c>
      <c r="AH811" t="n">
        <v>0.00014022</v>
      </c>
      <c r="AI811" t="n">
        <v>0.4147</v>
      </c>
      <c r="AJ811" t="n">
        <v>49.5353</v>
      </c>
      <c r="AK811" t="n">
        <v>49.5353</v>
      </c>
      <c r="AL811" t="n">
        <v>-1865.1058</v>
      </c>
      <c r="AM811" t="n">
        <v>11317.8095</v>
      </c>
      <c r="AN811" t="n">
        <v>0.99</v>
      </c>
      <c r="AO811" t="inlineStr">
        <is>
          <t>Medium</t>
        </is>
      </c>
      <c r="AP811" t="inlineStr">
        <is>
          <t>On Track to Glide Path</t>
        </is>
      </c>
    </row>
    <row r="812">
      <c r="A812" t="inlineStr">
        <is>
          <t>SUP-0051</t>
        </is>
      </c>
      <c r="B812" t="inlineStr">
        <is>
          <t>Textiles Supplier 051</t>
        </is>
      </c>
      <c r="C812" t="inlineStr">
        <is>
          <t>Textiles</t>
        </is>
      </c>
      <c r="D812" t="n">
        <v>2024</v>
      </c>
      <c r="E812" t="n">
        <v>2021</v>
      </c>
      <c r="F812" t="n">
        <v>2035</v>
      </c>
      <c r="G812" t="n">
        <v>1500.1231</v>
      </c>
      <c r="H812" t="n">
        <v>270.3479</v>
      </c>
      <c r="I812" t="n">
        <v>170.1741</v>
      </c>
      <c r="J812" t="n">
        <v>1090.4532</v>
      </c>
      <c r="K812" t="n">
        <v>6481538.48</v>
      </c>
      <c r="L812" t="n">
        <v>32335832.86</v>
      </c>
      <c r="M812" t="n">
        <v>1500.1231</v>
      </c>
      <c r="N812" t="inlineStr">
        <is>
          <t>Provided Total Emissions</t>
        </is>
      </c>
      <c r="O812" t="b">
        <v>1</v>
      </c>
      <c r="P812" t="n">
        <v>0.045827</v>
      </c>
      <c r="Q812" t="n">
        <v>0.059784</v>
      </c>
      <c r="R812" t="n">
        <v>1893.9704</v>
      </c>
      <c r="S812" t="n">
        <v>5608.0035</v>
      </c>
      <c r="T812" t="n">
        <v>393.8473</v>
      </c>
      <c r="U812" t="n">
        <v>4107.8804</v>
      </c>
      <c r="V812" t="n">
        <v>0.262543</v>
      </c>
      <c r="W812" t="n">
        <v>2.738362</v>
      </c>
      <c r="X812" t="inlineStr">
        <is>
          <t>High</t>
        </is>
      </c>
      <c r="Y812" t="inlineStr">
        <is>
          <t>None</t>
        </is>
      </c>
      <c r="Z812" t="inlineStr">
        <is>
          <t>Valid</t>
        </is>
      </c>
      <c r="AA812" t="n">
        <v>2035</v>
      </c>
      <c r="AB812" t="inlineStr">
        <is>
          <t>Supplier Target Pathway</t>
        </is>
      </c>
      <c r="AC812" t="n">
        <v>1552.8311</v>
      </c>
      <c r="AD812" t="n">
        <v>859.3367</v>
      </c>
      <c r="AE812" t="n">
        <v>859.3367</v>
      </c>
      <c r="AF812" t="n">
        <v>859.3367</v>
      </c>
      <c r="AG812" t="n">
        <v>693.4944</v>
      </c>
      <c r="AH812" t="n">
        <v>0.00013258</v>
      </c>
      <c r="AI812" t="n">
        <v>0.4466</v>
      </c>
      <c r="AJ812" t="n">
        <v>0</v>
      </c>
      <c r="AK812" t="n">
        <v>49.5353</v>
      </c>
      <c r="AL812" t="n">
        <v>-2724.4425</v>
      </c>
      <c r="AM812" t="n">
        <v>12177.1462</v>
      </c>
      <c r="AN812" t="n">
        <v>0.99</v>
      </c>
      <c r="AO812" t="inlineStr">
        <is>
          <t>Low</t>
        </is>
      </c>
      <c r="AP812" t="inlineStr">
        <is>
          <t>On Track</t>
        </is>
      </c>
    </row>
    <row r="813">
      <c r="A813" t="inlineStr">
        <is>
          <t>SUP-0051</t>
        </is>
      </c>
      <c r="B813" t="inlineStr">
        <is>
          <t>Textiles Supplier 051</t>
        </is>
      </c>
      <c r="C813" t="inlineStr">
        <is>
          <t>Textiles</t>
        </is>
      </c>
      <c r="D813" t="n">
        <v>2024</v>
      </c>
      <c r="E813" t="n">
        <v>2021</v>
      </c>
      <c r="F813" t="n">
        <v>2035</v>
      </c>
      <c r="G813" t="n">
        <v>1500.1231</v>
      </c>
      <c r="H813" t="n">
        <v>270.3479</v>
      </c>
      <c r="I813" t="n">
        <v>170.1741</v>
      </c>
      <c r="J813" t="n">
        <v>1090.4532</v>
      </c>
      <c r="K813" t="n">
        <v>6481538.48</v>
      </c>
      <c r="L813" t="n">
        <v>32335832.86</v>
      </c>
      <c r="M813" t="n">
        <v>1500.1231</v>
      </c>
      <c r="N813" t="inlineStr">
        <is>
          <t>Provided Total Emissions</t>
        </is>
      </c>
      <c r="O813" t="b">
        <v>1</v>
      </c>
      <c r="P813" t="n">
        <v>0.045827</v>
      </c>
      <c r="Q813" t="n">
        <v>0.059784</v>
      </c>
      <c r="R813" t="n">
        <v>1893.9704</v>
      </c>
      <c r="S813" t="n">
        <v>5608.0035</v>
      </c>
      <c r="T813" t="n">
        <v>393.8473</v>
      </c>
      <c r="U813" t="n">
        <v>4107.8804</v>
      </c>
      <c r="V813" t="n">
        <v>0.262543</v>
      </c>
      <c r="W813" t="n">
        <v>2.738362</v>
      </c>
      <c r="X813" t="inlineStr">
        <is>
          <t>High</t>
        </is>
      </c>
      <c r="Y813" t="inlineStr">
        <is>
          <t>None</t>
        </is>
      </c>
      <c r="Z813" t="inlineStr">
        <is>
          <t>Valid</t>
        </is>
      </c>
      <c r="AA813" t="n">
        <v>2036</v>
      </c>
      <c r="AB813" t="inlineStr">
        <is>
          <t>Supplier Target Pathway</t>
        </is>
      </c>
      <c r="AC813" t="n">
        <v>1552.8311</v>
      </c>
      <c r="AD813" t="n">
        <v>859.3367</v>
      </c>
      <c r="AE813" t="n">
        <v>859.3367</v>
      </c>
      <c r="AF813" t="n">
        <v>859.3367</v>
      </c>
      <c r="AG813" t="n">
        <v>693.4944</v>
      </c>
      <c r="AH813" t="n">
        <v>0.00013258</v>
      </c>
      <c r="AI813" t="n">
        <v>0.4466</v>
      </c>
      <c r="AJ813" t="n">
        <v>0</v>
      </c>
      <c r="AK813" t="n">
        <v>49.5353</v>
      </c>
      <c r="AL813" t="n">
        <v>-3583.7792</v>
      </c>
      <c r="AM813" t="n">
        <v>13036.4829</v>
      </c>
      <c r="AN813" t="n">
        <v>0.99</v>
      </c>
      <c r="AO813" t="inlineStr">
        <is>
          <t>Low</t>
        </is>
      </c>
      <c r="AP813" t="inlineStr">
        <is>
          <t>On Track</t>
        </is>
      </c>
    </row>
    <row r="814">
      <c r="A814" t="inlineStr">
        <is>
          <t>SUP-0051</t>
        </is>
      </c>
      <c r="B814" t="inlineStr">
        <is>
          <t>Textiles Supplier 051</t>
        </is>
      </c>
      <c r="C814" t="inlineStr">
        <is>
          <t>Textiles</t>
        </is>
      </c>
      <c r="D814" t="n">
        <v>2024</v>
      </c>
      <c r="E814" t="n">
        <v>2021</v>
      </c>
      <c r="F814" t="n">
        <v>2035</v>
      </c>
      <c r="G814" t="n">
        <v>1500.1231</v>
      </c>
      <c r="H814" t="n">
        <v>270.3479</v>
      </c>
      <c r="I814" t="n">
        <v>170.1741</v>
      </c>
      <c r="J814" t="n">
        <v>1090.4532</v>
      </c>
      <c r="K814" t="n">
        <v>6481538.48</v>
      </c>
      <c r="L814" t="n">
        <v>32335832.86</v>
      </c>
      <c r="M814" t="n">
        <v>1500.1231</v>
      </c>
      <c r="N814" t="inlineStr">
        <is>
          <t>Provided Total Emissions</t>
        </is>
      </c>
      <c r="O814" t="b">
        <v>1</v>
      </c>
      <c r="P814" t="n">
        <v>0.045827</v>
      </c>
      <c r="Q814" t="n">
        <v>0.059784</v>
      </c>
      <c r="R814" t="n">
        <v>1893.9704</v>
      </c>
      <c r="S814" t="n">
        <v>5608.0035</v>
      </c>
      <c r="T814" t="n">
        <v>393.8473</v>
      </c>
      <c r="U814" t="n">
        <v>4107.8804</v>
      </c>
      <c r="V814" t="n">
        <v>0.262543</v>
      </c>
      <c r="W814" t="n">
        <v>2.738362</v>
      </c>
      <c r="X814" t="inlineStr">
        <is>
          <t>High</t>
        </is>
      </c>
      <c r="Y814" t="inlineStr">
        <is>
          <t>None</t>
        </is>
      </c>
      <c r="Z814" t="inlineStr">
        <is>
          <t>Valid</t>
        </is>
      </c>
      <c r="AA814" t="n">
        <v>2037</v>
      </c>
      <c r="AB814" t="inlineStr">
        <is>
          <t>Supplier Target Pathway</t>
        </is>
      </c>
      <c r="AC814" t="n">
        <v>1552.8311</v>
      </c>
      <c r="AD814" t="n">
        <v>859.3367</v>
      </c>
      <c r="AE814" t="n">
        <v>859.3367</v>
      </c>
      <c r="AF814" t="n">
        <v>859.3367</v>
      </c>
      <c r="AG814" t="n">
        <v>693.4944</v>
      </c>
      <c r="AH814" t="n">
        <v>0.00013258</v>
      </c>
      <c r="AI814" t="n">
        <v>0.4466</v>
      </c>
      <c r="AJ814" t="n">
        <v>0</v>
      </c>
      <c r="AK814" t="n">
        <v>49.5353</v>
      </c>
      <c r="AL814" t="n">
        <v>-4443.1159</v>
      </c>
      <c r="AM814" t="n">
        <v>13895.8196</v>
      </c>
      <c r="AN814" t="n">
        <v>0.99</v>
      </c>
      <c r="AO814" t="inlineStr">
        <is>
          <t>Low</t>
        </is>
      </c>
      <c r="AP814" t="inlineStr">
        <is>
          <t>On Track</t>
        </is>
      </c>
    </row>
    <row r="815">
      <c r="A815" t="inlineStr">
        <is>
          <t>SUP-0051</t>
        </is>
      </c>
      <c r="B815" t="inlineStr">
        <is>
          <t>Textiles Supplier 051</t>
        </is>
      </c>
      <c r="C815" t="inlineStr">
        <is>
          <t>Textiles</t>
        </is>
      </c>
      <c r="D815" t="n">
        <v>2024</v>
      </c>
      <c r="E815" t="n">
        <v>2021</v>
      </c>
      <c r="F815" t="n">
        <v>2035</v>
      </c>
      <c r="G815" t="n">
        <v>1500.1231</v>
      </c>
      <c r="H815" t="n">
        <v>270.3479</v>
      </c>
      <c r="I815" t="n">
        <v>170.1741</v>
      </c>
      <c r="J815" t="n">
        <v>1090.4532</v>
      </c>
      <c r="K815" t="n">
        <v>6481538.48</v>
      </c>
      <c r="L815" t="n">
        <v>32335832.86</v>
      </c>
      <c r="M815" t="n">
        <v>1500.1231</v>
      </c>
      <c r="N815" t="inlineStr">
        <is>
          <t>Provided Total Emissions</t>
        </is>
      </c>
      <c r="O815" t="b">
        <v>1</v>
      </c>
      <c r="P815" t="n">
        <v>0.045827</v>
      </c>
      <c r="Q815" t="n">
        <v>0.059784</v>
      </c>
      <c r="R815" t="n">
        <v>1893.9704</v>
      </c>
      <c r="S815" t="n">
        <v>5608.0035</v>
      </c>
      <c r="T815" t="n">
        <v>393.8473</v>
      </c>
      <c r="U815" t="n">
        <v>4107.8804</v>
      </c>
      <c r="V815" t="n">
        <v>0.262543</v>
      </c>
      <c r="W815" t="n">
        <v>2.738362</v>
      </c>
      <c r="X815" t="inlineStr">
        <is>
          <t>High</t>
        </is>
      </c>
      <c r="Y815" t="inlineStr">
        <is>
          <t>None</t>
        </is>
      </c>
      <c r="Z815" t="inlineStr">
        <is>
          <t>Valid</t>
        </is>
      </c>
      <c r="AA815" t="n">
        <v>2038</v>
      </c>
      <c r="AB815" t="inlineStr">
        <is>
          <t>Supplier Target Pathway</t>
        </is>
      </c>
      <c r="AC815" t="n">
        <v>1552.8311</v>
      </c>
      <c r="AD815" t="n">
        <v>859.3367</v>
      </c>
      <c r="AE815" t="n">
        <v>859.3367</v>
      </c>
      <c r="AF815" t="n">
        <v>859.3367</v>
      </c>
      <c r="AG815" t="n">
        <v>693.4944</v>
      </c>
      <c r="AH815" t="n">
        <v>0.00013258</v>
      </c>
      <c r="AI815" t="n">
        <v>0.4466</v>
      </c>
      <c r="AJ815" t="n">
        <v>0</v>
      </c>
      <c r="AK815" t="n">
        <v>49.5353</v>
      </c>
      <c r="AL815" t="n">
        <v>-5302.4526</v>
      </c>
      <c r="AM815" t="n">
        <v>14755.1563</v>
      </c>
      <c r="AN815" t="n">
        <v>0.99</v>
      </c>
      <c r="AO815" t="inlineStr">
        <is>
          <t>Low</t>
        </is>
      </c>
      <c r="AP815" t="inlineStr">
        <is>
          <t>On Track</t>
        </is>
      </c>
    </row>
    <row r="816">
      <c r="A816" t="inlineStr">
        <is>
          <t>SUP-0051</t>
        </is>
      </c>
      <c r="B816" t="inlineStr">
        <is>
          <t>Textiles Supplier 051</t>
        </is>
      </c>
      <c r="C816" t="inlineStr">
        <is>
          <t>Textiles</t>
        </is>
      </c>
      <c r="D816" t="n">
        <v>2024</v>
      </c>
      <c r="E816" t="n">
        <v>2021</v>
      </c>
      <c r="F816" t="n">
        <v>2035</v>
      </c>
      <c r="G816" t="n">
        <v>1500.1231</v>
      </c>
      <c r="H816" t="n">
        <v>270.3479</v>
      </c>
      <c r="I816" t="n">
        <v>170.1741</v>
      </c>
      <c r="J816" t="n">
        <v>1090.4532</v>
      </c>
      <c r="K816" t="n">
        <v>6481538.48</v>
      </c>
      <c r="L816" t="n">
        <v>32335832.86</v>
      </c>
      <c r="M816" t="n">
        <v>1500.1231</v>
      </c>
      <c r="N816" t="inlineStr">
        <is>
          <t>Provided Total Emissions</t>
        </is>
      </c>
      <c r="O816" t="b">
        <v>1</v>
      </c>
      <c r="P816" t="n">
        <v>0.045827</v>
      </c>
      <c r="Q816" t="n">
        <v>0.059784</v>
      </c>
      <c r="R816" t="n">
        <v>1893.9704</v>
      </c>
      <c r="S816" t="n">
        <v>5608.0035</v>
      </c>
      <c r="T816" t="n">
        <v>393.8473</v>
      </c>
      <c r="U816" t="n">
        <v>4107.8804</v>
      </c>
      <c r="V816" t="n">
        <v>0.262543</v>
      </c>
      <c r="W816" t="n">
        <v>2.738362</v>
      </c>
      <c r="X816" t="inlineStr">
        <is>
          <t>High</t>
        </is>
      </c>
      <c r="Y816" t="inlineStr">
        <is>
          <t>None</t>
        </is>
      </c>
      <c r="Z816" t="inlineStr">
        <is>
          <t>Valid</t>
        </is>
      </c>
      <c r="AA816" t="n">
        <v>2039</v>
      </c>
      <c r="AB816" t="inlineStr">
        <is>
          <t>Supplier Target Pathway</t>
        </is>
      </c>
      <c r="AC816" t="n">
        <v>1552.8311</v>
      </c>
      <c r="AD816" t="n">
        <v>859.3367</v>
      </c>
      <c r="AE816" t="n">
        <v>859.3367</v>
      </c>
      <c r="AF816" t="n">
        <v>859.3367</v>
      </c>
      <c r="AG816" t="n">
        <v>693.4944</v>
      </c>
      <c r="AH816" t="n">
        <v>0.00013258</v>
      </c>
      <c r="AI816" t="n">
        <v>0.4466</v>
      </c>
      <c r="AJ816" t="n">
        <v>0</v>
      </c>
      <c r="AK816" t="n">
        <v>49.5353</v>
      </c>
      <c r="AL816" t="n">
        <v>-6161.7893</v>
      </c>
      <c r="AM816" t="n">
        <v>15614.493</v>
      </c>
      <c r="AN816" t="n">
        <v>0.99</v>
      </c>
      <c r="AO816" t="inlineStr">
        <is>
          <t>Low</t>
        </is>
      </c>
      <c r="AP816" t="inlineStr">
        <is>
          <t>On Track</t>
        </is>
      </c>
    </row>
    <row r="817">
      <c r="A817" t="inlineStr">
        <is>
          <t>SUP-0051</t>
        </is>
      </c>
      <c r="B817" t="inlineStr">
        <is>
          <t>Textiles Supplier 051</t>
        </is>
      </c>
      <c r="C817" t="inlineStr">
        <is>
          <t>Textiles</t>
        </is>
      </c>
      <c r="D817" t="n">
        <v>2024</v>
      </c>
      <c r="E817" t="n">
        <v>2021</v>
      </c>
      <c r="F817" t="n">
        <v>2035</v>
      </c>
      <c r="G817" t="n">
        <v>1500.1231</v>
      </c>
      <c r="H817" t="n">
        <v>270.3479</v>
      </c>
      <c r="I817" t="n">
        <v>170.1741</v>
      </c>
      <c r="J817" t="n">
        <v>1090.4532</v>
      </c>
      <c r="K817" t="n">
        <v>6481538.48</v>
      </c>
      <c r="L817" t="n">
        <v>32335832.86</v>
      </c>
      <c r="M817" t="n">
        <v>1500.1231</v>
      </c>
      <c r="N817" t="inlineStr">
        <is>
          <t>Provided Total Emissions</t>
        </is>
      </c>
      <c r="O817" t="b">
        <v>1</v>
      </c>
      <c r="P817" t="n">
        <v>0.045827</v>
      </c>
      <c r="Q817" t="n">
        <v>0.059784</v>
      </c>
      <c r="R817" t="n">
        <v>1893.9704</v>
      </c>
      <c r="S817" t="n">
        <v>5608.0035</v>
      </c>
      <c r="T817" t="n">
        <v>393.8473</v>
      </c>
      <c r="U817" t="n">
        <v>4107.8804</v>
      </c>
      <c r="V817" t="n">
        <v>0.262543</v>
      </c>
      <c r="W817" t="n">
        <v>2.738362</v>
      </c>
      <c r="X817" t="inlineStr">
        <is>
          <t>High</t>
        </is>
      </c>
      <c r="Y817" t="inlineStr">
        <is>
          <t>None</t>
        </is>
      </c>
      <c r="Z817" t="inlineStr">
        <is>
          <t>Valid</t>
        </is>
      </c>
      <c r="AA817" t="n">
        <v>2040</v>
      </c>
      <c r="AB817" t="inlineStr">
        <is>
          <t>Supplier Target Pathway</t>
        </is>
      </c>
      <c r="AC817" t="n">
        <v>1552.8311</v>
      </c>
      <c r="AD817" t="n">
        <v>859.3367</v>
      </c>
      <c r="AE817" t="n">
        <v>859.3367</v>
      </c>
      <c r="AF817" t="n">
        <v>859.3367</v>
      </c>
      <c r="AG817" t="n">
        <v>693.4944</v>
      </c>
      <c r="AH817" t="n">
        <v>0.00013258</v>
      </c>
      <c r="AI817" t="n">
        <v>0.4466</v>
      </c>
      <c r="AJ817" t="n">
        <v>0</v>
      </c>
      <c r="AK817" t="n">
        <v>49.5353</v>
      </c>
      <c r="AL817" t="n">
        <v>-7021.126</v>
      </c>
      <c r="AM817" t="n">
        <v>16473.8297</v>
      </c>
      <c r="AN817" t="n">
        <v>0.99</v>
      </c>
      <c r="AO817" t="inlineStr">
        <is>
          <t>Low</t>
        </is>
      </c>
      <c r="AP817" t="inlineStr">
        <is>
          <t>On Track</t>
        </is>
      </c>
    </row>
    <row r="818">
      <c r="A818" t="inlineStr">
        <is>
          <t>SUP-0052</t>
        </is>
      </c>
      <c r="B818" t="inlineStr">
        <is>
          <t>Electronics Supplier 052</t>
        </is>
      </c>
      <c r="C818" t="inlineStr">
        <is>
          <t>Electronics</t>
        </is>
      </c>
      <c r="D818" t="n">
        <v>2024</v>
      </c>
      <c r="E818" t="n">
        <v>2015</v>
      </c>
      <c r="F818" t="n">
        <v>2040</v>
      </c>
      <c r="G818" t="n">
        <v>1342.4416</v>
      </c>
      <c r="H818" t="n">
        <v>214.191</v>
      </c>
      <c r="I818" t="n">
        <v>166.702</v>
      </c>
      <c r="J818" t="n">
        <v>880.8258</v>
      </c>
      <c r="K818" t="n">
        <v>2698892</v>
      </c>
      <c r="L818" t="n">
        <v>16949044.66</v>
      </c>
      <c r="M818" t="n">
        <v>1342.4416</v>
      </c>
      <c r="N818" t="inlineStr">
        <is>
          <t>Provided Total Emissions</t>
        </is>
      </c>
      <c r="O818" t="b">
        <v>1</v>
      </c>
      <c r="P818" t="n">
        <v>-0.015733</v>
      </c>
      <c r="Q818" t="n">
        <v>-0.027604</v>
      </c>
      <c r="R818" t="n">
        <v>2323.881</v>
      </c>
      <c r="S818" t="n">
        <v>2363.8833</v>
      </c>
      <c r="T818" t="n">
        <v>981.4394</v>
      </c>
      <c r="U818" t="n">
        <v>1021.4417</v>
      </c>
      <c r="V818" t="n">
        <v>0.731085</v>
      </c>
      <c r="W818" t="n">
        <v>0.760883</v>
      </c>
      <c r="X818" t="inlineStr">
        <is>
          <t>High</t>
        </is>
      </c>
      <c r="Y818" t="inlineStr">
        <is>
          <t>None</t>
        </is>
      </c>
      <c r="Z818" t="inlineStr">
        <is>
          <t>Valid</t>
        </is>
      </c>
      <c r="AA818" t="n">
        <v>2025</v>
      </c>
      <c r="AB818" t="inlineStr">
        <is>
          <t>Industry Haircut Pathway</t>
        </is>
      </c>
      <c r="AC818" t="n">
        <v>1548.3883</v>
      </c>
      <c r="AD818" t="n">
        <v>1018.2201</v>
      </c>
      <c r="AE818" t="n">
        <v>1336.321</v>
      </c>
      <c r="AF818" t="n">
        <v>1336.321</v>
      </c>
      <c r="AG818" t="n">
        <v>212.0673</v>
      </c>
      <c r="AH818" t="n">
        <v>0.00049514</v>
      </c>
      <c r="AI818" t="n">
        <v>0.13696</v>
      </c>
      <c r="AJ818" t="n">
        <v>318.1009</v>
      </c>
      <c r="AK818" t="n">
        <v>21.2067</v>
      </c>
      <c r="AL818" t="n">
        <v>14955.2006</v>
      </c>
      <c r="AM818" t="n">
        <v>1336.321</v>
      </c>
      <c r="AN818" t="n">
        <v>0.95</v>
      </c>
      <c r="AO818" t="inlineStr">
        <is>
          <t>High</t>
        </is>
      </c>
      <c r="AP818" t="inlineStr">
        <is>
          <t>On Track to Glide Path</t>
        </is>
      </c>
    </row>
    <row r="819">
      <c r="A819" t="inlineStr">
        <is>
          <t>SUP-0052</t>
        </is>
      </c>
      <c r="B819" t="inlineStr">
        <is>
          <t>Electronics Supplier 052</t>
        </is>
      </c>
      <c r="C819" t="inlineStr">
        <is>
          <t>Electronics</t>
        </is>
      </c>
      <c r="D819" t="n">
        <v>2024</v>
      </c>
      <c r="E819" t="n">
        <v>2015</v>
      </c>
      <c r="F819" t="n">
        <v>2040</v>
      </c>
      <c r="G819" t="n">
        <v>1342.4416</v>
      </c>
      <c r="H819" t="n">
        <v>214.191</v>
      </c>
      <c r="I819" t="n">
        <v>166.702</v>
      </c>
      <c r="J819" t="n">
        <v>880.8258</v>
      </c>
      <c r="K819" t="n">
        <v>2698892</v>
      </c>
      <c r="L819" t="n">
        <v>16949044.66</v>
      </c>
      <c r="M819" t="n">
        <v>1342.4416</v>
      </c>
      <c r="N819" t="inlineStr">
        <is>
          <t>Provided Total Emissions</t>
        </is>
      </c>
      <c r="O819" t="b">
        <v>1</v>
      </c>
      <c r="P819" t="n">
        <v>-0.015733</v>
      </c>
      <c r="Q819" t="n">
        <v>-0.027604</v>
      </c>
      <c r="R819" t="n">
        <v>2323.881</v>
      </c>
      <c r="S819" t="n">
        <v>2363.8833</v>
      </c>
      <c r="T819" t="n">
        <v>981.4394</v>
      </c>
      <c r="U819" t="n">
        <v>1021.4417</v>
      </c>
      <c r="V819" t="n">
        <v>0.731085</v>
      </c>
      <c r="W819" t="n">
        <v>0.760883</v>
      </c>
      <c r="X819" t="inlineStr">
        <is>
          <t>High</t>
        </is>
      </c>
      <c r="Y819" t="inlineStr">
        <is>
          <t>None</t>
        </is>
      </c>
      <c r="Z819" t="inlineStr">
        <is>
          <t>Valid</t>
        </is>
      </c>
      <c r="AA819" t="n">
        <v>2026</v>
      </c>
      <c r="AB819" t="inlineStr">
        <is>
          <t>Industry Haircut Pathway</t>
        </is>
      </c>
      <c r="AC819" t="n">
        <v>1548.3883</v>
      </c>
      <c r="AD819" t="n">
        <v>1018.2201</v>
      </c>
      <c r="AE819" t="n">
        <v>1315.1143</v>
      </c>
      <c r="AF819" t="n">
        <v>1315.1143</v>
      </c>
      <c r="AG819" t="n">
        <v>233.274</v>
      </c>
      <c r="AH819" t="n">
        <v>0.00048728</v>
      </c>
      <c r="AI819" t="n">
        <v>0.150656</v>
      </c>
      <c r="AJ819" t="n">
        <v>296.8942</v>
      </c>
      <c r="AK819" t="n">
        <v>21.2067</v>
      </c>
      <c r="AL819" t="n">
        <v>13640.0863</v>
      </c>
      <c r="AM819" t="n">
        <v>2651.4353</v>
      </c>
      <c r="AN819" t="n">
        <v>0.95</v>
      </c>
      <c r="AO819" t="inlineStr">
        <is>
          <t>High</t>
        </is>
      </c>
      <c r="AP819" t="inlineStr">
        <is>
          <t>On Track to Glide Path</t>
        </is>
      </c>
    </row>
    <row r="820">
      <c r="A820" t="inlineStr">
        <is>
          <t>SUP-0052</t>
        </is>
      </c>
      <c r="B820" t="inlineStr">
        <is>
          <t>Electronics Supplier 052</t>
        </is>
      </c>
      <c r="C820" t="inlineStr">
        <is>
          <t>Electronics</t>
        </is>
      </c>
      <c r="D820" t="n">
        <v>2024</v>
      </c>
      <c r="E820" t="n">
        <v>2015</v>
      </c>
      <c r="F820" t="n">
        <v>2040</v>
      </c>
      <c r="G820" t="n">
        <v>1342.4416</v>
      </c>
      <c r="H820" t="n">
        <v>214.191</v>
      </c>
      <c r="I820" t="n">
        <v>166.702</v>
      </c>
      <c r="J820" t="n">
        <v>880.8258</v>
      </c>
      <c r="K820" t="n">
        <v>2698892</v>
      </c>
      <c r="L820" t="n">
        <v>16949044.66</v>
      </c>
      <c r="M820" t="n">
        <v>1342.4416</v>
      </c>
      <c r="N820" t="inlineStr">
        <is>
          <t>Provided Total Emissions</t>
        </is>
      </c>
      <c r="O820" t="b">
        <v>1</v>
      </c>
      <c r="P820" t="n">
        <v>-0.015733</v>
      </c>
      <c r="Q820" t="n">
        <v>-0.027604</v>
      </c>
      <c r="R820" t="n">
        <v>2323.881</v>
      </c>
      <c r="S820" t="n">
        <v>2363.8833</v>
      </c>
      <c r="T820" t="n">
        <v>981.4394</v>
      </c>
      <c r="U820" t="n">
        <v>1021.4417</v>
      </c>
      <c r="V820" t="n">
        <v>0.731085</v>
      </c>
      <c r="W820" t="n">
        <v>0.760883</v>
      </c>
      <c r="X820" t="inlineStr">
        <is>
          <t>High</t>
        </is>
      </c>
      <c r="Y820" t="inlineStr">
        <is>
          <t>None</t>
        </is>
      </c>
      <c r="Z820" t="inlineStr">
        <is>
          <t>Valid</t>
        </is>
      </c>
      <c r="AA820" t="n">
        <v>2027</v>
      </c>
      <c r="AB820" t="inlineStr">
        <is>
          <t>Industry Haircut Pathway</t>
        </is>
      </c>
      <c r="AC820" t="n">
        <v>1548.3883</v>
      </c>
      <c r="AD820" t="n">
        <v>1018.2201</v>
      </c>
      <c r="AE820" t="n">
        <v>1293.9076</v>
      </c>
      <c r="AF820" t="n">
        <v>1293.9076</v>
      </c>
      <c r="AG820" t="n">
        <v>254.4807</v>
      </c>
      <c r="AH820" t="n">
        <v>0.00047942</v>
      </c>
      <c r="AI820" t="n">
        <v>0.164352</v>
      </c>
      <c r="AJ820" t="n">
        <v>275.6874</v>
      </c>
      <c r="AK820" t="n">
        <v>21.2067</v>
      </c>
      <c r="AL820" t="n">
        <v>12346.1787</v>
      </c>
      <c r="AM820" t="n">
        <v>3945.3429</v>
      </c>
      <c r="AN820" t="n">
        <v>0.95</v>
      </c>
      <c r="AO820" t="inlineStr">
        <is>
          <t>High</t>
        </is>
      </c>
      <c r="AP820" t="inlineStr">
        <is>
          <t>On Track to Glide Path</t>
        </is>
      </c>
    </row>
    <row r="821">
      <c r="A821" t="inlineStr">
        <is>
          <t>SUP-0052</t>
        </is>
      </c>
      <c r="B821" t="inlineStr">
        <is>
          <t>Electronics Supplier 052</t>
        </is>
      </c>
      <c r="C821" t="inlineStr">
        <is>
          <t>Electronics</t>
        </is>
      </c>
      <c r="D821" t="n">
        <v>2024</v>
      </c>
      <c r="E821" t="n">
        <v>2015</v>
      </c>
      <c r="F821" t="n">
        <v>2040</v>
      </c>
      <c r="G821" t="n">
        <v>1342.4416</v>
      </c>
      <c r="H821" t="n">
        <v>214.191</v>
      </c>
      <c r="I821" t="n">
        <v>166.702</v>
      </c>
      <c r="J821" t="n">
        <v>880.8258</v>
      </c>
      <c r="K821" t="n">
        <v>2698892</v>
      </c>
      <c r="L821" t="n">
        <v>16949044.66</v>
      </c>
      <c r="M821" t="n">
        <v>1342.4416</v>
      </c>
      <c r="N821" t="inlineStr">
        <is>
          <t>Provided Total Emissions</t>
        </is>
      </c>
      <c r="O821" t="b">
        <v>1</v>
      </c>
      <c r="P821" t="n">
        <v>-0.015733</v>
      </c>
      <c r="Q821" t="n">
        <v>-0.027604</v>
      </c>
      <c r="R821" t="n">
        <v>2323.881</v>
      </c>
      <c r="S821" t="n">
        <v>2363.8833</v>
      </c>
      <c r="T821" t="n">
        <v>981.4394</v>
      </c>
      <c r="U821" t="n">
        <v>1021.4417</v>
      </c>
      <c r="V821" t="n">
        <v>0.731085</v>
      </c>
      <c r="W821" t="n">
        <v>0.760883</v>
      </c>
      <c r="X821" t="inlineStr">
        <is>
          <t>High</t>
        </is>
      </c>
      <c r="Y821" t="inlineStr">
        <is>
          <t>None</t>
        </is>
      </c>
      <c r="Z821" t="inlineStr">
        <is>
          <t>Valid</t>
        </is>
      </c>
      <c r="AA821" t="n">
        <v>2028</v>
      </c>
      <c r="AB821" t="inlineStr">
        <is>
          <t>Industry Haircut Pathway</t>
        </is>
      </c>
      <c r="AC821" t="n">
        <v>1548.3883</v>
      </c>
      <c r="AD821" t="n">
        <v>1018.2201</v>
      </c>
      <c r="AE821" t="n">
        <v>1272.7009</v>
      </c>
      <c r="AF821" t="n">
        <v>1272.7009</v>
      </c>
      <c r="AG821" t="n">
        <v>275.6874</v>
      </c>
      <c r="AH821" t="n">
        <v>0.00047156</v>
      </c>
      <c r="AI821" t="n">
        <v>0.178048</v>
      </c>
      <c r="AJ821" t="n">
        <v>254.4807</v>
      </c>
      <c r="AK821" t="n">
        <v>21.2067</v>
      </c>
      <c r="AL821" t="n">
        <v>11073.4778</v>
      </c>
      <c r="AM821" t="n">
        <v>5218.0438</v>
      </c>
      <c r="AN821" t="n">
        <v>0.95</v>
      </c>
      <c r="AO821" t="inlineStr">
        <is>
          <t>High</t>
        </is>
      </c>
      <c r="AP821" t="inlineStr">
        <is>
          <t>On Track to Glide Path</t>
        </is>
      </c>
    </row>
    <row r="822">
      <c r="A822" t="inlineStr">
        <is>
          <t>SUP-0052</t>
        </is>
      </c>
      <c r="B822" t="inlineStr">
        <is>
          <t>Electronics Supplier 052</t>
        </is>
      </c>
      <c r="C822" t="inlineStr">
        <is>
          <t>Electronics</t>
        </is>
      </c>
      <c r="D822" t="n">
        <v>2024</v>
      </c>
      <c r="E822" t="n">
        <v>2015</v>
      </c>
      <c r="F822" t="n">
        <v>2040</v>
      </c>
      <c r="G822" t="n">
        <v>1342.4416</v>
      </c>
      <c r="H822" t="n">
        <v>214.191</v>
      </c>
      <c r="I822" t="n">
        <v>166.702</v>
      </c>
      <c r="J822" t="n">
        <v>880.8258</v>
      </c>
      <c r="K822" t="n">
        <v>2698892</v>
      </c>
      <c r="L822" t="n">
        <v>16949044.66</v>
      </c>
      <c r="M822" t="n">
        <v>1342.4416</v>
      </c>
      <c r="N822" t="inlineStr">
        <is>
          <t>Provided Total Emissions</t>
        </is>
      </c>
      <c r="O822" t="b">
        <v>1</v>
      </c>
      <c r="P822" t="n">
        <v>-0.015733</v>
      </c>
      <c r="Q822" t="n">
        <v>-0.027604</v>
      </c>
      <c r="R822" t="n">
        <v>2323.881</v>
      </c>
      <c r="S822" t="n">
        <v>2363.8833</v>
      </c>
      <c r="T822" t="n">
        <v>981.4394</v>
      </c>
      <c r="U822" t="n">
        <v>1021.4417</v>
      </c>
      <c r="V822" t="n">
        <v>0.731085</v>
      </c>
      <c r="W822" t="n">
        <v>0.760883</v>
      </c>
      <c r="X822" t="inlineStr">
        <is>
          <t>High</t>
        </is>
      </c>
      <c r="Y822" t="inlineStr">
        <is>
          <t>None</t>
        </is>
      </c>
      <c r="Z822" t="inlineStr">
        <is>
          <t>Valid</t>
        </is>
      </c>
      <c r="AA822" t="n">
        <v>2029</v>
      </c>
      <c r="AB822" t="inlineStr">
        <is>
          <t>Industry Haircut Pathway</t>
        </is>
      </c>
      <c r="AC822" t="n">
        <v>1548.3883</v>
      </c>
      <c r="AD822" t="n">
        <v>1018.2201</v>
      </c>
      <c r="AE822" t="n">
        <v>1251.4941</v>
      </c>
      <c r="AF822" t="n">
        <v>1251.4941</v>
      </c>
      <c r="AG822" t="n">
        <v>296.8942</v>
      </c>
      <c r="AH822" t="n">
        <v>0.00046371</v>
      </c>
      <c r="AI822" t="n">
        <v>0.191744</v>
      </c>
      <c r="AJ822" t="n">
        <v>233.274</v>
      </c>
      <c r="AK822" t="n">
        <v>21.2067</v>
      </c>
      <c r="AL822" t="n">
        <v>9821.983700000001</v>
      </c>
      <c r="AM822" t="n">
        <v>6469.5379</v>
      </c>
      <c r="AN822" t="n">
        <v>0.95</v>
      </c>
      <c r="AO822" t="inlineStr">
        <is>
          <t>High</t>
        </is>
      </c>
      <c r="AP822" t="inlineStr">
        <is>
          <t>On Track to Glide Path</t>
        </is>
      </c>
    </row>
    <row r="823">
      <c r="A823" t="inlineStr">
        <is>
          <t>SUP-0052</t>
        </is>
      </c>
      <c r="B823" t="inlineStr">
        <is>
          <t>Electronics Supplier 052</t>
        </is>
      </c>
      <c r="C823" t="inlineStr">
        <is>
          <t>Electronics</t>
        </is>
      </c>
      <c r="D823" t="n">
        <v>2024</v>
      </c>
      <c r="E823" t="n">
        <v>2015</v>
      </c>
      <c r="F823" t="n">
        <v>2040</v>
      </c>
      <c r="G823" t="n">
        <v>1342.4416</v>
      </c>
      <c r="H823" t="n">
        <v>214.191</v>
      </c>
      <c r="I823" t="n">
        <v>166.702</v>
      </c>
      <c r="J823" t="n">
        <v>880.8258</v>
      </c>
      <c r="K823" t="n">
        <v>2698892</v>
      </c>
      <c r="L823" t="n">
        <v>16949044.66</v>
      </c>
      <c r="M823" t="n">
        <v>1342.4416</v>
      </c>
      <c r="N823" t="inlineStr">
        <is>
          <t>Provided Total Emissions</t>
        </is>
      </c>
      <c r="O823" t="b">
        <v>1</v>
      </c>
      <c r="P823" t="n">
        <v>-0.015733</v>
      </c>
      <c r="Q823" t="n">
        <v>-0.027604</v>
      </c>
      <c r="R823" t="n">
        <v>2323.881</v>
      </c>
      <c r="S823" t="n">
        <v>2363.8833</v>
      </c>
      <c r="T823" t="n">
        <v>981.4394</v>
      </c>
      <c r="U823" t="n">
        <v>1021.4417</v>
      </c>
      <c r="V823" t="n">
        <v>0.731085</v>
      </c>
      <c r="W823" t="n">
        <v>0.760883</v>
      </c>
      <c r="X823" t="inlineStr">
        <is>
          <t>High</t>
        </is>
      </c>
      <c r="Y823" t="inlineStr">
        <is>
          <t>None</t>
        </is>
      </c>
      <c r="Z823" t="inlineStr">
        <is>
          <t>Valid</t>
        </is>
      </c>
      <c r="AA823" t="n">
        <v>2030</v>
      </c>
      <c r="AB823" t="inlineStr">
        <is>
          <t>Industry Haircut Pathway</t>
        </is>
      </c>
      <c r="AC823" t="n">
        <v>1548.3883</v>
      </c>
      <c r="AD823" t="n">
        <v>1018.2201</v>
      </c>
      <c r="AE823" t="n">
        <v>1230.2874</v>
      </c>
      <c r="AF823" t="n">
        <v>1230.2874</v>
      </c>
      <c r="AG823" t="n">
        <v>318.1009</v>
      </c>
      <c r="AH823" t="n">
        <v>0.00045585</v>
      </c>
      <c r="AI823" t="n">
        <v>0.20544</v>
      </c>
      <c r="AJ823" t="n">
        <v>212.0673</v>
      </c>
      <c r="AK823" t="n">
        <v>21.2067</v>
      </c>
      <c r="AL823" t="n">
        <v>8591.6963</v>
      </c>
      <c r="AM823" t="n">
        <v>7699.8253</v>
      </c>
      <c r="AN823" t="n">
        <v>0.95</v>
      </c>
      <c r="AO823" t="inlineStr">
        <is>
          <t>High</t>
        </is>
      </c>
      <c r="AP823" t="inlineStr">
        <is>
          <t>On Track to Glide Path</t>
        </is>
      </c>
    </row>
    <row r="824">
      <c r="A824" t="inlineStr">
        <is>
          <t>SUP-0052</t>
        </is>
      </c>
      <c r="B824" t="inlineStr">
        <is>
          <t>Electronics Supplier 052</t>
        </is>
      </c>
      <c r="C824" t="inlineStr">
        <is>
          <t>Electronics</t>
        </is>
      </c>
      <c r="D824" t="n">
        <v>2024</v>
      </c>
      <c r="E824" t="n">
        <v>2015</v>
      </c>
      <c r="F824" t="n">
        <v>2040</v>
      </c>
      <c r="G824" t="n">
        <v>1342.4416</v>
      </c>
      <c r="H824" t="n">
        <v>214.191</v>
      </c>
      <c r="I824" t="n">
        <v>166.702</v>
      </c>
      <c r="J824" t="n">
        <v>880.8258</v>
      </c>
      <c r="K824" t="n">
        <v>2698892</v>
      </c>
      <c r="L824" t="n">
        <v>16949044.66</v>
      </c>
      <c r="M824" t="n">
        <v>1342.4416</v>
      </c>
      <c r="N824" t="inlineStr">
        <is>
          <t>Provided Total Emissions</t>
        </is>
      </c>
      <c r="O824" t="b">
        <v>1</v>
      </c>
      <c r="P824" t="n">
        <v>-0.015733</v>
      </c>
      <c r="Q824" t="n">
        <v>-0.027604</v>
      </c>
      <c r="R824" t="n">
        <v>2323.881</v>
      </c>
      <c r="S824" t="n">
        <v>2363.8833</v>
      </c>
      <c r="T824" t="n">
        <v>981.4394</v>
      </c>
      <c r="U824" t="n">
        <v>1021.4417</v>
      </c>
      <c r="V824" t="n">
        <v>0.731085</v>
      </c>
      <c r="W824" t="n">
        <v>0.760883</v>
      </c>
      <c r="X824" t="inlineStr">
        <is>
          <t>High</t>
        </is>
      </c>
      <c r="Y824" t="inlineStr">
        <is>
          <t>None</t>
        </is>
      </c>
      <c r="Z824" t="inlineStr">
        <is>
          <t>Valid</t>
        </is>
      </c>
      <c r="AA824" t="n">
        <v>2031</v>
      </c>
      <c r="AB824" t="inlineStr">
        <is>
          <t>Industry Haircut Pathway</t>
        </is>
      </c>
      <c r="AC824" t="n">
        <v>1548.3883</v>
      </c>
      <c r="AD824" t="n">
        <v>1018.2201</v>
      </c>
      <c r="AE824" t="n">
        <v>1209.0807</v>
      </c>
      <c r="AF824" t="n">
        <v>1209.0807</v>
      </c>
      <c r="AG824" t="n">
        <v>339.3076</v>
      </c>
      <c r="AH824" t="n">
        <v>0.00044799</v>
      </c>
      <c r="AI824" t="n">
        <v>0.219136</v>
      </c>
      <c r="AJ824" t="n">
        <v>190.8605</v>
      </c>
      <c r="AK824" t="n">
        <v>21.2067</v>
      </c>
      <c r="AL824" t="n">
        <v>7382.6156</v>
      </c>
      <c r="AM824" t="n">
        <v>8908.906000000001</v>
      </c>
      <c r="AN824" t="n">
        <v>0.95</v>
      </c>
      <c r="AO824" t="inlineStr">
        <is>
          <t>High</t>
        </is>
      </c>
      <c r="AP824" t="inlineStr">
        <is>
          <t>On Track to Glide Path</t>
        </is>
      </c>
    </row>
    <row r="825">
      <c r="A825" t="inlineStr">
        <is>
          <t>SUP-0052</t>
        </is>
      </c>
      <c r="B825" t="inlineStr">
        <is>
          <t>Electronics Supplier 052</t>
        </is>
      </c>
      <c r="C825" t="inlineStr">
        <is>
          <t>Electronics</t>
        </is>
      </c>
      <c r="D825" t="n">
        <v>2024</v>
      </c>
      <c r="E825" t="n">
        <v>2015</v>
      </c>
      <c r="F825" t="n">
        <v>2040</v>
      </c>
      <c r="G825" t="n">
        <v>1342.4416</v>
      </c>
      <c r="H825" t="n">
        <v>214.191</v>
      </c>
      <c r="I825" t="n">
        <v>166.702</v>
      </c>
      <c r="J825" t="n">
        <v>880.8258</v>
      </c>
      <c r="K825" t="n">
        <v>2698892</v>
      </c>
      <c r="L825" t="n">
        <v>16949044.66</v>
      </c>
      <c r="M825" t="n">
        <v>1342.4416</v>
      </c>
      <c r="N825" t="inlineStr">
        <is>
          <t>Provided Total Emissions</t>
        </is>
      </c>
      <c r="O825" t="b">
        <v>1</v>
      </c>
      <c r="P825" t="n">
        <v>-0.015733</v>
      </c>
      <c r="Q825" t="n">
        <v>-0.027604</v>
      </c>
      <c r="R825" t="n">
        <v>2323.881</v>
      </c>
      <c r="S825" t="n">
        <v>2363.8833</v>
      </c>
      <c r="T825" t="n">
        <v>981.4394</v>
      </c>
      <c r="U825" t="n">
        <v>1021.4417</v>
      </c>
      <c r="V825" t="n">
        <v>0.731085</v>
      </c>
      <c r="W825" t="n">
        <v>0.760883</v>
      </c>
      <c r="X825" t="inlineStr">
        <is>
          <t>High</t>
        </is>
      </c>
      <c r="Y825" t="inlineStr">
        <is>
          <t>None</t>
        </is>
      </c>
      <c r="Z825" t="inlineStr">
        <is>
          <t>Valid</t>
        </is>
      </c>
      <c r="AA825" t="n">
        <v>2032</v>
      </c>
      <c r="AB825" t="inlineStr">
        <is>
          <t>Industry Haircut Pathway</t>
        </is>
      </c>
      <c r="AC825" t="n">
        <v>1548.3883</v>
      </c>
      <c r="AD825" t="n">
        <v>1018.2201</v>
      </c>
      <c r="AE825" t="n">
        <v>1187.874</v>
      </c>
      <c r="AF825" t="n">
        <v>1187.874</v>
      </c>
      <c r="AG825" t="n">
        <v>360.5143</v>
      </c>
      <c r="AH825" t="n">
        <v>0.00044013</v>
      </c>
      <c r="AI825" t="n">
        <v>0.232832</v>
      </c>
      <c r="AJ825" t="n">
        <v>169.6538</v>
      </c>
      <c r="AK825" t="n">
        <v>21.2067</v>
      </c>
      <c r="AL825" t="n">
        <v>6194.7416</v>
      </c>
      <c r="AM825" t="n">
        <v>10096.78</v>
      </c>
      <c r="AN825" t="n">
        <v>0.95</v>
      </c>
      <c r="AO825" t="inlineStr">
        <is>
          <t>High</t>
        </is>
      </c>
      <c r="AP825" t="inlineStr">
        <is>
          <t>On Track to Glide Path</t>
        </is>
      </c>
    </row>
    <row r="826">
      <c r="A826" t="inlineStr">
        <is>
          <t>SUP-0052</t>
        </is>
      </c>
      <c r="B826" t="inlineStr">
        <is>
          <t>Electronics Supplier 052</t>
        </is>
      </c>
      <c r="C826" t="inlineStr">
        <is>
          <t>Electronics</t>
        </is>
      </c>
      <c r="D826" t="n">
        <v>2024</v>
      </c>
      <c r="E826" t="n">
        <v>2015</v>
      </c>
      <c r="F826" t="n">
        <v>2040</v>
      </c>
      <c r="G826" t="n">
        <v>1342.4416</v>
      </c>
      <c r="H826" t="n">
        <v>214.191</v>
      </c>
      <c r="I826" t="n">
        <v>166.702</v>
      </c>
      <c r="J826" t="n">
        <v>880.8258</v>
      </c>
      <c r="K826" t="n">
        <v>2698892</v>
      </c>
      <c r="L826" t="n">
        <v>16949044.66</v>
      </c>
      <c r="M826" t="n">
        <v>1342.4416</v>
      </c>
      <c r="N826" t="inlineStr">
        <is>
          <t>Provided Total Emissions</t>
        </is>
      </c>
      <c r="O826" t="b">
        <v>1</v>
      </c>
      <c r="P826" t="n">
        <v>-0.015733</v>
      </c>
      <c r="Q826" t="n">
        <v>-0.027604</v>
      </c>
      <c r="R826" t="n">
        <v>2323.881</v>
      </c>
      <c r="S826" t="n">
        <v>2363.8833</v>
      </c>
      <c r="T826" t="n">
        <v>981.4394</v>
      </c>
      <c r="U826" t="n">
        <v>1021.4417</v>
      </c>
      <c r="V826" t="n">
        <v>0.731085</v>
      </c>
      <c r="W826" t="n">
        <v>0.760883</v>
      </c>
      <c r="X826" t="inlineStr">
        <is>
          <t>High</t>
        </is>
      </c>
      <c r="Y826" t="inlineStr">
        <is>
          <t>None</t>
        </is>
      </c>
      <c r="Z826" t="inlineStr">
        <is>
          <t>Valid</t>
        </is>
      </c>
      <c r="AA826" t="n">
        <v>2033</v>
      </c>
      <c r="AB826" t="inlineStr">
        <is>
          <t>Industry Haircut Pathway</t>
        </is>
      </c>
      <c r="AC826" t="n">
        <v>1548.3883</v>
      </c>
      <c r="AD826" t="n">
        <v>1018.2201</v>
      </c>
      <c r="AE826" t="n">
        <v>1166.6672</v>
      </c>
      <c r="AF826" t="n">
        <v>1166.6672</v>
      </c>
      <c r="AG826" t="n">
        <v>381.7211</v>
      </c>
      <c r="AH826" t="n">
        <v>0.00043228</v>
      </c>
      <c r="AI826" t="n">
        <v>0.246528</v>
      </c>
      <c r="AJ826" t="n">
        <v>148.4471</v>
      </c>
      <c r="AK826" t="n">
        <v>21.2067</v>
      </c>
      <c r="AL826" t="n">
        <v>5028.0744</v>
      </c>
      <c r="AM826" t="n">
        <v>11263.4472</v>
      </c>
      <c r="AN826" t="n">
        <v>0.95</v>
      </c>
      <c r="AO826" t="inlineStr">
        <is>
          <t>Medium</t>
        </is>
      </c>
      <c r="AP826" t="inlineStr">
        <is>
          <t>On Track to Glide Path</t>
        </is>
      </c>
    </row>
    <row r="827">
      <c r="A827" t="inlineStr">
        <is>
          <t>SUP-0052</t>
        </is>
      </c>
      <c r="B827" t="inlineStr">
        <is>
          <t>Electronics Supplier 052</t>
        </is>
      </c>
      <c r="C827" t="inlineStr">
        <is>
          <t>Electronics</t>
        </is>
      </c>
      <c r="D827" t="n">
        <v>2024</v>
      </c>
      <c r="E827" t="n">
        <v>2015</v>
      </c>
      <c r="F827" t="n">
        <v>2040</v>
      </c>
      <c r="G827" t="n">
        <v>1342.4416</v>
      </c>
      <c r="H827" t="n">
        <v>214.191</v>
      </c>
      <c r="I827" t="n">
        <v>166.702</v>
      </c>
      <c r="J827" t="n">
        <v>880.8258</v>
      </c>
      <c r="K827" t="n">
        <v>2698892</v>
      </c>
      <c r="L827" t="n">
        <v>16949044.66</v>
      </c>
      <c r="M827" t="n">
        <v>1342.4416</v>
      </c>
      <c r="N827" t="inlineStr">
        <is>
          <t>Provided Total Emissions</t>
        </is>
      </c>
      <c r="O827" t="b">
        <v>1</v>
      </c>
      <c r="P827" t="n">
        <v>-0.015733</v>
      </c>
      <c r="Q827" t="n">
        <v>-0.027604</v>
      </c>
      <c r="R827" t="n">
        <v>2323.881</v>
      </c>
      <c r="S827" t="n">
        <v>2363.8833</v>
      </c>
      <c r="T827" t="n">
        <v>981.4394</v>
      </c>
      <c r="U827" t="n">
        <v>1021.4417</v>
      </c>
      <c r="V827" t="n">
        <v>0.731085</v>
      </c>
      <c r="W827" t="n">
        <v>0.760883</v>
      </c>
      <c r="X827" t="inlineStr">
        <is>
          <t>High</t>
        </is>
      </c>
      <c r="Y827" t="inlineStr">
        <is>
          <t>None</t>
        </is>
      </c>
      <c r="Z827" t="inlineStr">
        <is>
          <t>Valid</t>
        </is>
      </c>
      <c r="AA827" t="n">
        <v>2034</v>
      </c>
      <c r="AB827" t="inlineStr">
        <is>
          <t>Industry Haircut Pathway</t>
        </is>
      </c>
      <c r="AC827" t="n">
        <v>1548.3883</v>
      </c>
      <c r="AD827" t="n">
        <v>1018.2201</v>
      </c>
      <c r="AE827" t="n">
        <v>1145.4605</v>
      </c>
      <c r="AF827" t="n">
        <v>1145.4605</v>
      </c>
      <c r="AG827" t="n">
        <v>402.9278</v>
      </c>
      <c r="AH827" t="n">
        <v>0.00042442</v>
      </c>
      <c r="AI827" t="n">
        <v>0.260224</v>
      </c>
      <c r="AJ827" t="n">
        <v>127.2404</v>
      </c>
      <c r="AK827" t="n">
        <v>21.2067</v>
      </c>
      <c r="AL827" t="n">
        <v>3882.6139</v>
      </c>
      <c r="AM827" t="n">
        <v>12408.9077</v>
      </c>
      <c r="AN827" t="n">
        <v>0.95</v>
      </c>
      <c r="AO827" t="inlineStr">
        <is>
          <t>Medium</t>
        </is>
      </c>
      <c r="AP827" t="inlineStr">
        <is>
          <t>On Track to Glide Path</t>
        </is>
      </c>
    </row>
    <row r="828">
      <c r="A828" t="inlineStr">
        <is>
          <t>SUP-0052</t>
        </is>
      </c>
      <c r="B828" t="inlineStr">
        <is>
          <t>Electronics Supplier 052</t>
        </is>
      </c>
      <c r="C828" t="inlineStr">
        <is>
          <t>Electronics</t>
        </is>
      </c>
      <c r="D828" t="n">
        <v>2024</v>
      </c>
      <c r="E828" t="n">
        <v>2015</v>
      </c>
      <c r="F828" t="n">
        <v>2040</v>
      </c>
      <c r="G828" t="n">
        <v>1342.4416</v>
      </c>
      <c r="H828" t="n">
        <v>214.191</v>
      </c>
      <c r="I828" t="n">
        <v>166.702</v>
      </c>
      <c r="J828" t="n">
        <v>880.8258</v>
      </c>
      <c r="K828" t="n">
        <v>2698892</v>
      </c>
      <c r="L828" t="n">
        <v>16949044.66</v>
      </c>
      <c r="M828" t="n">
        <v>1342.4416</v>
      </c>
      <c r="N828" t="inlineStr">
        <is>
          <t>Provided Total Emissions</t>
        </is>
      </c>
      <c r="O828" t="b">
        <v>1</v>
      </c>
      <c r="P828" t="n">
        <v>-0.015733</v>
      </c>
      <c r="Q828" t="n">
        <v>-0.027604</v>
      </c>
      <c r="R828" t="n">
        <v>2323.881</v>
      </c>
      <c r="S828" t="n">
        <v>2363.8833</v>
      </c>
      <c r="T828" t="n">
        <v>981.4394</v>
      </c>
      <c r="U828" t="n">
        <v>1021.4417</v>
      </c>
      <c r="V828" t="n">
        <v>0.731085</v>
      </c>
      <c r="W828" t="n">
        <v>0.760883</v>
      </c>
      <c r="X828" t="inlineStr">
        <is>
          <t>High</t>
        </is>
      </c>
      <c r="Y828" t="inlineStr">
        <is>
          <t>None</t>
        </is>
      </c>
      <c r="Z828" t="inlineStr">
        <is>
          <t>Valid</t>
        </is>
      </c>
      <c r="AA828" t="n">
        <v>2035</v>
      </c>
      <c r="AB828" t="inlineStr">
        <is>
          <t>Industry Haircut Pathway</t>
        </is>
      </c>
      <c r="AC828" t="n">
        <v>1548.3883</v>
      </c>
      <c r="AD828" t="n">
        <v>1018.2201</v>
      </c>
      <c r="AE828" t="n">
        <v>1124.2538</v>
      </c>
      <c r="AF828" t="n">
        <v>1124.2538</v>
      </c>
      <c r="AG828" t="n">
        <v>424.1345</v>
      </c>
      <c r="AH828" t="n">
        <v>0.00041656</v>
      </c>
      <c r="AI828" t="n">
        <v>0.27392</v>
      </c>
      <c r="AJ828" t="n">
        <v>106.0336</v>
      </c>
      <c r="AK828" t="n">
        <v>21.2067</v>
      </c>
      <c r="AL828" t="n">
        <v>2758.3601</v>
      </c>
      <c r="AM828" t="n">
        <v>13533.1615</v>
      </c>
      <c r="AN828" t="n">
        <v>0.95</v>
      </c>
      <c r="AO828" t="inlineStr">
        <is>
          <t>Medium</t>
        </is>
      </c>
      <c r="AP828" t="inlineStr">
        <is>
          <t>On Track to Glide Path</t>
        </is>
      </c>
    </row>
    <row r="829">
      <c r="A829" t="inlineStr">
        <is>
          <t>SUP-0052</t>
        </is>
      </c>
      <c r="B829" t="inlineStr">
        <is>
          <t>Electronics Supplier 052</t>
        </is>
      </c>
      <c r="C829" t="inlineStr">
        <is>
          <t>Electronics</t>
        </is>
      </c>
      <c r="D829" t="n">
        <v>2024</v>
      </c>
      <c r="E829" t="n">
        <v>2015</v>
      </c>
      <c r="F829" t="n">
        <v>2040</v>
      </c>
      <c r="G829" t="n">
        <v>1342.4416</v>
      </c>
      <c r="H829" t="n">
        <v>214.191</v>
      </c>
      <c r="I829" t="n">
        <v>166.702</v>
      </c>
      <c r="J829" t="n">
        <v>880.8258</v>
      </c>
      <c r="K829" t="n">
        <v>2698892</v>
      </c>
      <c r="L829" t="n">
        <v>16949044.66</v>
      </c>
      <c r="M829" t="n">
        <v>1342.4416</v>
      </c>
      <c r="N829" t="inlineStr">
        <is>
          <t>Provided Total Emissions</t>
        </is>
      </c>
      <c r="O829" t="b">
        <v>1</v>
      </c>
      <c r="P829" t="n">
        <v>-0.015733</v>
      </c>
      <c r="Q829" t="n">
        <v>-0.027604</v>
      </c>
      <c r="R829" t="n">
        <v>2323.881</v>
      </c>
      <c r="S829" t="n">
        <v>2363.8833</v>
      </c>
      <c r="T829" t="n">
        <v>981.4394</v>
      </c>
      <c r="U829" t="n">
        <v>1021.4417</v>
      </c>
      <c r="V829" t="n">
        <v>0.731085</v>
      </c>
      <c r="W829" t="n">
        <v>0.760883</v>
      </c>
      <c r="X829" t="inlineStr">
        <is>
          <t>High</t>
        </is>
      </c>
      <c r="Y829" t="inlineStr">
        <is>
          <t>None</t>
        </is>
      </c>
      <c r="Z829" t="inlineStr">
        <is>
          <t>Valid</t>
        </is>
      </c>
      <c r="AA829" t="n">
        <v>2036</v>
      </c>
      <c r="AB829" t="inlineStr">
        <is>
          <t>Industry Haircut Pathway</t>
        </is>
      </c>
      <c r="AC829" t="n">
        <v>1548.3883</v>
      </c>
      <c r="AD829" t="n">
        <v>1018.2201</v>
      </c>
      <c r="AE829" t="n">
        <v>1103.0471</v>
      </c>
      <c r="AF829" t="n">
        <v>1103.0471</v>
      </c>
      <c r="AG829" t="n">
        <v>445.3412</v>
      </c>
      <c r="AH829" t="n">
        <v>0.0004087</v>
      </c>
      <c r="AI829" t="n">
        <v>0.287616</v>
      </c>
      <c r="AJ829" t="n">
        <v>84.82689999999999</v>
      </c>
      <c r="AK829" t="n">
        <v>21.2067</v>
      </c>
      <c r="AL829" t="n">
        <v>1655.313</v>
      </c>
      <c r="AM829" t="n">
        <v>14636.2086</v>
      </c>
      <c r="AN829" t="n">
        <v>0.95</v>
      </c>
      <c r="AO829" t="inlineStr">
        <is>
          <t>Medium</t>
        </is>
      </c>
      <c r="AP829" t="inlineStr">
        <is>
          <t>On Track to Glide Path</t>
        </is>
      </c>
    </row>
    <row r="830">
      <c r="A830" t="inlineStr">
        <is>
          <t>SUP-0052</t>
        </is>
      </c>
      <c r="B830" t="inlineStr">
        <is>
          <t>Electronics Supplier 052</t>
        </is>
      </c>
      <c r="C830" t="inlineStr">
        <is>
          <t>Electronics</t>
        </is>
      </c>
      <c r="D830" t="n">
        <v>2024</v>
      </c>
      <c r="E830" t="n">
        <v>2015</v>
      </c>
      <c r="F830" t="n">
        <v>2040</v>
      </c>
      <c r="G830" t="n">
        <v>1342.4416</v>
      </c>
      <c r="H830" t="n">
        <v>214.191</v>
      </c>
      <c r="I830" t="n">
        <v>166.702</v>
      </c>
      <c r="J830" t="n">
        <v>880.8258</v>
      </c>
      <c r="K830" t="n">
        <v>2698892</v>
      </c>
      <c r="L830" t="n">
        <v>16949044.66</v>
      </c>
      <c r="M830" t="n">
        <v>1342.4416</v>
      </c>
      <c r="N830" t="inlineStr">
        <is>
          <t>Provided Total Emissions</t>
        </is>
      </c>
      <c r="O830" t="b">
        <v>1</v>
      </c>
      <c r="P830" t="n">
        <v>-0.015733</v>
      </c>
      <c r="Q830" t="n">
        <v>-0.027604</v>
      </c>
      <c r="R830" t="n">
        <v>2323.881</v>
      </c>
      <c r="S830" t="n">
        <v>2363.8833</v>
      </c>
      <c r="T830" t="n">
        <v>981.4394</v>
      </c>
      <c r="U830" t="n">
        <v>1021.4417</v>
      </c>
      <c r="V830" t="n">
        <v>0.731085</v>
      </c>
      <c r="W830" t="n">
        <v>0.760883</v>
      </c>
      <c r="X830" t="inlineStr">
        <is>
          <t>High</t>
        </is>
      </c>
      <c r="Y830" t="inlineStr">
        <is>
          <t>None</t>
        </is>
      </c>
      <c r="Z830" t="inlineStr">
        <is>
          <t>Valid</t>
        </is>
      </c>
      <c r="AA830" t="n">
        <v>2037</v>
      </c>
      <c r="AB830" t="inlineStr">
        <is>
          <t>Industry Haircut Pathway</t>
        </is>
      </c>
      <c r="AC830" t="n">
        <v>1548.3883</v>
      </c>
      <c r="AD830" t="n">
        <v>1018.2201</v>
      </c>
      <c r="AE830" t="n">
        <v>1081.8403</v>
      </c>
      <c r="AF830" t="n">
        <v>1081.8403</v>
      </c>
      <c r="AG830" t="n">
        <v>466.548</v>
      </c>
      <c r="AH830" t="n">
        <v>0.00040085</v>
      </c>
      <c r="AI830" t="n">
        <v>0.301312</v>
      </c>
      <c r="AJ830" t="n">
        <v>63.6202</v>
      </c>
      <c r="AK830" t="n">
        <v>21.2067</v>
      </c>
      <c r="AL830" t="n">
        <v>573.4727</v>
      </c>
      <c r="AM830" t="n">
        <v>15718.0489</v>
      </c>
      <c r="AN830" t="n">
        <v>0.95</v>
      </c>
      <c r="AO830" t="inlineStr">
        <is>
          <t>Medium</t>
        </is>
      </c>
      <c r="AP830" t="inlineStr">
        <is>
          <t>On Track to Glide Path</t>
        </is>
      </c>
    </row>
    <row r="831">
      <c r="A831" t="inlineStr">
        <is>
          <t>SUP-0052</t>
        </is>
      </c>
      <c r="B831" t="inlineStr">
        <is>
          <t>Electronics Supplier 052</t>
        </is>
      </c>
      <c r="C831" t="inlineStr">
        <is>
          <t>Electronics</t>
        </is>
      </c>
      <c r="D831" t="n">
        <v>2024</v>
      </c>
      <c r="E831" t="n">
        <v>2015</v>
      </c>
      <c r="F831" t="n">
        <v>2040</v>
      </c>
      <c r="G831" t="n">
        <v>1342.4416</v>
      </c>
      <c r="H831" t="n">
        <v>214.191</v>
      </c>
      <c r="I831" t="n">
        <v>166.702</v>
      </c>
      <c r="J831" t="n">
        <v>880.8258</v>
      </c>
      <c r="K831" t="n">
        <v>2698892</v>
      </c>
      <c r="L831" t="n">
        <v>16949044.66</v>
      </c>
      <c r="M831" t="n">
        <v>1342.4416</v>
      </c>
      <c r="N831" t="inlineStr">
        <is>
          <t>Provided Total Emissions</t>
        </is>
      </c>
      <c r="O831" t="b">
        <v>1</v>
      </c>
      <c r="P831" t="n">
        <v>-0.015733</v>
      </c>
      <c r="Q831" t="n">
        <v>-0.027604</v>
      </c>
      <c r="R831" t="n">
        <v>2323.881</v>
      </c>
      <c r="S831" t="n">
        <v>2363.8833</v>
      </c>
      <c r="T831" t="n">
        <v>981.4394</v>
      </c>
      <c r="U831" t="n">
        <v>1021.4417</v>
      </c>
      <c r="V831" t="n">
        <v>0.731085</v>
      </c>
      <c r="W831" t="n">
        <v>0.760883</v>
      </c>
      <c r="X831" t="inlineStr">
        <is>
          <t>High</t>
        </is>
      </c>
      <c r="Y831" t="inlineStr">
        <is>
          <t>None</t>
        </is>
      </c>
      <c r="Z831" t="inlineStr">
        <is>
          <t>Valid</t>
        </is>
      </c>
      <c r="AA831" t="n">
        <v>2038</v>
      </c>
      <c r="AB831" t="inlineStr">
        <is>
          <t>Industry Haircut Pathway</t>
        </is>
      </c>
      <c r="AC831" t="n">
        <v>1548.3883</v>
      </c>
      <c r="AD831" t="n">
        <v>1018.2201</v>
      </c>
      <c r="AE831" t="n">
        <v>1060.6336</v>
      </c>
      <c r="AF831" t="n">
        <v>1060.6336</v>
      </c>
      <c r="AG831" t="n">
        <v>487.7547</v>
      </c>
      <c r="AH831" t="n">
        <v>0.00039299</v>
      </c>
      <c r="AI831" t="n">
        <v>0.315008</v>
      </c>
      <c r="AJ831" t="n">
        <v>42.4135</v>
      </c>
      <c r="AK831" t="n">
        <v>21.2067</v>
      </c>
      <c r="AL831" t="n">
        <v>-487.1609</v>
      </c>
      <c r="AM831" t="n">
        <v>16778.6825</v>
      </c>
      <c r="AN831" t="n">
        <v>0.95</v>
      </c>
      <c r="AO831" t="inlineStr">
        <is>
          <t>Medium</t>
        </is>
      </c>
      <c r="AP831" t="inlineStr">
        <is>
          <t>On Track to Glide Path</t>
        </is>
      </c>
    </row>
    <row r="832">
      <c r="A832" t="inlineStr">
        <is>
          <t>SUP-0052</t>
        </is>
      </c>
      <c r="B832" t="inlineStr">
        <is>
          <t>Electronics Supplier 052</t>
        </is>
      </c>
      <c r="C832" t="inlineStr">
        <is>
          <t>Electronics</t>
        </is>
      </c>
      <c r="D832" t="n">
        <v>2024</v>
      </c>
      <c r="E832" t="n">
        <v>2015</v>
      </c>
      <c r="F832" t="n">
        <v>2040</v>
      </c>
      <c r="G832" t="n">
        <v>1342.4416</v>
      </c>
      <c r="H832" t="n">
        <v>214.191</v>
      </c>
      <c r="I832" t="n">
        <v>166.702</v>
      </c>
      <c r="J832" t="n">
        <v>880.8258</v>
      </c>
      <c r="K832" t="n">
        <v>2698892</v>
      </c>
      <c r="L832" t="n">
        <v>16949044.66</v>
      </c>
      <c r="M832" t="n">
        <v>1342.4416</v>
      </c>
      <c r="N832" t="inlineStr">
        <is>
          <t>Provided Total Emissions</t>
        </is>
      </c>
      <c r="O832" t="b">
        <v>1</v>
      </c>
      <c r="P832" t="n">
        <v>-0.015733</v>
      </c>
      <c r="Q832" t="n">
        <v>-0.027604</v>
      </c>
      <c r="R832" t="n">
        <v>2323.881</v>
      </c>
      <c r="S832" t="n">
        <v>2363.8833</v>
      </c>
      <c r="T832" t="n">
        <v>981.4394</v>
      </c>
      <c r="U832" t="n">
        <v>1021.4417</v>
      </c>
      <c r="V832" t="n">
        <v>0.731085</v>
      </c>
      <c r="W832" t="n">
        <v>0.760883</v>
      </c>
      <c r="X832" t="inlineStr">
        <is>
          <t>High</t>
        </is>
      </c>
      <c r="Y832" t="inlineStr">
        <is>
          <t>None</t>
        </is>
      </c>
      <c r="Z832" t="inlineStr">
        <is>
          <t>Valid</t>
        </is>
      </c>
      <c r="AA832" t="n">
        <v>2039</v>
      </c>
      <c r="AB832" t="inlineStr">
        <is>
          <t>Industry Haircut Pathway</t>
        </is>
      </c>
      <c r="AC832" t="n">
        <v>1548.3883</v>
      </c>
      <c r="AD832" t="n">
        <v>1018.2201</v>
      </c>
      <c r="AE832" t="n">
        <v>1039.4269</v>
      </c>
      <c r="AF832" t="n">
        <v>1039.4269</v>
      </c>
      <c r="AG832" t="n">
        <v>508.9614</v>
      </c>
      <c r="AH832" t="n">
        <v>0.00038513</v>
      </c>
      <c r="AI832" t="n">
        <v>0.328704</v>
      </c>
      <c r="AJ832" t="n">
        <v>21.2067</v>
      </c>
      <c r="AK832" t="n">
        <v>21.2067</v>
      </c>
      <c r="AL832" t="n">
        <v>-1526.5878</v>
      </c>
      <c r="AM832" t="n">
        <v>17818.1094</v>
      </c>
      <c r="AN832" t="n">
        <v>0.95</v>
      </c>
      <c r="AO832" t="inlineStr">
        <is>
          <t>Medium</t>
        </is>
      </c>
      <c r="AP832" t="inlineStr">
        <is>
          <t>On Track to Glide Path</t>
        </is>
      </c>
    </row>
    <row r="833">
      <c r="A833" t="inlineStr">
        <is>
          <t>SUP-0052</t>
        </is>
      </c>
      <c r="B833" t="inlineStr">
        <is>
          <t>Electronics Supplier 052</t>
        </is>
      </c>
      <c r="C833" t="inlineStr">
        <is>
          <t>Electronics</t>
        </is>
      </c>
      <c r="D833" t="n">
        <v>2024</v>
      </c>
      <c r="E833" t="n">
        <v>2015</v>
      </c>
      <c r="F833" t="n">
        <v>2040</v>
      </c>
      <c r="G833" t="n">
        <v>1342.4416</v>
      </c>
      <c r="H833" t="n">
        <v>214.191</v>
      </c>
      <c r="I833" t="n">
        <v>166.702</v>
      </c>
      <c r="J833" t="n">
        <v>880.8258</v>
      </c>
      <c r="K833" t="n">
        <v>2698892</v>
      </c>
      <c r="L833" t="n">
        <v>16949044.66</v>
      </c>
      <c r="M833" t="n">
        <v>1342.4416</v>
      </c>
      <c r="N833" t="inlineStr">
        <is>
          <t>Provided Total Emissions</t>
        </is>
      </c>
      <c r="O833" t="b">
        <v>1</v>
      </c>
      <c r="P833" t="n">
        <v>-0.015733</v>
      </c>
      <c r="Q833" t="n">
        <v>-0.027604</v>
      </c>
      <c r="R833" t="n">
        <v>2323.881</v>
      </c>
      <c r="S833" t="n">
        <v>2363.8833</v>
      </c>
      <c r="T833" t="n">
        <v>981.4394</v>
      </c>
      <c r="U833" t="n">
        <v>1021.4417</v>
      </c>
      <c r="V833" t="n">
        <v>0.731085</v>
      </c>
      <c r="W833" t="n">
        <v>0.760883</v>
      </c>
      <c r="X833" t="inlineStr">
        <is>
          <t>High</t>
        </is>
      </c>
      <c r="Y833" t="inlineStr">
        <is>
          <t>None</t>
        </is>
      </c>
      <c r="Z833" t="inlineStr">
        <is>
          <t>Valid</t>
        </is>
      </c>
      <c r="AA833" t="n">
        <v>2040</v>
      </c>
      <c r="AB833" t="inlineStr">
        <is>
          <t>Industry Haircut Pathway</t>
        </is>
      </c>
      <c r="AC833" t="n">
        <v>1548.3883</v>
      </c>
      <c r="AD833" t="n">
        <v>1018.2201</v>
      </c>
      <c r="AE833" t="n">
        <v>1018.2201</v>
      </c>
      <c r="AF833" t="n">
        <v>1018.2201</v>
      </c>
      <c r="AG833" t="n">
        <v>530.1682</v>
      </c>
      <c r="AH833" t="n">
        <v>0.00037727</v>
      </c>
      <c r="AI833" t="n">
        <v>0.3424</v>
      </c>
      <c r="AJ833" t="n">
        <v>0</v>
      </c>
      <c r="AK833" t="n">
        <v>21.2067</v>
      </c>
      <c r="AL833" t="n">
        <v>-2544.8079</v>
      </c>
      <c r="AM833" t="n">
        <v>18836.3295</v>
      </c>
      <c r="AN833" t="n">
        <v>0.95</v>
      </c>
      <c r="AO833" t="inlineStr">
        <is>
          <t>Low</t>
        </is>
      </c>
      <c r="AP833" t="inlineStr">
        <is>
          <t>On Track</t>
        </is>
      </c>
    </row>
    <row r="834">
      <c r="A834" t="inlineStr">
        <is>
          <t>SUP-0053</t>
        </is>
      </c>
      <c r="B834" t="inlineStr">
        <is>
          <t>Electronics Supplier 053</t>
        </is>
      </c>
      <c r="C834" t="inlineStr">
        <is>
          <t>Electronics</t>
        </is>
      </c>
      <c r="D834" t="n">
        <v>2024</v>
      </c>
      <c r="E834" t="n">
        <v>2021</v>
      </c>
      <c r="F834" t="n">
        <v>2030</v>
      </c>
      <c r="G834" t="n">
        <v>4992.2479</v>
      </c>
      <c r="H834" t="n">
        <v>685.8043</v>
      </c>
      <c r="I834" t="n">
        <v>584.2320999999999</v>
      </c>
      <c r="J834" t="n">
        <v>3799.3045</v>
      </c>
      <c r="K834" t="n">
        <v>7469190.27</v>
      </c>
      <c r="L834" t="n">
        <v>35983983.63</v>
      </c>
      <c r="M834" t="n">
        <v>4992.2479</v>
      </c>
      <c r="N834" t="inlineStr">
        <is>
          <t>Provided Total Emissions</t>
        </is>
      </c>
      <c r="O834" t="b">
        <v>1</v>
      </c>
      <c r="P834" t="n">
        <v>-0.061362</v>
      </c>
      <c r="Q834" t="n">
        <v>-0.026033</v>
      </c>
      <c r="R834" t="n">
        <v>6431.3463</v>
      </c>
      <c r="S834" t="n">
        <v>5018.6862</v>
      </c>
      <c r="T834" t="n">
        <v>1439.0984</v>
      </c>
      <c r="U834" t="n">
        <v>26.4383</v>
      </c>
      <c r="V834" t="n">
        <v>0.288267</v>
      </c>
      <c r="W834" t="n">
        <v>0.005296</v>
      </c>
      <c r="X834" t="inlineStr">
        <is>
          <t>High</t>
        </is>
      </c>
      <c r="Y834" t="inlineStr">
        <is>
          <t>None</t>
        </is>
      </c>
      <c r="Z834" t="inlineStr">
        <is>
          <t>Valid</t>
        </is>
      </c>
      <c r="AA834" t="n">
        <v>2025</v>
      </c>
      <c r="AB834" t="inlineStr">
        <is>
          <t>Supplier Target Pathway</t>
        </is>
      </c>
      <c r="AC834" t="n">
        <v>5361.5757</v>
      </c>
      <c r="AD834" t="n">
        <v>2228.807</v>
      </c>
      <c r="AE834" t="n">
        <v>3969.2341</v>
      </c>
      <c r="AF834" t="n">
        <v>3969.2341</v>
      </c>
      <c r="AG834" t="n">
        <v>1392.3416</v>
      </c>
      <c r="AH834" t="n">
        <v>0.00053141</v>
      </c>
      <c r="AI834" t="n">
        <v>0.259689</v>
      </c>
      <c r="AJ834" t="n">
        <v>1740.427</v>
      </c>
      <c r="AK834" t="n">
        <v>348.0854</v>
      </c>
      <c r="AL834" t="n">
        <v>9403.607900000001</v>
      </c>
      <c r="AM834" t="n">
        <v>3969.2341</v>
      </c>
      <c r="AN834" t="n">
        <v>0.99</v>
      </c>
      <c r="AO834" t="inlineStr">
        <is>
          <t>Critical</t>
        </is>
      </c>
      <c r="AP834" t="inlineStr">
        <is>
          <t>On Track to Glide Path</t>
        </is>
      </c>
    </row>
    <row r="835">
      <c r="A835" t="inlineStr">
        <is>
          <t>SUP-0053</t>
        </is>
      </c>
      <c r="B835" t="inlineStr">
        <is>
          <t>Electronics Supplier 053</t>
        </is>
      </c>
      <c r="C835" t="inlineStr">
        <is>
          <t>Electronics</t>
        </is>
      </c>
      <c r="D835" t="n">
        <v>2024</v>
      </c>
      <c r="E835" t="n">
        <v>2021</v>
      </c>
      <c r="F835" t="n">
        <v>2030</v>
      </c>
      <c r="G835" t="n">
        <v>4992.2479</v>
      </c>
      <c r="H835" t="n">
        <v>685.8043</v>
      </c>
      <c r="I835" t="n">
        <v>584.2320999999999</v>
      </c>
      <c r="J835" t="n">
        <v>3799.3045</v>
      </c>
      <c r="K835" t="n">
        <v>7469190.27</v>
      </c>
      <c r="L835" t="n">
        <v>35983983.63</v>
      </c>
      <c r="M835" t="n">
        <v>4992.2479</v>
      </c>
      <c r="N835" t="inlineStr">
        <is>
          <t>Provided Total Emissions</t>
        </is>
      </c>
      <c r="O835" t="b">
        <v>1</v>
      </c>
      <c r="P835" t="n">
        <v>-0.061362</v>
      </c>
      <c r="Q835" t="n">
        <v>-0.026033</v>
      </c>
      <c r="R835" t="n">
        <v>6431.3463</v>
      </c>
      <c r="S835" t="n">
        <v>5018.6862</v>
      </c>
      <c r="T835" t="n">
        <v>1439.0984</v>
      </c>
      <c r="U835" t="n">
        <v>26.4383</v>
      </c>
      <c r="V835" t="n">
        <v>0.288267</v>
      </c>
      <c r="W835" t="n">
        <v>0.005296</v>
      </c>
      <c r="X835" t="inlineStr">
        <is>
          <t>High</t>
        </is>
      </c>
      <c r="Y835" t="inlineStr">
        <is>
          <t>None</t>
        </is>
      </c>
      <c r="Z835" t="inlineStr">
        <is>
          <t>Valid</t>
        </is>
      </c>
      <c r="AA835" t="n">
        <v>2026</v>
      </c>
      <c r="AB835" t="inlineStr">
        <is>
          <t>Supplier Target Pathway</t>
        </is>
      </c>
      <c r="AC835" t="n">
        <v>5361.5757</v>
      </c>
      <c r="AD835" t="n">
        <v>2228.807</v>
      </c>
      <c r="AE835" t="n">
        <v>3621.1487</v>
      </c>
      <c r="AF835" t="n">
        <v>3621.1487</v>
      </c>
      <c r="AG835" t="n">
        <v>1740.427</v>
      </c>
      <c r="AH835" t="n">
        <v>0.00048481</v>
      </c>
      <c r="AI835" t="n">
        <v>0.324611</v>
      </c>
      <c r="AJ835" t="n">
        <v>1392.3416</v>
      </c>
      <c r="AK835" t="n">
        <v>348.0854</v>
      </c>
      <c r="AL835" t="n">
        <v>5782.4592</v>
      </c>
      <c r="AM835" t="n">
        <v>7590.3828</v>
      </c>
      <c r="AN835" t="n">
        <v>0.99</v>
      </c>
      <c r="AO835" t="inlineStr">
        <is>
          <t>Critical</t>
        </is>
      </c>
      <c r="AP835" t="inlineStr">
        <is>
          <t>On Track to Glide Path</t>
        </is>
      </c>
    </row>
    <row r="836">
      <c r="A836" t="inlineStr">
        <is>
          <t>SUP-0053</t>
        </is>
      </c>
      <c r="B836" t="inlineStr">
        <is>
          <t>Electronics Supplier 053</t>
        </is>
      </c>
      <c r="C836" t="inlineStr">
        <is>
          <t>Electronics</t>
        </is>
      </c>
      <c r="D836" t="n">
        <v>2024</v>
      </c>
      <c r="E836" t="n">
        <v>2021</v>
      </c>
      <c r="F836" t="n">
        <v>2030</v>
      </c>
      <c r="G836" t="n">
        <v>4992.2479</v>
      </c>
      <c r="H836" t="n">
        <v>685.8043</v>
      </c>
      <c r="I836" t="n">
        <v>584.2320999999999</v>
      </c>
      <c r="J836" t="n">
        <v>3799.3045</v>
      </c>
      <c r="K836" t="n">
        <v>7469190.27</v>
      </c>
      <c r="L836" t="n">
        <v>35983983.63</v>
      </c>
      <c r="M836" t="n">
        <v>4992.2479</v>
      </c>
      <c r="N836" t="inlineStr">
        <is>
          <t>Provided Total Emissions</t>
        </is>
      </c>
      <c r="O836" t="b">
        <v>1</v>
      </c>
      <c r="P836" t="n">
        <v>-0.061362</v>
      </c>
      <c r="Q836" t="n">
        <v>-0.026033</v>
      </c>
      <c r="R836" t="n">
        <v>6431.3463</v>
      </c>
      <c r="S836" t="n">
        <v>5018.6862</v>
      </c>
      <c r="T836" t="n">
        <v>1439.0984</v>
      </c>
      <c r="U836" t="n">
        <v>26.4383</v>
      </c>
      <c r="V836" t="n">
        <v>0.288267</v>
      </c>
      <c r="W836" t="n">
        <v>0.005296</v>
      </c>
      <c r="X836" t="inlineStr">
        <is>
          <t>High</t>
        </is>
      </c>
      <c r="Y836" t="inlineStr">
        <is>
          <t>None</t>
        </is>
      </c>
      <c r="Z836" t="inlineStr">
        <is>
          <t>Valid</t>
        </is>
      </c>
      <c r="AA836" t="n">
        <v>2027</v>
      </c>
      <c r="AB836" t="inlineStr">
        <is>
          <t>Supplier Target Pathway</t>
        </is>
      </c>
      <c r="AC836" t="n">
        <v>5361.5757</v>
      </c>
      <c r="AD836" t="n">
        <v>2228.807</v>
      </c>
      <c r="AE836" t="n">
        <v>3273.0632</v>
      </c>
      <c r="AF836" t="n">
        <v>3273.0632</v>
      </c>
      <c r="AG836" t="n">
        <v>2088.5125</v>
      </c>
      <c r="AH836" t="n">
        <v>0.00043821</v>
      </c>
      <c r="AI836" t="n">
        <v>0.389533</v>
      </c>
      <c r="AJ836" t="n">
        <v>1044.2562</v>
      </c>
      <c r="AK836" t="n">
        <v>348.0854</v>
      </c>
      <c r="AL836" t="n">
        <v>2509.396</v>
      </c>
      <c r="AM836" t="n">
        <v>10863.446</v>
      </c>
      <c r="AN836" t="n">
        <v>0.99</v>
      </c>
      <c r="AO836" t="inlineStr">
        <is>
          <t>Critical</t>
        </is>
      </c>
      <c r="AP836" t="inlineStr">
        <is>
          <t>On Track to Glide Path</t>
        </is>
      </c>
    </row>
    <row r="837">
      <c r="A837" t="inlineStr">
        <is>
          <t>SUP-0053</t>
        </is>
      </c>
      <c r="B837" t="inlineStr">
        <is>
          <t>Electronics Supplier 053</t>
        </is>
      </c>
      <c r="C837" t="inlineStr">
        <is>
          <t>Electronics</t>
        </is>
      </c>
      <c r="D837" t="n">
        <v>2024</v>
      </c>
      <c r="E837" t="n">
        <v>2021</v>
      </c>
      <c r="F837" t="n">
        <v>2030</v>
      </c>
      <c r="G837" t="n">
        <v>4992.2479</v>
      </c>
      <c r="H837" t="n">
        <v>685.8043</v>
      </c>
      <c r="I837" t="n">
        <v>584.2320999999999</v>
      </c>
      <c r="J837" t="n">
        <v>3799.3045</v>
      </c>
      <c r="K837" t="n">
        <v>7469190.27</v>
      </c>
      <c r="L837" t="n">
        <v>35983983.63</v>
      </c>
      <c r="M837" t="n">
        <v>4992.2479</v>
      </c>
      <c r="N837" t="inlineStr">
        <is>
          <t>Provided Total Emissions</t>
        </is>
      </c>
      <c r="O837" t="b">
        <v>1</v>
      </c>
      <c r="P837" t="n">
        <v>-0.061362</v>
      </c>
      <c r="Q837" t="n">
        <v>-0.026033</v>
      </c>
      <c r="R837" t="n">
        <v>6431.3463</v>
      </c>
      <c r="S837" t="n">
        <v>5018.6862</v>
      </c>
      <c r="T837" t="n">
        <v>1439.0984</v>
      </c>
      <c r="U837" t="n">
        <v>26.4383</v>
      </c>
      <c r="V837" t="n">
        <v>0.288267</v>
      </c>
      <c r="W837" t="n">
        <v>0.005296</v>
      </c>
      <c r="X837" t="inlineStr">
        <is>
          <t>High</t>
        </is>
      </c>
      <c r="Y837" t="inlineStr">
        <is>
          <t>None</t>
        </is>
      </c>
      <c r="Z837" t="inlineStr">
        <is>
          <t>Valid</t>
        </is>
      </c>
      <c r="AA837" t="n">
        <v>2028</v>
      </c>
      <c r="AB837" t="inlineStr">
        <is>
          <t>Supplier Target Pathway</t>
        </is>
      </c>
      <c r="AC837" t="n">
        <v>5361.5757</v>
      </c>
      <c r="AD837" t="n">
        <v>2228.807</v>
      </c>
      <c r="AE837" t="n">
        <v>2924.9778</v>
      </c>
      <c r="AF837" t="n">
        <v>2924.9778</v>
      </c>
      <c r="AG837" t="n">
        <v>2436.5979</v>
      </c>
      <c r="AH837" t="n">
        <v>0.00039161</v>
      </c>
      <c r="AI837" t="n">
        <v>0.454456</v>
      </c>
      <c r="AJ837" t="n">
        <v>696.1708</v>
      </c>
      <c r="AK837" t="n">
        <v>348.0854</v>
      </c>
      <c r="AL837" t="n">
        <v>-415.5818</v>
      </c>
      <c r="AM837" t="n">
        <v>13788.4238</v>
      </c>
      <c r="AN837" t="n">
        <v>0.99</v>
      </c>
      <c r="AO837" t="inlineStr">
        <is>
          <t>High</t>
        </is>
      </c>
      <c r="AP837" t="inlineStr">
        <is>
          <t>On Track to Glide Path</t>
        </is>
      </c>
    </row>
    <row r="838">
      <c r="A838" t="inlineStr">
        <is>
          <t>SUP-0053</t>
        </is>
      </c>
      <c r="B838" t="inlineStr">
        <is>
          <t>Electronics Supplier 053</t>
        </is>
      </c>
      <c r="C838" t="inlineStr">
        <is>
          <t>Electronics</t>
        </is>
      </c>
      <c r="D838" t="n">
        <v>2024</v>
      </c>
      <c r="E838" t="n">
        <v>2021</v>
      </c>
      <c r="F838" t="n">
        <v>2030</v>
      </c>
      <c r="G838" t="n">
        <v>4992.2479</v>
      </c>
      <c r="H838" t="n">
        <v>685.8043</v>
      </c>
      <c r="I838" t="n">
        <v>584.2320999999999</v>
      </c>
      <c r="J838" t="n">
        <v>3799.3045</v>
      </c>
      <c r="K838" t="n">
        <v>7469190.27</v>
      </c>
      <c r="L838" t="n">
        <v>35983983.63</v>
      </c>
      <c r="M838" t="n">
        <v>4992.2479</v>
      </c>
      <c r="N838" t="inlineStr">
        <is>
          <t>Provided Total Emissions</t>
        </is>
      </c>
      <c r="O838" t="b">
        <v>1</v>
      </c>
      <c r="P838" t="n">
        <v>-0.061362</v>
      </c>
      <c r="Q838" t="n">
        <v>-0.026033</v>
      </c>
      <c r="R838" t="n">
        <v>6431.3463</v>
      </c>
      <c r="S838" t="n">
        <v>5018.6862</v>
      </c>
      <c r="T838" t="n">
        <v>1439.0984</v>
      </c>
      <c r="U838" t="n">
        <v>26.4383</v>
      </c>
      <c r="V838" t="n">
        <v>0.288267</v>
      </c>
      <c r="W838" t="n">
        <v>0.005296</v>
      </c>
      <c r="X838" t="inlineStr">
        <is>
          <t>High</t>
        </is>
      </c>
      <c r="Y838" t="inlineStr">
        <is>
          <t>None</t>
        </is>
      </c>
      <c r="Z838" t="inlineStr">
        <is>
          <t>Valid</t>
        </is>
      </c>
      <c r="AA838" t="n">
        <v>2029</v>
      </c>
      <c r="AB838" t="inlineStr">
        <is>
          <t>Supplier Target Pathway</t>
        </is>
      </c>
      <c r="AC838" t="n">
        <v>5361.5757</v>
      </c>
      <c r="AD838" t="n">
        <v>2228.807</v>
      </c>
      <c r="AE838" t="n">
        <v>2576.8924</v>
      </c>
      <c r="AF838" t="n">
        <v>2576.8924</v>
      </c>
      <c r="AG838" t="n">
        <v>2784.6833</v>
      </c>
      <c r="AH838" t="n">
        <v>0.000345</v>
      </c>
      <c r="AI838" t="n">
        <v>0.519378</v>
      </c>
      <c r="AJ838" t="n">
        <v>348.0854</v>
      </c>
      <c r="AK838" t="n">
        <v>348.0854</v>
      </c>
      <c r="AL838" t="n">
        <v>-2992.4742</v>
      </c>
      <c r="AM838" t="n">
        <v>16365.3162</v>
      </c>
      <c r="AN838" t="n">
        <v>0.99</v>
      </c>
      <c r="AO838" t="inlineStr">
        <is>
          <t>High</t>
        </is>
      </c>
      <c r="AP838" t="inlineStr">
        <is>
          <t>On Track to Glide Path</t>
        </is>
      </c>
    </row>
    <row r="839">
      <c r="A839" t="inlineStr">
        <is>
          <t>SUP-0053</t>
        </is>
      </c>
      <c r="B839" t="inlineStr">
        <is>
          <t>Electronics Supplier 053</t>
        </is>
      </c>
      <c r="C839" t="inlineStr">
        <is>
          <t>Electronics</t>
        </is>
      </c>
      <c r="D839" t="n">
        <v>2024</v>
      </c>
      <c r="E839" t="n">
        <v>2021</v>
      </c>
      <c r="F839" t="n">
        <v>2030</v>
      </c>
      <c r="G839" t="n">
        <v>4992.2479</v>
      </c>
      <c r="H839" t="n">
        <v>685.8043</v>
      </c>
      <c r="I839" t="n">
        <v>584.2320999999999</v>
      </c>
      <c r="J839" t="n">
        <v>3799.3045</v>
      </c>
      <c r="K839" t="n">
        <v>7469190.27</v>
      </c>
      <c r="L839" t="n">
        <v>35983983.63</v>
      </c>
      <c r="M839" t="n">
        <v>4992.2479</v>
      </c>
      <c r="N839" t="inlineStr">
        <is>
          <t>Provided Total Emissions</t>
        </is>
      </c>
      <c r="O839" t="b">
        <v>1</v>
      </c>
      <c r="P839" t="n">
        <v>-0.061362</v>
      </c>
      <c r="Q839" t="n">
        <v>-0.026033</v>
      </c>
      <c r="R839" t="n">
        <v>6431.3463</v>
      </c>
      <c r="S839" t="n">
        <v>5018.6862</v>
      </c>
      <c r="T839" t="n">
        <v>1439.0984</v>
      </c>
      <c r="U839" t="n">
        <v>26.4383</v>
      </c>
      <c r="V839" t="n">
        <v>0.288267</v>
      </c>
      <c r="W839" t="n">
        <v>0.005296</v>
      </c>
      <c r="X839" t="inlineStr">
        <is>
          <t>High</t>
        </is>
      </c>
      <c r="Y839" t="inlineStr">
        <is>
          <t>None</t>
        </is>
      </c>
      <c r="Z839" t="inlineStr">
        <is>
          <t>Valid</t>
        </is>
      </c>
      <c r="AA839" t="n">
        <v>2030</v>
      </c>
      <c r="AB839" t="inlineStr">
        <is>
          <t>Supplier Target Pathway</t>
        </is>
      </c>
      <c r="AC839" t="n">
        <v>5361.5757</v>
      </c>
      <c r="AD839" t="n">
        <v>2228.807</v>
      </c>
      <c r="AE839" t="n">
        <v>2228.807</v>
      </c>
      <c r="AF839" t="n">
        <v>2228.807</v>
      </c>
      <c r="AG839" t="n">
        <v>3132.7687</v>
      </c>
      <c r="AH839" t="n">
        <v>0.0002984</v>
      </c>
      <c r="AI839" t="n">
        <v>0.5843</v>
      </c>
      <c r="AJ839" t="n">
        <v>0</v>
      </c>
      <c r="AK839" t="n">
        <v>348.0854</v>
      </c>
      <c r="AL839" t="n">
        <v>-5221.2812</v>
      </c>
      <c r="AM839" t="n">
        <v>18594.1232</v>
      </c>
      <c r="AN839" t="n">
        <v>0.99</v>
      </c>
      <c r="AO839" t="inlineStr">
        <is>
          <t>Low</t>
        </is>
      </c>
      <c r="AP839" t="inlineStr">
        <is>
          <t>On Track</t>
        </is>
      </c>
    </row>
    <row r="840">
      <c r="A840" t="inlineStr">
        <is>
          <t>SUP-0053</t>
        </is>
      </c>
      <c r="B840" t="inlineStr">
        <is>
          <t>Electronics Supplier 053</t>
        </is>
      </c>
      <c r="C840" t="inlineStr">
        <is>
          <t>Electronics</t>
        </is>
      </c>
      <c r="D840" t="n">
        <v>2024</v>
      </c>
      <c r="E840" t="n">
        <v>2021</v>
      </c>
      <c r="F840" t="n">
        <v>2030</v>
      </c>
      <c r="G840" t="n">
        <v>4992.2479</v>
      </c>
      <c r="H840" t="n">
        <v>685.8043</v>
      </c>
      <c r="I840" t="n">
        <v>584.2320999999999</v>
      </c>
      <c r="J840" t="n">
        <v>3799.3045</v>
      </c>
      <c r="K840" t="n">
        <v>7469190.27</v>
      </c>
      <c r="L840" t="n">
        <v>35983983.63</v>
      </c>
      <c r="M840" t="n">
        <v>4992.2479</v>
      </c>
      <c r="N840" t="inlineStr">
        <is>
          <t>Provided Total Emissions</t>
        </is>
      </c>
      <c r="O840" t="b">
        <v>1</v>
      </c>
      <c r="P840" t="n">
        <v>-0.061362</v>
      </c>
      <c r="Q840" t="n">
        <v>-0.026033</v>
      </c>
      <c r="R840" t="n">
        <v>6431.3463</v>
      </c>
      <c r="S840" t="n">
        <v>5018.6862</v>
      </c>
      <c r="T840" t="n">
        <v>1439.0984</v>
      </c>
      <c r="U840" t="n">
        <v>26.4383</v>
      </c>
      <c r="V840" t="n">
        <v>0.288267</v>
      </c>
      <c r="W840" t="n">
        <v>0.005296</v>
      </c>
      <c r="X840" t="inlineStr">
        <is>
          <t>High</t>
        </is>
      </c>
      <c r="Y840" t="inlineStr">
        <is>
          <t>None</t>
        </is>
      </c>
      <c r="Z840" t="inlineStr">
        <is>
          <t>Valid</t>
        </is>
      </c>
      <c r="AA840" t="n">
        <v>2031</v>
      </c>
      <c r="AB840" t="inlineStr">
        <is>
          <t>Supplier Target Pathway</t>
        </is>
      </c>
      <c r="AC840" t="n">
        <v>5361.5757</v>
      </c>
      <c r="AD840" t="n">
        <v>2228.807</v>
      </c>
      <c r="AE840" t="n">
        <v>2228.807</v>
      </c>
      <c r="AF840" t="n">
        <v>2228.807</v>
      </c>
      <c r="AG840" t="n">
        <v>3132.7687</v>
      </c>
      <c r="AH840" t="n">
        <v>0.0002984</v>
      </c>
      <c r="AI840" t="n">
        <v>0.5843</v>
      </c>
      <c r="AJ840" t="n">
        <v>0</v>
      </c>
      <c r="AK840" t="n">
        <v>348.0854</v>
      </c>
      <c r="AL840" t="n">
        <v>-7450.0882</v>
      </c>
      <c r="AM840" t="n">
        <v>20822.9302</v>
      </c>
      <c r="AN840" t="n">
        <v>0.99</v>
      </c>
      <c r="AO840" t="inlineStr">
        <is>
          <t>Low</t>
        </is>
      </c>
      <c r="AP840" t="inlineStr">
        <is>
          <t>On Track</t>
        </is>
      </c>
    </row>
    <row r="841">
      <c r="A841" t="inlineStr">
        <is>
          <t>SUP-0053</t>
        </is>
      </c>
      <c r="B841" t="inlineStr">
        <is>
          <t>Electronics Supplier 053</t>
        </is>
      </c>
      <c r="C841" t="inlineStr">
        <is>
          <t>Electronics</t>
        </is>
      </c>
      <c r="D841" t="n">
        <v>2024</v>
      </c>
      <c r="E841" t="n">
        <v>2021</v>
      </c>
      <c r="F841" t="n">
        <v>2030</v>
      </c>
      <c r="G841" t="n">
        <v>4992.2479</v>
      </c>
      <c r="H841" t="n">
        <v>685.8043</v>
      </c>
      <c r="I841" t="n">
        <v>584.2320999999999</v>
      </c>
      <c r="J841" t="n">
        <v>3799.3045</v>
      </c>
      <c r="K841" t="n">
        <v>7469190.27</v>
      </c>
      <c r="L841" t="n">
        <v>35983983.63</v>
      </c>
      <c r="M841" t="n">
        <v>4992.2479</v>
      </c>
      <c r="N841" t="inlineStr">
        <is>
          <t>Provided Total Emissions</t>
        </is>
      </c>
      <c r="O841" t="b">
        <v>1</v>
      </c>
      <c r="P841" t="n">
        <v>-0.061362</v>
      </c>
      <c r="Q841" t="n">
        <v>-0.026033</v>
      </c>
      <c r="R841" t="n">
        <v>6431.3463</v>
      </c>
      <c r="S841" t="n">
        <v>5018.6862</v>
      </c>
      <c r="T841" t="n">
        <v>1439.0984</v>
      </c>
      <c r="U841" t="n">
        <v>26.4383</v>
      </c>
      <c r="V841" t="n">
        <v>0.288267</v>
      </c>
      <c r="W841" t="n">
        <v>0.005296</v>
      </c>
      <c r="X841" t="inlineStr">
        <is>
          <t>High</t>
        </is>
      </c>
      <c r="Y841" t="inlineStr">
        <is>
          <t>None</t>
        </is>
      </c>
      <c r="Z841" t="inlineStr">
        <is>
          <t>Valid</t>
        </is>
      </c>
      <c r="AA841" t="n">
        <v>2032</v>
      </c>
      <c r="AB841" t="inlineStr">
        <is>
          <t>Supplier Target Pathway</t>
        </is>
      </c>
      <c r="AC841" t="n">
        <v>5361.5757</v>
      </c>
      <c r="AD841" t="n">
        <v>2228.807</v>
      </c>
      <c r="AE841" t="n">
        <v>2228.807</v>
      </c>
      <c r="AF841" t="n">
        <v>2228.807</v>
      </c>
      <c r="AG841" t="n">
        <v>3132.7687</v>
      </c>
      <c r="AH841" t="n">
        <v>0.0002984</v>
      </c>
      <c r="AI841" t="n">
        <v>0.5843</v>
      </c>
      <c r="AJ841" t="n">
        <v>0</v>
      </c>
      <c r="AK841" t="n">
        <v>348.0854</v>
      </c>
      <c r="AL841" t="n">
        <v>-9678.895200000001</v>
      </c>
      <c r="AM841" t="n">
        <v>23051.7372</v>
      </c>
      <c r="AN841" t="n">
        <v>0.99</v>
      </c>
      <c r="AO841" t="inlineStr">
        <is>
          <t>Low</t>
        </is>
      </c>
      <c r="AP841" t="inlineStr">
        <is>
          <t>On Track</t>
        </is>
      </c>
    </row>
    <row r="842">
      <c r="A842" t="inlineStr">
        <is>
          <t>SUP-0053</t>
        </is>
      </c>
      <c r="B842" t="inlineStr">
        <is>
          <t>Electronics Supplier 053</t>
        </is>
      </c>
      <c r="C842" t="inlineStr">
        <is>
          <t>Electronics</t>
        </is>
      </c>
      <c r="D842" t="n">
        <v>2024</v>
      </c>
      <c r="E842" t="n">
        <v>2021</v>
      </c>
      <c r="F842" t="n">
        <v>2030</v>
      </c>
      <c r="G842" t="n">
        <v>4992.2479</v>
      </c>
      <c r="H842" t="n">
        <v>685.8043</v>
      </c>
      <c r="I842" t="n">
        <v>584.2320999999999</v>
      </c>
      <c r="J842" t="n">
        <v>3799.3045</v>
      </c>
      <c r="K842" t="n">
        <v>7469190.27</v>
      </c>
      <c r="L842" t="n">
        <v>35983983.63</v>
      </c>
      <c r="M842" t="n">
        <v>4992.2479</v>
      </c>
      <c r="N842" t="inlineStr">
        <is>
          <t>Provided Total Emissions</t>
        </is>
      </c>
      <c r="O842" t="b">
        <v>1</v>
      </c>
      <c r="P842" t="n">
        <v>-0.061362</v>
      </c>
      <c r="Q842" t="n">
        <v>-0.026033</v>
      </c>
      <c r="R842" t="n">
        <v>6431.3463</v>
      </c>
      <c r="S842" t="n">
        <v>5018.6862</v>
      </c>
      <c r="T842" t="n">
        <v>1439.0984</v>
      </c>
      <c r="U842" t="n">
        <v>26.4383</v>
      </c>
      <c r="V842" t="n">
        <v>0.288267</v>
      </c>
      <c r="W842" t="n">
        <v>0.005296</v>
      </c>
      <c r="X842" t="inlineStr">
        <is>
          <t>High</t>
        </is>
      </c>
      <c r="Y842" t="inlineStr">
        <is>
          <t>None</t>
        </is>
      </c>
      <c r="Z842" t="inlineStr">
        <is>
          <t>Valid</t>
        </is>
      </c>
      <c r="AA842" t="n">
        <v>2033</v>
      </c>
      <c r="AB842" t="inlineStr">
        <is>
          <t>Supplier Target Pathway</t>
        </is>
      </c>
      <c r="AC842" t="n">
        <v>5361.5757</v>
      </c>
      <c r="AD842" t="n">
        <v>2228.807</v>
      </c>
      <c r="AE842" t="n">
        <v>2228.807</v>
      </c>
      <c r="AF842" t="n">
        <v>2228.807</v>
      </c>
      <c r="AG842" t="n">
        <v>3132.7687</v>
      </c>
      <c r="AH842" t="n">
        <v>0.0002984</v>
      </c>
      <c r="AI842" t="n">
        <v>0.5843</v>
      </c>
      <c r="AJ842" t="n">
        <v>0</v>
      </c>
      <c r="AK842" t="n">
        <v>348.0854</v>
      </c>
      <c r="AL842" t="n">
        <v>-11907.7022</v>
      </c>
      <c r="AM842" t="n">
        <v>25280.5442</v>
      </c>
      <c r="AN842" t="n">
        <v>0.99</v>
      </c>
      <c r="AO842" t="inlineStr">
        <is>
          <t>Low</t>
        </is>
      </c>
      <c r="AP842" t="inlineStr">
        <is>
          <t>On Track</t>
        </is>
      </c>
    </row>
    <row r="843">
      <c r="A843" t="inlineStr">
        <is>
          <t>SUP-0053</t>
        </is>
      </c>
      <c r="B843" t="inlineStr">
        <is>
          <t>Electronics Supplier 053</t>
        </is>
      </c>
      <c r="C843" t="inlineStr">
        <is>
          <t>Electronics</t>
        </is>
      </c>
      <c r="D843" t="n">
        <v>2024</v>
      </c>
      <c r="E843" t="n">
        <v>2021</v>
      </c>
      <c r="F843" t="n">
        <v>2030</v>
      </c>
      <c r="G843" t="n">
        <v>4992.2479</v>
      </c>
      <c r="H843" t="n">
        <v>685.8043</v>
      </c>
      <c r="I843" t="n">
        <v>584.2320999999999</v>
      </c>
      <c r="J843" t="n">
        <v>3799.3045</v>
      </c>
      <c r="K843" t="n">
        <v>7469190.27</v>
      </c>
      <c r="L843" t="n">
        <v>35983983.63</v>
      </c>
      <c r="M843" t="n">
        <v>4992.2479</v>
      </c>
      <c r="N843" t="inlineStr">
        <is>
          <t>Provided Total Emissions</t>
        </is>
      </c>
      <c r="O843" t="b">
        <v>1</v>
      </c>
      <c r="P843" t="n">
        <v>-0.061362</v>
      </c>
      <c r="Q843" t="n">
        <v>-0.026033</v>
      </c>
      <c r="R843" t="n">
        <v>6431.3463</v>
      </c>
      <c r="S843" t="n">
        <v>5018.6862</v>
      </c>
      <c r="T843" t="n">
        <v>1439.0984</v>
      </c>
      <c r="U843" t="n">
        <v>26.4383</v>
      </c>
      <c r="V843" t="n">
        <v>0.288267</v>
      </c>
      <c r="W843" t="n">
        <v>0.005296</v>
      </c>
      <c r="X843" t="inlineStr">
        <is>
          <t>High</t>
        </is>
      </c>
      <c r="Y843" t="inlineStr">
        <is>
          <t>None</t>
        </is>
      </c>
      <c r="Z843" t="inlineStr">
        <is>
          <t>Valid</t>
        </is>
      </c>
      <c r="AA843" t="n">
        <v>2034</v>
      </c>
      <c r="AB843" t="inlineStr">
        <is>
          <t>Supplier Target Pathway</t>
        </is>
      </c>
      <c r="AC843" t="n">
        <v>5361.5757</v>
      </c>
      <c r="AD843" t="n">
        <v>2228.807</v>
      </c>
      <c r="AE843" t="n">
        <v>2228.807</v>
      </c>
      <c r="AF843" t="n">
        <v>2228.807</v>
      </c>
      <c r="AG843" t="n">
        <v>3132.7687</v>
      </c>
      <c r="AH843" t="n">
        <v>0.0002984</v>
      </c>
      <c r="AI843" t="n">
        <v>0.5843</v>
      </c>
      <c r="AJ843" t="n">
        <v>0</v>
      </c>
      <c r="AK843" t="n">
        <v>348.0854</v>
      </c>
      <c r="AL843" t="n">
        <v>-14136.5092</v>
      </c>
      <c r="AM843" t="n">
        <v>27509.3512</v>
      </c>
      <c r="AN843" t="n">
        <v>0.99</v>
      </c>
      <c r="AO843" t="inlineStr">
        <is>
          <t>Low</t>
        </is>
      </c>
      <c r="AP843" t="inlineStr">
        <is>
          <t>On Track</t>
        </is>
      </c>
    </row>
    <row r="844">
      <c r="A844" t="inlineStr">
        <is>
          <t>SUP-0053</t>
        </is>
      </c>
      <c r="B844" t="inlineStr">
        <is>
          <t>Electronics Supplier 053</t>
        </is>
      </c>
      <c r="C844" t="inlineStr">
        <is>
          <t>Electronics</t>
        </is>
      </c>
      <c r="D844" t="n">
        <v>2024</v>
      </c>
      <c r="E844" t="n">
        <v>2021</v>
      </c>
      <c r="F844" t="n">
        <v>2030</v>
      </c>
      <c r="G844" t="n">
        <v>4992.2479</v>
      </c>
      <c r="H844" t="n">
        <v>685.8043</v>
      </c>
      <c r="I844" t="n">
        <v>584.2320999999999</v>
      </c>
      <c r="J844" t="n">
        <v>3799.3045</v>
      </c>
      <c r="K844" t="n">
        <v>7469190.27</v>
      </c>
      <c r="L844" t="n">
        <v>35983983.63</v>
      </c>
      <c r="M844" t="n">
        <v>4992.2479</v>
      </c>
      <c r="N844" t="inlineStr">
        <is>
          <t>Provided Total Emissions</t>
        </is>
      </c>
      <c r="O844" t="b">
        <v>1</v>
      </c>
      <c r="P844" t="n">
        <v>-0.061362</v>
      </c>
      <c r="Q844" t="n">
        <v>-0.026033</v>
      </c>
      <c r="R844" t="n">
        <v>6431.3463</v>
      </c>
      <c r="S844" t="n">
        <v>5018.6862</v>
      </c>
      <c r="T844" t="n">
        <v>1439.0984</v>
      </c>
      <c r="U844" t="n">
        <v>26.4383</v>
      </c>
      <c r="V844" t="n">
        <v>0.288267</v>
      </c>
      <c r="W844" t="n">
        <v>0.005296</v>
      </c>
      <c r="X844" t="inlineStr">
        <is>
          <t>High</t>
        </is>
      </c>
      <c r="Y844" t="inlineStr">
        <is>
          <t>None</t>
        </is>
      </c>
      <c r="Z844" t="inlineStr">
        <is>
          <t>Valid</t>
        </is>
      </c>
      <c r="AA844" t="n">
        <v>2035</v>
      </c>
      <c r="AB844" t="inlineStr">
        <is>
          <t>Supplier Target Pathway</t>
        </is>
      </c>
      <c r="AC844" t="n">
        <v>5361.5757</v>
      </c>
      <c r="AD844" t="n">
        <v>2228.807</v>
      </c>
      <c r="AE844" t="n">
        <v>2228.807</v>
      </c>
      <c r="AF844" t="n">
        <v>2228.807</v>
      </c>
      <c r="AG844" t="n">
        <v>3132.7687</v>
      </c>
      <c r="AH844" t="n">
        <v>0.0002984</v>
      </c>
      <c r="AI844" t="n">
        <v>0.5843</v>
      </c>
      <c r="AJ844" t="n">
        <v>0</v>
      </c>
      <c r="AK844" t="n">
        <v>348.0854</v>
      </c>
      <c r="AL844" t="n">
        <v>-16365.3162</v>
      </c>
      <c r="AM844" t="n">
        <v>29738.1582</v>
      </c>
      <c r="AN844" t="n">
        <v>0.99</v>
      </c>
      <c r="AO844" t="inlineStr">
        <is>
          <t>Low</t>
        </is>
      </c>
      <c r="AP844" t="inlineStr">
        <is>
          <t>On Track</t>
        </is>
      </c>
    </row>
    <row r="845">
      <c r="A845" t="inlineStr">
        <is>
          <t>SUP-0053</t>
        </is>
      </c>
      <c r="B845" t="inlineStr">
        <is>
          <t>Electronics Supplier 053</t>
        </is>
      </c>
      <c r="C845" t="inlineStr">
        <is>
          <t>Electronics</t>
        </is>
      </c>
      <c r="D845" t="n">
        <v>2024</v>
      </c>
      <c r="E845" t="n">
        <v>2021</v>
      </c>
      <c r="F845" t="n">
        <v>2030</v>
      </c>
      <c r="G845" t="n">
        <v>4992.2479</v>
      </c>
      <c r="H845" t="n">
        <v>685.8043</v>
      </c>
      <c r="I845" t="n">
        <v>584.2320999999999</v>
      </c>
      <c r="J845" t="n">
        <v>3799.3045</v>
      </c>
      <c r="K845" t="n">
        <v>7469190.27</v>
      </c>
      <c r="L845" t="n">
        <v>35983983.63</v>
      </c>
      <c r="M845" t="n">
        <v>4992.2479</v>
      </c>
      <c r="N845" t="inlineStr">
        <is>
          <t>Provided Total Emissions</t>
        </is>
      </c>
      <c r="O845" t="b">
        <v>1</v>
      </c>
      <c r="P845" t="n">
        <v>-0.061362</v>
      </c>
      <c r="Q845" t="n">
        <v>-0.026033</v>
      </c>
      <c r="R845" t="n">
        <v>6431.3463</v>
      </c>
      <c r="S845" t="n">
        <v>5018.6862</v>
      </c>
      <c r="T845" t="n">
        <v>1439.0984</v>
      </c>
      <c r="U845" t="n">
        <v>26.4383</v>
      </c>
      <c r="V845" t="n">
        <v>0.288267</v>
      </c>
      <c r="W845" t="n">
        <v>0.005296</v>
      </c>
      <c r="X845" t="inlineStr">
        <is>
          <t>High</t>
        </is>
      </c>
      <c r="Y845" t="inlineStr">
        <is>
          <t>None</t>
        </is>
      </c>
      <c r="Z845" t="inlineStr">
        <is>
          <t>Valid</t>
        </is>
      </c>
      <c r="AA845" t="n">
        <v>2036</v>
      </c>
      <c r="AB845" t="inlineStr">
        <is>
          <t>Supplier Target Pathway</t>
        </is>
      </c>
      <c r="AC845" t="n">
        <v>5361.5757</v>
      </c>
      <c r="AD845" t="n">
        <v>2228.807</v>
      </c>
      <c r="AE845" t="n">
        <v>2228.807</v>
      </c>
      <c r="AF845" t="n">
        <v>2228.807</v>
      </c>
      <c r="AG845" t="n">
        <v>3132.7687</v>
      </c>
      <c r="AH845" t="n">
        <v>0.0002984</v>
      </c>
      <c r="AI845" t="n">
        <v>0.5843</v>
      </c>
      <c r="AJ845" t="n">
        <v>0</v>
      </c>
      <c r="AK845" t="n">
        <v>348.0854</v>
      </c>
      <c r="AL845" t="n">
        <v>-18594.1232</v>
      </c>
      <c r="AM845" t="n">
        <v>31966.9652</v>
      </c>
      <c r="AN845" t="n">
        <v>0.99</v>
      </c>
      <c r="AO845" t="inlineStr">
        <is>
          <t>Low</t>
        </is>
      </c>
      <c r="AP845" t="inlineStr">
        <is>
          <t>On Track</t>
        </is>
      </c>
    </row>
    <row r="846">
      <c r="A846" t="inlineStr">
        <is>
          <t>SUP-0053</t>
        </is>
      </c>
      <c r="B846" t="inlineStr">
        <is>
          <t>Electronics Supplier 053</t>
        </is>
      </c>
      <c r="C846" t="inlineStr">
        <is>
          <t>Electronics</t>
        </is>
      </c>
      <c r="D846" t="n">
        <v>2024</v>
      </c>
      <c r="E846" t="n">
        <v>2021</v>
      </c>
      <c r="F846" t="n">
        <v>2030</v>
      </c>
      <c r="G846" t="n">
        <v>4992.2479</v>
      </c>
      <c r="H846" t="n">
        <v>685.8043</v>
      </c>
      <c r="I846" t="n">
        <v>584.2320999999999</v>
      </c>
      <c r="J846" t="n">
        <v>3799.3045</v>
      </c>
      <c r="K846" t="n">
        <v>7469190.27</v>
      </c>
      <c r="L846" t="n">
        <v>35983983.63</v>
      </c>
      <c r="M846" t="n">
        <v>4992.2479</v>
      </c>
      <c r="N846" t="inlineStr">
        <is>
          <t>Provided Total Emissions</t>
        </is>
      </c>
      <c r="O846" t="b">
        <v>1</v>
      </c>
      <c r="P846" t="n">
        <v>-0.061362</v>
      </c>
      <c r="Q846" t="n">
        <v>-0.026033</v>
      </c>
      <c r="R846" t="n">
        <v>6431.3463</v>
      </c>
      <c r="S846" t="n">
        <v>5018.6862</v>
      </c>
      <c r="T846" t="n">
        <v>1439.0984</v>
      </c>
      <c r="U846" t="n">
        <v>26.4383</v>
      </c>
      <c r="V846" t="n">
        <v>0.288267</v>
      </c>
      <c r="W846" t="n">
        <v>0.005296</v>
      </c>
      <c r="X846" t="inlineStr">
        <is>
          <t>High</t>
        </is>
      </c>
      <c r="Y846" t="inlineStr">
        <is>
          <t>None</t>
        </is>
      </c>
      <c r="Z846" t="inlineStr">
        <is>
          <t>Valid</t>
        </is>
      </c>
      <c r="AA846" t="n">
        <v>2037</v>
      </c>
      <c r="AB846" t="inlineStr">
        <is>
          <t>Supplier Target Pathway</t>
        </is>
      </c>
      <c r="AC846" t="n">
        <v>5361.5757</v>
      </c>
      <c r="AD846" t="n">
        <v>2228.807</v>
      </c>
      <c r="AE846" t="n">
        <v>2228.807</v>
      </c>
      <c r="AF846" t="n">
        <v>2228.807</v>
      </c>
      <c r="AG846" t="n">
        <v>3132.7687</v>
      </c>
      <c r="AH846" t="n">
        <v>0.0002984</v>
      </c>
      <c r="AI846" t="n">
        <v>0.5843</v>
      </c>
      <c r="AJ846" t="n">
        <v>0</v>
      </c>
      <c r="AK846" t="n">
        <v>348.0854</v>
      </c>
      <c r="AL846" t="n">
        <v>-20822.9302</v>
      </c>
      <c r="AM846" t="n">
        <v>34195.7722</v>
      </c>
      <c r="AN846" t="n">
        <v>0.99</v>
      </c>
      <c r="AO846" t="inlineStr">
        <is>
          <t>Low</t>
        </is>
      </c>
      <c r="AP846" t="inlineStr">
        <is>
          <t>On Track</t>
        </is>
      </c>
    </row>
    <row r="847">
      <c r="A847" t="inlineStr">
        <is>
          <t>SUP-0053</t>
        </is>
      </c>
      <c r="B847" t="inlineStr">
        <is>
          <t>Electronics Supplier 053</t>
        </is>
      </c>
      <c r="C847" t="inlineStr">
        <is>
          <t>Electronics</t>
        </is>
      </c>
      <c r="D847" t="n">
        <v>2024</v>
      </c>
      <c r="E847" t="n">
        <v>2021</v>
      </c>
      <c r="F847" t="n">
        <v>2030</v>
      </c>
      <c r="G847" t="n">
        <v>4992.2479</v>
      </c>
      <c r="H847" t="n">
        <v>685.8043</v>
      </c>
      <c r="I847" t="n">
        <v>584.2320999999999</v>
      </c>
      <c r="J847" t="n">
        <v>3799.3045</v>
      </c>
      <c r="K847" t="n">
        <v>7469190.27</v>
      </c>
      <c r="L847" t="n">
        <v>35983983.63</v>
      </c>
      <c r="M847" t="n">
        <v>4992.2479</v>
      </c>
      <c r="N847" t="inlineStr">
        <is>
          <t>Provided Total Emissions</t>
        </is>
      </c>
      <c r="O847" t="b">
        <v>1</v>
      </c>
      <c r="P847" t="n">
        <v>-0.061362</v>
      </c>
      <c r="Q847" t="n">
        <v>-0.026033</v>
      </c>
      <c r="R847" t="n">
        <v>6431.3463</v>
      </c>
      <c r="S847" t="n">
        <v>5018.6862</v>
      </c>
      <c r="T847" t="n">
        <v>1439.0984</v>
      </c>
      <c r="U847" t="n">
        <v>26.4383</v>
      </c>
      <c r="V847" t="n">
        <v>0.288267</v>
      </c>
      <c r="W847" t="n">
        <v>0.005296</v>
      </c>
      <c r="X847" t="inlineStr">
        <is>
          <t>High</t>
        </is>
      </c>
      <c r="Y847" t="inlineStr">
        <is>
          <t>None</t>
        </is>
      </c>
      <c r="Z847" t="inlineStr">
        <is>
          <t>Valid</t>
        </is>
      </c>
      <c r="AA847" t="n">
        <v>2038</v>
      </c>
      <c r="AB847" t="inlineStr">
        <is>
          <t>Supplier Target Pathway</t>
        </is>
      </c>
      <c r="AC847" t="n">
        <v>5361.5757</v>
      </c>
      <c r="AD847" t="n">
        <v>2228.807</v>
      </c>
      <c r="AE847" t="n">
        <v>2228.807</v>
      </c>
      <c r="AF847" t="n">
        <v>2228.807</v>
      </c>
      <c r="AG847" t="n">
        <v>3132.7687</v>
      </c>
      <c r="AH847" t="n">
        <v>0.0002984</v>
      </c>
      <c r="AI847" t="n">
        <v>0.5843</v>
      </c>
      <c r="AJ847" t="n">
        <v>0</v>
      </c>
      <c r="AK847" t="n">
        <v>348.0854</v>
      </c>
      <c r="AL847" t="n">
        <v>-23051.7372</v>
      </c>
      <c r="AM847" t="n">
        <v>36424.5792</v>
      </c>
      <c r="AN847" t="n">
        <v>0.99</v>
      </c>
      <c r="AO847" t="inlineStr">
        <is>
          <t>Low</t>
        </is>
      </c>
      <c r="AP847" t="inlineStr">
        <is>
          <t>On Track</t>
        </is>
      </c>
    </row>
    <row r="848">
      <c r="A848" t="inlineStr">
        <is>
          <t>SUP-0053</t>
        </is>
      </c>
      <c r="B848" t="inlineStr">
        <is>
          <t>Electronics Supplier 053</t>
        </is>
      </c>
      <c r="C848" t="inlineStr">
        <is>
          <t>Electronics</t>
        </is>
      </c>
      <c r="D848" t="n">
        <v>2024</v>
      </c>
      <c r="E848" t="n">
        <v>2021</v>
      </c>
      <c r="F848" t="n">
        <v>2030</v>
      </c>
      <c r="G848" t="n">
        <v>4992.2479</v>
      </c>
      <c r="H848" t="n">
        <v>685.8043</v>
      </c>
      <c r="I848" t="n">
        <v>584.2320999999999</v>
      </c>
      <c r="J848" t="n">
        <v>3799.3045</v>
      </c>
      <c r="K848" t="n">
        <v>7469190.27</v>
      </c>
      <c r="L848" t="n">
        <v>35983983.63</v>
      </c>
      <c r="M848" t="n">
        <v>4992.2479</v>
      </c>
      <c r="N848" t="inlineStr">
        <is>
          <t>Provided Total Emissions</t>
        </is>
      </c>
      <c r="O848" t="b">
        <v>1</v>
      </c>
      <c r="P848" t="n">
        <v>-0.061362</v>
      </c>
      <c r="Q848" t="n">
        <v>-0.026033</v>
      </c>
      <c r="R848" t="n">
        <v>6431.3463</v>
      </c>
      <c r="S848" t="n">
        <v>5018.6862</v>
      </c>
      <c r="T848" t="n">
        <v>1439.0984</v>
      </c>
      <c r="U848" t="n">
        <v>26.4383</v>
      </c>
      <c r="V848" t="n">
        <v>0.288267</v>
      </c>
      <c r="W848" t="n">
        <v>0.005296</v>
      </c>
      <c r="X848" t="inlineStr">
        <is>
          <t>High</t>
        </is>
      </c>
      <c r="Y848" t="inlineStr">
        <is>
          <t>None</t>
        </is>
      </c>
      <c r="Z848" t="inlineStr">
        <is>
          <t>Valid</t>
        </is>
      </c>
      <c r="AA848" t="n">
        <v>2039</v>
      </c>
      <c r="AB848" t="inlineStr">
        <is>
          <t>Supplier Target Pathway</t>
        </is>
      </c>
      <c r="AC848" t="n">
        <v>5361.5757</v>
      </c>
      <c r="AD848" t="n">
        <v>2228.807</v>
      </c>
      <c r="AE848" t="n">
        <v>2228.807</v>
      </c>
      <c r="AF848" t="n">
        <v>2228.807</v>
      </c>
      <c r="AG848" t="n">
        <v>3132.7687</v>
      </c>
      <c r="AH848" t="n">
        <v>0.0002984</v>
      </c>
      <c r="AI848" t="n">
        <v>0.5843</v>
      </c>
      <c r="AJ848" t="n">
        <v>0</v>
      </c>
      <c r="AK848" t="n">
        <v>348.0854</v>
      </c>
      <c r="AL848" t="n">
        <v>-25280.5442</v>
      </c>
      <c r="AM848" t="n">
        <v>38653.3862</v>
      </c>
      <c r="AN848" t="n">
        <v>0.99</v>
      </c>
      <c r="AO848" t="inlineStr">
        <is>
          <t>Low</t>
        </is>
      </c>
      <c r="AP848" t="inlineStr">
        <is>
          <t>On Track</t>
        </is>
      </c>
    </row>
    <row r="849">
      <c r="A849" t="inlineStr">
        <is>
          <t>SUP-0053</t>
        </is>
      </c>
      <c r="B849" t="inlineStr">
        <is>
          <t>Electronics Supplier 053</t>
        </is>
      </c>
      <c r="C849" t="inlineStr">
        <is>
          <t>Electronics</t>
        </is>
      </c>
      <c r="D849" t="n">
        <v>2024</v>
      </c>
      <c r="E849" t="n">
        <v>2021</v>
      </c>
      <c r="F849" t="n">
        <v>2030</v>
      </c>
      <c r="G849" t="n">
        <v>4992.2479</v>
      </c>
      <c r="H849" t="n">
        <v>685.8043</v>
      </c>
      <c r="I849" t="n">
        <v>584.2320999999999</v>
      </c>
      <c r="J849" t="n">
        <v>3799.3045</v>
      </c>
      <c r="K849" t="n">
        <v>7469190.27</v>
      </c>
      <c r="L849" t="n">
        <v>35983983.63</v>
      </c>
      <c r="M849" t="n">
        <v>4992.2479</v>
      </c>
      <c r="N849" t="inlineStr">
        <is>
          <t>Provided Total Emissions</t>
        </is>
      </c>
      <c r="O849" t="b">
        <v>1</v>
      </c>
      <c r="P849" t="n">
        <v>-0.061362</v>
      </c>
      <c r="Q849" t="n">
        <v>-0.026033</v>
      </c>
      <c r="R849" t="n">
        <v>6431.3463</v>
      </c>
      <c r="S849" t="n">
        <v>5018.6862</v>
      </c>
      <c r="T849" t="n">
        <v>1439.0984</v>
      </c>
      <c r="U849" t="n">
        <v>26.4383</v>
      </c>
      <c r="V849" t="n">
        <v>0.288267</v>
      </c>
      <c r="W849" t="n">
        <v>0.005296</v>
      </c>
      <c r="X849" t="inlineStr">
        <is>
          <t>High</t>
        </is>
      </c>
      <c r="Y849" t="inlineStr">
        <is>
          <t>None</t>
        </is>
      </c>
      <c r="Z849" t="inlineStr">
        <is>
          <t>Valid</t>
        </is>
      </c>
      <c r="AA849" t="n">
        <v>2040</v>
      </c>
      <c r="AB849" t="inlineStr">
        <is>
          <t>Supplier Target Pathway</t>
        </is>
      </c>
      <c r="AC849" t="n">
        <v>5361.5757</v>
      </c>
      <c r="AD849" t="n">
        <v>2228.807</v>
      </c>
      <c r="AE849" t="n">
        <v>2228.807</v>
      </c>
      <c r="AF849" t="n">
        <v>2228.807</v>
      </c>
      <c r="AG849" t="n">
        <v>3132.7687</v>
      </c>
      <c r="AH849" t="n">
        <v>0.0002984</v>
      </c>
      <c r="AI849" t="n">
        <v>0.5843</v>
      </c>
      <c r="AJ849" t="n">
        <v>0</v>
      </c>
      <c r="AK849" t="n">
        <v>348.0854</v>
      </c>
      <c r="AL849" t="n">
        <v>-27509.3512</v>
      </c>
      <c r="AM849" t="n">
        <v>40882.1932</v>
      </c>
      <c r="AN849" t="n">
        <v>0.99</v>
      </c>
      <c r="AO849" t="inlineStr">
        <is>
          <t>Low</t>
        </is>
      </c>
      <c r="AP849" t="inlineStr">
        <is>
          <t>On Track</t>
        </is>
      </c>
    </row>
    <row r="850">
      <c r="A850" t="inlineStr">
        <is>
          <t>SUP-0054</t>
        </is>
      </c>
      <c r="B850" t="inlineStr">
        <is>
          <t>Chemicals Supplier 054</t>
        </is>
      </c>
      <c r="C850" t="inlineStr">
        <is>
          <t>Chemicals</t>
        </is>
      </c>
      <c r="D850" t="n">
        <v>2024</v>
      </c>
      <c r="E850" t="n">
        <v>2019</v>
      </c>
      <c r="F850" t="n">
        <v>2035</v>
      </c>
      <c r="G850" t="n">
        <v>32020.9372</v>
      </c>
      <c r="H850" t="n">
        <v>4886.915</v>
      </c>
      <c r="I850" t="n">
        <v>2610.0762</v>
      </c>
      <c r="J850" t="n">
        <v>24805.526</v>
      </c>
      <c r="K850" t="n">
        <v>37566679.46</v>
      </c>
      <c r="L850" t="n">
        <v>162599786.13</v>
      </c>
      <c r="M850" t="n">
        <v>32020.9372</v>
      </c>
      <c r="N850" t="inlineStr">
        <is>
          <t>Provided Total Emissions</t>
        </is>
      </c>
      <c r="O850" t="b">
        <v>1</v>
      </c>
      <c r="P850" t="n">
        <v>-0.028448</v>
      </c>
      <c r="Q850" t="n">
        <v>0.033114</v>
      </c>
      <c r="R850" t="n">
        <v>37622.6538</v>
      </c>
      <c r="S850" t="n">
        <v>76623.5232</v>
      </c>
      <c r="T850" t="n">
        <v>5601.7166</v>
      </c>
      <c r="U850" t="n">
        <v>44602.586</v>
      </c>
      <c r="V850" t="n">
        <v>0.174939</v>
      </c>
      <c r="W850" t="n">
        <v>1.392919</v>
      </c>
      <c r="X850" t="inlineStr">
        <is>
          <t>High</t>
        </is>
      </c>
      <c r="Y850" t="inlineStr">
        <is>
          <t>None</t>
        </is>
      </c>
      <c r="Z850" t="inlineStr">
        <is>
          <t>Valid</t>
        </is>
      </c>
      <c r="AA850" t="n">
        <v>2025</v>
      </c>
      <c r="AB850" t="inlineStr">
        <is>
          <t>Supplier Target Pathway</t>
        </is>
      </c>
      <c r="AC850" t="n">
        <v>27514.2942</v>
      </c>
      <c r="AD850" t="n">
        <v>18907.823</v>
      </c>
      <c r="AE850" t="n">
        <v>24286.8675</v>
      </c>
      <c r="AF850" t="n">
        <v>24286.8675</v>
      </c>
      <c r="AG850" t="n">
        <v>3227.4267</v>
      </c>
      <c r="AH850" t="n">
        <v>0.0006465</v>
      </c>
      <c r="AI850" t="n">
        <v>0.1173</v>
      </c>
      <c r="AJ850" t="n">
        <v>5379.0445</v>
      </c>
      <c r="AK850" t="n">
        <v>537.9045</v>
      </c>
      <c r="AL850" t="n">
        <v>183699.1855</v>
      </c>
      <c r="AM850" t="n">
        <v>24286.8675</v>
      </c>
      <c r="AN850" t="n">
        <v>0.99</v>
      </c>
      <c r="AO850" t="inlineStr">
        <is>
          <t>High</t>
        </is>
      </c>
      <c r="AP850" t="inlineStr">
        <is>
          <t>On Track to Glide Path</t>
        </is>
      </c>
    </row>
    <row r="851">
      <c r="A851" t="inlineStr">
        <is>
          <t>SUP-0054</t>
        </is>
      </c>
      <c r="B851" t="inlineStr">
        <is>
          <t>Chemicals Supplier 054</t>
        </is>
      </c>
      <c r="C851" t="inlineStr">
        <is>
          <t>Chemicals</t>
        </is>
      </c>
      <c r="D851" t="n">
        <v>2024</v>
      </c>
      <c r="E851" t="n">
        <v>2019</v>
      </c>
      <c r="F851" t="n">
        <v>2035</v>
      </c>
      <c r="G851" t="n">
        <v>32020.9372</v>
      </c>
      <c r="H851" t="n">
        <v>4886.915</v>
      </c>
      <c r="I851" t="n">
        <v>2610.0762</v>
      </c>
      <c r="J851" t="n">
        <v>24805.526</v>
      </c>
      <c r="K851" t="n">
        <v>37566679.46</v>
      </c>
      <c r="L851" t="n">
        <v>162599786.13</v>
      </c>
      <c r="M851" t="n">
        <v>32020.9372</v>
      </c>
      <c r="N851" t="inlineStr">
        <is>
          <t>Provided Total Emissions</t>
        </is>
      </c>
      <c r="O851" t="b">
        <v>1</v>
      </c>
      <c r="P851" t="n">
        <v>-0.028448</v>
      </c>
      <c r="Q851" t="n">
        <v>0.033114</v>
      </c>
      <c r="R851" t="n">
        <v>37622.6538</v>
      </c>
      <c r="S851" t="n">
        <v>76623.5232</v>
      </c>
      <c r="T851" t="n">
        <v>5601.7166</v>
      </c>
      <c r="U851" t="n">
        <v>44602.586</v>
      </c>
      <c r="V851" t="n">
        <v>0.174939</v>
      </c>
      <c r="W851" t="n">
        <v>1.392919</v>
      </c>
      <c r="X851" t="inlineStr">
        <is>
          <t>High</t>
        </is>
      </c>
      <c r="Y851" t="inlineStr">
        <is>
          <t>None</t>
        </is>
      </c>
      <c r="Z851" t="inlineStr">
        <is>
          <t>Valid</t>
        </is>
      </c>
      <c r="AA851" t="n">
        <v>2026</v>
      </c>
      <c r="AB851" t="inlineStr">
        <is>
          <t>Supplier Target Pathway</t>
        </is>
      </c>
      <c r="AC851" t="n">
        <v>27514.2942</v>
      </c>
      <c r="AD851" t="n">
        <v>18907.823</v>
      </c>
      <c r="AE851" t="n">
        <v>23748.963</v>
      </c>
      <c r="AF851" t="n">
        <v>23748.963</v>
      </c>
      <c r="AG851" t="n">
        <v>3765.3312</v>
      </c>
      <c r="AH851" t="n">
        <v>0.00063218</v>
      </c>
      <c r="AI851" t="n">
        <v>0.13685</v>
      </c>
      <c r="AJ851" t="n">
        <v>4841.1401</v>
      </c>
      <c r="AK851" t="n">
        <v>537.9045</v>
      </c>
      <c r="AL851" t="n">
        <v>159950.2225</v>
      </c>
      <c r="AM851" t="n">
        <v>48035.8305</v>
      </c>
      <c r="AN851" t="n">
        <v>0.99</v>
      </c>
      <c r="AO851" t="inlineStr">
        <is>
          <t>High</t>
        </is>
      </c>
      <c r="AP851" t="inlineStr">
        <is>
          <t>On Track to Glide Path</t>
        </is>
      </c>
    </row>
    <row r="852">
      <c r="A852" t="inlineStr">
        <is>
          <t>SUP-0054</t>
        </is>
      </c>
      <c r="B852" t="inlineStr">
        <is>
          <t>Chemicals Supplier 054</t>
        </is>
      </c>
      <c r="C852" t="inlineStr">
        <is>
          <t>Chemicals</t>
        </is>
      </c>
      <c r="D852" t="n">
        <v>2024</v>
      </c>
      <c r="E852" t="n">
        <v>2019</v>
      </c>
      <c r="F852" t="n">
        <v>2035</v>
      </c>
      <c r="G852" t="n">
        <v>32020.9372</v>
      </c>
      <c r="H852" t="n">
        <v>4886.915</v>
      </c>
      <c r="I852" t="n">
        <v>2610.0762</v>
      </c>
      <c r="J852" t="n">
        <v>24805.526</v>
      </c>
      <c r="K852" t="n">
        <v>37566679.46</v>
      </c>
      <c r="L852" t="n">
        <v>162599786.13</v>
      </c>
      <c r="M852" t="n">
        <v>32020.9372</v>
      </c>
      <c r="N852" t="inlineStr">
        <is>
          <t>Provided Total Emissions</t>
        </is>
      </c>
      <c r="O852" t="b">
        <v>1</v>
      </c>
      <c r="P852" t="n">
        <v>-0.028448</v>
      </c>
      <c r="Q852" t="n">
        <v>0.033114</v>
      </c>
      <c r="R852" t="n">
        <v>37622.6538</v>
      </c>
      <c r="S852" t="n">
        <v>76623.5232</v>
      </c>
      <c r="T852" t="n">
        <v>5601.7166</v>
      </c>
      <c r="U852" t="n">
        <v>44602.586</v>
      </c>
      <c r="V852" t="n">
        <v>0.174939</v>
      </c>
      <c r="W852" t="n">
        <v>1.392919</v>
      </c>
      <c r="X852" t="inlineStr">
        <is>
          <t>High</t>
        </is>
      </c>
      <c r="Y852" t="inlineStr">
        <is>
          <t>None</t>
        </is>
      </c>
      <c r="Z852" t="inlineStr">
        <is>
          <t>Valid</t>
        </is>
      </c>
      <c r="AA852" t="n">
        <v>2027</v>
      </c>
      <c r="AB852" t="inlineStr">
        <is>
          <t>Supplier Target Pathway</t>
        </is>
      </c>
      <c r="AC852" t="n">
        <v>27514.2942</v>
      </c>
      <c r="AD852" t="n">
        <v>18907.823</v>
      </c>
      <c r="AE852" t="n">
        <v>23211.0586</v>
      </c>
      <c r="AF852" t="n">
        <v>23211.0586</v>
      </c>
      <c r="AG852" t="n">
        <v>4303.2356</v>
      </c>
      <c r="AH852" t="n">
        <v>0.00061786</v>
      </c>
      <c r="AI852" t="n">
        <v>0.1564</v>
      </c>
      <c r="AJ852" t="n">
        <v>4303.2356</v>
      </c>
      <c r="AK852" t="n">
        <v>537.9045</v>
      </c>
      <c r="AL852" t="n">
        <v>136739.1639</v>
      </c>
      <c r="AM852" t="n">
        <v>71246.8891</v>
      </c>
      <c r="AN852" t="n">
        <v>0.99</v>
      </c>
      <c r="AO852" t="inlineStr">
        <is>
          <t>High</t>
        </is>
      </c>
      <c r="AP852" t="inlineStr">
        <is>
          <t>On Track to Glide Path</t>
        </is>
      </c>
    </row>
    <row r="853">
      <c r="A853" t="inlineStr">
        <is>
          <t>SUP-0054</t>
        </is>
      </c>
      <c r="B853" t="inlineStr">
        <is>
          <t>Chemicals Supplier 054</t>
        </is>
      </c>
      <c r="C853" t="inlineStr">
        <is>
          <t>Chemicals</t>
        </is>
      </c>
      <c r="D853" t="n">
        <v>2024</v>
      </c>
      <c r="E853" t="n">
        <v>2019</v>
      </c>
      <c r="F853" t="n">
        <v>2035</v>
      </c>
      <c r="G853" t="n">
        <v>32020.9372</v>
      </c>
      <c r="H853" t="n">
        <v>4886.915</v>
      </c>
      <c r="I853" t="n">
        <v>2610.0762</v>
      </c>
      <c r="J853" t="n">
        <v>24805.526</v>
      </c>
      <c r="K853" t="n">
        <v>37566679.46</v>
      </c>
      <c r="L853" t="n">
        <v>162599786.13</v>
      </c>
      <c r="M853" t="n">
        <v>32020.9372</v>
      </c>
      <c r="N853" t="inlineStr">
        <is>
          <t>Provided Total Emissions</t>
        </is>
      </c>
      <c r="O853" t="b">
        <v>1</v>
      </c>
      <c r="P853" t="n">
        <v>-0.028448</v>
      </c>
      <c r="Q853" t="n">
        <v>0.033114</v>
      </c>
      <c r="R853" t="n">
        <v>37622.6538</v>
      </c>
      <c r="S853" t="n">
        <v>76623.5232</v>
      </c>
      <c r="T853" t="n">
        <v>5601.7166</v>
      </c>
      <c r="U853" t="n">
        <v>44602.586</v>
      </c>
      <c r="V853" t="n">
        <v>0.174939</v>
      </c>
      <c r="W853" t="n">
        <v>1.392919</v>
      </c>
      <c r="X853" t="inlineStr">
        <is>
          <t>High</t>
        </is>
      </c>
      <c r="Y853" t="inlineStr">
        <is>
          <t>None</t>
        </is>
      </c>
      <c r="Z853" t="inlineStr">
        <is>
          <t>Valid</t>
        </is>
      </c>
      <c r="AA853" t="n">
        <v>2028</v>
      </c>
      <c r="AB853" t="inlineStr">
        <is>
          <t>Supplier Target Pathway</t>
        </is>
      </c>
      <c r="AC853" t="n">
        <v>27514.2942</v>
      </c>
      <c r="AD853" t="n">
        <v>18907.823</v>
      </c>
      <c r="AE853" t="n">
        <v>22673.1541</v>
      </c>
      <c r="AF853" t="n">
        <v>22673.1541</v>
      </c>
      <c r="AG853" t="n">
        <v>4841.1401</v>
      </c>
      <c r="AH853" t="n">
        <v>0.00060354</v>
      </c>
      <c r="AI853" t="n">
        <v>0.17595</v>
      </c>
      <c r="AJ853" t="n">
        <v>3765.3312</v>
      </c>
      <c r="AK853" t="n">
        <v>537.9045</v>
      </c>
      <c r="AL853" t="n">
        <v>114066.0098</v>
      </c>
      <c r="AM853" t="n">
        <v>93920.0432</v>
      </c>
      <c r="AN853" t="n">
        <v>0.99</v>
      </c>
      <c r="AO853" t="inlineStr">
        <is>
          <t>High</t>
        </is>
      </c>
      <c r="AP853" t="inlineStr">
        <is>
          <t>On Track to Glide Path</t>
        </is>
      </c>
    </row>
    <row r="854">
      <c r="A854" t="inlineStr">
        <is>
          <t>SUP-0054</t>
        </is>
      </c>
      <c r="B854" t="inlineStr">
        <is>
          <t>Chemicals Supplier 054</t>
        </is>
      </c>
      <c r="C854" t="inlineStr">
        <is>
          <t>Chemicals</t>
        </is>
      </c>
      <c r="D854" t="n">
        <v>2024</v>
      </c>
      <c r="E854" t="n">
        <v>2019</v>
      </c>
      <c r="F854" t="n">
        <v>2035</v>
      </c>
      <c r="G854" t="n">
        <v>32020.9372</v>
      </c>
      <c r="H854" t="n">
        <v>4886.915</v>
      </c>
      <c r="I854" t="n">
        <v>2610.0762</v>
      </c>
      <c r="J854" t="n">
        <v>24805.526</v>
      </c>
      <c r="K854" t="n">
        <v>37566679.46</v>
      </c>
      <c r="L854" t="n">
        <v>162599786.13</v>
      </c>
      <c r="M854" t="n">
        <v>32020.9372</v>
      </c>
      <c r="N854" t="inlineStr">
        <is>
          <t>Provided Total Emissions</t>
        </is>
      </c>
      <c r="O854" t="b">
        <v>1</v>
      </c>
      <c r="P854" t="n">
        <v>-0.028448</v>
      </c>
      <c r="Q854" t="n">
        <v>0.033114</v>
      </c>
      <c r="R854" t="n">
        <v>37622.6538</v>
      </c>
      <c r="S854" t="n">
        <v>76623.5232</v>
      </c>
      <c r="T854" t="n">
        <v>5601.7166</v>
      </c>
      <c r="U854" t="n">
        <v>44602.586</v>
      </c>
      <c r="V854" t="n">
        <v>0.174939</v>
      </c>
      <c r="W854" t="n">
        <v>1.392919</v>
      </c>
      <c r="X854" t="inlineStr">
        <is>
          <t>High</t>
        </is>
      </c>
      <c r="Y854" t="inlineStr">
        <is>
          <t>None</t>
        </is>
      </c>
      <c r="Z854" t="inlineStr">
        <is>
          <t>Valid</t>
        </is>
      </c>
      <c r="AA854" t="n">
        <v>2029</v>
      </c>
      <c r="AB854" t="inlineStr">
        <is>
          <t>Supplier Target Pathway</t>
        </is>
      </c>
      <c r="AC854" t="n">
        <v>27514.2942</v>
      </c>
      <c r="AD854" t="n">
        <v>18907.823</v>
      </c>
      <c r="AE854" t="n">
        <v>22135.2497</v>
      </c>
      <c r="AF854" t="n">
        <v>22135.2497</v>
      </c>
      <c r="AG854" t="n">
        <v>5379.0445</v>
      </c>
      <c r="AH854" t="n">
        <v>0.00058923</v>
      </c>
      <c r="AI854" t="n">
        <v>0.1955</v>
      </c>
      <c r="AJ854" t="n">
        <v>3227.4267</v>
      </c>
      <c r="AK854" t="n">
        <v>537.9045</v>
      </c>
      <c r="AL854" t="n">
        <v>91930.7601</v>
      </c>
      <c r="AM854" t="n">
        <v>116055.2929</v>
      </c>
      <c r="AN854" t="n">
        <v>0.99</v>
      </c>
      <c r="AO854" t="inlineStr">
        <is>
          <t>High</t>
        </is>
      </c>
      <c r="AP854" t="inlineStr">
        <is>
          <t>On Track to Glide Path</t>
        </is>
      </c>
    </row>
    <row r="855">
      <c r="A855" t="inlineStr">
        <is>
          <t>SUP-0054</t>
        </is>
      </c>
      <c r="B855" t="inlineStr">
        <is>
          <t>Chemicals Supplier 054</t>
        </is>
      </c>
      <c r="C855" t="inlineStr">
        <is>
          <t>Chemicals</t>
        </is>
      </c>
      <c r="D855" t="n">
        <v>2024</v>
      </c>
      <c r="E855" t="n">
        <v>2019</v>
      </c>
      <c r="F855" t="n">
        <v>2035</v>
      </c>
      <c r="G855" t="n">
        <v>32020.9372</v>
      </c>
      <c r="H855" t="n">
        <v>4886.915</v>
      </c>
      <c r="I855" t="n">
        <v>2610.0762</v>
      </c>
      <c r="J855" t="n">
        <v>24805.526</v>
      </c>
      <c r="K855" t="n">
        <v>37566679.46</v>
      </c>
      <c r="L855" t="n">
        <v>162599786.13</v>
      </c>
      <c r="M855" t="n">
        <v>32020.9372</v>
      </c>
      <c r="N855" t="inlineStr">
        <is>
          <t>Provided Total Emissions</t>
        </is>
      </c>
      <c r="O855" t="b">
        <v>1</v>
      </c>
      <c r="P855" t="n">
        <v>-0.028448</v>
      </c>
      <c r="Q855" t="n">
        <v>0.033114</v>
      </c>
      <c r="R855" t="n">
        <v>37622.6538</v>
      </c>
      <c r="S855" t="n">
        <v>76623.5232</v>
      </c>
      <c r="T855" t="n">
        <v>5601.7166</v>
      </c>
      <c r="U855" t="n">
        <v>44602.586</v>
      </c>
      <c r="V855" t="n">
        <v>0.174939</v>
      </c>
      <c r="W855" t="n">
        <v>1.392919</v>
      </c>
      <c r="X855" t="inlineStr">
        <is>
          <t>High</t>
        </is>
      </c>
      <c r="Y855" t="inlineStr">
        <is>
          <t>None</t>
        </is>
      </c>
      <c r="Z855" t="inlineStr">
        <is>
          <t>Valid</t>
        </is>
      </c>
      <c r="AA855" t="n">
        <v>2030</v>
      </c>
      <c r="AB855" t="inlineStr">
        <is>
          <t>Supplier Target Pathway</t>
        </is>
      </c>
      <c r="AC855" t="n">
        <v>27514.2942</v>
      </c>
      <c r="AD855" t="n">
        <v>18907.823</v>
      </c>
      <c r="AE855" t="n">
        <v>21597.3452</v>
      </c>
      <c r="AF855" t="n">
        <v>21597.3452</v>
      </c>
      <c r="AG855" t="n">
        <v>5916.949</v>
      </c>
      <c r="AH855" t="n">
        <v>0.00057491</v>
      </c>
      <c r="AI855" t="n">
        <v>0.21505</v>
      </c>
      <c r="AJ855" t="n">
        <v>2689.5223</v>
      </c>
      <c r="AK855" t="n">
        <v>537.9045</v>
      </c>
      <c r="AL855" t="n">
        <v>70333.4149</v>
      </c>
      <c r="AM855" t="n">
        <v>137652.6381</v>
      </c>
      <c r="AN855" t="n">
        <v>0.99</v>
      </c>
      <c r="AO855" t="inlineStr">
        <is>
          <t>Medium</t>
        </is>
      </c>
      <c r="AP855" t="inlineStr">
        <is>
          <t>On Track to Glide Path</t>
        </is>
      </c>
    </row>
    <row r="856">
      <c r="A856" t="inlineStr">
        <is>
          <t>SUP-0054</t>
        </is>
      </c>
      <c r="B856" t="inlineStr">
        <is>
          <t>Chemicals Supplier 054</t>
        </is>
      </c>
      <c r="C856" t="inlineStr">
        <is>
          <t>Chemicals</t>
        </is>
      </c>
      <c r="D856" t="n">
        <v>2024</v>
      </c>
      <c r="E856" t="n">
        <v>2019</v>
      </c>
      <c r="F856" t="n">
        <v>2035</v>
      </c>
      <c r="G856" t="n">
        <v>32020.9372</v>
      </c>
      <c r="H856" t="n">
        <v>4886.915</v>
      </c>
      <c r="I856" t="n">
        <v>2610.0762</v>
      </c>
      <c r="J856" t="n">
        <v>24805.526</v>
      </c>
      <c r="K856" t="n">
        <v>37566679.46</v>
      </c>
      <c r="L856" t="n">
        <v>162599786.13</v>
      </c>
      <c r="M856" t="n">
        <v>32020.9372</v>
      </c>
      <c r="N856" t="inlineStr">
        <is>
          <t>Provided Total Emissions</t>
        </is>
      </c>
      <c r="O856" t="b">
        <v>1</v>
      </c>
      <c r="P856" t="n">
        <v>-0.028448</v>
      </c>
      <c r="Q856" t="n">
        <v>0.033114</v>
      </c>
      <c r="R856" t="n">
        <v>37622.6538</v>
      </c>
      <c r="S856" t="n">
        <v>76623.5232</v>
      </c>
      <c r="T856" t="n">
        <v>5601.7166</v>
      </c>
      <c r="U856" t="n">
        <v>44602.586</v>
      </c>
      <c r="V856" t="n">
        <v>0.174939</v>
      </c>
      <c r="W856" t="n">
        <v>1.392919</v>
      </c>
      <c r="X856" t="inlineStr">
        <is>
          <t>High</t>
        </is>
      </c>
      <c r="Y856" t="inlineStr">
        <is>
          <t>None</t>
        </is>
      </c>
      <c r="Z856" t="inlineStr">
        <is>
          <t>Valid</t>
        </is>
      </c>
      <c r="AA856" t="n">
        <v>2031</v>
      </c>
      <c r="AB856" t="inlineStr">
        <is>
          <t>Supplier Target Pathway</t>
        </is>
      </c>
      <c r="AC856" t="n">
        <v>27514.2942</v>
      </c>
      <c r="AD856" t="n">
        <v>18907.823</v>
      </c>
      <c r="AE856" t="n">
        <v>21059.4408</v>
      </c>
      <c r="AF856" t="n">
        <v>21059.4408</v>
      </c>
      <c r="AG856" t="n">
        <v>6454.8534</v>
      </c>
      <c r="AH856" t="n">
        <v>0.00056059</v>
      </c>
      <c r="AI856" t="n">
        <v>0.2346</v>
      </c>
      <c r="AJ856" t="n">
        <v>2151.6178</v>
      </c>
      <c r="AK856" t="n">
        <v>537.9045</v>
      </c>
      <c r="AL856" t="n">
        <v>49273.9741</v>
      </c>
      <c r="AM856" t="n">
        <v>158712.0789</v>
      </c>
      <c r="AN856" t="n">
        <v>0.99</v>
      </c>
      <c r="AO856" t="inlineStr">
        <is>
          <t>Medium</t>
        </is>
      </c>
      <c r="AP856" t="inlineStr">
        <is>
          <t>On Track to Glide Path</t>
        </is>
      </c>
    </row>
    <row r="857">
      <c r="A857" t="inlineStr">
        <is>
          <t>SUP-0054</t>
        </is>
      </c>
      <c r="B857" t="inlineStr">
        <is>
          <t>Chemicals Supplier 054</t>
        </is>
      </c>
      <c r="C857" t="inlineStr">
        <is>
          <t>Chemicals</t>
        </is>
      </c>
      <c r="D857" t="n">
        <v>2024</v>
      </c>
      <c r="E857" t="n">
        <v>2019</v>
      </c>
      <c r="F857" t="n">
        <v>2035</v>
      </c>
      <c r="G857" t="n">
        <v>32020.9372</v>
      </c>
      <c r="H857" t="n">
        <v>4886.915</v>
      </c>
      <c r="I857" t="n">
        <v>2610.0762</v>
      </c>
      <c r="J857" t="n">
        <v>24805.526</v>
      </c>
      <c r="K857" t="n">
        <v>37566679.46</v>
      </c>
      <c r="L857" t="n">
        <v>162599786.13</v>
      </c>
      <c r="M857" t="n">
        <v>32020.9372</v>
      </c>
      <c r="N857" t="inlineStr">
        <is>
          <t>Provided Total Emissions</t>
        </is>
      </c>
      <c r="O857" t="b">
        <v>1</v>
      </c>
      <c r="P857" t="n">
        <v>-0.028448</v>
      </c>
      <c r="Q857" t="n">
        <v>0.033114</v>
      </c>
      <c r="R857" t="n">
        <v>37622.6538</v>
      </c>
      <c r="S857" t="n">
        <v>76623.5232</v>
      </c>
      <c r="T857" t="n">
        <v>5601.7166</v>
      </c>
      <c r="U857" t="n">
        <v>44602.586</v>
      </c>
      <c r="V857" t="n">
        <v>0.174939</v>
      </c>
      <c r="W857" t="n">
        <v>1.392919</v>
      </c>
      <c r="X857" t="inlineStr">
        <is>
          <t>High</t>
        </is>
      </c>
      <c r="Y857" t="inlineStr">
        <is>
          <t>None</t>
        </is>
      </c>
      <c r="Z857" t="inlineStr">
        <is>
          <t>Valid</t>
        </is>
      </c>
      <c r="AA857" t="n">
        <v>2032</v>
      </c>
      <c r="AB857" t="inlineStr">
        <is>
          <t>Supplier Target Pathway</t>
        </is>
      </c>
      <c r="AC857" t="n">
        <v>27514.2942</v>
      </c>
      <c r="AD857" t="n">
        <v>18907.823</v>
      </c>
      <c r="AE857" t="n">
        <v>20521.5363</v>
      </c>
      <c r="AF857" t="n">
        <v>20521.5363</v>
      </c>
      <c r="AG857" t="n">
        <v>6992.7579</v>
      </c>
      <c r="AH857" t="n">
        <v>0.00054627</v>
      </c>
      <c r="AI857" t="n">
        <v>0.25415</v>
      </c>
      <c r="AJ857" t="n">
        <v>1613.7134</v>
      </c>
      <c r="AK857" t="n">
        <v>537.9045</v>
      </c>
      <c r="AL857" t="n">
        <v>28752.4378</v>
      </c>
      <c r="AM857" t="n">
        <v>179233.6152</v>
      </c>
      <c r="AN857" t="n">
        <v>0.99</v>
      </c>
      <c r="AO857" t="inlineStr">
        <is>
          <t>Medium</t>
        </is>
      </c>
      <c r="AP857" t="inlineStr">
        <is>
          <t>On Track to Glide Path</t>
        </is>
      </c>
    </row>
    <row r="858">
      <c r="A858" t="inlineStr">
        <is>
          <t>SUP-0054</t>
        </is>
      </c>
      <c r="B858" t="inlineStr">
        <is>
          <t>Chemicals Supplier 054</t>
        </is>
      </c>
      <c r="C858" t="inlineStr">
        <is>
          <t>Chemicals</t>
        </is>
      </c>
      <c r="D858" t="n">
        <v>2024</v>
      </c>
      <c r="E858" t="n">
        <v>2019</v>
      </c>
      <c r="F858" t="n">
        <v>2035</v>
      </c>
      <c r="G858" t="n">
        <v>32020.9372</v>
      </c>
      <c r="H858" t="n">
        <v>4886.915</v>
      </c>
      <c r="I858" t="n">
        <v>2610.0762</v>
      </c>
      <c r="J858" t="n">
        <v>24805.526</v>
      </c>
      <c r="K858" t="n">
        <v>37566679.46</v>
      </c>
      <c r="L858" t="n">
        <v>162599786.13</v>
      </c>
      <c r="M858" t="n">
        <v>32020.9372</v>
      </c>
      <c r="N858" t="inlineStr">
        <is>
          <t>Provided Total Emissions</t>
        </is>
      </c>
      <c r="O858" t="b">
        <v>1</v>
      </c>
      <c r="P858" t="n">
        <v>-0.028448</v>
      </c>
      <c r="Q858" t="n">
        <v>0.033114</v>
      </c>
      <c r="R858" t="n">
        <v>37622.6538</v>
      </c>
      <c r="S858" t="n">
        <v>76623.5232</v>
      </c>
      <c r="T858" t="n">
        <v>5601.7166</v>
      </c>
      <c r="U858" t="n">
        <v>44602.586</v>
      </c>
      <c r="V858" t="n">
        <v>0.174939</v>
      </c>
      <c r="W858" t="n">
        <v>1.392919</v>
      </c>
      <c r="X858" t="inlineStr">
        <is>
          <t>High</t>
        </is>
      </c>
      <c r="Y858" t="inlineStr">
        <is>
          <t>None</t>
        </is>
      </c>
      <c r="Z858" t="inlineStr">
        <is>
          <t>Valid</t>
        </is>
      </c>
      <c r="AA858" t="n">
        <v>2033</v>
      </c>
      <c r="AB858" t="inlineStr">
        <is>
          <t>Supplier Target Pathway</t>
        </is>
      </c>
      <c r="AC858" t="n">
        <v>27514.2942</v>
      </c>
      <c r="AD858" t="n">
        <v>18907.823</v>
      </c>
      <c r="AE858" t="n">
        <v>19983.6319</v>
      </c>
      <c r="AF858" t="n">
        <v>19983.6319</v>
      </c>
      <c r="AG858" t="n">
        <v>7530.6623</v>
      </c>
      <c r="AH858" t="n">
        <v>0.00053195</v>
      </c>
      <c r="AI858" t="n">
        <v>0.2737</v>
      </c>
      <c r="AJ858" t="n">
        <v>1075.8089</v>
      </c>
      <c r="AK858" t="n">
        <v>537.9045</v>
      </c>
      <c r="AL858" t="n">
        <v>8768.805899999999</v>
      </c>
      <c r="AM858" t="n">
        <v>199217.2471</v>
      </c>
      <c r="AN858" t="n">
        <v>0.99</v>
      </c>
      <c r="AO858" t="inlineStr">
        <is>
          <t>Medium</t>
        </is>
      </c>
      <c r="AP858" t="inlineStr">
        <is>
          <t>On Track to Glide Path</t>
        </is>
      </c>
    </row>
    <row r="859">
      <c r="A859" t="inlineStr">
        <is>
          <t>SUP-0054</t>
        </is>
      </c>
      <c r="B859" t="inlineStr">
        <is>
          <t>Chemicals Supplier 054</t>
        </is>
      </c>
      <c r="C859" t="inlineStr">
        <is>
          <t>Chemicals</t>
        </is>
      </c>
      <c r="D859" t="n">
        <v>2024</v>
      </c>
      <c r="E859" t="n">
        <v>2019</v>
      </c>
      <c r="F859" t="n">
        <v>2035</v>
      </c>
      <c r="G859" t="n">
        <v>32020.9372</v>
      </c>
      <c r="H859" t="n">
        <v>4886.915</v>
      </c>
      <c r="I859" t="n">
        <v>2610.0762</v>
      </c>
      <c r="J859" t="n">
        <v>24805.526</v>
      </c>
      <c r="K859" t="n">
        <v>37566679.46</v>
      </c>
      <c r="L859" t="n">
        <v>162599786.13</v>
      </c>
      <c r="M859" t="n">
        <v>32020.9372</v>
      </c>
      <c r="N859" t="inlineStr">
        <is>
          <t>Provided Total Emissions</t>
        </is>
      </c>
      <c r="O859" t="b">
        <v>1</v>
      </c>
      <c r="P859" t="n">
        <v>-0.028448</v>
      </c>
      <c r="Q859" t="n">
        <v>0.033114</v>
      </c>
      <c r="R859" t="n">
        <v>37622.6538</v>
      </c>
      <c r="S859" t="n">
        <v>76623.5232</v>
      </c>
      <c r="T859" t="n">
        <v>5601.7166</v>
      </c>
      <c r="U859" t="n">
        <v>44602.586</v>
      </c>
      <c r="V859" t="n">
        <v>0.174939</v>
      </c>
      <c r="W859" t="n">
        <v>1.392919</v>
      </c>
      <c r="X859" t="inlineStr">
        <is>
          <t>High</t>
        </is>
      </c>
      <c r="Y859" t="inlineStr">
        <is>
          <t>None</t>
        </is>
      </c>
      <c r="Z859" t="inlineStr">
        <is>
          <t>Valid</t>
        </is>
      </c>
      <c r="AA859" t="n">
        <v>2034</v>
      </c>
      <c r="AB859" t="inlineStr">
        <is>
          <t>Supplier Target Pathway</t>
        </is>
      </c>
      <c r="AC859" t="n">
        <v>27514.2942</v>
      </c>
      <c r="AD859" t="n">
        <v>18907.823</v>
      </c>
      <c r="AE859" t="n">
        <v>19445.7274</v>
      </c>
      <c r="AF859" t="n">
        <v>19445.7274</v>
      </c>
      <c r="AG859" t="n">
        <v>8068.5668</v>
      </c>
      <c r="AH859" t="n">
        <v>0.00051763</v>
      </c>
      <c r="AI859" t="n">
        <v>0.29325</v>
      </c>
      <c r="AJ859" t="n">
        <v>537.9045</v>
      </c>
      <c r="AK859" t="n">
        <v>537.9045</v>
      </c>
      <c r="AL859" t="n">
        <v>-10676.9215</v>
      </c>
      <c r="AM859" t="n">
        <v>218662.9745</v>
      </c>
      <c r="AN859" t="n">
        <v>0.99</v>
      </c>
      <c r="AO859" t="inlineStr">
        <is>
          <t>Medium</t>
        </is>
      </c>
      <c r="AP859" t="inlineStr">
        <is>
          <t>On Track to Glide Path</t>
        </is>
      </c>
    </row>
    <row r="860">
      <c r="A860" t="inlineStr">
        <is>
          <t>SUP-0054</t>
        </is>
      </c>
      <c r="B860" t="inlineStr">
        <is>
          <t>Chemicals Supplier 054</t>
        </is>
      </c>
      <c r="C860" t="inlineStr">
        <is>
          <t>Chemicals</t>
        </is>
      </c>
      <c r="D860" t="n">
        <v>2024</v>
      </c>
      <c r="E860" t="n">
        <v>2019</v>
      </c>
      <c r="F860" t="n">
        <v>2035</v>
      </c>
      <c r="G860" t="n">
        <v>32020.9372</v>
      </c>
      <c r="H860" t="n">
        <v>4886.915</v>
      </c>
      <c r="I860" t="n">
        <v>2610.0762</v>
      </c>
      <c r="J860" t="n">
        <v>24805.526</v>
      </c>
      <c r="K860" t="n">
        <v>37566679.46</v>
      </c>
      <c r="L860" t="n">
        <v>162599786.13</v>
      </c>
      <c r="M860" t="n">
        <v>32020.9372</v>
      </c>
      <c r="N860" t="inlineStr">
        <is>
          <t>Provided Total Emissions</t>
        </is>
      </c>
      <c r="O860" t="b">
        <v>1</v>
      </c>
      <c r="P860" t="n">
        <v>-0.028448</v>
      </c>
      <c r="Q860" t="n">
        <v>0.033114</v>
      </c>
      <c r="R860" t="n">
        <v>37622.6538</v>
      </c>
      <c r="S860" t="n">
        <v>76623.5232</v>
      </c>
      <c r="T860" t="n">
        <v>5601.7166</v>
      </c>
      <c r="U860" t="n">
        <v>44602.586</v>
      </c>
      <c r="V860" t="n">
        <v>0.174939</v>
      </c>
      <c r="W860" t="n">
        <v>1.392919</v>
      </c>
      <c r="X860" t="inlineStr">
        <is>
          <t>High</t>
        </is>
      </c>
      <c r="Y860" t="inlineStr">
        <is>
          <t>None</t>
        </is>
      </c>
      <c r="Z860" t="inlineStr">
        <is>
          <t>Valid</t>
        </is>
      </c>
      <c r="AA860" t="n">
        <v>2035</v>
      </c>
      <c r="AB860" t="inlineStr">
        <is>
          <t>Supplier Target Pathway</t>
        </is>
      </c>
      <c r="AC860" t="n">
        <v>27514.2942</v>
      </c>
      <c r="AD860" t="n">
        <v>18907.823</v>
      </c>
      <c r="AE860" t="n">
        <v>18907.823</v>
      </c>
      <c r="AF860" t="n">
        <v>18907.823</v>
      </c>
      <c r="AG860" t="n">
        <v>8606.4712</v>
      </c>
      <c r="AH860" t="n">
        <v>0.00050331</v>
      </c>
      <c r="AI860" t="n">
        <v>0.3128</v>
      </c>
      <c r="AJ860" t="n">
        <v>0</v>
      </c>
      <c r="AK860" t="n">
        <v>537.9045</v>
      </c>
      <c r="AL860" t="n">
        <v>-29584.7445</v>
      </c>
      <c r="AM860" t="n">
        <v>237570.7975</v>
      </c>
      <c r="AN860" t="n">
        <v>0.99</v>
      </c>
      <c r="AO860" t="inlineStr">
        <is>
          <t>Low</t>
        </is>
      </c>
      <c r="AP860" t="inlineStr">
        <is>
          <t>On Track</t>
        </is>
      </c>
    </row>
    <row r="861">
      <c r="A861" t="inlineStr">
        <is>
          <t>SUP-0054</t>
        </is>
      </c>
      <c r="B861" t="inlineStr">
        <is>
          <t>Chemicals Supplier 054</t>
        </is>
      </c>
      <c r="C861" t="inlineStr">
        <is>
          <t>Chemicals</t>
        </is>
      </c>
      <c r="D861" t="n">
        <v>2024</v>
      </c>
      <c r="E861" t="n">
        <v>2019</v>
      </c>
      <c r="F861" t="n">
        <v>2035</v>
      </c>
      <c r="G861" t="n">
        <v>32020.9372</v>
      </c>
      <c r="H861" t="n">
        <v>4886.915</v>
      </c>
      <c r="I861" t="n">
        <v>2610.0762</v>
      </c>
      <c r="J861" t="n">
        <v>24805.526</v>
      </c>
      <c r="K861" t="n">
        <v>37566679.46</v>
      </c>
      <c r="L861" t="n">
        <v>162599786.13</v>
      </c>
      <c r="M861" t="n">
        <v>32020.9372</v>
      </c>
      <c r="N861" t="inlineStr">
        <is>
          <t>Provided Total Emissions</t>
        </is>
      </c>
      <c r="O861" t="b">
        <v>1</v>
      </c>
      <c r="P861" t="n">
        <v>-0.028448</v>
      </c>
      <c r="Q861" t="n">
        <v>0.033114</v>
      </c>
      <c r="R861" t="n">
        <v>37622.6538</v>
      </c>
      <c r="S861" t="n">
        <v>76623.5232</v>
      </c>
      <c r="T861" t="n">
        <v>5601.7166</v>
      </c>
      <c r="U861" t="n">
        <v>44602.586</v>
      </c>
      <c r="V861" t="n">
        <v>0.174939</v>
      </c>
      <c r="W861" t="n">
        <v>1.392919</v>
      </c>
      <c r="X861" t="inlineStr">
        <is>
          <t>High</t>
        </is>
      </c>
      <c r="Y861" t="inlineStr">
        <is>
          <t>None</t>
        </is>
      </c>
      <c r="Z861" t="inlineStr">
        <is>
          <t>Valid</t>
        </is>
      </c>
      <c r="AA861" t="n">
        <v>2036</v>
      </c>
      <c r="AB861" t="inlineStr">
        <is>
          <t>Supplier Target Pathway</t>
        </is>
      </c>
      <c r="AC861" t="n">
        <v>27514.2942</v>
      </c>
      <c r="AD861" t="n">
        <v>18907.823</v>
      </c>
      <c r="AE861" t="n">
        <v>18907.823</v>
      </c>
      <c r="AF861" t="n">
        <v>18907.823</v>
      </c>
      <c r="AG861" t="n">
        <v>8606.4712</v>
      </c>
      <c r="AH861" t="n">
        <v>0.00050331</v>
      </c>
      <c r="AI861" t="n">
        <v>0.3128</v>
      </c>
      <c r="AJ861" t="n">
        <v>0</v>
      </c>
      <c r="AK861" t="n">
        <v>537.9045</v>
      </c>
      <c r="AL861" t="n">
        <v>-48492.5675</v>
      </c>
      <c r="AM861" t="n">
        <v>256478.6205</v>
      </c>
      <c r="AN861" t="n">
        <v>0.99</v>
      </c>
      <c r="AO861" t="inlineStr">
        <is>
          <t>Low</t>
        </is>
      </c>
      <c r="AP861" t="inlineStr">
        <is>
          <t>On Track</t>
        </is>
      </c>
    </row>
    <row r="862">
      <c r="A862" t="inlineStr">
        <is>
          <t>SUP-0054</t>
        </is>
      </c>
      <c r="B862" t="inlineStr">
        <is>
          <t>Chemicals Supplier 054</t>
        </is>
      </c>
      <c r="C862" t="inlineStr">
        <is>
          <t>Chemicals</t>
        </is>
      </c>
      <c r="D862" t="n">
        <v>2024</v>
      </c>
      <c r="E862" t="n">
        <v>2019</v>
      </c>
      <c r="F862" t="n">
        <v>2035</v>
      </c>
      <c r="G862" t="n">
        <v>32020.9372</v>
      </c>
      <c r="H862" t="n">
        <v>4886.915</v>
      </c>
      <c r="I862" t="n">
        <v>2610.0762</v>
      </c>
      <c r="J862" t="n">
        <v>24805.526</v>
      </c>
      <c r="K862" t="n">
        <v>37566679.46</v>
      </c>
      <c r="L862" t="n">
        <v>162599786.13</v>
      </c>
      <c r="M862" t="n">
        <v>32020.9372</v>
      </c>
      <c r="N862" t="inlineStr">
        <is>
          <t>Provided Total Emissions</t>
        </is>
      </c>
      <c r="O862" t="b">
        <v>1</v>
      </c>
      <c r="P862" t="n">
        <v>-0.028448</v>
      </c>
      <c r="Q862" t="n">
        <v>0.033114</v>
      </c>
      <c r="R862" t="n">
        <v>37622.6538</v>
      </c>
      <c r="S862" t="n">
        <v>76623.5232</v>
      </c>
      <c r="T862" t="n">
        <v>5601.7166</v>
      </c>
      <c r="U862" t="n">
        <v>44602.586</v>
      </c>
      <c r="V862" t="n">
        <v>0.174939</v>
      </c>
      <c r="W862" t="n">
        <v>1.392919</v>
      </c>
      <c r="X862" t="inlineStr">
        <is>
          <t>High</t>
        </is>
      </c>
      <c r="Y862" t="inlineStr">
        <is>
          <t>None</t>
        </is>
      </c>
      <c r="Z862" t="inlineStr">
        <is>
          <t>Valid</t>
        </is>
      </c>
      <c r="AA862" t="n">
        <v>2037</v>
      </c>
      <c r="AB862" t="inlineStr">
        <is>
          <t>Supplier Target Pathway</t>
        </is>
      </c>
      <c r="AC862" t="n">
        <v>27514.2942</v>
      </c>
      <c r="AD862" t="n">
        <v>18907.823</v>
      </c>
      <c r="AE862" t="n">
        <v>18907.823</v>
      </c>
      <c r="AF862" t="n">
        <v>18907.823</v>
      </c>
      <c r="AG862" t="n">
        <v>8606.4712</v>
      </c>
      <c r="AH862" t="n">
        <v>0.00050331</v>
      </c>
      <c r="AI862" t="n">
        <v>0.3128</v>
      </c>
      <c r="AJ862" t="n">
        <v>0</v>
      </c>
      <c r="AK862" t="n">
        <v>537.9045</v>
      </c>
      <c r="AL862" t="n">
        <v>-67400.39049999999</v>
      </c>
      <c r="AM862" t="n">
        <v>275386.4435</v>
      </c>
      <c r="AN862" t="n">
        <v>0.99</v>
      </c>
      <c r="AO862" t="inlineStr">
        <is>
          <t>Low</t>
        </is>
      </c>
      <c r="AP862" t="inlineStr">
        <is>
          <t>On Track</t>
        </is>
      </c>
    </row>
    <row r="863">
      <c r="A863" t="inlineStr">
        <is>
          <t>SUP-0054</t>
        </is>
      </c>
      <c r="B863" t="inlineStr">
        <is>
          <t>Chemicals Supplier 054</t>
        </is>
      </c>
      <c r="C863" t="inlineStr">
        <is>
          <t>Chemicals</t>
        </is>
      </c>
      <c r="D863" t="n">
        <v>2024</v>
      </c>
      <c r="E863" t="n">
        <v>2019</v>
      </c>
      <c r="F863" t="n">
        <v>2035</v>
      </c>
      <c r="G863" t="n">
        <v>32020.9372</v>
      </c>
      <c r="H863" t="n">
        <v>4886.915</v>
      </c>
      <c r="I863" t="n">
        <v>2610.0762</v>
      </c>
      <c r="J863" t="n">
        <v>24805.526</v>
      </c>
      <c r="K863" t="n">
        <v>37566679.46</v>
      </c>
      <c r="L863" t="n">
        <v>162599786.13</v>
      </c>
      <c r="M863" t="n">
        <v>32020.9372</v>
      </c>
      <c r="N863" t="inlineStr">
        <is>
          <t>Provided Total Emissions</t>
        </is>
      </c>
      <c r="O863" t="b">
        <v>1</v>
      </c>
      <c r="P863" t="n">
        <v>-0.028448</v>
      </c>
      <c r="Q863" t="n">
        <v>0.033114</v>
      </c>
      <c r="R863" t="n">
        <v>37622.6538</v>
      </c>
      <c r="S863" t="n">
        <v>76623.5232</v>
      </c>
      <c r="T863" t="n">
        <v>5601.7166</v>
      </c>
      <c r="U863" t="n">
        <v>44602.586</v>
      </c>
      <c r="V863" t="n">
        <v>0.174939</v>
      </c>
      <c r="W863" t="n">
        <v>1.392919</v>
      </c>
      <c r="X863" t="inlineStr">
        <is>
          <t>High</t>
        </is>
      </c>
      <c r="Y863" t="inlineStr">
        <is>
          <t>None</t>
        </is>
      </c>
      <c r="Z863" t="inlineStr">
        <is>
          <t>Valid</t>
        </is>
      </c>
      <c r="AA863" t="n">
        <v>2038</v>
      </c>
      <c r="AB863" t="inlineStr">
        <is>
          <t>Supplier Target Pathway</t>
        </is>
      </c>
      <c r="AC863" t="n">
        <v>27514.2942</v>
      </c>
      <c r="AD863" t="n">
        <v>18907.823</v>
      </c>
      <c r="AE863" t="n">
        <v>18907.823</v>
      </c>
      <c r="AF863" t="n">
        <v>18907.823</v>
      </c>
      <c r="AG863" t="n">
        <v>8606.4712</v>
      </c>
      <c r="AH863" t="n">
        <v>0.00050331</v>
      </c>
      <c r="AI863" t="n">
        <v>0.3128</v>
      </c>
      <c r="AJ863" t="n">
        <v>0</v>
      </c>
      <c r="AK863" t="n">
        <v>537.9045</v>
      </c>
      <c r="AL863" t="n">
        <v>-86308.2135</v>
      </c>
      <c r="AM863" t="n">
        <v>294294.2665</v>
      </c>
      <c r="AN863" t="n">
        <v>0.99</v>
      </c>
      <c r="AO863" t="inlineStr">
        <is>
          <t>Low</t>
        </is>
      </c>
      <c r="AP863" t="inlineStr">
        <is>
          <t>On Track</t>
        </is>
      </c>
    </row>
    <row r="864">
      <c r="A864" t="inlineStr">
        <is>
          <t>SUP-0054</t>
        </is>
      </c>
      <c r="B864" t="inlineStr">
        <is>
          <t>Chemicals Supplier 054</t>
        </is>
      </c>
      <c r="C864" t="inlineStr">
        <is>
          <t>Chemicals</t>
        </is>
      </c>
      <c r="D864" t="n">
        <v>2024</v>
      </c>
      <c r="E864" t="n">
        <v>2019</v>
      </c>
      <c r="F864" t="n">
        <v>2035</v>
      </c>
      <c r="G864" t="n">
        <v>32020.9372</v>
      </c>
      <c r="H864" t="n">
        <v>4886.915</v>
      </c>
      <c r="I864" t="n">
        <v>2610.0762</v>
      </c>
      <c r="J864" t="n">
        <v>24805.526</v>
      </c>
      <c r="K864" t="n">
        <v>37566679.46</v>
      </c>
      <c r="L864" t="n">
        <v>162599786.13</v>
      </c>
      <c r="M864" t="n">
        <v>32020.9372</v>
      </c>
      <c r="N864" t="inlineStr">
        <is>
          <t>Provided Total Emissions</t>
        </is>
      </c>
      <c r="O864" t="b">
        <v>1</v>
      </c>
      <c r="P864" t="n">
        <v>-0.028448</v>
      </c>
      <c r="Q864" t="n">
        <v>0.033114</v>
      </c>
      <c r="R864" t="n">
        <v>37622.6538</v>
      </c>
      <c r="S864" t="n">
        <v>76623.5232</v>
      </c>
      <c r="T864" t="n">
        <v>5601.7166</v>
      </c>
      <c r="U864" t="n">
        <v>44602.586</v>
      </c>
      <c r="V864" t="n">
        <v>0.174939</v>
      </c>
      <c r="W864" t="n">
        <v>1.392919</v>
      </c>
      <c r="X864" t="inlineStr">
        <is>
          <t>High</t>
        </is>
      </c>
      <c r="Y864" t="inlineStr">
        <is>
          <t>None</t>
        </is>
      </c>
      <c r="Z864" t="inlineStr">
        <is>
          <t>Valid</t>
        </is>
      </c>
      <c r="AA864" t="n">
        <v>2039</v>
      </c>
      <c r="AB864" t="inlineStr">
        <is>
          <t>Supplier Target Pathway</t>
        </is>
      </c>
      <c r="AC864" t="n">
        <v>27514.2942</v>
      </c>
      <c r="AD864" t="n">
        <v>18907.823</v>
      </c>
      <c r="AE864" t="n">
        <v>18907.823</v>
      </c>
      <c r="AF864" t="n">
        <v>18907.823</v>
      </c>
      <c r="AG864" t="n">
        <v>8606.4712</v>
      </c>
      <c r="AH864" t="n">
        <v>0.00050331</v>
      </c>
      <c r="AI864" t="n">
        <v>0.3128</v>
      </c>
      <c r="AJ864" t="n">
        <v>0</v>
      </c>
      <c r="AK864" t="n">
        <v>537.9045</v>
      </c>
      <c r="AL864" t="n">
        <v>-105216.0365</v>
      </c>
      <c r="AM864" t="n">
        <v>313202.0895</v>
      </c>
      <c r="AN864" t="n">
        <v>0.99</v>
      </c>
      <c r="AO864" t="inlineStr">
        <is>
          <t>Low</t>
        </is>
      </c>
      <c r="AP864" t="inlineStr">
        <is>
          <t>On Track</t>
        </is>
      </c>
    </row>
    <row r="865">
      <c r="A865" t="inlineStr">
        <is>
          <t>SUP-0054</t>
        </is>
      </c>
      <c r="B865" t="inlineStr">
        <is>
          <t>Chemicals Supplier 054</t>
        </is>
      </c>
      <c r="C865" t="inlineStr">
        <is>
          <t>Chemicals</t>
        </is>
      </c>
      <c r="D865" t="n">
        <v>2024</v>
      </c>
      <c r="E865" t="n">
        <v>2019</v>
      </c>
      <c r="F865" t="n">
        <v>2035</v>
      </c>
      <c r="G865" t="n">
        <v>32020.9372</v>
      </c>
      <c r="H865" t="n">
        <v>4886.915</v>
      </c>
      <c r="I865" t="n">
        <v>2610.0762</v>
      </c>
      <c r="J865" t="n">
        <v>24805.526</v>
      </c>
      <c r="K865" t="n">
        <v>37566679.46</v>
      </c>
      <c r="L865" t="n">
        <v>162599786.13</v>
      </c>
      <c r="M865" t="n">
        <v>32020.9372</v>
      </c>
      <c r="N865" t="inlineStr">
        <is>
          <t>Provided Total Emissions</t>
        </is>
      </c>
      <c r="O865" t="b">
        <v>1</v>
      </c>
      <c r="P865" t="n">
        <v>-0.028448</v>
      </c>
      <c r="Q865" t="n">
        <v>0.033114</v>
      </c>
      <c r="R865" t="n">
        <v>37622.6538</v>
      </c>
      <c r="S865" t="n">
        <v>76623.5232</v>
      </c>
      <c r="T865" t="n">
        <v>5601.7166</v>
      </c>
      <c r="U865" t="n">
        <v>44602.586</v>
      </c>
      <c r="V865" t="n">
        <v>0.174939</v>
      </c>
      <c r="W865" t="n">
        <v>1.392919</v>
      </c>
      <c r="X865" t="inlineStr">
        <is>
          <t>High</t>
        </is>
      </c>
      <c r="Y865" t="inlineStr">
        <is>
          <t>None</t>
        </is>
      </c>
      <c r="Z865" t="inlineStr">
        <is>
          <t>Valid</t>
        </is>
      </c>
      <c r="AA865" t="n">
        <v>2040</v>
      </c>
      <c r="AB865" t="inlineStr">
        <is>
          <t>Supplier Target Pathway</t>
        </is>
      </c>
      <c r="AC865" t="n">
        <v>27514.2942</v>
      </c>
      <c r="AD865" t="n">
        <v>18907.823</v>
      </c>
      <c r="AE865" t="n">
        <v>18907.823</v>
      </c>
      <c r="AF865" t="n">
        <v>18907.823</v>
      </c>
      <c r="AG865" t="n">
        <v>8606.4712</v>
      </c>
      <c r="AH865" t="n">
        <v>0.00050331</v>
      </c>
      <c r="AI865" t="n">
        <v>0.3128</v>
      </c>
      <c r="AJ865" t="n">
        <v>0</v>
      </c>
      <c r="AK865" t="n">
        <v>537.9045</v>
      </c>
      <c r="AL865" t="n">
        <v>-124123.8595</v>
      </c>
      <c r="AM865" t="n">
        <v>332109.9125</v>
      </c>
      <c r="AN865" t="n">
        <v>0.99</v>
      </c>
      <c r="AO865" t="inlineStr">
        <is>
          <t>Low</t>
        </is>
      </c>
      <c r="AP865" t="inlineStr">
        <is>
          <t>On Track</t>
        </is>
      </c>
    </row>
    <row r="866">
      <c r="A866" t="inlineStr">
        <is>
          <t>SUP-0055</t>
        </is>
      </c>
      <c r="B866" t="inlineStr">
        <is>
          <t>Chemicals Supplier 055</t>
        </is>
      </c>
      <c r="C866" t="inlineStr">
        <is>
          <t>Chemicals</t>
        </is>
      </c>
      <c r="D866" t="n">
        <v>2024</v>
      </c>
      <c r="E866" t="n">
        <v>2020</v>
      </c>
      <c r="F866" t="n">
        <v>2040</v>
      </c>
      <c r="G866" t="n">
        <v>7352.1791</v>
      </c>
      <c r="H866" t="n">
        <v>2076.3008</v>
      </c>
      <c r="I866" t="n">
        <v>855.4068</v>
      </c>
      <c r="J866" t="n">
        <v>4718.631</v>
      </c>
      <c r="K866" t="n">
        <v>11454992.68</v>
      </c>
      <c r="L866" t="n">
        <v>75753628.87</v>
      </c>
      <c r="M866" t="n">
        <v>7352.1791</v>
      </c>
      <c r="N866" t="inlineStr">
        <is>
          <t>Provided Total Emissions</t>
        </is>
      </c>
      <c r="O866" t="b">
        <v>1</v>
      </c>
      <c r="P866" t="n">
        <v>-0.07040399999999999</v>
      </c>
      <c r="Q866" t="n">
        <v>-0.032073</v>
      </c>
      <c r="R866" t="n">
        <v>11472.0606</v>
      </c>
      <c r="S866" t="n">
        <v>35698.1401</v>
      </c>
      <c r="T866" t="n">
        <v>4119.8815</v>
      </c>
      <c r="U866" t="n">
        <v>28345.961</v>
      </c>
      <c r="V866" t="n">
        <v>0.560362</v>
      </c>
      <c r="W866" t="n">
        <v>3.85545</v>
      </c>
      <c r="X866" t="inlineStr">
        <is>
          <t>High</t>
        </is>
      </c>
      <c r="Y866" t="inlineStr">
        <is>
          <t>None</t>
        </is>
      </c>
      <c r="Z866" t="inlineStr">
        <is>
          <t>Valid</t>
        </is>
      </c>
      <c r="AA866" t="n">
        <v>2025</v>
      </c>
      <c r="AB866" t="inlineStr">
        <is>
          <t>Supplier Target Pathway</t>
        </is>
      </c>
      <c r="AC866" t="n">
        <v>8036.8609</v>
      </c>
      <c r="AD866" t="n">
        <v>3105.4431</v>
      </c>
      <c r="AE866" t="n">
        <v>6804.0064</v>
      </c>
      <c r="AF866" t="n">
        <v>6804.0064</v>
      </c>
      <c r="AG866" t="n">
        <v>1232.8545</v>
      </c>
      <c r="AH866" t="n">
        <v>0.00059398</v>
      </c>
      <c r="AI866" t="n">
        <v>0.1534</v>
      </c>
      <c r="AJ866" t="n">
        <v>3698.5634</v>
      </c>
      <c r="AK866" t="n">
        <v>246.5709</v>
      </c>
      <c r="AL866" t="n">
        <v>42883.0832</v>
      </c>
      <c r="AM866" t="n">
        <v>6804.0064</v>
      </c>
      <c r="AN866" t="n">
        <v>0.99</v>
      </c>
      <c r="AO866" t="inlineStr">
        <is>
          <t>Critical</t>
        </is>
      </c>
      <c r="AP866" t="inlineStr">
        <is>
          <t>On Track to Glide Path</t>
        </is>
      </c>
    </row>
    <row r="867">
      <c r="A867" t="inlineStr">
        <is>
          <t>SUP-0055</t>
        </is>
      </c>
      <c r="B867" t="inlineStr">
        <is>
          <t>Chemicals Supplier 055</t>
        </is>
      </c>
      <c r="C867" t="inlineStr">
        <is>
          <t>Chemicals</t>
        </is>
      </c>
      <c r="D867" t="n">
        <v>2024</v>
      </c>
      <c r="E867" t="n">
        <v>2020</v>
      </c>
      <c r="F867" t="n">
        <v>2040</v>
      </c>
      <c r="G867" t="n">
        <v>7352.1791</v>
      </c>
      <c r="H867" t="n">
        <v>2076.3008</v>
      </c>
      <c r="I867" t="n">
        <v>855.4068</v>
      </c>
      <c r="J867" t="n">
        <v>4718.631</v>
      </c>
      <c r="K867" t="n">
        <v>11454992.68</v>
      </c>
      <c r="L867" t="n">
        <v>75753628.87</v>
      </c>
      <c r="M867" t="n">
        <v>7352.1791</v>
      </c>
      <c r="N867" t="inlineStr">
        <is>
          <t>Provided Total Emissions</t>
        </is>
      </c>
      <c r="O867" t="b">
        <v>1</v>
      </c>
      <c r="P867" t="n">
        <v>-0.07040399999999999</v>
      </c>
      <c r="Q867" t="n">
        <v>-0.032073</v>
      </c>
      <c r="R867" t="n">
        <v>11472.0606</v>
      </c>
      <c r="S867" t="n">
        <v>35698.1401</v>
      </c>
      <c r="T867" t="n">
        <v>4119.8815</v>
      </c>
      <c r="U867" t="n">
        <v>28345.961</v>
      </c>
      <c r="V867" t="n">
        <v>0.560362</v>
      </c>
      <c r="W867" t="n">
        <v>3.85545</v>
      </c>
      <c r="X867" t="inlineStr">
        <is>
          <t>High</t>
        </is>
      </c>
      <c r="Y867" t="inlineStr">
        <is>
          <t>None</t>
        </is>
      </c>
      <c r="Z867" t="inlineStr">
        <is>
          <t>Valid</t>
        </is>
      </c>
      <c r="AA867" t="n">
        <v>2026</v>
      </c>
      <c r="AB867" t="inlineStr">
        <is>
          <t>Supplier Target Pathway</t>
        </is>
      </c>
      <c r="AC867" t="n">
        <v>8036.8609</v>
      </c>
      <c r="AD867" t="n">
        <v>3105.4431</v>
      </c>
      <c r="AE867" t="n">
        <v>6557.4355</v>
      </c>
      <c r="AF867" t="n">
        <v>6557.4355</v>
      </c>
      <c r="AG867" t="n">
        <v>1479.4254</v>
      </c>
      <c r="AH867" t="n">
        <v>0.00057245</v>
      </c>
      <c r="AI867" t="n">
        <v>0.18408</v>
      </c>
      <c r="AJ867" t="n">
        <v>3451.9925</v>
      </c>
      <c r="AK867" t="n">
        <v>246.5709</v>
      </c>
      <c r="AL867" t="n">
        <v>36325.6477</v>
      </c>
      <c r="AM867" t="n">
        <v>13361.4419</v>
      </c>
      <c r="AN867" t="n">
        <v>0.99</v>
      </c>
      <c r="AO867" t="inlineStr">
        <is>
          <t>Critical</t>
        </is>
      </c>
      <c r="AP867" t="inlineStr">
        <is>
          <t>On Track to Glide Path</t>
        </is>
      </c>
    </row>
    <row r="868">
      <c r="A868" t="inlineStr">
        <is>
          <t>SUP-0055</t>
        </is>
      </c>
      <c r="B868" t="inlineStr">
        <is>
          <t>Chemicals Supplier 055</t>
        </is>
      </c>
      <c r="C868" t="inlineStr">
        <is>
          <t>Chemicals</t>
        </is>
      </c>
      <c r="D868" t="n">
        <v>2024</v>
      </c>
      <c r="E868" t="n">
        <v>2020</v>
      </c>
      <c r="F868" t="n">
        <v>2040</v>
      </c>
      <c r="G868" t="n">
        <v>7352.1791</v>
      </c>
      <c r="H868" t="n">
        <v>2076.3008</v>
      </c>
      <c r="I868" t="n">
        <v>855.4068</v>
      </c>
      <c r="J868" t="n">
        <v>4718.631</v>
      </c>
      <c r="K868" t="n">
        <v>11454992.68</v>
      </c>
      <c r="L868" t="n">
        <v>75753628.87</v>
      </c>
      <c r="M868" t="n">
        <v>7352.1791</v>
      </c>
      <c r="N868" t="inlineStr">
        <is>
          <t>Provided Total Emissions</t>
        </is>
      </c>
      <c r="O868" t="b">
        <v>1</v>
      </c>
      <c r="P868" t="n">
        <v>-0.07040399999999999</v>
      </c>
      <c r="Q868" t="n">
        <v>-0.032073</v>
      </c>
      <c r="R868" t="n">
        <v>11472.0606</v>
      </c>
      <c r="S868" t="n">
        <v>35698.1401</v>
      </c>
      <c r="T868" t="n">
        <v>4119.8815</v>
      </c>
      <c r="U868" t="n">
        <v>28345.961</v>
      </c>
      <c r="V868" t="n">
        <v>0.560362</v>
      </c>
      <c r="W868" t="n">
        <v>3.85545</v>
      </c>
      <c r="X868" t="inlineStr">
        <is>
          <t>High</t>
        </is>
      </c>
      <c r="Y868" t="inlineStr">
        <is>
          <t>None</t>
        </is>
      </c>
      <c r="Z868" t="inlineStr">
        <is>
          <t>Valid</t>
        </is>
      </c>
      <c r="AA868" t="n">
        <v>2027</v>
      </c>
      <c r="AB868" t="inlineStr">
        <is>
          <t>Supplier Target Pathway</t>
        </is>
      </c>
      <c r="AC868" t="n">
        <v>8036.8609</v>
      </c>
      <c r="AD868" t="n">
        <v>3105.4431</v>
      </c>
      <c r="AE868" t="n">
        <v>6310.8647</v>
      </c>
      <c r="AF868" t="n">
        <v>6310.8647</v>
      </c>
      <c r="AG868" t="n">
        <v>1725.9962</v>
      </c>
      <c r="AH868" t="n">
        <v>0.00055093</v>
      </c>
      <c r="AI868" t="n">
        <v>0.21476</v>
      </c>
      <c r="AJ868" t="n">
        <v>3205.4216</v>
      </c>
      <c r="AK868" t="n">
        <v>246.5709</v>
      </c>
      <c r="AL868" t="n">
        <v>30014.783</v>
      </c>
      <c r="AM868" t="n">
        <v>19672.3066</v>
      </c>
      <c r="AN868" t="n">
        <v>0.99</v>
      </c>
      <c r="AO868" t="inlineStr">
        <is>
          <t>Critical</t>
        </is>
      </c>
      <c r="AP868" t="inlineStr">
        <is>
          <t>On Track to Glide Path</t>
        </is>
      </c>
    </row>
    <row r="869">
      <c r="A869" t="inlineStr">
        <is>
          <t>SUP-0055</t>
        </is>
      </c>
      <c r="B869" t="inlineStr">
        <is>
          <t>Chemicals Supplier 055</t>
        </is>
      </c>
      <c r="C869" t="inlineStr">
        <is>
          <t>Chemicals</t>
        </is>
      </c>
      <c r="D869" t="n">
        <v>2024</v>
      </c>
      <c r="E869" t="n">
        <v>2020</v>
      </c>
      <c r="F869" t="n">
        <v>2040</v>
      </c>
      <c r="G869" t="n">
        <v>7352.1791</v>
      </c>
      <c r="H869" t="n">
        <v>2076.3008</v>
      </c>
      <c r="I869" t="n">
        <v>855.4068</v>
      </c>
      <c r="J869" t="n">
        <v>4718.631</v>
      </c>
      <c r="K869" t="n">
        <v>11454992.68</v>
      </c>
      <c r="L869" t="n">
        <v>75753628.87</v>
      </c>
      <c r="M869" t="n">
        <v>7352.1791</v>
      </c>
      <c r="N869" t="inlineStr">
        <is>
          <t>Provided Total Emissions</t>
        </is>
      </c>
      <c r="O869" t="b">
        <v>1</v>
      </c>
      <c r="P869" t="n">
        <v>-0.07040399999999999</v>
      </c>
      <c r="Q869" t="n">
        <v>-0.032073</v>
      </c>
      <c r="R869" t="n">
        <v>11472.0606</v>
      </c>
      <c r="S869" t="n">
        <v>35698.1401</v>
      </c>
      <c r="T869" t="n">
        <v>4119.8815</v>
      </c>
      <c r="U869" t="n">
        <v>28345.961</v>
      </c>
      <c r="V869" t="n">
        <v>0.560362</v>
      </c>
      <c r="W869" t="n">
        <v>3.85545</v>
      </c>
      <c r="X869" t="inlineStr">
        <is>
          <t>High</t>
        </is>
      </c>
      <c r="Y869" t="inlineStr">
        <is>
          <t>None</t>
        </is>
      </c>
      <c r="Z869" t="inlineStr">
        <is>
          <t>Valid</t>
        </is>
      </c>
      <c r="AA869" t="n">
        <v>2028</v>
      </c>
      <c r="AB869" t="inlineStr">
        <is>
          <t>Supplier Target Pathway</t>
        </is>
      </c>
      <c r="AC869" t="n">
        <v>8036.8609</v>
      </c>
      <c r="AD869" t="n">
        <v>3105.4431</v>
      </c>
      <c r="AE869" t="n">
        <v>6064.2938</v>
      </c>
      <c r="AF869" t="n">
        <v>6064.2938</v>
      </c>
      <c r="AG869" t="n">
        <v>1972.5671</v>
      </c>
      <c r="AH869" t="n">
        <v>0.0005294</v>
      </c>
      <c r="AI869" t="n">
        <v>0.24544</v>
      </c>
      <c r="AJ869" t="n">
        <v>2958.8507</v>
      </c>
      <c r="AK869" t="n">
        <v>246.5709</v>
      </c>
      <c r="AL869" t="n">
        <v>23950.4892</v>
      </c>
      <c r="AM869" t="n">
        <v>25736.6004</v>
      </c>
      <c r="AN869" t="n">
        <v>0.99</v>
      </c>
      <c r="AO869" t="inlineStr">
        <is>
          <t>Critical</t>
        </is>
      </c>
      <c r="AP869" t="inlineStr">
        <is>
          <t>On Track to Glide Path</t>
        </is>
      </c>
    </row>
    <row r="870">
      <c r="A870" t="inlineStr">
        <is>
          <t>SUP-0055</t>
        </is>
      </c>
      <c r="B870" t="inlineStr">
        <is>
          <t>Chemicals Supplier 055</t>
        </is>
      </c>
      <c r="C870" t="inlineStr">
        <is>
          <t>Chemicals</t>
        </is>
      </c>
      <c r="D870" t="n">
        <v>2024</v>
      </c>
      <c r="E870" t="n">
        <v>2020</v>
      </c>
      <c r="F870" t="n">
        <v>2040</v>
      </c>
      <c r="G870" t="n">
        <v>7352.1791</v>
      </c>
      <c r="H870" t="n">
        <v>2076.3008</v>
      </c>
      <c r="I870" t="n">
        <v>855.4068</v>
      </c>
      <c r="J870" t="n">
        <v>4718.631</v>
      </c>
      <c r="K870" t="n">
        <v>11454992.68</v>
      </c>
      <c r="L870" t="n">
        <v>75753628.87</v>
      </c>
      <c r="M870" t="n">
        <v>7352.1791</v>
      </c>
      <c r="N870" t="inlineStr">
        <is>
          <t>Provided Total Emissions</t>
        </is>
      </c>
      <c r="O870" t="b">
        <v>1</v>
      </c>
      <c r="P870" t="n">
        <v>-0.07040399999999999</v>
      </c>
      <c r="Q870" t="n">
        <v>-0.032073</v>
      </c>
      <c r="R870" t="n">
        <v>11472.0606</v>
      </c>
      <c r="S870" t="n">
        <v>35698.1401</v>
      </c>
      <c r="T870" t="n">
        <v>4119.8815</v>
      </c>
      <c r="U870" t="n">
        <v>28345.961</v>
      </c>
      <c r="V870" t="n">
        <v>0.560362</v>
      </c>
      <c r="W870" t="n">
        <v>3.85545</v>
      </c>
      <c r="X870" t="inlineStr">
        <is>
          <t>High</t>
        </is>
      </c>
      <c r="Y870" t="inlineStr">
        <is>
          <t>None</t>
        </is>
      </c>
      <c r="Z870" t="inlineStr">
        <is>
          <t>Valid</t>
        </is>
      </c>
      <c r="AA870" t="n">
        <v>2029</v>
      </c>
      <c r="AB870" t="inlineStr">
        <is>
          <t>Supplier Target Pathway</t>
        </is>
      </c>
      <c r="AC870" t="n">
        <v>8036.8609</v>
      </c>
      <c r="AD870" t="n">
        <v>3105.4431</v>
      </c>
      <c r="AE870" t="n">
        <v>5817.7229</v>
      </c>
      <c r="AF870" t="n">
        <v>5817.7229</v>
      </c>
      <c r="AG870" t="n">
        <v>2219.138</v>
      </c>
      <c r="AH870" t="n">
        <v>0.0005078800000000001</v>
      </c>
      <c r="AI870" t="n">
        <v>0.27612</v>
      </c>
      <c r="AJ870" t="n">
        <v>2712.2798</v>
      </c>
      <c r="AK870" t="n">
        <v>246.5709</v>
      </c>
      <c r="AL870" t="n">
        <v>18132.7663</v>
      </c>
      <c r="AM870" t="n">
        <v>31554.3233</v>
      </c>
      <c r="AN870" t="n">
        <v>0.99</v>
      </c>
      <c r="AO870" t="inlineStr">
        <is>
          <t>Critical</t>
        </is>
      </c>
      <c r="AP870" t="inlineStr">
        <is>
          <t>On Track to Glide Path</t>
        </is>
      </c>
    </row>
    <row r="871">
      <c r="A871" t="inlineStr">
        <is>
          <t>SUP-0055</t>
        </is>
      </c>
      <c r="B871" t="inlineStr">
        <is>
          <t>Chemicals Supplier 055</t>
        </is>
      </c>
      <c r="C871" t="inlineStr">
        <is>
          <t>Chemicals</t>
        </is>
      </c>
      <c r="D871" t="n">
        <v>2024</v>
      </c>
      <c r="E871" t="n">
        <v>2020</v>
      </c>
      <c r="F871" t="n">
        <v>2040</v>
      </c>
      <c r="G871" t="n">
        <v>7352.1791</v>
      </c>
      <c r="H871" t="n">
        <v>2076.3008</v>
      </c>
      <c r="I871" t="n">
        <v>855.4068</v>
      </c>
      <c r="J871" t="n">
        <v>4718.631</v>
      </c>
      <c r="K871" t="n">
        <v>11454992.68</v>
      </c>
      <c r="L871" t="n">
        <v>75753628.87</v>
      </c>
      <c r="M871" t="n">
        <v>7352.1791</v>
      </c>
      <c r="N871" t="inlineStr">
        <is>
          <t>Provided Total Emissions</t>
        </is>
      </c>
      <c r="O871" t="b">
        <v>1</v>
      </c>
      <c r="P871" t="n">
        <v>-0.07040399999999999</v>
      </c>
      <c r="Q871" t="n">
        <v>-0.032073</v>
      </c>
      <c r="R871" t="n">
        <v>11472.0606</v>
      </c>
      <c r="S871" t="n">
        <v>35698.1401</v>
      </c>
      <c r="T871" t="n">
        <v>4119.8815</v>
      </c>
      <c r="U871" t="n">
        <v>28345.961</v>
      </c>
      <c r="V871" t="n">
        <v>0.560362</v>
      </c>
      <c r="W871" t="n">
        <v>3.85545</v>
      </c>
      <c r="X871" t="inlineStr">
        <is>
          <t>High</t>
        </is>
      </c>
      <c r="Y871" t="inlineStr">
        <is>
          <t>None</t>
        </is>
      </c>
      <c r="Z871" t="inlineStr">
        <is>
          <t>Valid</t>
        </is>
      </c>
      <c r="AA871" t="n">
        <v>2030</v>
      </c>
      <c r="AB871" t="inlineStr">
        <is>
          <t>Supplier Target Pathway</t>
        </is>
      </c>
      <c r="AC871" t="n">
        <v>8036.8609</v>
      </c>
      <c r="AD871" t="n">
        <v>3105.4431</v>
      </c>
      <c r="AE871" t="n">
        <v>5571.152</v>
      </c>
      <c r="AF871" t="n">
        <v>5571.152</v>
      </c>
      <c r="AG871" t="n">
        <v>2465.7089</v>
      </c>
      <c r="AH871" t="n">
        <v>0.00048635</v>
      </c>
      <c r="AI871" t="n">
        <v>0.3068</v>
      </c>
      <c r="AJ871" t="n">
        <v>2465.7089</v>
      </c>
      <c r="AK871" t="n">
        <v>246.5709</v>
      </c>
      <c r="AL871" t="n">
        <v>12561.6143</v>
      </c>
      <c r="AM871" t="n">
        <v>37125.4753</v>
      </c>
      <c r="AN871" t="n">
        <v>0.99</v>
      </c>
      <c r="AO871" t="inlineStr">
        <is>
          <t>Critical</t>
        </is>
      </c>
      <c r="AP871" t="inlineStr">
        <is>
          <t>On Track to Glide Path</t>
        </is>
      </c>
    </row>
    <row r="872">
      <c r="A872" t="inlineStr">
        <is>
          <t>SUP-0055</t>
        </is>
      </c>
      <c r="B872" t="inlineStr">
        <is>
          <t>Chemicals Supplier 055</t>
        </is>
      </c>
      <c r="C872" t="inlineStr">
        <is>
          <t>Chemicals</t>
        </is>
      </c>
      <c r="D872" t="n">
        <v>2024</v>
      </c>
      <c r="E872" t="n">
        <v>2020</v>
      </c>
      <c r="F872" t="n">
        <v>2040</v>
      </c>
      <c r="G872" t="n">
        <v>7352.1791</v>
      </c>
      <c r="H872" t="n">
        <v>2076.3008</v>
      </c>
      <c r="I872" t="n">
        <v>855.4068</v>
      </c>
      <c r="J872" t="n">
        <v>4718.631</v>
      </c>
      <c r="K872" t="n">
        <v>11454992.68</v>
      </c>
      <c r="L872" t="n">
        <v>75753628.87</v>
      </c>
      <c r="M872" t="n">
        <v>7352.1791</v>
      </c>
      <c r="N872" t="inlineStr">
        <is>
          <t>Provided Total Emissions</t>
        </is>
      </c>
      <c r="O872" t="b">
        <v>1</v>
      </c>
      <c r="P872" t="n">
        <v>-0.07040399999999999</v>
      </c>
      <c r="Q872" t="n">
        <v>-0.032073</v>
      </c>
      <c r="R872" t="n">
        <v>11472.0606</v>
      </c>
      <c r="S872" t="n">
        <v>35698.1401</v>
      </c>
      <c r="T872" t="n">
        <v>4119.8815</v>
      </c>
      <c r="U872" t="n">
        <v>28345.961</v>
      </c>
      <c r="V872" t="n">
        <v>0.560362</v>
      </c>
      <c r="W872" t="n">
        <v>3.85545</v>
      </c>
      <c r="X872" t="inlineStr">
        <is>
          <t>High</t>
        </is>
      </c>
      <c r="Y872" t="inlineStr">
        <is>
          <t>None</t>
        </is>
      </c>
      <c r="Z872" t="inlineStr">
        <is>
          <t>Valid</t>
        </is>
      </c>
      <c r="AA872" t="n">
        <v>2031</v>
      </c>
      <c r="AB872" t="inlineStr">
        <is>
          <t>Supplier Target Pathway</t>
        </is>
      </c>
      <c r="AC872" t="n">
        <v>8036.8609</v>
      </c>
      <c r="AD872" t="n">
        <v>3105.4431</v>
      </c>
      <c r="AE872" t="n">
        <v>5324.5811</v>
      </c>
      <c r="AF872" t="n">
        <v>5324.5811</v>
      </c>
      <c r="AG872" t="n">
        <v>2712.2798</v>
      </c>
      <c r="AH872" t="n">
        <v>0.00046483</v>
      </c>
      <c r="AI872" t="n">
        <v>0.33748</v>
      </c>
      <c r="AJ872" t="n">
        <v>2219.138</v>
      </c>
      <c r="AK872" t="n">
        <v>246.5709</v>
      </c>
      <c r="AL872" t="n">
        <v>7237.0332</v>
      </c>
      <c r="AM872" t="n">
        <v>42450.0564</v>
      </c>
      <c r="AN872" t="n">
        <v>0.99</v>
      </c>
      <c r="AO872" t="inlineStr">
        <is>
          <t>Critical</t>
        </is>
      </c>
      <c r="AP872" t="inlineStr">
        <is>
          <t>On Track to Glide Path</t>
        </is>
      </c>
    </row>
    <row r="873">
      <c r="A873" t="inlineStr">
        <is>
          <t>SUP-0055</t>
        </is>
      </c>
      <c r="B873" t="inlineStr">
        <is>
          <t>Chemicals Supplier 055</t>
        </is>
      </c>
      <c r="C873" t="inlineStr">
        <is>
          <t>Chemicals</t>
        </is>
      </c>
      <c r="D873" t="n">
        <v>2024</v>
      </c>
      <c r="E873" t="n">
        <v>2020</v>
      </c>
      <c r="F873" t="n">
        <v>2040</v>
      </c>
      <c r="G873" t="n">
        <v>7352.1791</v>
      </c>
      <c r="H873" t="n">
        <v>2076.3008</v>
      </c>
      <c r="I873" t="n">
        <v>855.4068</v>
      </c>
      <c r="J873" t="n">
        <v>4718.631</v>
      </c>
      <c r="K873" t="n">
        <v>11454992.68</v>
      </c>
      <c r="L873" t="n">
        <v>75753628.87</v>
      </c>
      <c r="M873" t="n">
        <v>7352.1791</v>
      </c>
      <c r="N873" t="inlineStr">
        <is>
          <t>Provided Total Emissions</t>
        </is>
      </c>
      <c r="O873" t="b">
        <v>1</v>
      </c>
      <c r="P873" t="n">
        <v>-0.07040399999999999</v>
      </c>
      <c r="Q873" t="n">
        <v>-0.032073</v>
      </c>
      <c r="R873" t="n">
        <v>11472.0606</v>
      </c>
      <c r="S873" t="n">
        <v>35698.1401</v>
      </c>
      <c r="T873" t="n">
        <v>4119.8815</v>
      </c>
      <c r="U873" t="n">
        <v>28345.961</v>
      </c>
      <c r="V873" t="n">
        <v>0.560362</v>
      </c>
      <c r="W873" t="n">
        <v>3.85545</v>
      </c>
      <c r="X873" t="inlineStr">
        <is>
          <t>High</t>
        </is>
      </c>
      <c r="Y873" t="inlineStr">
        <is>
          <t>None</t>
        </is>
      </c>
      <c r="Z873" t="inlineStr">
        <is>
          <t>Valid</t>
        </is>
      </c>
      <c r="AA873" t="n">
        <v>2032</v>
      </c>
      <c r="AB873" t="inlineStr">
        <is>
          <t>Supplier Target Pathway</t>
        </is>
      </c>
      <c r="AC873" t="n">
        <v>8036.8609</v>
      </c>
      <c r="AD873" t="n">
        <v>3105.4431</v>
      </c>
      <c r="AE873" t="n">
        <v>5078.0102</v>
      </c>
      <c r="AF873" t="n">
        <v>5078.0102</v>
      </c>
      <c r="AG873" t="n">
        <v>2958.8507</v>
      </c>
      <c r="AH873" t="n">
        <v>0.0004433</v>
      </c>
      <c r="AI873" t="n">
        <v>0.36816</v>
      </c>
      <c r="AJ873" t="n">
        <v>1972.5671</v>
      </c>
      <c r="AK873" t="n">
        <v>246.5709</v>
      </c>
      <c r="AL873" t="n">
        <v>2159.023</v>
      </c>
      <c r="AM873" t="n">
        <v>47528.0666</v>
      </c>
      <c r="AN873" t="n">
        <v>0.99</v>
      </c>
      <c r="AO873" t="inlineStr">
        <is>
          <t>Critical</t>
        </is>
      </c>
      <c r="AP873" t="inlineStr">
        <is>
          <t>On Track to Glide Path</t>
        </is>
      </c>
    </row>
    <row r="874">
      <c r="A874" t="inlineStr">
        <is>
          <t>SUP-0055</t>
        </is>
      </c>
      <c r="B874" t="inlineStr">
        <is>
          <t>Chemicals Supplier 055</t>
        </is>
      </c>
      <c r="C874" t="inlineStr">
        <is>
          <t>Chemicals</t>
        </is>
      </c>
      <c r="D874" t="n">
        <v>2024</v>
      </c>
      <c r="E874" t="n">
        <v>2020</v>
      </c>
      <c r="F874" t="n">
        <v>2040</v>
      </c>
      <c r="G874" t="n">
        <v>7352.1791</v>
      </c>
      <c r="H874" t="n">
        <v>2076.3008</v>
      </c>
      <c r="I874" t="n">
        <v>855.4068</v>
      </c>
      <c r="J874" t="n">
        <v>4718.631</v>
      </c>
      <c r="K874" t="n">
        <v>11454992.68</v>
      </c>
      <c r="L874" t="n">
        <v>75753628.87</v>
      </c>
      <c r="M874" t="n">
        <v>7352.1791</v>
      </c>
      <c r="N874" t="inlineStr">
        <is>
          <t>Provided Total Emissions</t>
        </is>
      </c>
      <c r="O874" t="b">
        <v>1</v>
      </c>
      <c r="P874" t="n">
        <v>-0.07040399999999999</v>
      </c>
      <c r="Q874" t="n">
        <v>-0.032073</v>
      </c>
      <c r="R874" t="n">
        <v>11472.0606</v>
      </c>
      <c r="S874" t="n">
        <v>35698.1401</v>
      </c>
      <c r="T874" t="n">
        <v>4119.8815</v>
      </c>
      <c r="U874" t="n">
        <v>28345.961</v>
      </c>
      <c r="V874" t="n">
        <v>0.560362</v>
      </c>
      <c r="W874" t="n">
        <v>3.85545</v>
      </c>
      <c r="X874" t="inlineStr">
        <is>
          <t>High</t>
        </is>
      </c>
      <c r="Y874" t="inlineStr">
        <is>
          <t>None</t>
        </is>
      </c>
      <c r="Z874" t="inlineStr">
        <is>
          <t>Valid</t>
        </is>
      </c>
      <c r="AA874" t="n">
        <v>2033</v>
      </c>
      <c r="AB874" t="inlineStr">
        <is>
          <t>Supplier Target Pathway</t>
        </is>
      </c>
      <c r="AC874" t="n">
        <v>8036.8609</v>
      </c>
      <c r="AD874" t="n">
        <v>3105.4431</v>
      </c>
      <c r="AE874" t="n">
        <v>4831.4393</v>
      </c>
      <c r="AF874" t="n">
        <v>4831.4393</v>
      </c>
      <c r="AG874" t="n">
        <v>3205.4216</v>
      </c>
      <c r="AH874" t="n">
        <v>0.00042178</v>
      </c>
      <c r="AI874" t="n">
        <v>0.39884</v>
      </c>
      <c r="AJ874" t="n">
        <v>1725.9962</v>
      </c>
      <c r="AK874" t="n">
        <v>246.5709</v>
      </c>
      <c r="AL874" t="n">
        <v>-2672.4163</v>
      </c>
      <c r="AM874" t="n">
        <v>52359.5059</v>
      </c>
      <c r="AN874" t="n">
        <v>0.99</v>
      </c>
      <c r="AO874" t="inlineStr">
        <is>
          <t>Critical</t>
        </is>
      </c>
      <c r="AP874" t="inlineStr">
        <is>
          <t>On Track to Glide Path</t>
        </is>
      </c>
    </row>
    <row r="875">
      <c r="A875" t="inlineStr">
        <is>
          <t>SUP-0055</t>
        </is>
      </c>
      <c r="B875" t="inlineStr">
        <is>
          <t>Chemicals Supplier 055</t>
        </is>
      </c>
      <c r="C875" t="inlineStr">
        <is>
          <t>Chemicals</t>
        </is>
      </c>
      <c r="D875" t="n">
        <v>2024</v>
      </c>
      <c r="E875" t="n">
        <v>2020</v>
      </c>
      <c r="F875" t="n">
        <v>2040</v>
      </c>
      <c r="G875" t="n">
        <v>7352.1791</v>
      </c>
      <c r="H875" t="n">
        <v>2076.3008</v>
      </c>
      <c r="I875" t="n">
        <v>855.4068</v>
      </c>
      <c r="J875" t="n">
        <v>4718.631</v>
      </c>
      <c r="K875" t="n">
        <v>11454992.68</v>
      </c>
      <c r="L875" t="n">
        <v>75753628.87</v>
      </c>
      <c r="M875" t="n">
        <v>7352.1791</v>
      </c>
      <c r="N875" t="inlineStr">
        <is>
          <t>Provided Total Emissions</t>
        </is>
      </c>
      <c r="O875" t="b">
        <v>1</v>
      </c>
      <c r="P875" t="n">
        <v>-0.07040399999999999</v>
      </c>
      <c r="Q875" t="n">
        <v>-0.032073</v>
      </c>
      <c r="R875" t="n">
        <v>11472.0606</v>
      </c>
      <c r="S875" t="n">
        <v>35698.1401</v>
      </c>
      <c r="T875" t="n">
        <v>4119.8815</v>
      </c>
      <c r="U875" t="n">
        <v>28345.961</v>
      </c>
      <c r="V875" t="n">
        <v>0.560362</v>
      </c>
      <c r="W875" t="n">
        <v>3.85545</v>
      </c>
      <c r="X875" t="inlineStr">
        <is>
          <t>High</t>
        </is>
      </c>
      <c r="Y875" t="inlineStr">
        <is>
          <t>None</t>
        </is>
      </c>
      <c r="Z875" t="inlineStr">
        <is>
          <t>Valid</t>
        </is>
      </c>
      <c r="AA875" t="n">
        <v>2034</v>
      </c>
      <c r="AB875" t="inlineStr">
        <is>
          <t>Supplier Target Pathway</t>
        </is>
      </c>
      <c r="AC875" t="n">
        <v>8036.8609</v>
      </c>
      <c r="AD875" t="n">
        <v>3105.4431</v>
      </c>
      <c r="AE875" t="n">
        <v>4584.8684</v>
      </c>
      <c r="AF875" t="n">
        <v>4584.8684</v>
      </c>
      <c r="AG875" t="n">
        <v>3451.9925</v>
      </c>
      <c r="AH875" t="n">
        <v>0.00040025</v>
      </c>
      <c r="AI875" t="n">
        <v>0.42952</v>
      </c>
      <c r="AJ875" t="n">
        <v>1479.4254</v>
      </c>
      <c r="AK875" t="n">
        <v>246.5709</v>
      </c>
      <c r="AL875" t="n">
        <v>-7257.2847</v>
      </c>
      <c r="AM875" t="n">
        <v>56944.3743</v>
      </c>
      <c r="AN875" t="n">
        <v>0.99</v>
      </c>
      <c r="AO875" t="inlineStr">
        <is>
          <t>Critical</t>
        </is>
      </c>
      <c r="AP875" t="inlineStr">
        <is>
          <t>On Track to Glide Path</t>
        </is>
      </c>
    </row>
    <row r="876">
      <c r="A876" t="inlineStr">
        <is>
          <t>SUP-0055</t>
        </is>
      </c>
      <c r="B876" t="inlineStr">
        <is>
          <t>Chemicals Supplier 055</t>
        </is>
      </c>
      <c r="C876" t="inlineStr">
        <is>
          <t>Chemicals</t>
        </is>
      </c>
      <c r="D876" t="n">
        <v>2024</v>
      </c>
      <c r="E876" t="n">
        <v>2020</v>
      </c>
      <c r="F876" t="n">
        <v>2040</v>
      </c>
      <c r="G876" t="n">
        <v>7352.1791</v>
      </c>
      <c r="H876" t="n">
        <v>2076.3008</v>
      </c>
      <c r="I876" t="n">
        <v>855.4068</v>
      </c>
      <c r="J876" t="n">
        <v>4718.631</v>
      </c>
      <c r="K876" t="n">
        <v>11454992.68</v>
      </c>
      <c r="L876" t="n">
        <v>75753628.87</v>
      </c>
      <c r="M876" t="n">
        <v>7352.1791</v>
      </c>
      <c r="N876" t="inlineStr">
        <is>
          <t>Provided Total Emissions</t>
        </is>
      </c>
      <c r="O876" t="b">
        <v>1</v>
      </c>
      <c r="P876" t="n">
        <v>-0.07040399999999999</v>
      </c>
      <c r="Q876" t="n">
        <v>-0.032073</v>
      </c>
      <c r="R876" t="n">
        <v>11472.0606</v>
      </c>
      <c r="S876" t="n">
        <v>35698.1401</v>
      </c>
      <c r="T876" t="n">
        <v>4119.8815</v>
      </c>
      <c r="U876" t="n">
        <v>28345.961</v>
      </c>
      <c r="V876" t="n">
        <v>0.560362</v>
      </c>
      <c r="W876" t="n">
        <v>3.85545</v>
      </c>
      <c r="X876" t="inlineStr">
        <is>
          <t>High</t>
        </is>
      </c>
      <c r="Y876" t="inlineStr">
        <is>
          <t>None</t>
        </is>
      </c>
      <c r="Z876" t="inlineStr">
        <is>
          <t>Valid</t>
        </is>
      </c>
      <c r="AA876" t="n">
        <v>2035</v>
      </c>
      <c r="AB876" t="inlineStr">
        <is>
          <t>Supplier Target Pathway</t>
        </is>
      </c>
      <c r="AC876" t="n">
        <v>8036.8609</v>
      </c>
      <c r="AD876" t="n">
        <v>3105.4431</v>
      </c>
      <c r="AE876" t="n">
        <v>4338.2975</v>
      </c>
      <c r="AF876" t="n">
        <v>4338.2975</v>
      </c>
      <c r="AG876" t="n">
        <v>3698.5634</v>
      </c>
      <c r="AH876" t="n">
        <v>0.00037873</v>
      </c>
      <c r="AI876" t="n">
        <v>0.4602</v>
      </c>
      <c r="AJ876" t="n">
        <v>1232.8545</v>
      </c>
      <c r="AK876" t="n">
        <v>246.5709</v>
      </c>
      <c r="AL876" t="n">
        <v>-11595.5822</v>
      </c>
      <c r="AM876" t="n">
        <v>61282.6718</v>
      </c>
      <c r="AN876" t="n">
        <v>0.99</v>
      </c>
      <c r="AO876" t="inlineStr">
        <is>
          <t>Critical</t>
        </is>
      </c>
      <c r="AP876" t="inlineStr">
        <is>
          <t>On Track to Glide Path</t>
        </is>
      </c>
    </row>
    <row r="877">
      <c r="A877" t="inlineStr">
        <is>
          <t>SUP-0055</t>
        </is>
      </c>
      <c r="B877" t="inlineStr">
        <is>
          <t>Chemicals Supplier 055</t>
        </is>
      </c>
      <c r="C877" t="inlineStr">
        <is>
          <t>Chemicals</t>
        </is>
      </c>
      <c r="D877" t="n">
        <v>2024</v>
      </c>
      <c r="E877" t="n">
        <v>2020</v>
      </c>
      <c r="F877" t="n">
        <v>2040</v>
      </c>
      <c r="G877" t="n">
        <v>7352.1791</v>
      </c>
      <c r="H877" t="n">
        <v>2076.3008</v>
      </c>
      <c r="I877" t="n">
        <v>855.4068</v>
      </c>
      <c r="J877" t="n">
        <v>4718.631</v>
      </c>
      <c r="K877" t="n">
        <v>11454992.68</v>
      </c>
      <c r="L877" t="n">
        <v>75753628.87</v>
      </c>
      <c r="M877" t="n">
        <v>7352.1791</v>
      </c>
      <c r="N877" t="inlineStr">
        <is>
          <t>Provided Total Emissions</t>
        </is>
      </c>
      <c r="O877" t="b">
        <v>1</v>
      </c>
      <c r="P877" t="n">
        <v>-0.07040399999999999</v>
      </c>
      <c r="Q877" t="n">
        <v>-0.032073</v>
      </c>
      <c r="R877" t="n">
        <v>11472.0606</v>
      </c>
      <c r="S877" t="n">
        <v>35698.1401</v>
      </c>
      <c r="T877" t="n">
        <v>4119.8815</v>
      </c>
      <c r="U877" t="n">
        <v>28345.961</v>
      </c>
      <c r="V877" t="n">
        <v>0.560362</v>
      </c>
      <c r="W877" t="n">
        <v>3.85545</v>
      </c>
      <c r="X877" t="inlineStr">
        <is>
          <t>High</t>
        </is>
      </c>
      <c r="Y877" t="inlineStr">
        <is>
          <t>None</t>
        </is>
      </c>
      <c r="Z877" t="inlineStr">
        <is>
          <t>Valid</t>
        </is>
      </c>
      <c r="AA877" t="n">
        <v>2036</v>
      </c>
      <c r="AB877" t="inlineStr">
        <is>
          <t>Supplier Target Pathway</t>
        </is>
      </c>
      <c r="AC877" t="n">
        <v>8036.8609</v>
      </c>
      <c r="AD877" t="n">
        <v>3105.4431</v>
      </c>
      <c r="AE877" t="n">
        <v>4091.7266</v>
      </c>
      <c r="AF877" t="n">
        <v>4091.7266</v>
      </c>
      <c r="AG877" t="n">
        <v>3945.1343</v>
      </c>
      <c r="AH877" t="n">
        <v>0.0003572</v>
      </c>
      <c r="AI877" t="n">
        <v>0.49088</v>
      </c>
      <c r="AJ877" t="n">
        <v>986.2836</v>
      </c>
      <c r="AK877" t="n">
        <v>246.5709</v>
      </c>
      <c r="AL877" t="n">
        <v>-15687.3088</v>
      </c>
      <c r="AM877" t="n">
        <v>65374.3984</v>
      </c>
      <c r="AN877" t="n">
        <v>0.99</v>
      </c>
      <c r="AO877" t="inlineStr">
        <is>
          <t>High</t>
        </is>
      </c>
      <c r="AP877" t="inlineStr">
        <is>
          <t>On Track to Glide Path</t>
        </is>
      </c>
    </row>
    <row r="878">
      <c r="A878" t="inlineStr">
        <is>
          <t>SUP-0055</t>
        </is>
      </c>
      <c r="B878" t="inlineStr">
        <is>
          <t>Chemicals Supplier 055</t>
        </is>
      </c>
      <c r="C878" t="inlineStr">
        <is>
          <t>Chemicals</t>
        </is>
      </c>
      <c r="D878" t="n">
        <v>2024</v>
      </c>
      <c r="E878" t="n">
        <v>2020</v>
      </c>
      <c r="F878" t="n">
        <v>2040</v>
      </c>
      <c r="G878" t="n">
        <v>7352.1791</v>
      </c>
      <c r="H878" t="n">
        <v>2076.3008</v>
      </c>
      <c r="I878" t="n">
        <v>855.4068</v>
      </c>
      <c r="J878" t="n">
        <v>4718.631</v>
      </c>
      <c r="K878" t="n">
        <v>11454992.68</v>
      </c>
      <c r="L878" t="n">
        <v>75753628.87</v>
      </c>
      <c r="M878" t="n">
        <v>7352.1791</v>
      </c>
      <c r="N878" t="inlineStr">
        <is>
          <t>Provided Total Emissions</t>
        </is>
      </c>
      <c r="O878" t="b">
        <v>1</v>
      </c>
      <c r="P878" t="n">
        <v>-0.07040399999999999</v>
      </c>
      <c r="Q878" t="n">
        <v>-0.032073</v>
      </c>
      <c r="R878" t="n">
        <v>11472.0606</v>
      </c>
      <c r="S878" t="n">
        <v>35698.1401</v>
      </c>
      <c r="T878" t="n">
        <v>4119.8815</v>
      </c>
      <c r="U878" t="n">
        <v>28345.961</v>
      </c>
      <c r="V878" t="n">
        <v>0.560362</v>
      </c>
      <c r="W878" t="n">
        <v>3.85545</v>
      </c>
      <c r="X878" t="inlineStr">
        <is>
          <t>High</t>
        </is>
      </c>
      <c r="Y878" t="inlineStr">
        <is>
          <t>None</t>
        </is>
      </c>
      <c r="Z878" t="inlineStr">
        <is>
          <t>Valid</t>
        </is>
      </c>
      <c r="AA878" t="n">
        <v>2037</v>
      </c>
      <c r="AB878" t="inlineStr">
        <is>
          <t>Supplier Target Pathway</t>
        </is>
      </c>
      <c r="AC878" t="n">
        <v>8036.8609</v>
      </c>
      <c r="AD878" t="n">
        <v>3105.4431</v>
      </c>
      <c r="AE878" t="n">
        <v>3845.1557</v>
      </c>
      <c r="AF878" t="n">
        <v>3845.1557</v>
      </c>
      <c r="AG878" t="n">
        <v>4191.7052</v>
      </c>
      <c r="AH878" t="n">
        <v>0.00033568</v>
      </c>
      <c r="AI878" t="n">
        <v>0.52156</v>
      </c>
      <c r="AJ878" t="n">
        <v>739.7127</v>
      </c>
      <c r="AK878" t="n">
        <v>246.5709</v>
      </c>
      <c r="AL878" t="n">
        <v>-19532.4645</v>
      </c>
      <c r="AM878" t="n">
        <v>69219.55409999999</v>
      </c>
      <c r="AN878" t="n">
        <v>0.99</v>
      </c>
      <c r="AO878" t="inlineStr">
        <is>
          <t>High</t>
        </is>
      </c>
      <c r="AP878" t="inlineStr">
        <is>
          <t>On Track to Glide Path</t>
        </is>
      </c>
    </row>
    <row r="879">
      <c r="A879" t="inlineStr">
        <is>
          <t>SUP-0055</t>
        </is>
      </c>
      <c r="B879" t="inlineStr">
        <is>
          <t>Chemicals Supplier 055</t>
        </is>
      </c>
      <c r="C879" t="inlineStr">
        <is>
          <t>Chemicals</t>
        </is>
      </c>
      <c r="D879" t="n">
        <v>2024</v>
      </c>
      <c r="E879" t="n">
        <v>2020</v>
      </c>
      <c r="F879" t="n">
        <v>2040</v>
      </c>
      <c r="G879" t="n">
        <v>7352.1791</v>
      </c>
      <c r="H879" t="n">
        <v>2076.3008</v>
      </c>
      <c r="I879" t="n">
        <v>855.4068</v>
      </c>
      <c r="J879" t="n">
        <v>4718.631</v>
      </c>
      <c r="K879" t="n">
        <v>11454992.68</v>
      </c>
      <c r="L879" t="n">
        <v>75753628.87</v>
      </c>
      <c r="M879" t="n">
        <v>7352.1791</v>
      </c>
      <c r="N879" t="inlineStr">
        <is>
          <t>Provided Total Emissions</t>
        </is>
      </c>
      <c r="O879" t="b">
        <v>1</v>
      </c>
      <c r="P879" t="n">
        <v>-0.07040399999999999</v>
      </c>
      <c r="Q879" t="n">
        <v>-0.032073</v>
      </c>
      <c r="R879" t="n">
        <v>11472.0606</v>
      </c>
      <c r="S879" t="n">
        <v>35698.1401</v>
      </c>
      <c r="T879" t="n">
        <v>4119.8815</v>
      </c>
      <c r="U879" t="n">
        <v>28345.961</v>
      </c>
      <c r="V879" t="n">
        <v>0.560362</v>
      </c>
      <c r="W879" t="n">
        <v>3.85545</v>
      </c>
      <c r="X879" t="inlineStr">
        <is>
          <t>High</t>
        </is>
      </c>
      <c r="Y879" t="inlineStr">
        <is>
          <t>None</t>
        </is>
      </c>
      <c r="Z879" t="inlineStr">
        <is>
          <t>Valid</t>
        </is>
      </c>
      <c r="AA879" t="n">
        <v>2038</v>
      </c>
      <c r="AB879" t="inlineStr">
        <is>
          <t>Supplier Target Pathway</t>
        </is>
      </c>
      <c r="AC879" t="n">
        <v>8036.8609</v>
      </c>
      <c r="AD879" t="n">
        <v>3105.4431</v>
      </c>
      <c r="AE879" t="n">
        <v>3598.5848</v>
      </c>
      <c r="AF879" t="n">
        <v>3598.5848</v>
      </c>
      <c r="AG879" t="n">
        <v>4438.2761</v>
      </c>
      <c r="AH879" t="n">
        <v>0.00031415</v>
      </c>
      <c r="AI879" t="n">
        <v>0.55224</v>
      </c>
      <c r="AJ879" t="n">
        <v>493.1418</v>
      </c>
      <c r="AK879" t="n">
        <v>246.5709</v>
      </c>
      <c r="AL879" t="n">
        <v>-23131.0493</v>
      </c>
      <c r="AM879" t="n">
        <v>72818.13890000001</v>
      </c>
      <c r="AN879" t="n">
        <v>0.99</v>
      </c>
      <c r="AO879" t="inlineStr">
        <is>
          <t>High</t>
        </is>
      </c>
      <c r="AP879" t="inlineStr">
        <is>
          <t>On Track to Glide Path</t>
        </is>
      </c>
    </row>
    <row r="880">
      <c r="A880" t="inlineStr">
        <is>
          <t>SUP-0055</t>
        </is>
      </c>
      <c r="B880" t="inlineStr">
        <is>
          <t>Chemicals Supplier 055</t>
        </is>
      </c>
      <c r="C880" t="inlineStr">
        <is>
          <t>Chemicals</t>
        </is>
      </c>
      <c r="D880" t="n">
        <v>2024</v>
      </c>
      <c r="E880" t="n">
        <v>2020</v>
      </c>
      <c r="F880" t="n">
        <v>2040</v>
      </c>
      <c r="G880" t="n">
        <v>7352.1791</v>
      </c>
      <c r="H880" t="n">
        <v>2076.3008</v>
      </c>
      <c r="I880" t="n">
        <v>855.4068</v>
      </c>
      <c r="J880" t="n">
        <v>4718.631</v>
      </c>
      <c r="K880" t="n">
        <v>11454992.68</v>
      </c>
      <c r="L880" t="n">
        <v>75753628.87</v>
      </c>
      <c r="M880" t="n">
        <v>7352.1791</v>
      </c>
      <c r="N880" t="inlineStr">
        <is>
          <t>Provided Total Emissions</t>
        </is>
      </c>
      <c r="O880" t="b">
        <v>1</v>
      </c>
      <c r="P880" t="n">
        <v>-0.07040399999999999</v>
      </c>
      <c r="Q880" t="n">
        <v>-0.032073</v>
      </c>
      <c r="R880" t="n">
        <v>11472.0606</v>
      </c>
      <c r="S880" t="n">
        <v>35698.1401</v>
      </c>
      <c r="T880" t="n">
        <v>4119.8815</v>
      </c>
      <c r="U880" t="n">
        <v>28345.961</v>
      </c>
      <c r="V880" t="n">
        <v>0.560362</v>
      </c>
      <c r="W880" t="n">
        <v>3.85545</v>
      </c>
      <c r="X880" t="inlineStr">
        <is>
          <t>High</t>
        </is>
      </c>
      <c r="Y880" t="inlineStr">
        <is>
          <t>None</t>
        </is>
      </c>
      <c r="Z880" t="inlineStr">
        <is>
          <t>Valid</t>
        </is>
      </c>
      <c r="AA880" t="n">
        <v>2039</v>
      </c>
      <c r="AB880" t="inlineStr">
        <is>
          <t>Supplier Target Pathway</t>
        </is>
      </c>
      <c r="AC880" t="n">
        <v>8036.8609</v>
      </c>
      <c r="AD880" t="n">
        <v>3105.4431</v>
      </c>
      <c r="AE880" t="n">
        <v>3352.0139</v>
      </c>
      <c r="AF880" t="n">
        <v>3352.0139</v>
      </c>
      <c r="AG880" t="n">
        <v>4684.847</v>
      </c>
      <c r="AH880" t="n">
        <v>0.00029262</v>
      </c>
      <c r="AI880" t="n">
        <v>0.58292</v>
      </c>
      <c r="AJ880" t="n">
        <v>246.5709</v>
      </c>
      <c r="AK880" t="n">
        <v>246.5709</v>
      </c>
      <c r="AL880" t="n">
        <v>-26483.0632</v>
      </c>
      <c r="AM880" t="n">
        <v>76170.1528</v>
      </c>
      <c r="AN880" t="n">
        <v>0.99</v>
      </c>
      <c r="AO880" t="inlineStr">
        <is>
          <t>Medium</t>
        </is>
      </c>
      <c r="AP880" t="inlineStr">
        <is>
          <t>On Track to Glide Path</t>
        </is>
      </c>
    </row>
    <row r="881">
      <c r="A881" t="inlineStr">
        <is>
          <t>SUP-0055</t>
        </is>
      </c>
      <c r="B881" t="inlineStr">
        <is>
          <t>Chemicals Supplier 055</t>
        </is>
      </c>
      <c r="C881" t="inlineStr">
        <is>
          <t>Chemicals</t>
        </is>
      </c>
      <c r="D881" t="n">
        <v>2024</v>
      </c>
      <c r="E881" t="n">
        <v>2020</v>
      </c>
      <c r="F881" t="n">
        <v>2040</v>
      </c>
      <c r="G881" t="n">
        <v>7352.1791</v>
      </c>
      <c r="H881" t="n">
        <v>2076.3008</v>
      </c>
      <c r="I881" t="n">
        <v>855.4068</v>
      </c>
      <c r="J881" t="n">
        <v>4718.631</v>
      </c>
      <c r="K881" t="n">
        <v>11454992.68</v>
      </c>
      <c r="L881" t="n">
        <v>75753628.87</v>
      </c>
      <c r="M881" t="n">
        <v>7352.1791</v>
      </c>
      <c r="N881" t="inlineStr">
        <is>
          <t>Provided Total Emissions</t>
        </is>
      </c>
      <c r="O881" t="b">
        <v>1</v>
      </c>
      <c r="P881" t="n">
        <v>-0.07040399999999999</v>
      </c>
      <c r="Q881" t="n">
        <v>-0.032073</v>
      </c>
      <c r="R881" t="n">
        <v>11472.0606</v>
      </c>
      <c r="S881" t="n">
        <v>35698.1401</v>
      </c>
      <c r="T881" t="n">
        <v>4119.8815</v>
      </c>
      <c r="U881" t="n">
        <v>28345.961</v>
      </c>
      <c r="V881" t="n">
        <v>0.560362</v>
      </c>
      <c r="W881" t="n">
        <v>3.85545</v>
      </c>
      <c r="X881" t="inlineStr">
        <is>
          <t>High</t>
        </is>
      </c>
      <c r="Y881" t="inlineStr">
        <is>
          <t>None</t>
        </is>
      </c>
      <c r="Z881" t="inlineStr">
        <is>
          <t>Valid</t>
        </is>
      </c>
      <c r="AA881" t="n">
        <v>2040</v>
      </c>
      <c r="AB881" t="inlineStr">
        <is>
          <t>Supplier Target Pathway</t>
        </is>
      </c>
      <c r="AC881" t="n">
        <v>8036.8609</v>
      </c>
      <c r="AD881" t="n">
        <v>3105.4431</v>
      </c>
      <c r="AE881" t="n">
        <v>3105.4431</v>
      </c>
      <c r="AF881" t="n">
        <v>3105.4431</v>
      </c>
      <c r="AG881" t="n">
        <v>4931.4178</v>
      </c>
      <c r="AH881" t="n">
        <v>0.0002711</v>
      </c>
      <c r="AI881" t="n">
        <v>0.6136</v>
      </c>
      <c r="AJ881" t="n">
        <v>0</v>
      </c>
      <c r="AK881" t="n">
        <v>246.5709</v>
      </c>
      <c r="AL881" t="n">
        <v>-29588.5063</v>
      </c>
      <c r="AM881" t="n">
        <v>79275.5959</v>
      </c>
      <c r="AN881" t="n">
        <v>0.99</v>
      </c>
      <c r="AO881" t="inlineStr">
        <is>
          <t>Low</t>
        </is>
      </c>
      <c r="AP881" t="inlineStr">
        <is>
          <t>On Track</t>
        </is>
      </c>
    </row>
    <row r="882">
      <c r="A882" t="inlineStr">
        <is>
          <t>SUP-0056</t>
        </is>
      </c>
      <c r="B882" t="inlineStr">
        <is>
          <t>Metals Supplier 056</t>
        </is>
      </c>
      <c r="C882" t="inlineStr">
        <is>
          <t>Metals</t>
        </is>
      </c>
      <c r="D882" t="n">
        <v>2024</v>
      </c>
      <c r="E882" t="n">
        <v>2015</v>
      </c>
      <c r="F882" t="n">
        <v>2030</v>
      </c>
      <c r="G882" t="n">
        <v>30237.7557</v>
      </c>
      <c r="H882" t="n">
        <v>3770.1001</v>
      </c>
      <c r="I882" t="n">
        <v>2423.3846</v>
      </c>
      <c r="J882" t="n">
        <v>24044.0953</v>
      </c>
      <c r="K882" t="n">
        <v>35680319.64</v>
      </c>
      <c r="L882" t="n">
        <v>60380635.83</v>
      </c>
      <c r="M882" t="n">
        <v>30237.7557</v>
      </c>
      <c r="N882" t="inlineStr">
        <is>
          <t>Provided Total Emissions</t>
        </is>
      </c>
      <c r="O882" t="b">
        <v>1</v>
      </c>
      <c r="P882" t="n">
        <v>9.500000000000001e-05</v>
      </c>
      <c r="Q882" t="n">
        <v>0.0413</v>
      </c>
      <c r="R882" t="n">
        <v>35928.2979</v>
      </c>
      <c r="S882" t="n">
        <v>39252.2437</v>
      </c>
      <c r="T882" t="n">
        <v>5690.5422</v>
      </c>
      <c r="U882" t="n">
        <v>9014.487999999999</v>
      </c>
      <c r="V882" t="n">
        <v>0.188193</v>
      </c>
      <c r="W882" t="n">
        <v>0.29812</v>
      </c>
      <c r="X882" t="inlineStr">
        <is>
          <t>High</t>
        </is>
      </c>
      <c r="Y882" t="inlineStr">
        <is>
          <t>None</t>
        </is>
      </c>
      <c r="Z882" t="inlineStr">
        <is>
          <t>Valid</t>
        </is>
      </c>
      <c r="AA882" t="n">
        <v>2025</v>
      </c>
      <c r="AB882" t="inlineStr">
        <is>
          <t>Industry Haircut Pathway</t>
        </is>
      </c>
      <c r="AC882" t="n">
        <v>30211.8386</v>
      </c>
      <c r="AD882" t="n">
        <v>18574.2384</v>
      </c>
      <c r="AE882" t="n">
        <v>22453.4384</v>
      </c>
      <c r="AF882" t="n">
        <v>22453.4384</v>
      </c>
      <c r="AG882" t="n">
        <v>7758.4002</v>
      </c>
      <c r="AH882" t="n">
        <v>0.00062929</v>
      </c>
      <c r="AI882" t="n">
        <v>0.2568</v>
      </c>
      <c r="AJ882" t="n">
        <v>3879.2001</v>
      </c>
      <c r="AK882" t="n">
        <v>775.84</v>
      </c>
      <c r="AL882" t="n">
        <v>88991.992</v>
      </c>
      <c r="AM882" t="n">
        <v>22453.4384</v>
      </c>
      <c r="AN882" t="n">
        <v>0.95</v>
      </c>
      <c r="AO882" t="inlineStr">
        <is>
          <t>High</t>
        </is>
      </c>
      <c r="AP882" t="inlineStr">
        <is>
          <t>On Track to Glide Path</t>
        </is>
      </c>
    </row>
    <row r="883">
      <c r="A883" t="inlineStr">
        <is>
          <t>SUP-0056</t>
        </is>
      </c>
      <c r="B883" t="inlineStr">
        <is>
          <t>Metals Supplier 056</t>
        </is>
      </c>
      <c r="C883" t="inlineStr">
        <is>
          <t>Metals</t>
        </is>
      </c>
      <c r="D883" t="n">
        <v>2024</v>
      </c>
      <c r="E883" t="n">
        <v>2015</v>
      </c>
      <c r="F883" t="n">
        <v>2030</v>
      </c>
      <c r="G883" t="n">
        <v>30237.7557</v>
      </c>
      <c r="H883" t="n">
        <v>3770.1001</v>
      </c>
      <c r="I883" t="n">
        <v>2423.3846</v>
      </c>
      <c r="J883" t="n">
        <v>24044.0953</v>
      </c>
      <c r="K883" t="n">
        <v>35680319.64</v>
      </c>
      <c r="L883" t="n">
        <v>60380635.83</v>
      </c>
      <c r="M883" t="n">
        <v>30237.7557</v>
      </c>
      <c r="N883" t="inlineStr">
        <is>
          <t>Provided Total Emissions</t>
        </is>
      </c>
      <c r="O883" t="b">
        <v>1</v>
      </c>
      <c r="P883" t="n">
        <v>9.500000000000001e-05</v>
      </c>
      <c r="Q883" t="n">
        <v>0.0413</v>
      </c>
      <c r="R883" t="n">
        <v>35928.2979</v>
      </c>
      <c r="S883" t="n">
        <v>39252.2437</v>
      </c>
      <c r="T883" t="n">
        <v>5690.5422</v>
      </c>
      <c r="U883" t="n">
        <v>9014.487999999999</v>
      </c>
      <c r="V883" t="n">
        <v>0.188193</v>
      </c>
      <c r="W883" t="n">
        <v>0.29812</v>
      </c>
      <c r="X883" t="inlineStr">
        <is>
          <t>High</t>
        </is>
      </c>
      <c r="Y883" t="inlineStr">
        <is>
          <t>None</t>
        </is>
      </c>
      <c r="Z883" t="inlineStr">
        <is>
          <t>Valid</t>
        </is>
      </c>
      <c r="AA883" t="n">
        <v>2026</v>
      </c>
      <c r="AB883" t="inlineStr">
        <is>
          <t>Industry Haircut Pathway</t>
        </is>
      </c>
      <c r="AC883" t="n">
        <v>30211.8386</v>
      </c>
      <c r="AD883" t="n">
        <v>18574.2384</v>
      </c>
      <c r="AE883" t="n">
        <v>21677.5984</v>
      </c>
      <c r="AF883" t="n">
        <v>21677.5984</v>
      </c>
      <c r="AG883" t="n">
        <v>8534.2402</v>
      </c>
      <c r="AH883" t="n">
        <v>0.00060755</v>
      </c>
      <c r="AI883" t="n">
        <v>0.28248</v>
      </c>
      <c r="AJ883" t="n">
        <v>3103.3601</v>
      </c>
      <c r="AK883" t="n">
        <v>775.84</v>
      </c>
      <c r="AL883" t="n">
        <v>67314.3936</v>
      </c>
      <c r="AM883" t="n">
        <v>44131.0368</v>
      </c>
      <c r="AN883" t="n">
        <v>0.95</v>
      </c>
      <c r="AO883" t="inlineStr">
        <is>
          <t>High</t>
        </is>
      </c>
      <c r="AP883" t="inlineStr">
        <is>
          <t>On Track to Glide Path</t>
        </is>
      </c>
    </row>
    <row r="884">
      <c r="A884" t="inlineStr">
        <is>
          <t>SUP-0056</t>
        </is>
      </c>
      <c r="B884" t="inlineStr">
        <is>
          <t>Metals Supplier 056</t>
        </is>
      </c>
      <c r="C884" t="inlineStr">
        <is>
          <t>Metals</t>
        </is>
      </c>
      <c r="D884" t="n">
        <v>2024</v>
      </c>
      <c r="E884" t="n">
        <v>2015</v>
      </c>
      <c r="F884" t="n">
        <v>2030</v>
      </c>
      <c r="G884" t="n">
        <v>30237.7557</v>
      </c>
      <c r="H884" t="n">
        <v>3770.1001</v>
      </c>
      <c r="I884" t="n">
        <v>2423.3846</v>
      </c>
      <c r="J884" t="n">
        <v>24044.0953</v>
      </c>
      <c r="K884" t="n">
        <v>35680319.64</v>
      </c>
      <c r="L884" t="n">
        <v>60380635.83</v>
      </c>
      <c r="M884" t="n">
        <v>30237.7557</v>
      </c>
      <c r="N884" t="inlineStr">
        <is>
          <t>Provided Total Emissions</t>
        </is>
      </c>
      <c r="O884" t="b">
        <v>1</v>
      </c>
      <c r="P884" t="n">
        <v>9.500000000000001e-05</v>
      </c>
      <c r="Q884" t="n">
        <v>0.0413</v>
      </c>
      <c r="R884" t="n">
        <v>35928.2979</v>
      </c>
      <c r="S884" t="n">
        <v>39252.2437</v>
      </c>
      <c r="T884" t="n">
        <v>5690.5422</v>
      </c>
      <c r="U884" t="n">
        <v>9014.487999999999</v>
      </c>
      <c r="V884" t="n">
        <v>0.188193</v>
      </c>
      <c r="W884" t="n">
        <v>0.29812</v>
      </c>
      <c r="X884" t="inlineStr">
        <is>
          <t>High</t>
        </is>
      </c>
      <c r="Y884" t="inlineStr">
        <is>
          <t>None</t>
        </is>
      </c>
      <c r="Z884" t="inlineStr">
        <is>
          <t>Valid</t>
        </is>
      </c>
      <c r="AA884" t="n">
        <v>2027</v>
      </c>
      <c r="AB884" t="inlineStr">
        <is>
          <t>Industry Haircut Pathway</t>
        </is>
      </c>
      <c r="AC884" t="n">
        <v>30211.8386</v>
      </c>
      <c r="AD884" t="n">
        <v>18574.2384</v>
      </c>
      <c r="AE884" t="n">
        <v>20901.7584</v>
      </c>
      <c r="AF884" t="n">
        <v>20901.7584</v>
      </c>
      <c r="AG884" t="n">
        <v>9310.0802</v>
      </c>
      <c r="AH884" t="n">
        <v>0.00058581</v>
      </c>
      <c r="AI884" t="n">
        <v>0.30816</v>
      </c>
      <c r="AJ884" t="n">
        <v>2327.52</v>
      </c>
      <c r="AK884" t="n">
        <v>775.84</v>
      </c>
      <c r="AL884" t="n">
        <v>46412.6352</v>
      </c>
      <c r="AM884" t="n">
        <v>65032.7952</v>
      </c>
      <c r="AN884" t="n">
        <v>0.95</v>
      </c>
      <c r="AO884" t="inlineStr">
        <is>
          <t>Medium</t>
        </is>
      </c>
      <c r="AP884" t="inlineStr">
        <is>
          <t>On Track to Glide Path</t>
        </is>
      </c>
    </row>
    <row r="885">
      <c r="A885" t="inlineStr">
        <is>
          <t>SUP-0056</t>
        </is>
      </c>
      <c r="B885" t="inlineStr">
        <is>
          <t>Metals Supplier 056</t>
        </is>
      </c>
      <c r="C885" t="inlineStr">
        <is>
          <t>Metals</t>
        </is>
      </c>
      <c r="D885" t="n">
        <v>2024</v>
      </c>
      <c r="E885" t="n">
        <v>2015</v>
      </c>
      <c r="F885" t="n">
        <v>2030</v>
      </c>
      <c r="G885" t="n">
        <v>30237.7557</v>
      </c>
      <c r="H885" t="n">
        <v>3770.1001</v>
      </c>
      <c r="I885" t="n">
        <v>2423.3846</v>
      </c>
      <c r="J885" t="n">
        <v>24044.0953</v>
      </c>
      <c r="K885" t="n">
        <v>35680319.64</v>
      </c>
      <c r="L885" t="n">
        <v>60380635.83</v>
      </c>
      <c r="M885" t="n">
        <v>30237.7557</v>
      </c>
      <c r="N885" t="inlineStr">
        <is>
          <t>Provided Total Emissions</t>
        </is>
      </c>
      <c r="O885" t="b">
        <v>1</v>
      </c>
      <c r="P885" t="n">
        <v>9.500000000000001e-05</v>
      </c>
      <c r="Q885" t="n">
        <v>0.0413</v>
      </c>
      <c r="R885" t="n">
        <v>35928.2979</v>
      </c>
      <c r="S885" t="n">
        <v>39252.2437</v>
      </c>
      <c r="T885" t="n">
        <v>5690.5422</v>
      </c>
      <c r="U885" t="n">
        <v>9014.487999999999</v>
      </c>
      <c r="V885" t="n">
        <v>0.188193</v>
      </c>
      <c r="W885" t="n">
        <v>0.29812</v>
      </c>
      <c r="X885" t="inlineStr">
        <is>
          <t>High</t>
        </is>
      </c>
      <c r="Y885" t="inlineStr">
        <is>
          <t>None</t>
        </is>
      </c>
      <c r="Z885" t="inlineStr">
        <is>
          <t>Valid</t>
        </is>
      </c>
      <c r="AA885" t="n">
        <v>2028</v>
      </c>
      <c r="AB885" t="inlineStr">
        <is>
          <t>Industry Haircut Pathway</t>
        </is>
      </c>
      <c r="AC885" t="n">
        <v>30211.8386</v>
      </c>
      <c r="AD885" t="n">
        <v>18574.2384</v>
      </c>
      <c r="AE885" t="n">
        <v>20125.9184</v>
      </c>
      <c r="AF885" t="n">
        <v>20125.9184</v>
      </c>
      <c r="AG885" t="n">
        <v>10085.9202</v>
      </c>
      <c r="AH885" t="n">
        <v>0.00056406</v>
      </c>
      <c r="AI885" t="n">
        <v>0.33384</v>
      </c>
      <c r="AJ885" t="n">
        <v>1551.68</v>
      </c>
      <c r="AK885" t="n">
        <v>775.84</v>
      </c>
      <c r="AL885" t="n">
        <v>26286.7168</v>
      </c>
      <c r="AM885" t="n">
        <v>85158.7136</v>
      </c>
      <c r="AN885" t="n">
        <v>0.95</v>
      </c>
      <c r="AO885" t="inlineStr">
        <is>
          <t>Medium</t>
        </is>
      </c>
      <c r="AP885" t="inlineStr">
        <is>
          <t>On Track to Glide Path</t>
        </is>
      </c>
    </row>
    <row r="886">
      <c r="A886" t="inlineStr">
        <is>
          <t>SUP-0056</t>
        </is>
      </c>
      <c r="B886" t="inlineStr">
        <is>
          <t>Metals Supplier 056</t>
        </is>
      </c>
      <c r="C886" t="inlineStr">
        <is>
          <t>Metals</t>
        </is>
      </c>
      <c r="D886" t="n">
        <v>2024</v>
      </c>
      <c r="E886" t="n">
        <v>2015</v>
      </c>
      <c r="F886" t="n">
        <v>2030</v>
      </c>
      <c r="G886" t="n">
        <v>30237.7557</v>
      </c>
      <c r="H886" t="n">
        <v>3770.1001</v>
      </c>
      <c r="I886" t="n">
        <v>2423.3846</v>
      </c>
      <c r="J886" t="n">
        <v>24044.0953</v>
      </c>
      <c r="K886" t="n">
        <v>35680319.64</v>
      </c>
      <c r="L886" t="n">
        <v>60380635.83</v>
      </c>
      <c r="M886" t="n">
        <v>30237.7557</v>
      </c>
      <c r="N886" t="inlineStr">
        <is>
          <t>Provided Total Emissions</t>
        </is>
      </c>
      <c r="O886" t="b">
        <v>1</v>
      </c>
      <c r="P886" t="n">
        <v>9.500000000000001e-05</v>
      </c>
      <c r="Q886" t="n">
        <v>0.0413</v>
      </c>
      <c r="R886" t="n">
        <v>35928.2979</v>
      </c>
      <c r="S886" t="n">
        <v>39252.2437</v>
      </c>
      <c r="T886" t="n">
        <v>5690.5422</v>
      </c>
      <c r="U886" t="n">
        <v>9014.487999999999</v>
      </c>
      <c r="V886" t="n">
        <v>0.188193</v>
      </c>
      <c r="W886" t="n">
        <v>0.29812</v>
      </c>
      <c r="X886" t="inlineStr">
        <is>
          <t>High</t>
        </is>
      </c>
      <c r="Y886" t="inlineStr">
        <is>
          <t>None</t>
        </is>
      </c>
      <c r="Z886" t="inlineStr">
        <is>
          <t>Valid</t>
        </is>
      </c>
      <c r="AA886" t="n">
        <v>2029</v>
      </c>
      <c r="AB886" t="inlineStr">
        <is>
          <t>Industry Haircut Pathway</t>
        </is>
      </c>
      <c r="AC886" t="n">
        <v>30211.8386</v>
      </c>
      <c r="AD886" t="n">
        <v>18574.2384</v>
      </c>
      <c r="AE886" t="n">
        <v>19350.0784</v>
      </c>
      <c r="AF886" t="n">
        <v>19350.0784</v>
      </c>
      <c r="AG886" t="n">
        <v>10861.7602</v>
      </c>
      <c r="AH886" t="n">
        <v>0.00054232</v>
      </c>
      <c r="AI886" t="n">
        <v>0.35952</v>
      </c>
      <c r="AJ886" t="n">
        <v>775.84</v>
      </c>
      <c r="AK886" t="n">
        <v>775.84</v>
      </c>
      <c r="AL886" t="n">
        <v>6936.6384</v>
      </c>
      <c r="AM886" t="n">
        <v>104508.792</v>
      </c>
      <c r="AN886" t="n">
        <v>0.95</v>
      </c>
      <c r="AO886" t="inlineStr">
        <is>
          <t>Medium</t>
        </is>
      </c>
      <c r="AP886" t="inlineStr">
        <is>
          <t>On Track to Glide Path</t>
        </is>
      </c>
    </row>
    <row r="887">
      <c r="A887" t="inlineStr">
        <is>
          <t>SUP-0056</t>
        </is>
      </c>
      <c r="B887" t="inlineStr">
        <is>
          <t>Metals Supplier 056</t>
        </is>
      </c>
      <c r="C887" t="inlineStr">
        <is>
          <t>Metals</t>
        </is>
      </c>
      <c r="D887" t="n">
        <v>2024</v>
      </c>
      <c r="E887" t="n">
        <v>2015</v>
      </c>
      <c r="F887" t="n">
        <v>2030</v>
      </c>
      <c r="G887" t="n">
        <v>30237.7557</v>
      </c>
      <c r="H887" t="n">
        <v>3770.1001</v>
      </c>
      <c r="I887" t="n">
        <v>2423.3846</v>
      </c>
      <c r="J887" t="n">
        <v>24044.0953</v>
      </c>
      <c r="K887" t="n">
        <v>35680319.64</v>
      </c>
      <c r="L887" t="n">
        <v>60380635.83</v>
      </c>
      <c r="M887" t="n">
        <v>30237.7557</v>
      </c>
      <c r="N887" t="inlineStr">
        <is>
          <t>Provided Total Emissions</t>
        </is>
      </c>
      <c r="O887" t="b">
        <v>1</v>
      </c>
      <c r="P887" t="n">
        <v>9.500000000000001e-05</v>
      </c>
      <c r="Q887" t="n">
        <v>0.0413</v>
      </c>
      <c r="R887" t="n">
        <v>35928.2979</v>
      </c>
      <c r="S887" t="n">
        <v>39252.2437</v>
      </c>
      <c r="T887" t="n">
        <v>5690.5422</v>
      </c>
      <c r="U887" t="n">
        <v>9014.487999999999</v>
      </c>
      <c r="V887" t="n">
        <v>0.188193</v>
      </c>
      <c r="W887" t="n">
        <v>0.29812</v>
      </c>
      <c r="X887" t="inlineStr">
        <is>
          <t>High</t>
        </is>
      </c>
      <c r="Y887" t="inlineStr">
        <is>
          <t>None</t>
        </is>
      </c>
      <c r="Z887" t="inlineStr">
        <is>
          <t>Valid</t>
        </is>
      </c>
      <c r="AA887" t="n">
        <v>2030</v>
      </c>
      <c r="AB887" t="inlineStr">
        <is>
          <t>Industry Haircut Pathway</t>
        </is>
      </c>
      <c r="AC887" t="n">
        <v>30211.8386</v>
      </c>
      <c r="AD887" t="n">
        <v>18574.2384</v>
      </c>
      <c r="AE887" t="n">
        <v>18574.2384</v>
      </c>
      <c r="AF887" t="n">
        <v>18574.2384</v>
      </c>
      <c r="AG887" t="n">
        <v>11637.6002</v>
      </c>
      <c r="AH887" t="n">
        <v>0.00052057</v>
      </c>
      <c r="AI887" t="n">
        <v>0.3852</v>
      </c>
      <c r="AJ887" t="n">
        <v>0</v>
      </c>
      <c r="AK887" t="n">
        <v>775.84</v>
      </c>
      <c r="AL887" t="n">
        <v>-11637.6</v>
      </c>
      <c r="AM887" t="n">
        <v>123083.0304</v>
      </c>
      <c r="AN887" t="n">
        <v>0.95</v>
      </c>
      <c r="AO887" t="inlineStr">
        <is>
          <t>Low</t>
        </is>
      </c>
      <c r="AP887" t="inlineStr">
        <is>
          <t>On Track</t>
        </is>
      </c>
    </row>
    <row r="888">
      <c r="A888" t="inlineStr">
        <is>
          <t>SUP-0056</t>
        </is>
      </c>
      <c r="B888" t="inlineStr">
        <is>
          <t>Metals Supplier 056</t>
        </is>
      </c>
      <c r="C888" t="inlineStr">
        <is>
          <t>Metals</t>
        </is>
      </c>
      <c r="D888" t="n">
        <v>2024</v>
      </c>
      <c r="E888" t="n">
        <v>2015</v>
      </c>
      <c r="F888" t="n">
        <v>2030</v>
      </c>
      <c r="G888" t="n">
        <v>30237.7557</v>
      </c>
      <c r="H888" t="n">
        <v>3770.1001</v>
      </c>
      <c r="I888" t="n">
        <v>2423.3846</v>
      </c>
      <c r="J888" t="n">
        <v>24044.0953</v>
      </c>
      <c r="K888" t="n">
        <v>35680319.64</v>
      </c>
      <c r="L888" t="n">
        <v>60380635.83</v>
      </c>
      <c r="M888" t="n">
        <v>30237.7557</v>
      </c>
      <c r="N888" t="inlineStr">
        <is>
          <t>Provided Total Emissions</t>
        </is>
      </c>
      <c r="O888" t="b">
        <v>1</v>
      </c>
      <c r="P888" t="n">
        <v>9.500000000000001e-05</v>
      </c>
      <c r="Q888" t="n">
        <v>0.0413</v>
      </c>
      <c r="R888" t="n">
        <v>35928.2979</v>
      </c>
      <c r="S888" t="n">
        <v>39252.2437</v>
      </c>
      <c r="T888" t="n">
        <v>5690.5422</v>
      </c>
      <c r="U888" t="n">
        <v>9014.487999999999</v>
      </c>
      <c r="V888" t="n">
        <v>0.188193</v>
      </c>
      <c r="W888" t="n">
        <v>0.29812</v>
      </c>
      <c r="X888" t="inlineStr">
        <is>
          <t>High</t>
        </is>
      </c>
      <c r="Y888" t="inlineStr">
        <is>
          <t>None</t>
        </is>
      </c>
      <c r="Z888" t="inlineStr">
        <is>
          <t>Valid</t>
        </is>
      </c>
      <c r="AA888" t="n">
        <v>2031</v>
      </c>
      <c r="AB888" t="inlineStr">
        <is>
          <t>Industry Haircut Pathway</t>
        </is>
      </c>
      <c r="AC888" t="n">
        <v>30211.8386</v>
      </c>
      <c r="AD888" t="n">
        <v>18574.2384</v>
      </c>
      <c r="AE888" t="n">
        <v>18574.2384</v>
      </c>
      <c r="AF888" t="n">
        <v>18574.2384</v>
      </c>
      <c r="AG888" t="n">
        <v>11637.6002</v>
      </c>
      <c r="AH888" t="n">
        <v>0.00052057</v>
      </c>
      <c r="AI888" t="n">
        <v>0.3852</v>
      </c>
      <c r="AJ888" t="n">
        <v>0</v>
      </c>
      <c r="AK888" t="n">
        <v>775.84</v>
      </c>
      <c r="AL888" t="n">
        <v>-30211.8384</v>
      </c>
      <c r="AM888" t="n">
        <v>141657.2688</v>
      </c>
      <c r="AN888" t="n">
        <v>0.95</v>
      </c>
      <c r="AO888" t="inlineStr">
        <is>
          <t>Low</t>
        </is>
      </c>
      <c r="AP888" t="inlineStr">
        <is>
          <t>On Track</t>
        </is>
      </c>
    </row>
    <row r="889">
      <c r="A889" t="inlineStr">
        <is>
          <t>SUP-0056</t>
        </is>
      </c>
      <c r="B889" t="inlineStr">
        <is>
          <t>Metals Supplier 056</t>
        </is>
      </c>
      <c r="C889" t="inlineStr">
        <is>
          <t>Metals</t>
        </is>
      </c>
      <c r="D889" t="n">
        <v>2024</v>
      </c>
      <c r="E889" t="n">
        <v>2015</v>
      </c>
      <c r="F889" t="n">
        <v>2030</v>
      </c>
      <c r="G889" t="n">
        <v>30237.7557</v>
      </c>
      <c r="H889" t="n">
        <v>3770.1001</v>
      </c>
      <c r="I889" t="n">
        <v>2423.3846</v>
      </c>
      <c r="J889" t="n">
        <v>24044.0953</v>
      </c>
      <c r="K889" t="n">
        <v>35680319.64</v>
      </c>
      <c r="L889" t="n">
        <v>60380635.83</v>
      </c>
      <c r="M889" t="n">
        <v>30237.7557</v>
      </c>
      <c r="N889" t="inlineStr">
        <is>
          <t>Provided Total Emissions</t>
        </is>
      </c>
      <c r="O889" t="b">
        <v>1</v>
      </c>
      <c r="P889" t="n">
        <v>9.500000000000001e-05</v>
      </c>
      <c r="Q889" t="n">
        <v>0.0413</v>
      </c>
      <c r="R889" t="n">
        <v>35928.2979</v>
      </c>
      <c r="S889" t="n">
        <v>39252.2437</v>
      </c>
      <c r="T889" t="n">
        <v>5690.5422</v>
      </c>
      <c r="U889" t="n">
        <v>9014.487999999999</v>
      </c>
      <c r="V889" t="n">
        <v>0.188193</v>
      </c>
      <c r="W889" t="n">
        <v>0.29812</v>
      </c>
      <c r="X889" t="inlineStr">
        <is>
          <t>High</t>
        </is>
      </c>
      <c r="Y889" t="inlineStr">
        <is>
          <t>None</t>
        </is>
      </c>
      <c r="Z889" t="inlineStr">
        <is>
          <t>Valid</t>
        </is>
      </c>
      <c r="AA889" t="n">
        <v>2032</v>
      </c>
      <c r="AB889" t="inlineStr">
        <is>
          <t>Industry Haircut Pathway</t>
        </is>
      </c>
      <c r="AC889" t="n">
        <v>30211.8386</v>
      </c>
      <c r="AD889" t="n">
        <v>18574.2384</v>
      </c>
      <c r="AE889" t="n">
        <v>18574.2384</v>
      </c>
      <c r="AF889" t="n">
        <v>18574.2384</v>
      </c>
      <c r="AG889" t="n">
        <v>11637.6002</v>
      </c>
      <c r="AH889" t="n">
        <v>0.00052057</v>
      </c>
      <c r="AI889" t="n">
        <v>0.3852</v>
      </c>
      <c r="AJ889" t="n">
        <v>0</v>
      </c>
      <c r="AK889" t="n">
        <v>775.84</v>
      </c>
      <c r="AL889" t="n">
        <v>-48786.0768</v>
      </c>
      <c r="AM889" t="n">
        <v>160231.5072</v>
      </c>
      <c r="AN889" t="n">
        <v>0.95</v>
      </c>
      <c r="AO889" t="inlineStr">
        <is>
          <t>Low</t>
        </is>
      </c>
      <c r="AP889" t="inlineStr">
        <is>
          <t>On Track</t>
        </is>
      </c>
    </row>
    <row r="890">
      <c r="A890" t="inlineStr">
        <is>
          <t>SUP-0056</t>
        </is>
      </c>
      <c r="B890" t="inlineStr">
        <is>
          <t>Metals Supplier 056</t>
        </is>
      </c>
      <c r="C890" t="inlineStr">
        <is>
          <t>Metals</t>
        </is>
      </c>
      <c r="D890" t="n">
        <v>2024</v>
      </c>
      <c r="E890" t="n">
        <v>2015</v>
      </c>
      <c r="F890" t="n">
        <v>2030</v>
      </c>
      <c r="G890" t="n">
        <v>30237.7557</v>
      </c>
      <c r="H890" t="n">
        <v>3770.1001</v>
      </c>
      <c r="I890" t="n">
        <v>2423.3846</v>
      </c>
      <c r="J890" t="n">
        <v>24044.0953</v>
      </c>
      <c r="K890" t="n">
        <v>35680319.64</v>
      </c>
      <c r="L890" t="n">
        <v>60380635.83</v>
      </c>
      <c r="M890" t="n">
        <v>30237.7557</v>
      </c>
      <c r="N890" t="inlineStr">
        <is>
          <t>Provided Total Emissions</t>
        </is>
      </c>
      <c r="O890" t="b">
        <v>1</v>
      </c>
      <c r="P890" t="n">
        <v>9.500000000000001e-05</v>
      </c>
      <c r="Q890" t="n">
        <v>0.0413</v>
      </c>
      <c r="R890" t="n">
        <v>35928.2979</v>
      </c>
      <c r="S890" t="n">
        <v>39252.2437</v>
      </c>
      <c r="T890" t="n">
        <v>5690.5422</v>
      </c>
      <c r="U890" t="n">
        <v>9014.487999999999</v>
      </c>
      <c r="V890" t="n">
        <v>0.188193</v>
      </c>
      <c r="W890" t="n">
        <v>0.29812</v>
      </c>
      <c r="X890" t="inlineStr">
        <is>
          <t>High</t>
        </is>
      </c>
      <c r="Y890" t="inlineStr">
        <is>
          <t>None</t>
        </is>
      </c>
      <c r="Z890" t="inlineStr">
        <is>
          <t>Valid</t>
        </is>
      </c>
      <c r="AA890" t="n">
        <v>2033</v>
      </c>
      <c r="AB890" t="inlineStr">
        <is>
          <t>Industry Haircut Pathway</t>
        </is>
      </c>
      <c r="AC890" t="n">
        <v>30211.8386</v>
      </c>
      <c r="AD890" t="n">
        <v>18574.2384</v>
      </c>
      <c r="AE890" t="n">
        <v>18574.2384</v>
      </c>
      <c r="AF890" t="n">
        <v>18574.2384</v>
      </c>
      <c r="AG890" t="n">
        <v>11637.6002</v>
      </c>
      <c r="AH890" t="n">
        <v>0.00052057</v>
      </c>
      <c r="AI890" t="n">
        <v>0.3852</v>
      </c>
      <c r="AJ890" t="n">
        <v>0</v>
      </c>
      <c r="AK890" t="n">
        <v>775.84</v>
      </c>
      <c r="AL890" t="n">
        <v>-67360.3152</v>
      </c>
      <c r="AM890" t="n">
        <v>178805.7456</v>
      </c>
      <c r="AN890" t="n">
        <v>0.95</v>
      </c>
      <c r="AO890" t="inlineStr">
        <is>
          <t>Low</t>
        </is>
      </c>
      <c r="AP890" t="inlineStr">
        <is>
          <t>On Track</t>
        </is>
      </c>
    </row>
    <row r="891">
      <c r="A891" t="inlineStr">
        <is>
          <t>SUP-0056</t>
        </is>
      </c>
      <c r="B891" t="inlineStr">
        <is>
          <t>Metals Supplier 056</t>
        </is>
      </c>
      <c r="C891" t="inlineStr">
        <is>
          <t>Metals</t>
        </is>
      </c>
      <c r="D891" t="n">
        <v>2024</v>
      </c>
      <c r="E891" t="n">
        <v>2015</v>
      </c>
      <c r="F891" t="n">
        <v>2030</v>
      </c>
      <c r="G891" t="n">
        <v>30237.7557</v>
      </c>
      <c r="H891" t="n">
        <v>3770.1001</v>
      </c>
      <c r="I891" t="n">
        <v>2423.3846</v>
      </c>
      <c r="J891" t="n">
        <v>24044.0953</v>
      </c>
      <c r="K891" t="n">
        <v>35680319.64</v>
      </c>
      <c r="L891" t="n">
        <v>60380635.83</v>
      </c>
      <c r="M891" t="n">
        <v>30237.7557</v>
      </c>
      <c r="N891" t="inlineStr">
        <is>
          <t>Provided Total Emissions</t>
        </is>
      </c>
      <c r="O891" t="b">
        <v>1</v>
      </c>
      <c r="P891" t="n">
        <v>9.500000000000001e-05</v>
      </c>
      <c r="Q891" t="n">
        <v>0.0413</v>
      </c>
      <c r="R891" t="n">
        <v>35928.2979</v>
      </c>
      <c r="S891" t="n">
        <v>39252.2437</v>
      </c>
      <c r="T891" t="n">
        <v>5690.5422</v>
      </c>
      <c r="U891" t="n">
        <v>9014.487999999999</v>
      </c>
      <c r="V891" t="n">
        <v>0.188193</v>
      </c>
      <c r="W891" t="n">
        <v>0.29812</v>
      </c>
      <c r="X891" t="inlineStr">
        <is>
          <t>High</t>
        </is>
      </c>
      <c r="Y891" t="inlineStr">
        <is>
          <t>None</t>
        </is>
      </c>
      <c r="Z891" t="inlineStr">
        <is>
          <t>Valid</t>
        </is>
      </c>
      <c r="AA891" t="n">
        <v>2034</v>
      </c>
      <c r="AB891" t="inlineStr">
        <is>
          <t>Industry Haircut Pathway</t>
        </is>
      </c>
      <c r="AC891" t="n">
        <v>30211.8386</v>
      </c>
      <c r="AD891" t="n">
        <v>18574.2384</v>
      </c>
      <c r="AE891" t="n">
        <v>18574.2384</v>
      </c>
      <c r="AF891" t="n">
        <v>18574.2384</v>
      </c>
      <c r="AG891" t="n">
        <v>11637.6002</v>
      </c>
      <c r="AH891" t="n">
        <v>0.00052057</v>
      </c>
      <c r="AI891" t="n">
        <v>0.3852</v>
      </c>
      <c r="AJ891" t="n">
        <v>0</v>
      </c>
      <c r="AK891" t="n">
        <v>775.84</v>
      </c>
      <c r="AL891" t="n">
        <v>-85934.5536</v>
      </c>
      <c r="AM891" t="n">
        <v>197379.984</v>
      </c>
      <c r="AN891" t="n">
        <v>0.95</v>
      </c>
      <c r="AO891" t="inlineStr">
        <is>
          <t>Low</t>
        </is>
      </c>
      <c r="AP891" t="inlineStr">
        <is>
          <t>On Track</t>
        </is>
      </c>
    </row>
    <row r="892">
      <c r="A892" t="inlineStr">
        <is>
          <t>SUP-0056</t>
        </is>
      </c>
      <c r="B892" t="inlineStr">
        <is>
          <t>Metals Supplier 056</t>
        </is>
      </c>
      <c r="C892" t="inlineStr">
        <is>
          <t>Metals</t>
        </is>
      </c>
      <c r="D892" t="n">
        <v>2024</v>
      </c>
      <c r="E892" t="n">
        <v>2015</v>
      </c>
      <c r="F892" t="n">
        <v>2030</v>
      </c>
      <c r="G892" t="n">
        <v>30237.7557</v>
      </c>
      <c r="H892" t="n">
        <v>3770.1001</v>
      </c>
      <c r="I892" t="n">
        <v>2423.3846</v>
      </c>
      <c r="J892" t="n">
        <v>24044.0953</v>
      </c>
      <c r="K892" t="n">
        <v>35680319.64</v>
      </c>
      <c r="L892" t="n">
        <v>60380635.83</v>
      </c>
      <c r="M892" t="n">
        <v>30237.7557</v>
      </c>
      <c r="N892" t="inlineStr">
        <is>
          <t>Provided Total Emissions</t>
        </is>
      </c>
      <c r="O892" t="b">
        <v>1</v>
      </c>
      <c r="P892" t="n">
        <v>9.500000000000001e-05</v>
      </c>
      <c r="Q892" t="n">
        <v>0.0413</v>
      </c>
      <c r="R892" t="n">
        <v>35928.2979</v>
      </c>
      <c r="S892" t="n">
        <v>39252.2437</v>
      </c>
      <c r="T892" t="n">
        <v>5690.5422</v>
      </c>
      <c r="U892" t="n">
        <v>9014.487999999999</v>
      </c>
      <c r="V892" t="n">
        <v>0.188193</v>
      </c>
      <c r="W892" t="n">
        <v>0.29812</v>
      </c>
      <c r="X892" t="inlineStr">
        <is>
          <t>High</t>
        </is>
      </c>
      <c r="Y892" t="inlineStr">
        <is>
          <t>None</t>
        </is>
      </c>
      <c r="Z892" t="inlineStr">
        <is>
          <t>Valid</t>
        </is>
      </c>
      <c r="AA892" t="n">
        <v>2035</v>
      </c>
      <c r="AB892" t="inlineStr">
        <is>
          <t>Industry Haircut Pathway</t>
        </is>
      </c>
      <c r="AC892" t="n">
        <v>30211.8386</v>
      </c>
      <c r="AD892" t="n">
        <v>18574.2384</v>
      </c>
      <c r="AE892" t="n">
        <v>18574.2384</v>
      </c>
      <c r="AF892" t="n">
        <v>18574.2384</v>
      </c>
      <c r="AG892" t="n">
        <v>11637.6002</v>
      </c>
      <c r="AH892" t="n">
        <v>0.00052057</v>
      </c>
      <c r="AI892" t="n">
        <v>0.3852</v>
      </c>
      <c r="AJ892" t="n">
        <v>0</v>
      </c>
      <c r="AK892" t="n">
        <v>775.84</v>
      </c>
      <c r="AL892" t="n">
        <v>-104508.792</v>
      </c>
      <c r="AM892" t="n">
        <v>215954.2224</v>
      </c>
      <c r="AN892" t="n">
        <v>0.95</v>
      </c>
      <c r="AO892" t="inlineStr">
        <is>
          <t>Low</t>
        </is>
      </c>
      <c r="AP892" t="inlineStr">
        <is>
          <t>On Track</t>
        </is>
      </c>
    </row>
    <row r="893">
      <c r="A893" t="inlineStr">
        <is>
          <t>SUP-0056</t>
        </is>
      </c>
      <c r="B893" t="inlineStr">
        <is>
          <t>Metals Supplier 056</t>
        </is>
      </c>
      <c r="C893" t="inlineStr">
        <is>
          <t>Metals</t>
        </is>
      </c>
      <c r="D893" t="n">
        <v>2024</v>
      </c>
      <c r="E893" t="n">
        <v>2015</v>
      </c>
      <c r="F893" t="n">
        <v>2030</v>
      </c>
      <c r="G893" t="n">
        <v>30237.7557</v>
      </c>
      <c r="H893" t="n">
        <v>3770.1001</v>
      </c>
      <c r="I893" t="n">
        <v>2423.3846</v>
      </c>
      <c r="J893" t="n">
        <v>24044.0953</v>
      </c>
      <c r="K893" t="n">
        <v>35680319.64</v>
      </c>
      <c r="L893" t="n">
        <v>60380635.83</v>
      </c>
      <c r="M893" t="n">
        <v>30237.7557</v>
      </c>
      <c r="N893" t="inlineStr">
        <is>
          <t>Provided Total Emissions</t>
        </is>
      </c>
      <c r="O893" t="b">
        <v>1</v>
      </c>
      <c r="P893" t="n">
        <v>9.500000000000001e-05</v>
      </c>
      <c r="Q893" t="n">
        <v>0.0413</v>
      </c>
      <c r="R893" t="n">
        <v>35928.2979</v>
      </c>
      <c r="S893" t="n">
        <v>39252.2437</v>
      </c>
      <c r="T893" t="n">
        <v>5690.5422</v>
      </c>
      <c r="U893" t="n">
        <v>9014.487999999999</v>
      </c>
      <c r="V893" t="n">
        <v>0.188193</v>
      </c>
      <c r="W893" t="n">
        <v>0.29812</v>
      </c>
      <c r="X893" t="inlineStr">
        <is>
          <t>High</t>
        </is>
      </c>
      <c r="Y893" t="inlineStr">
        <is>
          <t>None</t>
        </is>
      </c>
      <c r="Z893" t="inlineStr">
        <is>
          <t>Valid</t>
        </is>
      </c>
      <c r="AA893" t="n">
        <v>2036</v>
      </c>
      <c r="AB893" t="inlineStr">
        <is>
          <t>Industry Haircut Pathway</t>
        </is>
      </c>
      <c r="AC893" t="n">
        <v>30211.8386</v>
      </c>
      <c r="AD893" t="n">
        <v>18574.2384</v>
      </c>
      <c r="AE893" t="n">
        <v>18574.2384</v>
      </c>
      <c r="AF893" t="n">
        <v>18574.2384</v>
      </c>
      <c r="AG893" t="n">
        <v>11637.6002</v>
      </c>
      <c r="AH893" t="n">
        <v>0.00052057</v>
      </c>
      <c r="AI893" t="n">
        <v>0.3852</v>
      </c>
      <c r="AJ893" t="n">
        <v>0</v>
      </c>
      <c r="AK893" t="n">
        <v>775.84</v>
      </c>
      <c r="AL893" t="n">
        <v>-123083.0304</v>
      </c>
      <c r="AM893" t="n">
        <v>234528.4608</v>
      </c>
      <c r="AN893" t="n">
        <v>0.95</v>
      </c>
      <c r="AO893" t="inlineStr">
        <is>
          <t>Low</t>
        </is>
      </c>
      <c r="AP893" t="inlineStr">
        <is>
          <t>On Track</t>
        </is>
      </c>
    </row>
    <row r="894">
      <c r="A894" t="inlineStr">
        <is>
          <t>SUP-0056</t>
        </is>
      </c>
      <c r="B894" t="inlineStr">
        <is>
          <t>Metals Supplier 056</t>
        </is>
      </c>
      <c r="C894" t="inlineStr">
        <is>
          <t>Metals</t>
        </is>
      </c>
      <c r="D894" t="n">
        <v>2024</v>
      </c>
      <c r="E894" t="n">
        <v>2015</v>
      </c>
      <c r="F894" t="n">
        <v>2030</v>
      </c>
      <c r="G894" t="n">
        <v>30237.7557</v>
      </c>
      <c r="H894" t="n">
        <v>3770.1001</v>
      </c>
      <c r="I894" t="n">
        <v>2423.3846</v>
      </c>
      <c r="J894" t="n">
        <v>24044.0953</v>
      </c>
      <c r="K894" t="n">
        <v>35680319.64</v>
      </c>
      <c r="L894" t="n">
        <v>60380635.83</v>
      </c>
      <c r="M894" t="n">
        <v>30237.7557</v>
      </c>
      <c r="N894" t="inlineStr">
        <is>
          <t>Provided Total Emissions</t>
        </is>
      </c>
      <c r="O894" t="b">
        <v>1</v>
      </c>
      <c r="P894" t="n">
        <v>9.500000000000001e-05</v>
      </c>
      <c r="Q894" t="n">
        <v>0.0413</v>
      </c>
      <c r="R894" t="n">
        <v>35928.2979</v>
      </c>
      <c r="S894" t="n">
        <v>39252.2437</v>
      </c>
      <c r="T894" t="n">
        <v>5690.5422</v>
      </c>
      <c r="U894" t="n">
        <v>9014.487999999999</v>
      </c>
      <c r="V894" t="n">
        <v>0.188193</v>
      </c>
      <c r="W894" t="n">
        <v>0.29812</v>
      </c>
      <c r="X894" t="inlineStr">
        <is>
          <t>High</t>
        </is>
      </c>
      <c r="Y894" t="inlineStr">
        <is>
          <t>None</t>
        </is>
      </c>
      <c r="Z894" t="inlineStr">
        <is>
          <t>Valid</t>
        </is>
      </c>
      <c r="AA894" t="n">
        <v>2037</v>
      </c>
      <c r="AB894" t="inlineStr">
        <is>
          <t>Industry Haircut Pathway</t>
        </is>
      </c>
      <c r="AC894" t="n">
        <v>30211.8386</v>
      </c>
      <c r="AD894" t="n">
        <v>18574.2384</v>
      </c>
      <c r="AE894" t="n">
        <v>18574.2384</v>
      </c>
      <c r="AF894" t="n">
        <v>18574.2384</v>
      </c>
      <c r="AG894" t="n">
        <v>11637.6002</v>
      </c>
      <c r="AH894" t="n">
        <v>0.00052057</v>
      </c>
      <c r="AI894" t="n">
        <v>0.3852</v>
      </c>
      <c r="AJ894" t="n">
        <v>0</v>
      </c>
      <c r="AK894" t="n">
        <v>775.84</v>
      </c>
      <c r="AL894" t="n">
        <v>-141657.2688</v>
      </c>
      <c r="AM894" t="n">
        <v>253102.6992</v>
      </c>
      <c r="AN894" t="n">
        <v>0.95</v>
      </c>
      <c r="AO894" t="inlineStr">
        <is>
          <t>Low</t>
        </is>
      </c>
      <c r="AP894" t="inlineStr">
        <is>
          <t>On Track</t>
        </is>
      </c>
    </row>
    <row r="895">
      <c r="A895" t="inlineStr">
        <is>
          <t>SUP-0056</t>
        </is>
      </c>
      <c r="B895" t="inlineStr">
        <is>
          <t>Metals Supplier 056</t>
        </is>
      </c>
      <c r="C895" t="inlineStr">
        <is>
          <t>Metals</t>
        </is>
      </c>
      <c r="D895" t="n">
        <v>2024</v>
      </c>
      <c r="E895" t="n">
        <v>2015</v>
      </c>
      <c r="F895" t="n">
        <v>2030</v>
      </c>
      <c r="G895" t="n">
        <v>30237.7557</v>
      </c>
      <c r="H895" t="n">
        <v>3770.1001</v>
      </c>
      <c r="I895" t="n">
        <v>2423.3846</v>
      </c>
      <c r="J895" t="n">
        <v>24044.0953</v>
      </c>
      <c r="K895" t="n">
        <v>35680319.64</v>
      </c>
      <c r="L895" t="n">
        <v>60380635.83</v>
      </c>
      <c r="M895" t="n">
        <v>30237.7557</v>
      </c>
      <c r="N895" t="inlineStr">
        <is>
          <t>Provided Total Emissions</t>
        </is>
      </c>
      <c r="O895" t="b">
        <v>1</v>
      </c>
      <c r="P895" t="n">
        <v>9.500000000000001e-05</v>
      </c>
      <c r="Q895" t="n">
        <v>0.0413</v>
      </c>
      <c r="R895" t="n">
        <v>35928.2979</v>
      </c>
      <c r="S895" t="n">
        <v>39252.2437</v>
      </c>
      <c r="T895" t="n">
        <v>5690.5422</v>
      </c>
      <c r="U895" t="n">
        <v>9014.487999999999</v>
      </c>
      <c r="V895" t="n">
        <v>0.188193</v>
      </c>
      <c r="W895" t="n">
        <v>0.29812</v>
      </c>
      <c r="X895" t="inlineStr">
        <is>
          <t>High</t>
        </is>
      </c>
      <c r="Y895" t="inlineStr">
        <is>
          <t>None</t>
        </is>
      </c>
      <c r="Z895" t="inlineStr">
        <is>
          <t>Valid</t>
        </is>
      </c>
      <c r="AA895" t="n">
        <v>2038</v>
      </c>
      <c r="AB895" t="inlineStr">
        <is>
          <t>Industry Haircut Pathway</t>
        </is>
      </c>
      <c r="AC895" t="n">
        <v>30211.8386</v>
      </c>
      <c r="AD895" t="n">
        <v>18574.2384</v>
      </c>
      <c r="AE895" t="n">
        <v>18574.2384</v>
      </c>
      <c r="AF895" t="n">
        <v>18574.2384</v>
      </c>
      <c r="AG895" t="n">
        <v>11637.6002</v>
      </c>
      <c r="AH895" t="n">
        <v>0.00052057</v>
      </c>
      <c r="AI895" t="n">
        <v>0.3852</v>
      </c>
      <c r="AJ895" t="n">
        <v>0</v>
      </c>
      <c r="AK895" t="n">
        <v>775.84</v>
      </c>
      <c r="AL895" t="n">
        <v>-160231.5072</v>
      </c>
      <c r="AM895" t="n">
        <v>271676.9376</v>
      </c>
      <c r="AN895" t="n">
        <v>0.95</v>
      </c>
      <c r="AO895" t="inlineStr">
        <is>
          <t>Low</t>
        </is>
      </c>
      <c r="AP895" t="inlineStr">
        <is>
          <t>On Track</t>
        </is>
      </c>
    </row>
    <row r="896">
      <c r="A896" t="inlineStr">
        <is>
          <t>SUP-0056</t>
        </is>
      </c>
      <c r="B896" t="inlineStr">
        <is>
          <t>Metals Supplier 056</t>
        </is>
      </c>
      <c r="C896" t="inlineStr">
        <is>
          <t>Metals</t>
        </is>
      </c>
      <c r="D896" t="n">
        <v>2024</v>
      </c>
      <c r="E896" t="n">
        <v>2015</v>
      </c>
      <c r="F896" t="n">
        <v>2030</v>
      </c>
      <c r="G896" t="n">
        <v>30237.7557</v>
      </c>
      <c r="H896" t="n">
        <v>3770.1001</v>
      </c>
      <c r="I896" t="n">
        <v>2423.3846</v>
      </c>
      <c r="J896" t="n">
        <v>24044.0953</v>
      </c>
      <c r="K896" t="n">
        <v>35680319.64</v>
      </c>
      <c r="L896" t="n">
        <v>60380635.83</v>
      </c>
      <c r="M896" t="n">
        <v>30237.7557</v>
      </c>
      <c r="N896" t="inlineStr">
        <is>
          <t>Provided Total Emissions</t>
        </is>
      </c>
      <c r="O896" t="b">
        <v>1</v>
      </c>
      <c r="P896" t="n">
        <v>9.500000000000001e-05</v>
      </c>
      <c r="Q896" t="n">
        <v>0.0413</v>
      </c>
      <c r="R896" t="n">
        <v>35928.2979</v>
      </c>
      <c r="S896" t="n">
        <v>39252.2437</v>
      </c>
      <c r="T896" t="n">
        <v>5690.5422</v>
      </c>
      <c r="U896" t="n">
        <v>9014.487999999999</v>
      </c>
      <c r="V896" t="n">
        <v>0.188193</v>
      </c>
      <c r="W896" t="n">
        <v>0.29812</v>
      </c>
      <c r="X896" t="inlineStr">
        <is>
          <t>High</t>
        </is>
      </c>
      <c r="Y896" t="inlineStr">
        <is>
          <t>None</t>
        </is>
      </c>
      <c r="Z896" t="inlineStr">
        <is>
          <t>Valid</t>
        </is>
      </c>
      <c r="AA896" t="n">
        <v>2039</v>
      </c>
      <c r="AB896" t="inlineStr">
        <is>
          <t>Industry Haircut Pathway</t>
        </is>
      </c>
      <c r="AC896" t="n">
        <v>30211.8386</v>
      </c>
      <c r="AD896" t="n">
        <v>18574.2384</v>
      </c>
      <c r="AE896" t="n">
        <v>18574.2384</v>
      </c>
      <c r="AF896" t="n">
        <v>18574.2384</v>
      </c>
      <c r="AG896" t="n">
        <v>11637.6002</v>
      </c>
      <c r="AH896" t="n">
        <v>0.00052057</v>
      </c>
      <c r="AI896" t="n">
        <v>0.3852</v>
      </c>
      <c r="AJ896" t="n">
        <v>0</v>
      </c>
      <c r="AK896" t="n">
        <v>775.84</v>
      </c>
      <c r="AL896" t="n">
        <v>-178805.7456</v>
      </c>
      <c r="AM896" t="n">
        <v>290251.176</v>
      </c>
      <c r="AN896" t="n">
        <v>0.95</v>
      </c>
      <c r="AO896" t="inlineStr">
        <is>
          <t>Low</t>
        </is>
      </c>
      <c r="AP896" t="inlineStr">
        <is>
          <t>On Track</t>
        </is>
      </c>
    </row>
    <row r="897">
      <c r="A897" t="inlineStr">
        <is>
          <t>SUP-0056</t>
        </is>
      </c>
      <c r="B897" t="inlineStr">
        <is>
          <t>Metals Supplier 056</t>
        </is>
      </c>
      <c r="C897" t="inlineStr">
        <is>
          <t>Metals</t>
        </is>
      </c>
      <c r="D897" t="n">
        <v>2024</v>
      </c>
      <c r="E897" t="n">
        <v>2015</v>
      </c>
      <c r="F897" t="n">
        <v>2030</v>
      </c>
      <c r="G897" t="n">
        <v>30237.7557</v>
      </c>
      <c r="H897" t="n">
        <v>3770.1001</v>
      </c>
      <c r="I897" t="n">
        <v>2423.3846</v>
      </c>
      <c r="J897" t="n">
        <v>24044.0953</v>
      </c>
      <c r="K897" t="n">
        <v>35680319.64</v>
      </c>
      <c r="L897" t="n">
        <v>60380635.83</v>
      </c>
      <c r="M897" t="n">
        <v>30237.7557</v>
      </c>
      <c r="N897" t="inlineStr">
        <is>
          <t>Provided Total Emissions</t>
        </is>
      </c>
      <c r="O897" t="b">
        <v>1</v>
      </c>
      <c r="P897" t="n">
        <v>9.500000000000001e-05</v>
      </c>
      <c r="Q897" t="n">
        <v>0.0413</v>
      </c>
      <c r="R897" t="n">
        <v>35928.2979</v>
      </c>
      <c r="S897" t="n">
        <v>39252.2437</v>
      </c>
      <c r="T897" t="n">
        <v>5690.5422</v>
      </c>
      <c r="U897" t="n">
        <v>9014.487999999999</v>
      </c>
      <c r="V897" t="n">
        <v>0.188193</v>
      </c>
      <c r="W897" t="n">
        <v>0.29812</v>
      </c>
      <c r="X897" t="inlineStr">
        <is>
          <t>High</t>
        </is>
      </c>
      <c r="Y897" t="inlineStr">
        <is>
          <t>None</t>
        </is>
      </c>
      <c r="Z897" t="inlineStr">
        <is>
          <t>Valid</t>
        </is>
      </c>
      <c r="AA897" t="n">
        <v>2040</v>
      </c>
      <c r="AB897" t="inlineStr">
        <is>
          <t>Industry Haircut Pathway</t>
        </is>
      </c>
      <c r="AC897" t="n">
        <v>30211.8386</v>
      </c>
      <c r="AD897" t="n">
        <v>18574.2384</v>
      </c>
      <c r="AE897" t="n">
        <v>18574.2384</v>
      </c>
      <c r="AF897" t="n">
        <v>18574.2384</v>
      </c>
      <c r="AG897" t="n">
        <v>11637.6002</v>
      </c>
      <c r="AH897" t="n">
        <v>0.00052057</v>
      </c>
      <c r="AI897" t="n">
        <v>0.3852</v>
      </c>
      <c r="AJ897" t="n">
        <v>0</v>
      </c>
      <c r="AK897" t="n">
        <v>775.84</v>
      </c>
      <c r="AL897" t="n">
        <v>-197379.984</v>
      </c>
      <c r="AM897" t="n">
        <v>308825.4144</v>
      </c>
      <c r="AN897" t="n">
        <v>0.95</v>
      </c>
      <c r="AO897" t="inlineStr">
        <is>
          <t>Low</t>
        </is>
      </c>
      <c r="AP897" t="inlineStr">
        <is>
          <t>On Track</t>
        </is>
      </c>
    </row>
    <row r="898">
      <c r="A898" t="inlineStr">
        <is>
          <t>SUP-0057</t>
        </is>
      </c>
      <c r="B898" t="inlineStr">
        <is>
          <t>Logistics Supplier 057</t>
        </is>
      </c>
      <c r="C898" t="inlineStr">
        <is>
          <t>Logistics</t>
        </is>
      </c>
      <c r="D898" t="n">
        <v>2024</v>
      </c>
      <c r="E898" t="n">
        <v>2015</v>
      </c>
      <c r="F898" t="n">
        <v>2040</v>
      </c>
      <c r="G898" t="n">
        <v>437.5221</v>
      </c>
      <c r="H898" t="n">
        <v>64.6681</v>
      </c>
      <c r="I898" t="n">
        <v>76.8837</v>
      </c>
      <c r="J898" t="n">
        <v>290.0746</v>
      </c>
      <c r="K898" t="n">
        <v>3657289.52</v>
      </c>
      <c r="L898" t="n">
        <v>23873981.07</v>
      </c>
      <c r="M898" t="n">
        <v>437.5221</v>
      </c>
      <c r="N898" t="inlineStr">
        <is>
          <t>Provided Total Emissions</t>
        </is>
      </c>
      <c r="O898" t="b">
        <v>1</v>
      </c>
      <c r="P898" t="n">
        <v>-0.02342</v>
      </c>
      <c r="Q898" t="n">
        <v>0.022352</v>
      </c>
      <c r="R898" t="n">
        <v>817.3676</v>
      </c>
      <c r="S898" t="n">
        <v>11408.6593</v>
      </c>
      <c r="T898" t="n">
        <v>379.8455</v>
      </c>
      <c r="U898" t="n">
        <v>10971.1372</v>
      </c>
      <c r="V898" t="n">
        <v>0.868175</v>
      </c>
      <c r="W898" t="n">
        <v>25.075618</v>
      </c>
      <c r="X898" t="inlineStr">
        <is>
          <t>High</t>
        </is>
      </c>
      <c r="Y898" t="inlineStr">
        <is>
          <t>None</t>
        </is>
      </c>
      <c r="Z898" t="inlineStr">
        <is>
          <t>Valid</t>
        </is>
      </c>
      <c r="AA898" t="n">
        <v>2025</v>
      </c>
      <c r="AB898" t="inlineStr">
        <is>
          <t>Industry Haircut Pathway</t>
        </is>
      </c>
      <c r="AC898" t="n">
        <v>541.5365</v>
      </c>
      <c r="AD898" t="n">
        <v>291.5633</v>
      </c>
      <c r="AE898" t="n">
        <v>441.5472</v>
      </c>
      <c r="AF898" t="n">
        <v>441.5472</v>
      </c>
      <c r="AG898" t="n">
        <v>99.9893</v>
      </c>
      <c r="AH898" t="n">
        <v>0.00012073</v>
      </c>
      <c r="AI898" t="n">
        <v>0.18464</v>
      </c>
      <c r="AJ898" t="n">
        <v>149.9839</v>
      </c>
      <c r="AK898" t="n">
        <v>9.998900000000001</v>
      </c>
      <c r="AL898" t="n">
        <v>4223.4656</v>
      </c>
      <c r="AM898" t="n">
        <v>441.5472</v>
      </c>
      <c r="AN898" t="n">
        <v>0.95</v>
      </c>
      <c r="AO898" t="inlineStr">
        <is>
          <t>Critical</t>
        </is>
      </c>
      <c r="AP898" t="inlineStr">
        <is>
          <t>On Track to Glide Path</t>
        </is>
      </c>
    </row>
    <row r="899">
      <c r="A899" t="inlineStr">
        <is>
          <t>SUP-0057</t>
        </is>
      </c>
      <c r="B899" t="inlineStr">
        <is>
          <t>Logistics Supplier 057</t>
        </is>
      </c>
      <c r="C899" t="inlineStr">
        <is>
          <t>Logistics</t>
        </is>
      </c>
      <c r="D899" t="n">
        <v>2024</v>
      </c>
      <c r="E899" t="n">
        <v>2015</v>
      </c>
      <c r="F899" t="n">
        <v>2040</v>
      </c>
      <c r="G899" t="n">
        <v>437.5221</v>
      </c>
      <c r="H899" t="n">
        <v>64.6681</v>
      </c>
      <c r="I899" t="n">
        <v>76.8837</v>
      </c>
      <c r="J899" t="n">
        <v>290.0746</v>
      </c>
      <c r="K899" t="n">
        <v>3657289.52</v>
      </c>
      <c r="L899" t="n">
        <v>23873981.07</v>
      </c>
      <c r="M899" t="n">
        <v>437.5221</v>
      </c>
      <c r="N899" t="inlineStr">
        <is>
          <t>Provided Total Emissions</t>
        </is>
      </c>
      <c r="O899" t="b">
        <v>1</v>
      </c>
      <c r="P899" t="n">
        <v>-0.02342</v>
      </c>
      <c r="Q899" t="n">
        <v>0.022352</v>
      </c>
      <c r="R899" t="n">
        <v>817.3676</v>
      </c>
      <c r="S899" t="n">
        <v>11408.6593</v>
      </c>
      <c r="T899" t="n">
        <v>379.8455</v>
      </c>
      <c r="U899" t="n">
        <v>10971.1372</v>
      </c>
      <c r="V899" t="n">
        <v>0.868175</v>
      </c>
      <c r="W899" t="n">
        <v>25.075618</v>
      </c>
      <c r="X899" t="inlineStr">
        <is>
          <t>High</t>
        </is>
      </c>
      <c r="Y899" t="inlineStr">
        <is>
          <t>None</t>
        </is>
      </c>
      <c r="Z899" t="inlineStr">
        <is>
          <t>Valid</t>
        </is>
      </c>
      <c r="AA899" t="n">
        <v>2026</v>
      </c>
      <c r="AB899" t="inlineStr">
        <is>
          <t>Industry Haircut Pathway</t>
        </is>
      </c>
      <c r="AC899" t="n">
        <v>541.5365</v>
      </c>
      <c r="AD899" t="n">
        <v>291.5633</v>
      </c>
      <c r="AE899" t="n">
        <v>431.5483</v>
      </c>
      <c r="AF899" t="n">
        <v>431.5483</v>
      </c>
      <c r="AG899" t="n">
        <v>109.9882</v>
      </c>
      <c r="AH899" t="n">
        <v>0.000118</v>
      </c>
      <c r="AI899" t="n">
        <v>0.203104</v>
      </c>
      <c r="AJ899" t="n">
        <v>139.985</v>
      </c>
      <c r="AK899" t="n">
        <v>9.998900000000001</v>
      </c>
      <c r="AL899" t="n">
        <v>3791.9173</v>
      </c>
      <c r="AM899" t="n">
        <v>873.0955</v>
      </c>
      <c r="AN899" t="n">
        <v>0.95</v>
      </c>
      <c r="AO899" t="inlineStr">
        <is>
          <t>Critical</t>
        </is>
      </c>
      <c r="AP899" t="inlineStr">
        <is>
          <t>On Track to Glide Path</t>
        </is>
      </c>
    </row>
    <row r="900">
      <c r="A900" t="inlineStr">
        <is>
          <t>SUP-0057</t>
        </is>
      </c>
      <c r="B900" t="inlineStr">
        <is>
          <t>Logistics Supplier 057</t>
        </is>
      </c>
      <c r="C900" t="inlineStr">
        <is>
          <t>Logistics</t>
        </is>
      </c>
      <c r="D900" t="n">
        <v>2024</v>
      </c>
      <c r="E900" t="n">
        <v>2015</v>
      </c>
      <c r="F900" t="n">
        <v>2040</v>
      </c>
      <c r="G900" t="n">
        <v>437.5221</v>
      </c>
      <c r="H900" t="n">
        <v>64.6681</v>
      </c>
      <c r="I900" t="n">
        <v>76.8837</v>
      </c>
      <c r="J900" t="n">
        <v>290.0746</v>
      </c>
      <c r="K900" t="n">
        <v>3657289.52</v>
      </c>
      <c r="L900" t="n">
        <v>23873981.07</v>
      </c>
      <c r="M900" t="n">
        <v>437.5221</v>
      </c>
      <c r="N900" t="inlineStr">
        <is>
          <t>Provided Total Emissions</t>
        </is>
      </c>
      <c r="O900" t="b">
        <v>1</v>
      </c>
      <c r="P900" t="n">
        <v>-0.02342</v>
      </c>
      <c r="Q900" t="n">
        <v>0.022352</v>
      </c>
      <c r="R900" t="n">
        <v>817.3676</v>
      </c>
      <c r="S900" t="n">
        <v>11408.6593</v>
      </c>
      <c r="T900" t="n">
        <v>379.8455</v>
      </c>
      <c r="U900" t="n">
        <v>10971.1372</v>
      </c>
      <c r="V900" t="n">
        <v>0.868175</v>
      </c>
      <c r="W900" t="n">
        <v>25.075618</v>
      </c>
      <c r="X900" t="inlineStr">
        <is>
          <t>High</t>
        </is>
      </c>
      <c r="Y900" t="inlineStr">
        <is>
          <t>None</t>
        </is>
      </c>
      <c r="Z900" t="inlineStr">
        <is>
          <t>Valid</t>
        </is>
      </c>
      <c r="AA900" t="n">
        <v>2027</v>
      </c>
      <c r="AB900" t="inlineStr">
        <is>
          <t>Industry Haircut Pathway</t>
        </is>
      </c>
      <c r="AC900" t="n">
        <v>541.5365</v>
      </c>
      <c r="AD900" t="n">
        <v>291.5633</v>
      </c>
      <c r="AE900" t="n">
        <v>421.5493</v>
      </c>
      <c r="AF900" t="n">
        <v>421.5493</v>
      </c>
      <c r="AG900" t="n">
        <v>119.9872</v>
      </c>
      <c r="AH900" t="n">
        <v>0.00011526</v>
      </c>
      <c r="AI900" t="n">
        <v>0.221568</v>
      </c>
      <c r="AJ900" t="n">
        <v>129.9861</v>
      </c>
      <c r="AK900" t="n">
        <v>9.998900000000001</v>
      </c>
      <c r="AL900" t="n">
        <v>3370.368</v>
      </c>
      <c r="AM900" t="n">
        <v>1294.6448</v>
      </c>
      <c r="AN900" t="n">
        <v>0.95</v>
      </c>
      <c r="AO900" t="inlineStr">
        <is>
          <t>Critical</t>
        </is>
      </c>
      <c r="AP900" t="inlineStr">
        <is>
          <t>On Track to Glide Path</t>
        </is>
      </c>
    </row>
    <row r="901">
      <c r="A901" t="inlineStr">
        <is>
          <t>SUP-0057</t>
        </is>
      </c>
      <c r="B901" t="inlineStr">
        <is>
          <t>Logistics Supplier 057</t>
        </is>
      </c>
      <c r="C901" t="inlineStr">
        <is>
          <t>Logistics</t>
        </is>
      </c>
      <c r="D901" t="n">
        <v>2024</v>
      </c>
      <c r="E901" t="n">
        <v>2015</v>
      </c>
      <c r="F901" t="n">
        <v>2040</v>
      </c>
      <c r="G901" t="n">
        <v>437.5221</v>
      </c>
      <c r="H901" t="n">
        <v>64.6681</v>
      </c>
      <c r="I901" t="n">
        <v>76.8837</v>
      </c>
      <c r="J901" t="n">
        <v>290.0746</v>
      </c>
      <c r="K901" t="n">
        <v>3657289.52</v>
      </c>
      <c r="L901" t="n">
        <v>23873981.07</v>
      </c>
      <c r="M901" t="n">
        <v>437.5221</v>
      </c>
      <c r="N901" t="inlineStr">
        <is>
          <t>Provided Total Emissions</t>
        </is>
      </c>
      <c r="O901" t="b">
        <v>1</v>
      </c>
      <c r="P901" t="n">
        <v>-0.02342</v>
      </c>
      <c r="Q901" t="n">
        <v>0.022352</v>
      </c>
      <c r="R901" t="n">
        <v>817.3676</v>
      </c>
      <c r="S901" t="n">
        <v>11408.6593</v>
      </c>
      <c r="T901" t="n">
        <v>379.8455</v>
      </c>
      <c r="U901" t="n">
        <v>10971.1372</v>
      </c>
      <c r="V901" t="n">
        <v>0.868175</v>
      </c>
      <c r="W901" t="n">
        <v>25.075618</v>
      </c>
      <c r="X901" t="inlineStr">
        <is>
          <t>High</t>
        </is>
      </c>
      <c r="Y901" t="inlineStr">
        <is>
          <t>None</t>
        </is>
      </c>
      <c r="Z901" t="inlineStr">
        <is>
          <t>Valid</t>
        </is>
      </c>
      <c r="AA901" t="n">
        <v>2028</v>
      </c>
      <c r="AB901" t="inlineStr">
        <is>
          <t>Industry Haircut Pathway</t>
        </is>
      </c>
      <c r="AC901" t="n">
        <v>541.5365</v>
      </c>
      <c r="AD901" t="n">
        <v>291.5633</v>
      </c>
      <c r="AE901" t="n">
        <v>411.5504</v>
      </c>
      <c r="AF901" t="n">
        <v>411.5504</v>
      </c>
      <c r="AG901" t="n">
        <v>129.9861</v>
      </c>
      <c r="AH901" t="n">
        <v>0.00011253</v>
      </c>
      <c r="AI901" t="n">
        <v>0.240032</v>
      </c>
      <c r="AJ901" t="n">
        <v>119.9872</v>
      </c>
      <c r="AK901" t="n">
        <v>9.998900000000001</v>
      </c>
      <c r="AL901" t="n">
        <v>2958.8176</v>
      </c>
      <c r="AM901" t="n">
        <v>1706.1952</v>
      </c>
      <c r="AN901" t="n">
        <v>0.95</v>
      </c>
      <c r="AO901" t="inlineStr">
        <is>
          <t>Critical</t>
        </is>
      </c>
      <c r="AP901" t="inlineStr">
        <is>
          <t>On Track to Glide Path</t>
        </is>
      </c>
    </row>
    <row r="902">
      <c r="A902" t="inlineStr">
        <is>
          <t>SUP-0057</t>
        </is>
      </c>
      <c r="B902" t="inlineStr">
        <is>
          <t>Logistics Supplier 057</t>
        </is>
      </c>
      <c r="C902" t="inlineStr">
        <is>
          <t>Logistics</t>
        </is>
      </c>
      <c r="D902" t="n">
        <v>2024</v>
      </c>
      <c r="E902" t="n">
        <v>2015</v>
      </c>
      <c r="F902" t="n">
        <v>2040</v>
      </c>
      <c r="G902" t="n">
        <v>437.5221</v>
      </c>
      <c r="H902" t="n">
        <v>64.6681</v>
      </c>
      <c r="I902" t="n">
        <v>76.8837</v>
      </c>
      <c r="J902" t="n">
        <v>290.0746</v>
      </c>
      <c r="K902" t="n">
        <v>3657289.52</v>
      </c>
      <c r="L902" t="n">
        <v>23873981.07</v>
      </c>
      <c r="M902" t="n">
        <v>437.5221</v>
      </c>
      <c r="N902" t="inlineStr">
        <is>
          <t>Provided Total Emissions</t>
        </is>
      </c>
      <c r="O902" t="b">
        <v>1</v>
      </c>
      <c r="P902" t="n">
        <v>-0.02342</v>
      </c>
      <c r="Q902" t="n">
        <v>0.022352</v>
      </c>
      <c r="R902" t="n">
        <v>817.3676</v>
      </c>
      <c r="S902" t="n">
        <v>11408.6593</v>
      </c>
      <c r="T902" t="n">
        <v>379.8455</v>
      </c>
      <c r="U902" t="n">
        <v>10971.1372</v>
      </c>
      <c r="V902" t="n">
        <v>0.868175</v>
      </c>
      <c r="W902" t="n">
        <v>25.075618</v>
      </c>
      <c r="X902" t="inlineStr">
        <is>
          <t>High</t>
        </is>
      </c>
      <c r="Y902" t="inlineStr">
        <is>
          <t>None</t>
        </is>
      </c>
      <c r="Z902" t="inlineStr">
        <is>
          <t>Valid</t>
        </is>
      </c>
      <c r="AA902" t="n">
        <v>2029</v>
      </c>
      <c r="AB902" t="inlineStr">
        <is>
          <t>Industry Haircut Pathway</t>
        </is>
      </c>
      <c r="AC902" t="n">
        <v>541.5365</v>
      </c>
      <c r="AD902" t="n">
        <v>291.5633</v>
      </c>
      <c r="AE902" t="n">
        <v>401.5515</v>
      </c>
      <c r="AF902" t="n">
        <v>401.5515</v>
      </c>
      <c r="AG902" t="n">
        <v>139.985</v>
      </c>
      <c r="AH902" t="n">
        <v>0.00010979</v>
      </c>
      <c r="AI902" t="n">
        <v>0.258496</v>
      </c>
      <c r="AJ902" t="n">
        <v>109.9882</v>
      </c>
      <c r="AK902" t="n">
        <v>9.998900000000001</v>
      </c>
      <c r="AL902" t="n">
        <v>2557.2661</v>
      </c>
      <c r="AM902" t="n">
        <v>2107.7467</v>
      </c>
      <c r="AN902" t="n">
        <v>0.95</v>
      </c>
      <c r="AO902" t="inlineStr">
        <is>
          <t>Critical</t>
        </is>
      </c>
      <c r="AP902" t="inlineStr">
        <is>
          <t>On Track to Glide Path</t>
        </is>
      </c>
    </row>
    <row r="903">
      <c r="A903" t="inlineStr">
        <is>
          <t>SUP-0057</t>
        </is>
      </c>
      <c r="B903" t="inlineStr">
        <is>
          <t>Logistics Supplier 057</t>
        </is>
      </c>
      <c r="C903" t="inlineStr">
        <is>
          <t>Logistics</t>
        </is>
      </c>
      <c r="D903" t="n">
        <v>2024</v>
      </c>
      <c r="E903" t="n">
        <v>2015</v>
      </c>
      <c r="F903" t="n">
        <v>2040</v>
      </c>
      <c r="G903" t="n">
        <v>437.5221</v>
      </c>
      <c r="H903" t="n">
        <v>64.6681</v>
      </c>
      <c r="I903" t="n">
        <v>76.8837</v>
      </c>
      <c r="J903" t="n">
        <v>290.0746</v>
      </c>
      <c r="K903" t="n">
        <v>3657289.52</v>
      </c>
      <c r="L903" t="n">
        <v>23873981.07</v>
      </c>
      <c r="M903" t="n">
        <v>437.5221</v>
      </c>
      <c r="N903" t="inlineStr">
        <is>
          <t>Provided Total Emissions</t>
        </is>
      </c>
      <c r="O903" t="b">
        <v>1</v>
      </c>
      <c r="P903" t="n">
        <v>-0.02342</v>
      </c>
      <c r="Q903" t="n">
        <v>0.022352</v>
      </c>
      <c r="R903" t="n">
        <v>817.3676</v>
      </c>
      <c r="S903" t="n">
        <v>11408.6593</v>
      </c>
      <c r="T903" t="n">
        <v>379.8455</v>
      </c>
      <c r="U903" t="n">
        <v>10971.1372</v>
      </c>
      <c r="V903" t="n">
        <v>0.868175</v>
      </c>
      <c r="W903" t="n">
        <v>25.075618</v>
      </c>
      <c r="X903" t="inlineStr">
        <is>
          <t>High</t>
        </is>
      </c>
      <c r="Y903" t="inlineStr">
        <is>
          <t>None</t>
        </is>
      </c>
      <c r="Z903" t="inlineStr">
        <is>
          <t>Valid</t>
        </is>
      </c>
      <c r="AA903" t="n">
        <v>2030</v>
      </c>
      <c r="AB903" t="inlineStr">
        <is>
          <t>Industry Haircut Pathway</t>
        </is>
      </c>
      <c r="AC903" t="n">
        <v>541.5365</v>
      </c>
      <c r="AD903" t="n">
        <v>291.5633</v>
      </c>
      <c r="AE903" t="n">
        <v>391.5526</v>
      </c>
      <c r="AF903" t="n">
        <v>391.5526</v>
      </c>
      <c r="AG903" t="n">
        <v>149.9839</v>
      </c>
      <c r="AH903" t="n">
        <v>0.00010706</v>
      </c>
      <c r="AI903" t="n">
        <v>0.27696</v>
      </c>
      <c r="AJ903" t="n">
        <v>99.9893</v>
      </c>
      <c r="AK903" t="n">
        <v>9.998900000000001</v>
      </c>
      <c r="AL903" t="n">
        <v>2165.7135</v>
      </c>
      <c r="AM903" t="n">
        <v>2499.2993</v>
      </c>
      <c r="AN903" t="n">
        <v>0.95</v>
      </c>
      <c r="AO903" t="inlineStr">
        <is>
          <t>High</t>
        </is>
      </c>
      <c r="AP903" t="inlineStr">
        <is>
          <t>On Track to Glide Path</t>
        </is>
      </c>
    </row>
    <row r="904">
      <c r="A904" t="inlineStr">
        <is>
          <t>SUP-0057</t>
        </is>
      </c>
      <c r="B904" t="inlineStr">
        <is>
          <t>Logistics Supplier 057</t>
        </is>
      </c>
      <c r="C904" t="inlineStr">
        <is>
          <t>Logistics</t>
        </is>
      </c>
      <c r="D904" t="n">
        <v>2024</v>
      </c>
      <c r="E904" t="n">
        <v>2015</v>
      </c>
      <c r="F904" t="n">
        <v>2040</v>
      </c>
      <c r="G904" t="n">
        <v>437.5221</v>
      </c>
      <c r="H904" t="n">
        <v>64.6681</v>
      </c>
      <c r="I904" t="n">
        <v>76.8837</v>
      </c>
      <c r="J904" t="n">
        <v>290.0746</v>
      </c>
      <c r="K904" t="n">
        <v>3657289.52</v>
      </c>
      <c r="L904" t="n">
        <v>23873981.07</v>
      </c>
      <c r="M904" t="n">
        <v>437.5221</v>
      </c>
      <c r="N904" t="inlineStr">
        <is>
          <t>Provided Total Emissions</t>
        </is>
      </c>
      <c r="O904" t="b">
        <v>1</v>
      </c>
      <c r="P904" t="n">
        <v>-0.02342</v>
      </c>
      <c r="Q904" t="n">
        <v>0.022352</v>
      </c>
      <c r="R904" t="n">
        <v>817.3676</v>
      </c>
      <c r="S904" t="n">
        <v>11408.6593</v>
      </c>
      <c r="T904" t="n">
        <v>379.8455</v>
      </c>
      <c r="U904" t="n">
        <v>10971.1372</v>
      </c>
      <c r="V904" t="n">
        <v>0.868175</v>
      </c>
      <c r="W904" t="n">
        <v>25.075618</v>
      </c>
      <c r="X904" t="inlineStr">
        <is>
          <t>High</t>
        </is>
      </c>
      <c r="Y904" t="inlineStr">
        <is>
          <t>None</t>
        </is>
      </c>
      <c r="Z904" t="inlineStr">
        <is>
          <t>Valid</t>
        </is>
      </c>
      <c r="AA904" t="n">
        <v>2031</v>
      </c>
      <c r="AB904" t="inlineStr">
        <is>
          <t>Industry Haircut Pathway</t>
        </is>
      </c>
      <c r="AC904" t="n">
        <v>541.5365</v>
      </c>
      <c r="AD904" t="n">
        <v>291.5633</v>
      </c>
      <c r="AE904" t="n">
        <v>381.5536</v>
      </c>
      <c r="AF904" t="n">
        <v>381.5536</v>
      </c>
      <c r="AG904" t="n">
        <v>159.9829</v>
      </c>
      <c r="AH904" t="n">
        <v>0.00010433</v>
      </c>
      <c r="AI904" t="n">
        <v>0.295424</v>
      </c>
      <c r="AJ904" t="n">
        <v>89.99039999999999</v>
      </c>
      <c r="AK904" t="n">
        <v>9.998900000000001</v>
      </c>
      <c r="AL904" t="n">
        <v>1784.1599</v>
      </c>
      <c r="AM904" t="n">
        <v>2880.8529</v>
      </c>
      <c r="AN904" t="n">
        <v>0.95</v>
      </c>
      <c r="AO904" t="inlineStr">
        <is>
          <t>High</t>
        </is>
      </c>
      <c r="AP904" t="inlineStr">
        <is>
          <t>On Track to Glide Path</t>
        </is>
      </c>
    </row>
    <row r="905">
      <c r="A905" t="inlineStr">
        <is>
          <t>SUP-0057</t>
        </is>
      </c>
      <c r="B905" t="inlineStr">
        <is>
          <t>Logistics Supplier 057</t>
        </is>
      </c>
      <c r="C905" t="inlineStr">
        <is>
          <t>Logistics</t>
        </is>
      </c>
      <c r="D905" t="n">
        <v>2024</v>
      </c>
      <c r="E905" t="n">
        <v>2015</v>
      </c>
      <c r="F905" t="n">
        <v>2040</v>
      </c>
      <c r="G905" t="n">
        <v>437.5221</v>
      </c>
      <c r="H905" t="n">
        <v>64.6681</v>
      </c>
      <c r="I905" t="n">
        <v>76.8837</v>
      </c>
      <c r="J905" t="n">
        <v>290.0746</v>
      </c>
      <c r="K905" t="n">
        <v>3657289.52</v>
      </c>
      <c r="L905" t="n">
        <v>23873981.07</v>
      </c>
      <c r="M905" t="n">
        <v>437.5221</v>
      </c>
      <c r="N905" t="inlineStr">
        <is>
          <t>Provided Total Emissions</t>
        </is>
      </c>
      <c r="O905" t="b">
        <v>1</v>
      </c>
      <c r="P905" t="n">
        <v>-0.02342</v>
      </c>
      <c r="Q905" t="n">
        <v>0.022352</v>
      </c>
      <c r="R905" t="n">
        <v>817.3676</v>
      </c>
      <c r="S905" t="n">
        <v>11408.6593</v>
      </c>
      <c r="T905" t="n">
        <v>379.8455</v>
      </c>
      <c r="U905" t="n">
        <v>10971.1372</v>
      </c>
      <c r="V905" t="n">
        <v>0.868175</v>
      </c>
      <c r="W905" t="n">
        <v>25.075618</v>
      </c>
      <c r="X905" t="inlineStr">
        <is>
          <t>High</t>
        </is>
      </c>
      <c r="Y905" t="inlineStr">
        <is>
          <t>None</t>
        </is>
      </c>
      <c r="Z905" t="inlineStr">
        <is>
          <t>Valid</t>
        </is>
      </c>
      <c r="AA905" t="n">
        <v>2032</v>
      </c>
      <c r="AB905" t="inlineStr">
        <is>
          <t>Industry Haircut Pathway</t>
        </is>
      </c>
      <c r="AC905" t="n">
        <v>541.5365</v>
      </c>
      <c r="AD905" t="n">
        <v>291.5633</v>
      </c>
      <c r="AE905" t="n">
        <v>371.5547</v>
      </c>
      <c r="AF905" t="n">
        <v>371.5547</v>
      </c>
      <c r="AG905" t="n">
        <v>169.9818</v>
      </c>
      <c r="AH905" t="n">
        <v>0.00010159</v>
      </c>
      <c r="AI905" t="n">
        <v>0.313888</v>
      </c>
      <c r="AJ905" t="n">
        <v>79.9914</v>
      </c>
      <c r="AK905" t="n">
        <v>9.998900000000001</v>
      </c>
      <c r="AL905" t="n">
        <v>1412.6052</v>
      </c>
      <c r="AM905" t="n">
        <v>3252.4076</v>
      </c>
      <c r="AN905" t="n">
        <v>0.95</v>
      </c>
      <c r="AO905" t="inlineStr">
        <is>
          <t>High</t>
        </is>
      </c>
      <c r="AP905" t="inlineStr">
        <is>
          <t>On Track to Glide Path</t>
        </is>
      </c>
    </row>
    <row r="906">
      <c r="A906" t="inlineStr">
        <is>
          <t>SUP-0057</t>
        </is>
      </c>
      <c r="B906" t="inlineStr">
        <is>
          <t>Logistics Supplier 057</t>
        </is>
      </c>
      <c r="C906" t="inlineStr">
        <is>
          <t>Logistics</t>
        </is>
      </c>
      <c r="D906" t="n">
        <v>2024</v>
      </c>
      <c r="E906" t="n">
        <v>2015</v>
      </c>
      <c r="F906" t="n">
        <v>2040</v>
      </c>
      <c r="G906" t="n">
        <v>437.5221</v>
      </c>
      <c r="H906" t="n">
        <v>64.6681</v>
      </c>
      <c r="I906" t="n">
        <v>76.8837</v>
      </c>
      <c r="J906" t="n">
        <v>290.0746</v>
      </c>
      <c r="K906" t="n">
        <v>3657289.52</v>
      </c>
      <c r="L906" t="n">
        <v>23873981.07</v>
      </c>
      <c r="M906" t="n">
        <v>437.5221</v>
      </c>
      <c r="N906" t="inlineStr">
        <is>
          <t>Provided Total Emissions</t>
        </is>
      </c>
      <c r="O906" t="b">
        <v>1</v>
      </c>
      <c r="P906" t="n">
        <v>-0.02342</v>
      </c>
      <c r="Q906" t="n">
        <v>0.022352</v>
      </c>
      <c r="R906" t="n">
        <v>817.3676</v>
      </c>
      <c r="S906" t="n">
        <v>11408.6593</v>
      </c>
      <c r="T906" t="n">
        <v>379.8455</v>
      </c>
      <c r="U906" t="n">
        <v>10971.1372</v>
      </c>
      <c r="V906" t="n">
        <v>0.868175</v>
      </c>
      <c r="W906" t="n">
        <v>25.075618</v>
      </c>
      <c r="X906" t="inlineStr">
        <is>
          <t>High</t>
        </is>
      </c>
      <c r="Y906" t="inlineStr">
        <is>
          <t>None</t>
        </is>
      </c>
      <c r="Z906" t="inlineStr">
        <is>
          <t>Valid</t>
        </is>
      </c>
      <c r="AA906" t="n">
        <v>2033</v>
      </c>
      <c r="AB906" t="inlineStr">
        <is>
          <t>Industry Haircut Pathway</t>
        </is>
      </c>
      <c r="AC906" t="n">
        <v>541.5365</v>
      </c>
      <c r="AD906" t="n">
        <v>291.5633</v>
      </c>
      <c r="AE906" t="n">
        <v>361.5558</v>
      </c>
      <c r="AF906" t="n">
        <v>361.5558</v>
      </c>
      <c r="AG906" t="n">
        <v>179.9807</v>
      </c>
      <c r="AH906" t="n">
        <v>9.886e-05</v>
      </c>
      <c r="AI906" t="n">
        <v>0.332352</v>
      </c>
      <c r="AJ906" t="n">
        <v>69.99250000000001</v>
      </c>
      <c r="AK906" t="n">
        <v>9.998900000000001</v>
      </c>
      <c r="AL906" t="n">
        <v>1051.0494</v>
      </c>
      <c r="AM906" t="n">
        <v>3613.9634</v>
      </c>
      <c r="AN906" t="n">
        <v>0.95</v>
      </c>
      <c r="AO906" t="inlineStr">
        <is>
          <t>High</t>
        </is>
      </c>
      <c r="AP906" t="inlineStr">
        <is>
          <t>On Track to Glide Path</t>
        </is>
      </c>
    </row>
    <row r="907">
      <c r="A907" t="inlineStr">
        <is>
          <t>SUP-0057</t>
        </is>
      </c>
      <c r="B907" t="inlineStr">
        <is>
          <t>Logistics Supplier 057</t>
        </is>
      </c>
      <c r="C907" t="inlineStr">
        <is>
          <t>Logistics</t>
        </is>
      </c>
      <c r="D907" t="n">
        <v>2024</v>
      </c>
      <c r="E907" t="n">
        <v>2015</v>
      </c>
      <c r="F907" t="n">
        <v>2040</v>
      </c>
      <c r="G907" t="n">
        <v>437.5221</v>
      </c>
      <c r="H907" t="n">
        <v>64.6681</v>
      </c>
      <c r="I907" t="n">
        <v>76.8837</v>
      </c>
      <c r="J907" t="n">
        <v>290.0746</v>
      </c>
      <c r="K907" t="n">
        <v>3657289.52</v>
      </c>
      <c r="L907" t="n">
        <v>23873981.07</v>
      </c>
      <c r="M907" t="n">
        <v>437.5221</v>
      </c>
      <c r="N907" t="inlineStr">
        <is>
          <t>Provided Total Emissions</t>
        </is>
      </c>
      <c r="O907" t="b">
        <v>1</v>
      </c>
      <c r="P907" t="n">
        <v>-0.02342</v>
      </c>
      <c r="Q907" t="n">
        <v>0.022352</v>
      </c>
      <c r="R907" t="n">
        <v>817.3676</v>
      </c>
      <c r="S907" t="n">
        <v>11408.6593</v>
      </c>
      <c r="T907" t="n">
        <v>379.8455</v>
      </c>
      <c r="U907" t="n">
        <v>10971.1372</v>
      </c>
      <c r="V907" t="n">
        <v>0.868175</v>
      </c>
      <c r="W907" t="n">
        <v>25.075618</v>
      </c>
      <c r="X907" t="inlineStr">
        <is>
          <t>High</t>
        </is>
      </c>
      <c r="Y907" t="inlineStr">
        <is>
          <t>None</t>
        </is>
      </c>
      <c r="Z907" t="inlineStr">
        <is>
          <t>Valid</t>
        </is>
      </c>
      <c r="AA907" t="n">
        <v>2034</v>
      </c>
      <c r="AB907" t="inlineStr">
        <is>
          <t>Industry Haircut Pathway</t>
        </is>
      </c>
      <c r="AC907" t="n">
        <v>541.5365</v>
      </c>
      <c r="AD907" t="n">
        <v>291.5633</v>
      </c>
      <c r="AE907" t="n">
        <v>351.5568</v>
      </c>
      <c r="AF907" t="n">
        <v>351.5568</v>
      </c>
      <c r="AG907" t="n">
        <v>189.9797</v>
      </c>
      <c r="AH907" t="n">
        <v>9.611999999999999e-05</v>
      </c>
      <c r="AI907" t="n">
        <v>0.350816</v>
      </c>
      <c r="AJ907" t="n">
        <v>59.9936</v>
      </c>
      <c r="AK907" t="n">
        <v>9.998900000000001</v>
      </c>
      <c r="AL907" t="n">
        <v>699.4926</v>
      </c>
      <c r="AM907" t="n">
        <v>3965.5202</v>
      </c>
      <c r="AN907" t="n">
        <v>0.95</v>
      </c>
      <c r="AO907" t="inlineStr">
        <is>
          <t>High</t>
        </is>
      </c>
      <c r="AP907" t="inlineStr">
        <is>
          <t>On Track to Glide Path</t>
        </is>
      </c>
    </row>
    <row r="908">
      <c r="A908" t="inlineStr">
        <is>
          <t>SUP-0057</t>
        </is>
      </c>
      <c r="B908" t="inlineStr">
        <is>
          <t>Logistics Supplier 057</t>
        </is>
      </c>
      <c r="C908" t="inlineStr">
        <is>
          <t>Logistics</t>
        </is>
      </c>
      <c r="D908" t="n">
        <v>2024</v>
      </c>
      <c r="E908" t="n">
        <v>2015</v>
      </c>
      <c r="F908" t="n">
        <v>2040</v>
      </c>
      <c r="G908" t="n">
        <v>437.5221</v>
      </c>
      <c r="H908" t="n">
        <v>64.6681</v>
      </c>
      <c r="I908" t="n">
        <v>76.8837</v>
      </c>
      <c r="J908" t="n">
        <v>290.0746</v>
      </c>
      <c r="K908" t="n">
        <v>3657289.52</v>
      </c>
      <c r="L908" t="n">
        <v>23873981.07</v>
      </c>
      <c r="M908" t="n">
        <v>437.5221</v>
      </c>
      <c r="N908" t="inlineStr">
        <is>
          <t>Provided Total Emissions</t>
        </is>
      </c>
      <c r="O908" t="b">
        <v>1</v>
      </c>
      <c r="P908" t="n">
        <v>-0.02342</v>
      </c>
      <c r="Q908" t="n">
        <v>0.022352</v>
      </c>
      <c r="R908" t="n">
        <v>817.3676</v>
      </c>
      <c r="S908" t="n">
        <v>11408.6593</v>
      </c>
      <c r="T908" t="n">
        <v>379.8455</v>
      </c>
      <c r="U908" t="n">
        <v>10971.1372</v>
      </c>
      <c r="V908" t="n">
        <v>0.868175</v>
      </c>
      <c r="W908" t="n">
        <v>25.075618</v>
      </c>
      <c r="X908" t="inlineStr">
        <is>
          <t>High</t>
        </is>
      </c>
      <c r="Y908" t="inlineStr">
        <is>
          <t>None</t>
        </is>
      </c>
      <c r="Z908" t="inlineStr">
        <is>
          <t>Valid</t>
        </is>
      </c>
      <c r="AA908" t="n">
        <v>2035</v>
      </c>
      <c r="AB908" t="inlineStr">
        <is>
          <t>Industry Haircut Pathway</t>
        </is>
      </c>
      <c r="AC908" t="n">
        <v>541.5365</v>
      </c>
      <c r="AD908" t="n">
        <v>291.5633</v>
      </c>
      <c r="AE908" t="n">
        <v>341.5579</v>
      </c>
      <c r="AF908" t="n">
        <v>341.5579</v>
      </c>
      <c r="AG908" t="n">
        <v>199.9786</v>
      </c>
      <c r="AH908" t="n">
        <v>9.339e-05</v>
      </c>
      <c r="AI908" t="n">
        <v>0.36928</v>
      </c>
      <c r="AJ908" t="n">
        <v>49.9946</v>
      </c>
      <c r="AK908" t="n">
        <v>9.998900000000001</v>
      </c>
      <c r="AL908" t="n">
        <v>357.9347</v>
      </c>
      <c r="AM908" t="n">
        <v>4307.0781</v>
      </c>
      <c r="AN908" t="n">
        <v>0.95</v>
      </c>
      <c r="AO908" t="inlineStr">
        <is>
          <t>High</t>
        </is>
      </c>
      <c r="AP908" t="inlineStr">
        <is>
          <t>On Track to Glide Path</t>
        </is>
      </c>
    </row>
    <row r="909">
      <c r="A909" t="inlineStr">
        <is>
          <t>SUP-0057</t>
        </is>
      </c>
      <c r="B909" t="inlineStr">
        <is>
          <t>Logistics Supplier 057</t>
        </is>
      </c>
      <c r="C909" t="inlineStr">
        <is>
          <t>Logistics</t>
        </is>
      </c>
      <c r="D909" t="n">
        <v>2024</v>
      </c>
      <c r="E909" t="n">
        <v>2015</v>
      </c>
      <c r="F909" t="n">
        <v>2040</v>
      </c>
      <c r="G909" t="n">
        <v>437.5221</v>
      </c>
      <c r="H909" t="n">
        <v>64.6681</v>
      </c>
      <c r="I909" t="n">
        <v>76.8837</v>
      </c>
      <c r="J909" t="n">
        <v>290.0746</v>
      </c>
      <c r="K909" t="n">
        <v>3657289.52</v>
      </c>
      <c r="L909" t="n">
        <v>23873981.07</v>
      </c>
      <c r="M909" t="n">
        <v>437.5221</v>
      </c>
      <c r="N909" t="inlineStr">
        <is>
          <t>Provided Total Emissions</t>
        </is>
      </c>
      <c r="O909" t="b">
        <v>1</v>
      </c>
      <c r="P909" t="n">
        <v>-0.02342</v>
      </c>
      <c r="Q909" t="n">
        <v>0.022352</v>
      </c>
      <c r="R909" t="n">
        <v>817.3676</v>
      </c>
      <c r="S909" t="n">
        <v>11408.6593</v>
      </c>
      <c r="T909" t="n">
        <v>379.8455</v>
      </c>
      <c r="U909" t="n">
        <v>10971.1372</v>
      </c>
      <c r="V909" t="n">
        <v>0.868175</v>
      </c>
      <c r="W909" t="n">
        <v>25.075618</v>
      </c>
      <c r="X909" t="inlineStr">
        <is>
          <t>High</t>
        </is>
      </c>
      <c r="Y909" t="inlineStr">
        <is>
          <t>None</t>
        </is>
      </c>
      <c r="Z909" t="inlineStr">
        <is>
          <t>Valid</t>
        </is>
      </c>
      <c r="AA909" t="n">
        <v>2036</v>
      </c>
      <c r="AB909" t="inlineStr">
        <is>
          <t>Industry Haircut Pathway</t>
        </is>
      </c>
      <c r="AC909" t="n">
        <v>541.5365</v>
      </c>
      <c r="AD909" t="n">
        <v>291.5633</v>
      </c>
      <c r="AE909" t="n">
        <v>331.559</v>
      </c>
      <c r="AF909" t="n">
        <v>331.559</v>
      </c>
      <c r="AG909" t="n">
        <v>209.9775</v>
      </c>
      <c r="AH909" t="n">
        <v>9.066e-05</v>
      </c>
      <c r="AI909" t="n">
        <v>0.387744</v>
      </c>
      <c r="AJ909" t="n">
        <v>39.9957</v>
      </c>
      <c r="AK909" t="n">
        <v>9.998900000000001</v>
      </c>
      <c r="AL909" t="n">
        <v>26.3757</v>
      </c>
      <c r="AM909" t="n">
        <v>4638.6371</v>
      </c>
      <c r="AN909" t="n">
        <v>0.95</v>
      </c>
      <c r="AO909" t="inlineStr">
        <is>
          <t>Medium</t>
        </is>
      </c>
      <c r="AP909" t="inlineStr">
        <is>
          <t>On Track to Glide Path</t>
        </is>
      </c>
    </row>
    <row r="910">
      <c r="A910" t="inlineStr">
        <is>
          <t>SUP-0057</t>
        </is>
      </c>
      <c r="B910" t="inlineStr">
        <is>
          <t>Logistics Supplier 057</t>
        </is>
      </c>
      <c r="C910" t="inlineStr">
        <is>
          <t>Logistics</t>
        </is>
      </c>
      <c r="D910" t="n">
        <v>2024</v>
      </c>
      <c r="E910" t="n">
        <v>2015</v>
      </c>
      <c r="F910" t="n">
        <v>2040</v>
      </c>
      <c r="G910" t="n">
        <v>437.5221</v>
      </c>
      <c r="H910" t="n">
        <v>64.6681</v>
      </c>
      <c r="I910" t="n">
        <v>76.8837</v>
      </c>
      <c r="J910" t="n">
        <v>290.0746</v>
      </c>
      <c r="K910" t="n">
        <v>3657289.52</v>
      </c>
      <c r="L910" t="n">
        <v>23873981.07</v>
      </c>
      <c r="M910" t="n">
        <v>437.5221</v>
      </c>
      <c r="N910" t="inlineStr">
        <is>
          <t>Provided Total Emissions</t>
        </is>
      </c>
      <c r="O910" t="b">
        <v>1</v>
      </c>
      <c r="P910" t="n">
        <v>-0.02342</v>
      </c>
      <c r="Q910" t="n">
        <v>0.022352</v>
      </c>
      <c r="R910" t="n">
        <v>817.3676</v>
      </c>
      <c r="S910" t="n">
        <v>11408.6593</v>
      </c>
      <c r="T910" t="n">
        <v>379.8455</v>
      </c>
      <c r="U910" t="n">
        <v>10971.1372</v>
      </c>
      <c r="V910" t="n">
        <v>0.868175</v>
      </c>
      <c r="W910" t="n">
        <v>25.075618</v>
      </c>
      <c r="X910" t="inlineStr">
        <is>
          <t>High</t>
        </is>
      </c>
      <c r="Y910" t="inlineStr">
        <is>
          <t>None</t>
        </is>
      </c>
      <c r="Z910" t="inlineStr">
        <is>
          <t>Valid</t>
        </is>
      </c>
      <c r="AA910" t="n">
        <v>2037</v>
      </c>
      <c r="AB910" t="inlineStr">
        <is>
          <t>Industry Haircut Pathway</t>
        </is>
      </c>
      <c r="AC910" t="n">
        <v>541.5365</v>
      </c>
      <c r="AD910" t="n">
        <v>291.5633</v>
      </c>
      <c r="AE910" t="n">
        <v>321.56</v>
      </c>
      <c r="AF910" t="n">
        <v>321.56</v>
      </c>
      <c r="AG910" t="n">
        <v>219.9765</v>
      </c>
      <c r="AH910" t="n">
        <v>8.792e-05</v>
      </c>
      <c r="AI910" t="n">
        <v>0.406208</v>
      </c>
      <c r="AJ910" t="n">
        <v>29.9968</v>
      </c>
      <c r="AK910" t="n">
        <v>9.998900000000001</v>
      </c>
      <c r="AL910" t="n">
        <v>-295.1843</v>
      </c>
      <c r="AM910" t="n">
        <v>4960.1971</v>
      </c>
      <c r="AN910" t="n">
        <v>0.95</v>
      </c>
      <c r="AO910" t="inlineStr">
        <is>
          <t>Medium</t>
        </is>
      </c>
      <c r="AP910" t="inlineStr">
        <is>
          <t>On Track to Glide Path</t>
        </is>
      </c>
    </row>
    <row r="911">
      <c r="A911" t="inlineStr">
        <is>
          <t>SUP-0057</t>
        </is>
      </c>
      <c r="B911" t="inlineStr">
        <is>
          <t>Logistics Supplier 057</t>
        </is>
      </c>
      <c r="C911" t="inlineStr">
        <is>
          <t>Logistics</t>
        </is>
      </c>
      <c r="D911" t="n">
        <v>2024</v>
      </c>
      <c r="E911" t="n">
        <v>2015</v>
      </c>
      <c r="F911" t="n">
        <v>2040</v>
      </c>
      <c r="G911" t="n">
        <v>437.5221</v>
      </c>
      <c r="H911" t="n">
        <v>64.6681</v>
      </c>
      <c r="I911" t="n">
        <v>76.8837</v>
      </c>
      <c r="J911" t="n">
        <v>290.0746</v>
      </c>
      <c r="K911" t="n">
        <v>3657289.52</v>
      </c>
      <c r="L911" t="n">
        <v>23873981.07</v>
      </c>
      <c r="M911" t="n">
        <v>437.5221</v>
      </c>
      <c r="N911" t="inlineStr">
        <is>
          <t>Provided Total Emissions</t>
        </is>
      </c>
      <c r="O911" t="b">
        <v>1</v>
      </c>
      <c r="P911" t="n">
        <v>-0.02342</v>
      </c>
      <c r="Q911" t="n">
        <v>0.022352</v>
      </c>
      <c r="R911" t="n">
        <v>817.3676</v>
      </c>
      <c r="S911" t="n">
        <v>11408.6593</v>
      </c>
      <c r="T911" t="n">
        <v>379.8455</v>
      </c>
      <c r="U911" t="n">
        <v>10971.1372</v>
      </c>
      <c r="V911" t="n">
        <v>0.868175</v>
      </c>
      <c r="W911" t="n">
        <v>25.075618</v>
      </c>
      <c r="X911" t="inlineStr">
        <is>
          <t>High</t>
        </is>
      </c>
      <c r="Y911" t="inlineStr">
        <is>
          <t>None</t>
        </is>
      </c>
      <c r="Z911" t="inlineStr">
        <is>
          <t>Valid</t>
        </is>
      </c>
      <c r="AA911" t="n">
        <v>2038</v>
      </c>
      <c r="AB911" t="inlineStr">
        <is>
          <t>Industry Haircut Pathway</t>
        </is>
      </c>
      <c r="AC911" t="n">
        <v>541.5365</v>
      </c>
      <c r="AD911" t="n">
        <v>291.5633</v>
      </c>
      <c r="AE911" t="n">
        <v>311.5611</v>
      </c>
      <c r="AF911" t="n">
        <v>311.5611</v>
      </c>
      <c r="AG911" t="n">
        <v>229.9754</v>
      </c>
      <c r="AH911" t="n">
        <v>8.519e-05</v>
      </c>
      <c r="AI911" t="n">
        <v>0.424672</v>
      </c>
      <c r="AJ911" t="n">
        <v>19.9979</v>
      </c>
      <c r="AK911" t="n">
        <v>9.998900000000001</v>
      </c>
      <c r="AL911" t="n">
        <v>-606.7454</v>
      </c>
      <c r="AM911" t="n">
        <v>5271.7582</v>
      </c>
      <c r="AN911" t="n">
        <v>0.95</v>
      </c>
      <c r="AO911" t="inlineStr">
        <is>
          <t>Medium</t>
        </is>
      </c>
      <c r="AP911" t="inlineStr">
        <is>
          <t>On Track to Glide Path</t>
        </is>
      </c>
    </row>
    <row r="912">
      <c r="A912" t="inlineStr">
        <is>
          <t>SUP-0057</t>
        </is>
      </c>
      <c r="B912" t="inlineStr">
        <is>
          <t>Logistics Supplier 057</t>
        </is>
      </c>
      <c r="C912" t="inlineStr">
        <is>
          <t>Logistics</t>
        </is>
      </c>
      <c r="D912" t="n">
        <v>2024</v>
      </c>
      <c r="E912" t="n">
        <v>2015</v>
      </c>
      <c r="F912" t="n">
        <v>2040</v>
      </c>
      <c r="G912" t="n">
        <v>437.5221</v>
      </c>
      <c r="H912" t="n">
        <v>64.6681</v>
      </c>
      <c r="I912" t="n">
        <v>76.8837</v>
      </c>
      <c r="J912" t="n">
        <v>290.0746</v>
      </c>
      <c r="K912" t="n">
        <v>3657289.52</v>
      </c>
      <c r="L912" t="n">
        <v>23873981.07</v>
      </c>
      <c r="M912" t="n">
        <v>437.5221</v>
      </c>
      <c r="N912" t="inlineStr">
        <is>
          <t>Provided Total Emissions</t>
        </is>
      </c>
      <c r="O912" t="b">
        <v>1</v>
      </c>
      <c r="P912" t="n">
        <v>-0.02342</v>
      </c>
      <c r="Q912" t="n">
        <v>0.022352</v>
      </c>
      <c r="R912" t="n">
        <v>817.3676</v>
      </c>
      <c r="S912" t="n">
        <v>11408.6593</v>
      </c>
      <c r="T912" t="n">
        <v>379.8455</v>
      </c>
      <c r="U912" t="n">
        <v>10971.1372</v>
      </c>
      <c r="V912" t="n">
        <v>0.868175</v>
      </c>
      <c r="W912" t="n">
        <v>25.075618</v>
      </c>
      <c r="X912" t="inlineStr">
        <is>
          <t>High</t>
        </is>
      </c>
      <c r="Y912" t="inlineStr">
        <is>
          <t>None</t>
        </is>
      </c>
      <c r="Z912" t="inlineStr">
        <is>
          <t>Valid</t>
        </is>
      </c>
      <c r="AA912" t="n">
        <v>2039</v>
      </c>
      <c r="AB912" t="inlineStr">
        <is>
          <t>Industry Haircut Pathway</t>
        </is>
      </c>
      <c r="AC912" t="n">
        <v>541.5365</v>
      </c>
      <c r="AD912" t="n">
        <v>291.5633</v>
      </c>
      <c r="AE912" t="n">
        <v>301.5622</v>
      </c>
      <c r="AF912" t="n">
        <v>301.5622</v>
      </c>
      <c r="AG912" t="n">
        <v>239.9743</v>
      </c>
      <c r="AH912" t="n">
        <v>8.246000000000001e-05</v>
      </c>
      <c r="AI912" t="n">
        <v>0.443136</v>
      </c>
      <c r="AJ912" t="n">
        <v>9.998900000000001</v>
      </c>
      <c r="AK912" t="n">
        <v>9.998900000000001</v>
      </c>
      <c r="AL912" t="n">
        <v>-908.3076</v>
      </c>
      <c r="AM912" t="n">
        <v>5573.3204</v>
      </c>
      <c r="AN912" t="n">
        <v>0.95</v>
      </c>
      <c r="AO912" t="inlineStr">
        <is>
          <t>Medium</t>
        </is>
      </c>
      <c r="AP912" t="inlineStr">
        <is>
          <t>On Track to Glide Path</t>
        </is>
      </c>
    </row>
    <row r="913">
      <c r="A913" t="inlineStr">
        <is>
          <t>SUP-0057</t>
        </is>
      </c>
      <c r="B913" t="inlineStr">
        <is>
          <t>Logistics Supplier 057</t>
        </is>
      </c>
      <c r="C913" t="inlineStr">
        <is>
          <t>Logistics</t>
        </is>
      </c>
      <c r="D913" t="n">
        <v>2024</v>
      </c>
      <c r="E913" t="n">
        <v>2015</v>
      </c>
      <c r="F913" t="n">
        <v>2040</v>
      </c>
      <c r="G913" t="n">
        <v>437.5221</v>
      </c>
      <c r="H913" t="n">
        <v>64.6681</v>
      </c>
      <c r="I913" t="n">
        <v>76.8837</v>
      </c>
      <c r="J913" t="n">
        <v>290.0746</v>
      </c>
      <c r="K913" t="n">
        <v>3657289.52</v>
      </c>
      <c r="L913" t="n">
        <v>23873981.07</v>
      </c>
      <c r="M913" t="n">
        <v>437.5221</v>
      </c>
      <c r="N913" t="inlineStr">
        <is>
          <t>Provided Total Emissions</t>
        </is>
      </c>
      <c r="O913" t="b">
        <v>1</v>
      </c>
      <c r="P913" t="n">
        <v>-0.02342</v>
      </c>
      <c r="Q913" t="n">
        <v>0.022352</v>
      </c>
      <c r="R913" t="n">
        <v>817.3676</v>
      </c>
      <c r="S913" t="n">
        <v>11408.6593</v>
      </c>
      <c r="T913" t="n">
        <v>379.8455</v>
      </c>
      <c r="U913" t="n">
        <v>10971.1372</v>
      </c>
      <c r="V913" t="n">
        <v>0.868175</v>
      </c>
      <c r="W913" t="n">
        <v>25.075618</v>
      </c>
      <c r="X913" t="inlineStr">
        <is>
          <t>High</t>
        </is>
      </c>
      <c r="Y913" t="inlineStr">
        <is>
          <t>None</t>
        </is>
      </c>
      <c r="Z913" t="inlineStr">
        <is>
          <t>Valid</t>
        </is>
      </c>
      <c r="AA913" t="n">
        <v>2040</v>
      </c>
      <c r="AB913" t="inlineStr">
        <is>
          <t>Industry Haircut Pathway</t>
        </is>
      </c>
      <c r="AC913" t="n">
        <v>541.5365</v>
      </c>
      <c r="AD913" t="n">
        <v>291.5633</v>
      </c>
      <c r="AE913" t="n">
        <v>291.5633</v>
      </c>
      <c r="AF913" t="n">
        <v>291.5633</v>
      </c>
      <c r="AG913" t="n">
        <v>249.9732</v>
      </c>
      <c r="AH913" t="n">
        <v>7.972e-05</v>
      </c>
      <c r="AI913" t="n">
        <v>0.4616</v>
      </c>
      <c r="AJ913" t="n">
        <v>0</v>
      </c>
      <c r="AK913" t="n">
        <v>9.998900000000001</v>
      </c>
      <c r="AL913" t="n">
        <v>-1199.8709</v>
      </c>
      <c r="AM913" t="n">
        <v>5864.8837</v>
      </c>
      <c r="AN913" t="n">
        <v>0.95</v>
      </c>
      <c r="AO913" t="inlineStr">
        <is>
          <t>Low</t>
        </is>
      </c>
      <c r="AP913" t="inlineStr">
        <is>
          <t>On Track</t>
        </is>
      </c>
    </row>
    <row r="914">
      <c r="A914" t="inlineStr">
        <is>
          <t>SUP-0058</t>
        </is>
      </c>
      <c r="B914" t="inlineStr">
        <is>
          <t>Textiles Supplier 058</t>
        </is>
      </c>
      <c r="C914" t="inlineStr">
        <is>
          <t>Textiles</t>
        </is>
      </c>
      <c r="D914" t="n">
        <v>2024</v>
      </c>
      <c r="E914" t="n">
        <v>2015</v>
      </c>
      <c r="F914" t="n">
        <v>2030</v>
      </c>
      <c r="G914" t="n">
        <v>3660.5011</v>
      </c>
      <c r="H914" t="n">
        <v>371.5177</v>
      </c>
      <c r="I914" t="n">
        <v>754.6674</v>
      </c>
      <c r="J914" t="n">
        <v>2368.2513</v>
      </c>
      <c r="K914" t="n">
        <v>16879873.73</v>
      </c>
      <c r="L914" t="n">
        <v>81156267.66</v>
      </c>
      <c r="M914" t="n">
        <v>3660.5011</v>
      </c>
      <c r="N914" t="inlineStr">
        <is>
          <t>Provided Total Emissions</t>
        </is>
      </c>
      <c r="O914" t="b">
        <v>1</v>
      </c>
      <c r="P914" t="n">
        <v>-0.025393</v>
      </c>
      <c r="Q914" t="n">
        <v>0.002702</v>
      </c>
      <c r="R914" t="n">
        <v>4932.4679</v>
      </c>
      <c r="S914" t="n">
        <v>14074.9315</v>
      </c>
      <c r="T914" t="n">
        <v>1271.9668</v>
      </c>
      <c r="U914" t="n">
        <v>10414.4304</v>
      </c>
      <c r="V914" t="n">
        <v>0.347484</v>
      </c>
      <c r="W914" t="n">
        <v>2.845083</v>
      </c>
      <c r="X914" t="inlineStr">
        <is>
          <t>High</t>
        </is>
      </c>
      <c r="Y914" t="inlineStr">
        <is>
          <t>None</t>
        </is>
      </c>
      <c r="Z914" t="inlineStr">
        <is>
          <t>Valid</t>
        </is>
      </c>
      <c r="AA914" t="n">
        <v>2025</v>
      </c>
      <c r="AB914" t="inlineStr">
        <is>
          <t>Industry Haircut Pathway</t>
        </is>
      </c>
      <c r="AC914" t="n">
        <v>4613.9565</v>
      </c>
      <c r="AD914" t="n">
        <v>3150.8709</v>
      </c>
      <c r="AE914" t="n">
        <v>3638.5661</v>
      </c>
      <c r="AF914" t="n">
        <v>3638.5661</v>
      </c>
      <c r="AG914" t="n">
        <v>975.3904</v>
      </c>
      <c r="AH914" t="n">
        <v>0.00021556</v>
      </c>
      <c r="AI914" t="n">
        <v>0.2114</v>
      </c>
      <c r="AJ914" t="n">
        <v>487.6952</v>
      </c>
      <c r="AK914" t="n">
        <v>97.539</v>
      </c>
      <c r="AL914" t="n">
        <v>15266.6593</v>
      </c>
      <c r="AM914" t="n">
        <v>3638.5661</v>
      </c>
      <c r="AN914" t="n">
        <v>0.95</v>
      </c>
      <c r="AO914" t="inlineStr">
        <is>
          <t>High</t>
        </is>
      </c>
      <c r="AP914" t="inlineStr">
        <is>
          <t>On Track to Glide Path</t>
        </is>
      </c>
    </row>
    <row r="915">
      <c r="A915" t="inlineStr">
        <is>
          <t>SUP-0058</t>
        </is>
      </c>
      <c r="B915" t="inlineStr">
        <is>
          <t>Textiles Supplier 058</t>
        </is>
      </c>
      <c r="C915" t="inlineStr">
        <is>
          <t>Textiles</t>
        </is>
      </c>
      <c r="D915" t="n">
        <v>2024</v>
      </c>
      <c r="E915" t="n">
        <v>2015</v>
      </c>
      <c r="F915" t="n">
        <v>2030</v>
      </c>
      <c r="G915" t="n">
        <v>3660.5011</v>
      </c>
      <c r="H915" t="n">
        <v>371.5177</v>
      </c>
      <c r="I915" t="n">
        <v>754.6674</v>
      </c>
      <c r="J915" t="n">
        <v>2368.2513</v>
      </c>
      <c r="K915" t="n">
        <v>16879873.73</v>
      </c>
      <c r="L915" t="n">
        <v>81156267.66</v>
      </c>
      <c r="M915" t="n">
        <v>3660.5011</v>
      </c>
      <c r="N915" t="inlineStr">
        <is>
          <t>Provided Total Emissions</t>
        </is>
      </c>
      <c r="O915" t="b">
        <v>1</v>
      </c>
      <c r="P915" t="n">
        <v>-0.025393</v>
      </c>
      <c r="Q915" t="n">
        <v>0.002702</v>
      </c>
      <c r="R915" t="n">
        <v>4932.4679</v>
      </c>
      <c r="S915" t="n">
        <v>14074.9315</v>
      </c>
      <c r="T915" t="n">
        <v>1271.9668</v>
      </c>
      <c r="U915" t="n">
        <v>10414.4304</v>
      </c>
      <c r="V915" t="n">
        <v>0.347484</v>
      </c>
      <c r="W915" t="n">
        <v>2.845083</v>
      </c>
      <c r="X915" t="inlineStr">
        <is>
          <t>High</t>
        </is>
      </c>
      <c r="Y915" t="inlineStr">
        <is>
          <t>None</t>
        </is>
      </c>
      <c r="Z915" t="inlineStr">
        <is>
          <t>Valid</t>
        </is>
      </c>
      <c r="AA915" t="n">
        <v>2026</v>
      </c>
      <c r="AB915" t="inlineStr">
        <is>
          <t>Industry Haircut Pathway</t>
        </is>
      </c>
      <c r="AC915" t="n">
        <v>4613.9565</v>
      </c>
      <c r="AD915" t="n">
        <v>3150.8709</v>
      </c>
      <c r="AE915" t="n">
        <v>3541.0271</v>
      </c>
      <c r="AF915" t="n">
        <v>3541.0271</v>
      </c>
      <c r="AG915" t="n">
        <v>1072.9294</v>
      </c>
      <c r="AH915" t="n">
        <v>0.00020978</v>
      </c>
      <c r="AI915" t="n">
        <v>0.23254</v>
      </c>
      <c r="AJ915" t="n">
        <v>390.1562</v>
      </c>
      <c r="AK915" t="n">
        <v>97.539</v>
      </c>
      <c r="AL915" t="n">
        <v>11725.6322</v>
      </c>
      <c r="AM915" t="n">
        <v>7179.5932</v>
      </c>
      <c r="AN915" t="n">
        <v>0.95</v>
      </c>
      <c r="AO915" t="inlineStr">
        <is>
          <t>Medium</t>
        </is>
      </c>
      <c r="AP915" t="inlineStr">
        <is>
          <t>On Track to Glide Path</t>
        </is>
      </c>
    </row>
    <row r="916">
      <c r="A916" t="inlineStr">
        <is>
          <t>SUP-0058</t>
        </is>
      </c>
      <c r="B916" t="inlineStr">
        <is>
          <t>Textiles Supplier 058</t>
        </is>
      </c>
      <c r="C916" t="inlineStr">
        <is>
          <t>Textiles</t>
        </is>
      </c>
      <c r="D916" t="n">
        <v>2024</v>
      </c>
      <c r="E916" t="n">
        <v>2015</v>
      </c>
      <c r="F916" t="n">
        <v>2030</v>
      </c>
      <c r="G916" t="n">
        <v>3660.5011</v>
      </c>
      <c r="H916" t="n">
        <v>371.5177</v>
      </c>
      <c r="I916" t="n">
        <v>754.6674</v>
      </c>
      <c r="J916" t="n">
        <v>2368.2513</v>
      </c>
      <c r="K916" t="n">
        <v>16879873.73</v>
      </c>
      <c r="L916" t="n">
        <v>81156267.66</v>
      </c>
      <c r="M916" t="n">
        <v>3660.5011</v>
      </c>
      <c r="N916" t="inlineStr">
        <is>
          <t>Provided Total Emissions</t>
        </is>
      </c>
      <c r="O916" t="b">
        <v>1</v>
      </c>
      <c r="P916" t="n">
        <v>-0.025393</v>
      </c>
      <c r="Q916" t="n">
        <v>0.002702</v>
      </c>
      <c r="R916" t="n">
        <v>4932.4679</v>
      </c>
      <c r="S916" t="n">
        <v>14074.9315</v>
      </c>
      <c r="T916" t="n">
        <v>1271.9668</v>
      </c>
      <c r="U916" t="n">
        <v>10414.4304</v>
      </c>
      <c r="V916" t="n">
        <v>0.347484</v>
      </c>
      <c r="W916" t="n">
        <v>2.845083</v>
      </c>
      <c r="X916" t="inlineStr">
        <is>
          <t>High</t>
        </is>
      </c>
      <c r="Y916" t="inlineStr">
        <is>
          <t>None</t>
        </is>
      </c>
      <c r="Z916" t="inlineStr">
        <is>
          <t>Valid</t>
        </is>
      </c>
      <c r="AA916" t="n">
        <v>2027</v>
      </c>
      <c r="AB916" t="inlineStr">
        <is>
          <t>Industry Haircut Pathway</t>
        </is>
      </c>
      <c r="AC916" t="n">
        <v>4613.9565</v>
      </c>
      <c r="AD916" t="n">
        <v>3150.8709</v>
      </c>
      <c r="AE916" t="n">
        <v>3443.488</v>
      </c>
      <c r="AF916" t="n">
        <v>3443.488</v>
      </c>
      <c r="AG916" t="n">
        <v>1170.4685</v>
      </c>
      <c r="AH916" t="n">
        <v>0.000204</v>
      </c>
      <c r="AI916" t="n">
        <v>0.25368</v>
      </c>
      <c r="AJ916" t="n">
        <v>292.6171</v>
      </c>
      <c r="AK916" t="n">
        <v>97.539</v>
      </c>
      <c r="AL916" t="n">
        <v>8282.144200000001</v>
      </c>
      <c r="AM916" t="n">
        <v>10623.0812</v>
      </c>
      <c r="AN916" t="n">
        <v>0.95</v>
      </c>
      <c r="AO916" t="inlineStr">
        <is>
          <t>Medium</t>
        </is>
      </c>
      <c r="AP916" t="inlineStr">
        <is>
          <t>On Track to Glide Path</t>
        </is>
      </c>
    </row>
    <row r="917">
      <c r="A917" t="inlineStr">
        <is>
          <t>SUP-0058</t>
        </is>
      </c>
      <c r="B917" t="inlineStr">
        <is>
          <t>Textiles Supplier 058</t>
        </is>
      </c>
      <c r="C917" t="inlineStr">
        <is>
          <t>Textiles</t>
        </is>
      </c>
      <c r="D917" t="n">
        <v>2024</v>
      </c>
      <c r="E917" t="n">
        <v>2015</v>
      </c>
      <c r="F917" t="n">
        <v>2030</v>
      </c>
      <c r="G917" t="n">
        <v>3660.5011</v>
      </c>
      <c r="H917" t="n">
        <v>371.5177</v>
      </c>
      <c r="I917" t="n">
        <v>754.6674</v>
      </c>
      <c r="J917" t="n">
        <v>2368.2513</v>
      </c>
      <c r="K917" t="n">
        <v>16879873.73</v>
      </c>
      <c r="L917" t="n">
        <v>81156267.66</v>
      </c>
      <c r="M917" t="n">
        <v>3660.5011</v>
      </c>
      <c r="N917" t="inlineStr">
        <is>
          <t>Provided Total Emissions</t>
        </is>
      </c>
      <c r="O917" t="b">
        <v>1</v>
      </c>
      <c r="P917" t="n">
        <v>-0.025393</v>
      </c>
      <c r="Q917" t="n">
        <v>0.002702</v>
      </c>
      <c r="R917" t="n">
        <v>4932.4679</v>
      </c>
      <c r="S917" t="n">
        <v>14074.9315</v>
      </c>
      <c r="T917" t="n">
        <v>1271.9668</v>
      </c>
      <c r="U917" t="n">
        <v>10414.4304</v>
      </c>
      <c r="V917" t="n">
        <v>0.347484</v>
      </c>
      <c r="W917" t="n">
        <v>2.845083</v>
      </c>
      <c r="X917" t="inlineStr">
        <is>
          <t>High</t>
        </is>
      </c>
      <c r="Y917" t="inlineStr">
        <is>
          <t>None</t>
        </is>
      </c>
      <c r="Z917" t="inlineStr">
        <is>
          <t>Valid</t>
        </is>
      </c>
      <c r="AA917" t="n">
        <v>2028</v>
      </c>
      <c r="AB917" t="inlineStr">
        <is>
          <t>Industry Haircut Pathway</t>
        </is>
      </c>
      <c r="AC917" t="n">
        <v>4613.9565</v>
      </c>
      <c r="AD917" t="n">
        <v>3150.8709</v>
      </c>
      <c r="AE917" t="n">
        <v>3345.949</v>
      </c>
      <c r="AF917" t="n">
        <v>3345.949</v>
      </c>
      <c r="AG917" t="n">
        <v>1268.0075</v>
      </c>
      <c r="AH917" t="n">
        <v>0.00019822</v>
      </c>
      <c r="AI917" t="n">
        <v>0.27482</v>
      </c>
      <c r="AJ917" t="n">
        <v>195.0781</v>
      </c>
      <c r="AK917" t="n">
        <v>97.539</v>
      </c>
      <c r="AL917" t="n">
        <v>4936.1952</v>
      </c>
      <c r="AM917" t="n">
        <v>13969.0302</v>
      </c>
      <c r="AN917" t="n">
        <v>0.95</v>
      </c>
      <c r="AO917" t="inlineStr">
        <is>
          <t>Medium</t>
        </is>
      </c>
      <c r="AP917" t="inlineStr">
        <is>
          <t>On Track to Glide Path</t>
        </is>
      </c>
    </row>
    <row r="918">
      <c r="A918" t="inlineStr">
        <is>
          <t>SUP-0058</t>
        </is>
      </c>
      <c r="B918" t="inlineStr">
        <is>
          <t>Textiles Supplier 058</t>
        </is>
      </c>
      <c r="C918" t="inlineStr">
        <is>
          <t>Textiles</t>
        </is>
      </c>
      <c r="D918" t="n">
        <v>2024</v>
      </c>
      <c r="E918" t="n">
        <v>2015</v>
      </c>
      <c r="F918" t="n">
        <v>2030</v>
      </c>
      <c r="G918" t="n">
        <v>3660.5011</v>
      </c>
      <c r="H918" t="n">
        <v>371.5177</v>
      </c>
      <c r="I918" t="n">
        <v>754.6674</v>
      </c>
      <c r="J918" t="n">
        <v>2368.2513</v>
      </c>
      <c r="K918" t="n">
        <v>16879873.73</v>
      </c>
      <c r="L918" t="n">
        <v>81156267.66</v>
      </c>
      <c r="M918" t="n">
        <v>3660.5011</v>
      </c>
      <c r="N918" t="inlineStr">
        <is>
          <t>Provided Total Emissions</t>
        </is>
      </c>
      <c r="O918" t="b">
        <v>1</v>
      </c>
      <c r="P918" t="n">
        <v>-0.025393</v>
      </c>
      <c r="Q918" t="n">
        <v>0.002702</v>
      </c>
      <c r="R918" t="n">
        <v>4932.4679</v>
      </c>
      <c r="S918" t="n">
        <v>14074.9315</v>
      </c>
      <c r="T918" t="n">
        <v>1271.9668</v>
      </c>
      <c r="U918" t="n">
        <v>10414.4304</v>
      </c>
      <c r="V918" t="n">
        <v>0.347484</v>
      </c>
      <c r="W918" t="n">
        <v>2.845083</v>
      </c>
      <c r="X918" t="inlineStr">
        <is>
          <t>High</t>
        </is>
      </c>
      <c r="Y918" t="inlineStr">
        <is>
          <t>None</t>
        </is>
      </c>
      <c r="Z918" t="inlineStr">
        <is>
          <t>Valid</t>
        </is>
      </c>
      <c r="AA918" t="n">
        <v>2029</v>
      </c>
      <c r="AB918" t="inlineStr">
        <is>
          <t>Industry Haircut Pathway</t>
        </is>
      </c>
      <c r="AC918" t="n">
        <v>4613.9565</v>
      </c>
      <c r="AD918" t="n">
        <v>3150.8709</v>
      </c>
      <c r="AE918" t="n">
        <v>3248.4099</v>
      </c>
      <c r="AF918" t="n">
        <v>3248.4099</v>
      </c>
      <c r="AG918" t="n">
        <v>1365.5466</v>
      </c>
      <c r="AH918" t="n">
        <v>0.00019244</v>
      </c>
      <c r="AI918" t="n">
        <v>0.29596</v>
      </c>
      <c r="AJ918" t="n">
        <v>97.539</v>
      </c>
      <c r="AK918" t="n">
        <v>97.539</v>
      </c>
      <c r="AL918" t="n">
        <v>1687.7853</v>
      </c>
      <c r="AM918" t="n">
        <v>17217.4401</v>
      </c>
      <c r="AN918" t="n">
        <v>0.95</v>
      </c>
      <c r="AO918" t="inlineStr">
        <is>
          <t>Medium</t>
        </is>
      </c>
      <c r="AP918" t="inlineStr">
        <is>
          <t>On Track to Glide Path</t>
        </is>
      </c>
    </row>
    <row r="919">
      <c r="A919" t="inlineStr">
        <is>
          <t>SUP-0058</t>
        </is>
      </c>
      <c r="B919" t="inlineStr">
        <is>
          <t>Textiles Supplier 058</t>
        </is>
      </c>
      <c r="C919" t="inlineStr">
        <is>
          <t>Textiles</t>
        </is>
      </c>
      <c r="D919" t="n">
        <v>2024</v>
      </c>
      <c r="E919" t="n">
        <v>2015</v>
      </c>
      <c r="F919" t="n">
        <v>2030</v>
      </c>
      <c r="G919" t="n">
        <v>3660.5011</v>
      </c>
      <c r="H919" t="n">
        <v>371.5177</v>
      </c>
      <c r="I919" t="n">
        <v>754.6674</v>
      </c>
      <c r="J919" t="n">
        <v>2368.2513</v>
      </c>
      <c r="K919" t="n">
        <v>16879873.73</v>
      </c>
      <c r="L919" t="n">
        <v>81156267.66</v>
      </c>
      <c r="M919" t="n">
        <v>3660.5011</v>
      </c>
      <c r="N919" t="inlineStr">
        <is>
          <t>Provided Total Emissions</t>
        </is>
      </c>
      <c r="O919" t="b">
        <v>1</v>
      </c>
      <c r="P919" t="n">
        <v>-0.025393</v>
      </c>
      <c r="Q919" t="n">
        <v>0.002702</v>
      </c>
      <c r="R919" t="n">
        <v>4932.4679</v>
      </c>
      <c r="S919" t="n">
        <v>14074.9315</v>
      </c>
      <c r="T919" t="n">
        <v>1271.9668</v>
      </c>
      <c r="U919" t="n">
        <v>10414.4304</v>
      </c>
      <c r="V919" t="n">
        <v>0.347484</v>
      </c>
      <c r="W919" t="n">
        <v>2.845083</v>
      </c>
      <c r="X919" t="inlineStr">
        <is>
          <t>High</t>
        </is>
      </c>
      <c r="Y919" t="inlineStr">
        <is>
          <t>None</t>
        </is>
      </c>
      <c r="Z919" t="inlineStr">
        <is>
          <t>Valid</t>
        </is>
      </c>
      <c r="AA919" t="n">
        <v>2030</v>
      </c>
      <c r="AB919" t="inlineStr">
        <is>
          <t>Industry Haircut Pathway</t>
        </is>
      </c>
      <c r="AC919" t="n">
        <v>4613.9565</v>
      </c>
      <c r="AD919" t="n">
        <v>3150.8709</v>
      </c>
      <c r="AE919" t="n">
        <v>3150.8709</v>
      </c>
      <c r="AF919" t="n">
        <v>3150.8709</v>
      </c>
      <c r="AG919" t="n">
        <v>1463.0856</v>
      </c>
      <c r="AH919" t="n">
        <v>0.00018666</v>
      </c>
      <c r="AI919" t="n">
        <v>0.3171</v>
      </c>
      <c r="AJ919" t="n">
        <v>0</v>
      </c>
      <c r="AK919" t="n">
        <v>97.539</v>
      </c>
      <c r="AL919" t="n">
        <v>-1463.0856</v>
      </c>
      <c r="AM919" t="n">
        <v>20368.311</v>
      </c>
      <c r="AN919" t="n">
        <v>0.95</v>
      </c>
      <c r="AO919" t="inlineStr">
        <is>
          <t>Low</t>
        </is>
      </c>
      <c r="AP919" t="inlineStr">
        <is>
          <t>On Track</t>
        </is>
      </c>
    </row>
    <row r="920">
      <c r="A920" t="inlineStr">
        <is>
          <t>SUP-0058</t>
        </is>
      </c>
      <c r="B920" t="inlineStr">
        <is>
          <t>Textiles Supplier 058</t>
        </is>
      </c>
      <c r="C920" t="inlineStr">
        <is>
          <t>Textiles</t>
        </is>
      </c>
      <c r="D920" t="n">
        <v>2024</v>
      </c>
      <c r="E920" t="n">
        <v>2015</v>
      </c>
      <c r="F920" t="n">
        <v>2030</v>
      </c>
      <c r="G920" t="n">
        <v>3660.5011</v>
      </c>
      <c r="H920" t="n">
        <v>371.5177</v>
      </c>
      <c r="I920" t="n">
        <v>754.6674</v>
      </c>
      <c r="J920" t="n">
        <v>2368.2513</v>
      </c>
      <c r="K920" t="n">
        <v>16879873.73</v>
      </c>
      <c r="L920" t="n">
        <v>81156267.66</v>
      </c>
      <c r="M920" t="n">
        <v>3660.5011</v>
      </c>
      <c r="N920" t="inlineStr">
        <is>
          <t>Provided Total Emissions</t>
        </is>
      </c>
      <c r="O920" t="b">
        <v>1</v>
      </c>
      <c r="P920" t="n">
        <v>-0.025393</v>
      </c>
      <c r="Q920" t="n">
        <v>0.002702</v>
      </c>
      <c r="R920" t="n">
        <v>4932.4679</v>
      </c>
      <c r="S920" t="n">
        <v>14074.9315</v>
      </c>
      <c r="T920" t="n">
        <v>1271.9668</v>
      </c>
      <c r="U920" t="n">
        <v>10414.4304</v>
      </c>
      <c r="V920" t="n">
        <v>0.347484</v>
      </c>
      <c r="W920" t="n">
        <v>2.845083</v>
      </c>
      <c r="X920" t="inlineStr">
        <is>
          <t>High</t>
        </is>
      </c>
      <c r="Y920" t="inlineStr">
        <is>
          <t>None</t>
        </is>
      </c>
      <c r="Z920" t="inlineStr">
        <is>
          <t>Valid</t>
        </is>
      </c>
      <c r="AA920" t="n">
        <v>2031</v>
      </c>
      <c r="AB920" t="inlineStr">
        <is>
          <t>Industry Haircut Pathway</t>
        </is>
      </c>
      <c r="AC920" t="n">
        <v>4613.9565</v>
      </c>
      <c r="AD920" t="n">
        <v>3150.8709</v>
      </c>
      <c r="AE920" t="n">
        <v>3150.8709</v>
      </c>
      <c r="AF920" t="n">
        <v>3150.8709</v>
      </c>
      <c r="AG920" t="n">
        <v>1463.0856</v>
      </c>
      <c r="AH920" t="n">
        <v>0.00018666</v>
      </c>
      <c r="AI920" t="n">
        <v>0.3171</v>
      </c>
      <c r="AJ920" t="n">
        <v>0</v>
      </c>
      <c r="AK920" t="n">
        <v>97.539</v>
      </c>
      <c r="AL920" t="n">
        <v>-4613.9565</v>
      </c>
      <c r="AM920" t="n">
        <v>23519.1819</v>
      </c>
      <c r="AN920" t="n">
        <v>0.95</v>
      </c>
      <c r="AO920" t="inlineStr">
        <is>
          <t>Low</t>
        </is>
      </c>
      <c r="AP920" t="inlineStr">
        <is>
          <t>On Track</t>
        </is>
      </c>
    </row>
    <row r="921">
      <c r="A921" t="inlineStr">
        <is>
          <t>SUP-0058</t>
        </is>
      </c>
      <c r="B921" t="inlineStr">
        <is>
          <t>Textiles Supplier 058</t>
        </is>
      </c>
      <c r="C921" t="inlineStr">
        <is>
          <t>Textiles</t>
        </is>
      </c>
      <c r="D921" t="n">
        <v>2024</v>
      </c>
      <c r="E921" t="n">
        <v>2015</v>
      </c>
      <c r="F921" t="n">
        <v>2030</v>
      </c>
      <c r="G921" t="n">
        <v>3660.5011</v>
      </c>
      <c r="H921" t="n">
        <v>371.5177</v>
      </c>
      <c r="I921" t="n">
        <v>754.6674</v>
      </c>
      <c r="J921" t="n">
        <v>2368.2513</v>
      </c>
      <c r="K921" t="n">
        <v>16879873.73</v>
      </c>
      <c r="L921" t="n">
        <v>81156267.66</v>
      </c>
      <c r="M921" t="n">
        <v>3660.5011</v>
      </c>
      <c r="N921" t="inlineStr">
        <is>
          <t>Provided Total Emissions</t>
        </is>
      </c>
      <c r="O921" t="b">
        <v>1</v>
      </c>
      <c r="P921" t="n">
        <v>-0.025393</v>
      </c>
      <c r="Q921" t="n">
        <v>0.002702</v>
      </c>
      <c r="R921" t="n">
        <v>4932.4679</v>
      </c>
      <c r="S921" t="n">
        <v>14074.9315</v>
      </c>
      <c r="T921" t="n">
        <v>1271.9668</v>
      </c>
      <c r="U921" t="n">
        <v>10414.4304</v>
      </c>
      <c r="V921" t="n">
        <v>0.347484</v>
      </c>
      <c r="W921" t="n">
        <v>2.845083</v>
      </c>
      <c r="X921" t="inlineStr">
        <is>
          <t>High</t>
        </is>
      </c>
      <c r="Y921" t="inlineStr">
        <is>
          <t>None</t>
        </is>
      </c>
      <c r="Z921" t="inlineStr">
        <is>
          <t>Valid</t>
        </is>
      </c>
      <c r="AA921" t="n">
        <v>2032</v>
      </c>
      <c r="AB921" t="inlineStr">
        <is>
          <t>Industry Haircut Pathway</t>
        </is>
      </c>
      <c r="AC921" t="n">
        <v>4613.9565</v>
      </c>
      <c r="AD921" t="n">
        <v>3150.8709</v>
      </c>
      <c r="AE921" t="n">
        <v>3150.8709</v>
      </c>
      <c r="AF921" t="n">
        <v>3150.8709</v>
      </c>
      <c r="AG921" t="n">
        <v>1463.0856</v>
      </c>
      <c r="AH921" t="n">
        <v>0.00018666</v>
      </c>
      <c r="AI921" t="n">
        <v>0.3171</v>
      </c>
      <c r="AJ921" t="n">
        <v>0</v>
      </c>
      <c r="AK921" t="n">
        <v>97.539</v>
      </c>
      <c r="AL921" t="n">
        <v>-7764.8274</v>
      </c>
      <c r="AM921" t="n">
        <v>26670.0528</v>
      </c>
      <c r="AN921" t="n">
        <v>0.95</v>
      </c>
      <c r="AO921" t="inlineStr">
        <is>
          <t>Low</t>
        </is>
      </c>
      <c r="AP921" t="inlineStr">
        <is>
          <t>On Track</t>
        </is>
      </c>
    </row>
    <row r="922">
      <c r="A922" t="inlineStr">
        <is>
          <t>SUP-0058</t>
        </is>
      </c>
      <c r="B922" t="inlineStr">
        <is>
          <t>Textiles Supplier 058</t>
        </is>
      </c>
      <c r="C922" t="inlineStr">
        <is>
          <t>Textiles</t>
        </is>
      </c>
      <c r="D922" t="n">
        <v>2024</v>
      </c>
      <c r="E922" t="n">
        <v>2015</v>
      </c>
      <c r="F922" t="n">
        <v>2030</v>
      </c>
      <c r="G922" t="n">
        <v>3660.5011</v>
      </c>
      <c r="H922" t="n">
        <v>371.5177</v>
      </c>
      <c r="I922" t="n">
        <v>754.6674</v>
      </c>
      <c r="J922" t="n">
        <v>2368.2513</v>
      </c>
      <c r="K922" t="n">
        <v>16879873.73</v>
      </c>
      <c r="L922" t="n">
        <v>81156267.66</v>
      </c>
      <c r="M922" t="n">
        <v>3660.5011</v>
      </c>
      <c r="N922" t="inlineStr">
        <is>
          <t>Provided Total Emissions</t>
        </is>
      </c>
      <c r="O922" t="b">
        <v>1</v>
      </c>
      <c r="P922" t="n">
        <v>-0.025393</v>
      </c>
      <c r="Q922" t="n">
        <v>0.002702</v>
      </c>
      <c r="R922" t="n">
        <v>4932.4679</v>
      </c>
      <c r="S922" t="n">
        <v>14074.9315</v>
      </c>
      <c r="T922" t="n">
        <v>1271.9668</v>
      </c>
      <c r="U922" t="n">
        <v>10414.4304</v>
      </c>
      <c r="V922" t="n">
        <v>0.347484</v>
      </c>
      <c r="W922" t="n">
        <v>2.845083</v>
      </c>
      <c r="X922" t="inlineStr">
        <is>
          <t>High</t>
        </is>
      </c>
      <c r="Y922" t="inlineStr">
        <is>
          <t>None</t>
        </is>
      </c>
      <c r="Z922" t="inlineStr">
        <is>
          <t>Valid</t>
        </is>
      </c>
      <c r="AA922" t="n">
        <v>2033</v>
      </c>
      <c r="AB922" t="inlineStr">
        <is>
          <t>Industry Haircut Pathway</t>
        </is>
      </c>
      <c r="AC922" t="n">
        <v>4613.9565</v>
      </c>
      <c r="AD922" t="n">
        <v>3150.8709</v>
      </c>
      <c r="AE922" t="n">
        <v>3150.8709</v>
      </c>
      <c r="AF922" t="n">
        <v>3150.8709</v>
      </c>
      <c r="AG922" t="n">
        <v>1463.0856</v>
      </c>
      <c r="AH922" t="n">
        <v>0.00018666</v>
      </c>
      <c r="AI922" t="n">
        <v>0.3171</v>
      </c>
      <c r="AJ922" t="n">
        <v>0</v>
      </c>
      <c r="AK922" t="n">
        <v>97.539</v>
      </c>
      <c r="AL922" t="n">
        <v>-10915.6983</v>
      </c>
      <c r="AM922" t="n">
        <v>29820.9237</v>
      </c>
      <c r="AN922" t="n">
        <v>0.95</v>
      </c>
      <c r="AO922" t="inlineStr">
        <is>
          <t>Low</t>
        </is>
      </c>
      <c r="AP922" t="inlineStr">
        <is>
          <t>On Track</t>
        </is>
      </c>
    </row>
    <row r="923">
      <c r="A923" t="inlineStr">
        <is>
          <t>SUP-0058</t>
        </is>
      </c>
      <c r="B923" t="inlineStr">
        <is>
          <t>Textiles Supplier 058</t>
        </is>
      </c>
      <c r="C923" t="inlineStr">
        <is>
          <t>Textiles</t>
        </is>
      </c>
      <c r="D923" t="n">
        <v>2024</v>
      </c>
      <c r="E923" t="n">
        <v>2015</v>
      </c>
      <c r="F923" t="n">
        <v>2030</v>
      </c>
      <c r="G923" t="n">
        <v>3660.5011</v>
      </c>
      <c r="H923" t="n">
        <v>371.5177</v>
      </c>
      <c r="I923" t="n">
        <v>754.6674</v>
      </c>
      <c r="J923" t="n">
        <v>2368.2513</v>
      </c>
      <c r="K923" t="n">
        <v>16879873.73</v>
      </c>
      <c r="L923" t="n">
        <v>81156267.66</v>
      </c>
      <c r="M923" t="n">
        <v>3660.5011</v>
      </c>
      <c r="N923" t="inlineStr">
        <is>
          <t>Provided Total Emissions</t>
        </is>
      </c>
      <c r="O923" t="b">
        <v>1</v>
      </c>
      <c r="P923" t="n">
        <v>-0.025393</v>
      </c>
      <c r="Q923" t="n">
        <v>0.002702</v>
      </c>
      <c r="R923" t="n">
        <v>4932.4679</v>
      </c>
      <c r="S923" t="n">
        <v>14074.9315</v>
      </c>
      <c r="T923" t="n">
        <v>1271.9668</v>
      </c>
      <c r="U923" t="n">
        <v>10414.4304</v>
      </c>
      <c r="V923" t="n">
        <v>0.347484</v>
      </c>
      <c r="W923" t="n">
        <v>2.845083</v>
      </c>
      <c r="X923" t="inlineStr">
        <is>
          <t>High</t>
        </is>
      </c>
      <c r="Y923" t="inlineStr">
        <is>
          <t>None</t>
        </is>
      </c>
      <c r="Z923" t="inlineStr">
        <is>
          <t>Valid</t>
        </is>
      </c>
      <c r="AA923" t="n">
        <v>2034</v>
      </c>
      <c r="AB923" t="inlineStr">
        <is>
          <t>Industry Haircut Pathway</t>
        </is>
      </c>
      <c r="AC923" t="n">
        <v>4613.9565</v>
      </c>
      <c r="AD923" t="n">
        <v>3150.8709</v>
      </c>
      <c r="AE923" t="n">
        <v>3150.8709</v>
      </c>
      <c r="AF923" t="n">
        <v>3150.8709</v>
      </c>
      <c r="AG923" t="n">
        <v>1463.0856</v>
      </c>
      <c r="AH923" t="n">
        <v>0.00018666</v>
      </c>
      <c r="AI923" t="n">
        <v>0.3171</v>
      </c>
      <c r="AJ923" t="n">
        <v>0</v>
      </c>
      <c r="AK923" t="n">
        <v>97.539</v>
      </c>
      <c r="AL923" t="n">
        <v>-14066.5692</v>
      </c>
      <c r="AM923" t="n">
        <v>32971.7946</v>
      </c>
      <c r="AN923" t="n">
        <v>0.95</v>
      </c>
      <c r="AO923" t="inlineStr">
        <is>
          <t>Low</t>
        </is>
      </c>
      <c r="AP923" t="inlineStr">
        <is>
          <t>On Track</t>
        </is>
      </c>
    </row>
    <row r="924">
      <c r="A924" t="inlineStr">
        <is>
          <t>SUP-0058</t>
        </is>
      </c>
      <c r="B924" t="inlineStr">
        <is>
          <t>Textiles Supplier 058</t>
        </is>
      </c>
      <c r="C924" t="inlineStr">
        <is>
          <t>Textiles</t>
        </is>
      </c>
      <c r="D924" t="n">
        <v>2024</v>
      </c>
      <c r="E924" t="n">
        <v>2015</v>
      </c>
      <c r="F924" t="n">
        <v>2030</v>
      </c>
      <c r="G924" t="n">
        <v>3660.5011</v>
      </c>
      <c r="H924" t="n">
        <v>371.5177</v>
      </c>
      <c r="I924" t="n">
        <v>754.6674</v>
      </c>
      <c r="J924" t="n">
        <v>2368.2513</v>
      </c>
      <c r="K924" t="n">
        <v>16879873.73</v>
      </c>
      <c r="L924" t="n">
        <v>81156267.66</v>
      </c>
      <c r="M924" t="n">
        <v>3660.5011</v>
      </c>
      <c r="N924" t="inlineStr">
        <is>
          <t>Provided Total Emissions</t>
        </is>
      </c>
      <c r="O924" t="b">
        <v>1</v>
      </c>
      <c r="P924" t="n">
        <v>-0.025393</v>
      </c>
      <c r="Q924" t="n">
        <v>0.002702</v>
      </c>
      <c r="R924" t="n">
        <v>4932.4679</v>
      </c>
      <c r="S924" t="n">
        <v>14074.9315</v>
      </c>
      <c r="T924" t="n">
        <v>1271.9668</v>
      </c>
      <c r="U924" t="n">
        <v>10414.4304</v>
      </c>
      <c r="V924" t="n">
        <v>0.347484</v>
      </c>
      <c r="W924" t="n">
        <v>2.845083</v>
      </c>
      <c r="X924" t="inlineStr">
        <is>
          <t>High</t>
        </is>
      </c>
      <c r="Y924" t="inlineStr">
        <is>
          <t>None</t>
        </is>
      </c>
      <c r="Z924" t="inlineStr">
        <is>
          <t>Valid</t>
        </is>
      </c>
      <c r="AA924" t="n">
        <v>2035</v>
      </c>
      <c r="AB924" t="inlineStr">
        <is>
          <t>Industry Haircut Pathway</t>
        </is>
      </c>
      <c r="AC924" t="n">
        <v>4613.9565</v>
      </c>
      <c r="AD924" t="n">
        <v>3150.8709</v>
      </c>
      <c r="AE924" t="n">
        <v>3150.8709</v>
      </c>
      <c r="AF924" t="n">
        <v>3150.8709</v>
      </c>
      <c r="AG924" t="n">
        <v>1463.0856</v>
      </c>
      <c r="AH924" t="n">
        <v>0.00018666</v>
      </c>
      <c r="AI924" t="n">
        <v>0.3171</v>
      </c>
      <c r="AJ924" t="n">
        <v>0</v>
      </c>
      <c r="AK924" t="n">
        <v>97.539</v>
      </c>
      <c r="AL924" t="n">
        <v>-17217.4401</v>
      </c>
      <c r="AM924" t="n">
        <v>36122.6655</v>
      </c>
      <c r="AN924" t="n">
        <v>0.95</v>
      </c>
      <c r="AO924" t="inlineStr">
        <is>
          <t>Low</t>
        </is>
      </c>
      <c r="AP924" t="inlineStr">
        <is>
          <t>On Track</t>
        </is>
      </c>
    </row>
    <row r="925">
      <c r="A925" t="inlineStr">
        <is>
          <t>SUP-0058</t>
        </is>
      </c>
      <c r="B925" t="inlineStr">
        <is>
          <t>Textiles Supplier 058</t>
        </is>
      </c>
      <c r="C925" t="inlineStr">
        <is>
          <t>Textiles</t>
        </is>
      </c>
      <c r="D925" t="n">
        <v>2024</v>
      </c>
      <c r="E925" t="n">
        <v>2015</v>
      </c>
      <c r="F925" t="n">
        <v>2030</v>
      </c>
      <c r="G925" t="n">
        <v>3660.5011</v>
      </c>
      <c r="H925" t="n">
        <v>371.5177</v>
      </c>
      <c r="I925" t="n">
        <v>754.6674</v>
      </c>
      <c r="J925" t="n">
        <v>2368.2513</v>
      </c>
      <c r="K925" t="n">
        <v>16879873.73</v>
      </c>
      <c r="L925" t="n">
        <v>81156267.66</v>
      </c>
      <c r="M925" t="n">
        <v>3660.5011</v>
      </c>
      <c r="N925" t="inlineStr">
        <is>
          <t>Provided Total Emissions</t>
        </is>
      </c>
      <c r="O925" t="b">
        <v>1</v>
      </c>
      <c r="P925" t="n">
        <v>-0.025393</v>
      </c>
      <c r="Q925" t="n">
        <v>0.002702</v>
      </c>
      <c r="R925" t="n">
        <v>4932.4679</v>
      </c>
      <c r="S925" t="n">
        <v>14074.9315</v>
      </c>
      <c r="T925" t="n">
        <v>1271.9668</v>
      </c>
      <c r="U925" t="n">
        <v>10414.4304</v>
      </c>
      <c r="V925" t="n">
        <v>0.347484</v>
      </c>
      <c r="W925" t="n">
        <v>2.845083</v>
      </c>
      <c r="X925" t="inlineStr">
        <is>
          <t>High</t>
        </is>
      </c>
      <c r="Y925" t="inlineStr">
        <is>
          <t>None</t>
        </is>
      </c>
      <c r="Z925" t="inlineStr">
        <is>
          <t>Valid</t>
        </is>
      </c>
      <c r="AA925" t="n">
        <v>2036</v>
      </c>
      <c r="AB925" t="inlineStr">
        <is>
          <t>Industry Haircut Pathway</t>
        </is>
      </c>
      <c r="AC925" t="n">
        <v>4613.9565</v>
      </c>
      <c r="AD925" t="n">
        <v>3150.8709</v>
      </c>
      <c r="AE925" t="n">
        <v>3150.8709</v>
      </c>
      <c r="AF925" t="n">
        <v>3150.8709</v>
      </c>
      <c r="AG925" t="n">
        <v>1463.0856</v>
      </c>
      <c r="AH925" t="n">
        <v>0.00018666</v>
      </c>
      <c r="AI925" t="n">
        <v>0.3171</v>
      </c>
      <c r="AJ925" t="n">
        <v>0</v>
      </c>
      <c r="AK925" t="n">
        <v>97.539</v>
      </c>
      <c r="AL925" t="n">
        <v>-20368.311</v>
      </c>
      <c r="AM925" t="n">
        <v>39273.5364</v>
      </c>
      <c r="AN925" t="n">
        <v>0.95</v>
      </c>
      <c r="AO925" t="inlineStr">
        <is>
          <t>Low</t>
        </is>
      </c>
      <c r="AP925" t="inlineStr">
        <is>
          <t>On Track</t>
        </is>
      </c>
    </row>
    <row r="926">
      <c r="A926" t="inlineStr">
        <is>
          <t>SUP-0058</t>
        </is>
      </c>
      <c r="B926" t="inlineStr">
        <is>
          <t>Textiles Supplier 058</t>
        </is>
      </c>
      <c r="C926" t="inlineStr">
        <is>
          <t>Textiles</t>
        </is>
      </c>
      <c r="D926" t="n">
        <v>2024</v>
      </c>
      <c r="E926" t="n">
        <v>2015</v>
      </c>
      <c r="F926" t="n">
        <v>2030</v>
      </c>
      <c r="G926" t="n">
        <v>3660.5011</v>
      </c>
      <c r="H926" t="n">
        <v>371.5177</v>
      </c>
      <c r="I926" t="n">
        <v>754.6674</v>
      </c>
      <c r="J926" t="n">
        <v>2368.2513</v>
      </c>
      <c r="K926" t="n">
        <v>16879873.73</v>
      </c>
      <c r="L926" t="n">
        <v>81156267.66</v>
      </c>
      <c r="M926" t="n">
        <v>3660.5011</v>
      </c>
      <c r="N926" t="inlineStr">
        <is>
          <t>Provided Total Emissions</t>
        </is>
      </c>
      <c r="O926" t="b">
        <v>1</v>
      </c>
      <c r="P926" t="n">
        <v>-0.025393</v>
      </c>
      <c r="Q926" t="n">
        <v>0.002702</v>
      </c>
      <c r="R926" t="n">
        <v>4932.4679</v>
      </c>
      <c r="S926" t="n">
        <v>14074.9315</v>
      </c>
      <c r="T926" t="n">
        <v>1271.9668</v>
      </c>
      <c r="U926" t="n">
        <v>10414.4304</v>
      </c>
      <c r="V926" t="n">
        <v>0.347484</v>
      </c>
      <c r="W926" t="n">
        <v>2.845083</v>
      </c>
      <c r="X926" t="inlineStr">
        <is>
          <t>High</t>
        </is>
      </c>
      <c r="Y926" t="inlineStr">
        <is>
          <t>None</t>
        </is>
      </c>
      <c r="Z926" t="inlineStr">
        <is>
          <t>Valid</t>
        </is>
      </c>
      <c r="AA926" t="n">
        <v>2037</v>
      </c>
      <c r="AB926" t="inlineStr">
        <is>
          <t>Industry Haircut Pathway</t>
        </is>
      </c>
      <c r="AC926" t="n">
        <v>4613.9565</v>
      </c>
      <c r="AD926" t="n">
        <v>3150.8709</v>
      </c>
      <c r="AE926" t="n">
        <v>3150.8709</v>
      </c>
      <c r="AF926" t="n">
        <v>3150.8709</v>
      </c>
      <c r="AG926" t="n">
        <v>1463.0856</v>
      </c>
      <c r="AH926" t="n">
        <v>0.00018666</v>
      </c>
      <c r="AI926" t="n">
        <v>0.3171</v>
      </c>
      <c r="AJ926" t="n">
        <v>0</v>
      </c>
      <c r="AK926" t="n">
        <v>97.539</v>
      </c>
      <c r="AL926" t="n">
        <v>-23519.1819</v>
      </c>
      <c r="AM926" t="n">
        <v>42424.4073</v>
      </c>
      <c r="AN926" t="n">
        <v>0.95</v>
      </c>
      <c r="AO926" t="inlineStr">
        <is>
          <t>Low</t>
        </is>
      </c>
      <c r="AP926" t="inlineStr">
        <is>
          <t>On Track</t>
        </is>
      </c>
    </row>
    <row r="927">
      <c r="A927" t="inlineStr">
        <is>
          <t>SUP-0058</t>
        </is>
      </c>
      <c r="B927" t="inlineStr">
        <is>
          <t>Textiles Supplier 058</t>
        </is>
      </c>
      <c r="C927" t="inlineStr">
        <is>
          <t>Textiles</t>
        </is>
      </c>
      <c r="D927" t="n">
        <v>2024</v>
      </c>
      <c r="E927" t="n">
        <v>2015</v>
      </c>
      <c r="F927" t="n">
        <v>2030</v>
      </c>
      <c r="G927" t="n">
        <v>3660.5011</v>
      </c>
      <c r="H927" t="n">
        <v>371.5177</v>
      </c>
      <c r="I927" t="n">
        <v>754.6674</v>
      </c>
      <c r="J927" t="n">
        <v>2368.2513</v>
      </c>
      <c r="K927" t="n">
        <v>16879873.73</v>
      </c>
      <c r="L927" t="n">
        <v>81156267.66</v>
      </c>
      <c r="M927" t="n">
        <v>3660.5011</v>
      </c>
      <c r="N927" t="inlineStr">
        <is>
          <t>Provided Total Emissions</t>
        </is>
      </c>
      <c r="O927" t="b">
        <v>1</v>
      </c>
      <c r="P927" t="n">
        <v>-0.025393</v>
      </c>
      <c r="Q927" t="n">
        <v>0.002702</v>
      </c>
      <c r="R927" t="n">
        <v>4932.4679</v>
      </c>
      <c r="S927" t="n">
        <v>14074.9315</v>
      </c>
      <c r="T927" t="n">
        <v>1271.9668</v>
      </c>
      <c r="U927" t="n">
        <v>10414.4304</v>
      </c>
      <c r="V927" t="n">
        <v>0.347484</v>
      </c>
      <c r="W927" t="n">
        <v>2.845083</v>
      </c>
      <c r="X927" t="inlineStr">
        <is>
          <t>High</t>
        </is>
      </c>
      <c r="Y927" t="inlineStr">
        <is>
          <t>None</t>
        </is>
      </c>
      <c r="Z927" t="inlineStr">
        <is>
          <t>Valid</t>
        </is>
      </c>
      <c r="AA927" t="n">
        <v>2038</v>
      </c>
      <c r="AB927" t="inlineStr">
        <is>
          <t>Industry Haircut Pathway</t>
        </is>
      </c>
      <c r="AC927" t="n">
        <v>4613.9565</v>
      </c>
      <c r="AD927" t="n">
        <v>3150.8709</v>
      </c>
      <c r="AE927" t="n">
        <v>3150.8709</v>
      </c>
      <c r="AF927" t="n">
        <v>3150.8709</v>
      </c>
      <c r="AG927" t="n">
        <v>1463.0856</v>
      </c>
      <c r="AH927" t="n">
        <v>0.00018666</v>
      </c>
      <c r="AI927" t="n">
        <v>0.3171</v>
      </c>
      <c r="AJ927" t="n">
        <v>0</v>
      </c>
      <c r="AK927" t="n">
        <v>97.539</v>
      </c>
      <c r="AL927" t="n">
        <v>-26670.0528</v>
      </c>
      <c r="AM927" t="n">
        <v>45575.2782</v>
      </c>
      <c r="AN927" t="n">
        <v>0.95</v>
      </c>
      <c r="AO927" t="inlineStr">
        <is>
          <t>Low</t>
        </is>
      </c>
      <c r="AP927" t="inlineStr">
        <is>
          <t>On Track</t>
        </is>
      </c>
    </row>
    <row r="928">
      <c r="A928" t="inlineStr">
        <is>
          <t>SUP-0058</t>
        </is>
      </c>
      <c r="B928" t="inlineStr">
        <is>
          <t>Textiles Supplier 058</t>
        </is>
      </c>
      <c r="C928" t="inlineStr">
        <is>
          <t>Textiles</t>
        </is>
      </c>
      <c r="D928" t="n">
        <v>2024</v>
      </c>
      <c r="E928" t="n">
        <v>2015</v>
      </c>
      <c r="F928" t="n">
        <v>2030</v>
      </c>
      <c r="G928" t="n">
        <v>3660.5011</v>
      </c>
      <c r="H928" t="n">
        <v>371.5177</v>
      </c>
      <c r="I928" t="n">
        <v>754.6674</v>
      </c>
      <c r="J928" t="n">
        <v>2368.2513</v>
      </c>
      <c r="K928" t="n">
        <v>16879873.73</v>
      </c>
      <c r="L928" t="n">
        <v>81156267.66</v>
      </c>
      <c r="M928" t="n">
        <v>3660.5011</v>
      </c>
      <c r="N928" t="inlineStr">
        <is>
          <t>Provided Total Emissions</t>
        </is>
      </c>
      <c r="O928" t="b">
        <v>1</v>
      </c>
      <c r="P928" t="n">
        <v>-0.025393</v>
      </c>
      <c r="Q928" t="n">
        <v>0.002702</v>
      </c>
      <c r="R928" t="n">
        <v>4932.4679</v>
      </c>
      <c r="S928" t="n">
        <v>14074.9315</v>
      </c>
      <c r="T928" t="n">
        <v>1271.9668</v>
      </c>
      <c r="U928" t="n">
        <v>10414.4304</v>
      </c>
      <c r="V928" t="n">
        <v>0.347484</v>
      </c>
      <c r="W928" t="n">
        <v>2.845083</v>
      </c>
      <c r="X928" t="inlineStr">
        <is>
          <t>High</t>
        </is>
      </c>
      <c r="Y928" t="inlineStr">
        <is>
          <t>None</t>
        </is>
      </c>
      <c r="Z928" t="inlineStr">
        <is>
          <t>Valid</t>
        </is>
      </c>
      <c r="AA928" t="n">
        <v>2039</v>
      </c>
      <c r="AB928" t="inlineStr">
        <is>
          <t>Industry Haircut Pathway</t>
        </is>
      </c>
      <c r="AC928" t="n">
        <v>4613.9565</v>
      </c>
      <c r="AD928" t="n">
        <v>3150.8709</v>
      </c>
      <c r="AE928" t="n">
        <v>3150.8709</v>
      </c>
      <c r="AF928" t="n">
        <v>3150.8709</v>
      </c>
      <c r="AG928" t="n">
        <v>1463.0856</v>
      </c>
      <c r="AH928" t="n">
        <v>0.00018666</v>
      </c>
      <c r="AI928" t="n">
        <v>0.3171</v>
      </c>
      <c r="AJ928" t="n">
        <v>0</v>
      </c>
      <c r="AK928" t="n">
        <v>97.539</v>
      </c>
      <c r="AL928" t="n">
        <v>-29820.9237</v>
      </c>
      <c r="AM928" t="n">
        <v>48726.1491</v>
      </c>
      <c r="AN928" t="n">
        <v>0.95</v>
      </c>
      <c r="AO928" t="inlineStr">
        <is>
          <t>Low</t>
        </is>
      </c>
      <c r="AP928" t="inlineStr">
        <is>
          <t>On Track</t>
        </is>
      </c>
    </row>
    <row r="929">
      <c r="A929" t="inlineStr">
        <is>
          <t>SUP-0058</t>
        </is>
      </c>
      <c r="B929" t="inlineStr">
        <is>
          <t>Textiles Supplier 058</t>
        </is>
      </c>
      <c r="C929" t="inlineStr">
        <is>
          <t>Textiles</t>
        </is>
      </c>
      <c r="D929" t="n">
        <v>2024</v>
      </c>
      <c r="E929" t="n">
        <v>2015</v>
      </c>
      <c r="F929" t="n">
        <v>2030</v>
      </c>
      <c r="G929" t="n">
        <v>3660.5011</v>
      </c>
      <c r="H929" t="n">
        <v>371.5177</v>
      </c>
      <c r="I929" t="n">
        <v>754.6674</v>
      </c>
      <c r="J929" t="n">
        <v>2368.2513</v>
      </c>
      <c r="K929" t="n">
        <v>16879873.73</v>
      </c>
      <c r="L929" t="n">
        <v>81156267.66</v>
      </c>
      <c r="M929" t="n">
        <v>3660.5011</v>
      </c>
      <c r="N929" t="inlineStr">
        <is>
          <t>Provided Total Emissions</t>
        </is>
      </c>
      <c r="O929" t="b">
        <v>1</v>
      </c>
      <c r="P929" t="n">
        <v>-0.025393</v>
      </c>
      <c r="Q929" t="n">
        <v>0.002702</v>
      </c>
      <c r="R929" t="n">
        <v>4932.4679</v>
      </c>
      <c r="S929" t="n">
        <v>14074.9315</v>
      </c>
      <c r="T929" t="n">
        <v>1271.9668</v>
      </c>
      <c r="U929" t="n">
        <v>10414.4304</v>
      </c>
      <c r="V929" t="n">
        <v>0.347484</v>
      </c>
      <c r="W929" t="n">
        <v>2.845083</v>
      </c>
      <c r="X929" t="inlineStr">
        <is>
          <t>High</t>
        </is>
      </c>
      <c r="Y929" t="inlineStr">
        <is>
          <t>None</t>
        </is>
      </c>
      <c r="Z929" t="inlineStr">
        <is>
          <t>Valid</t>
        </is>
      </c>
      <c r="AA929" t="n">
        <v>2040</v>
      </c>
      <c r="AB929" t="inlineStr">
        <is>
          <t>Industry Haircut Pathway</t>
        </is>
      </c>
      <c r="AC929" t="n">
        <v>4613.9565</v>
      </c>
      <c r="AD929" t="n">
        <v>3150.8709</v>
      </c>
      <c r="AE929" t="n">
        <v>3150.8709</v>
      </c>
      <c r="AF929" t="n">
        <v>3150.8709</v>
      </c>
      <c r="AG929" t="n">
        <v>1463.0856</v>
      </c>
      <c r="AH929" t="n">
        <v>0.00018666</v>
      </c>
      <c r="AI929" t="n">
        <v>0.3171</v>
      </c>
      <c r="AJ929" t="n">
        <v>0</v>
      </c>
      <c r="AK929" t="n">
        <v>97.539</v>
      </c>
      <c r="AL929" t="n">
        <v>-32971.7946</v>
      </c>
      <c r="AM929" t="n">
        <v>51877.02</v>
      </c>
      <c r="AN929" t="n">
        <v>0.95</v>
      </c>
      <c r="AO929" t="inlineStr">
        <is>
          <t>Low</t>
        </is>
      </c>
      <c r="AP929" t="inlineStr">
        <is>
          <t>On Track</t>
        </is>
      </c>
    </row>
    <row r="930">
      <c r="A930" t="inlineStr">
        <is>
          <t>SUP-0059</t>
        </is>
      </c>
      <c r="B930" t="inlineStr">
        <is>
          <t>Agriculture Supplier 059</t>
        </is>
      </c>
      <c r="C930" t="inlineStr">
        <is>
          <t>Agriculture</t>
        </is>
      </c>
      <c r="D930" t="n">
        <v>2024</v>
      </c>
      <c r="E930" t="n">
        <v>2021</v>
      </c>
      <c r="F930" t="n">
        <v>2030</v>
      </c>
      <c r="G930" t="n">
        <v>11355.498</v>
      </c>
      <c r="H930" t="n">
        <v>1747.988</v>
      </c>
      <c r="I930" t="n">
        <v>1053.9191</v>
      </c>
      <c r="J930" t="n">
        <v>9018.0995</v>
      </c>
      <c r="K930" t="n">
        <v>26467142.02</v>
      </c>
      <c r="L930" t="n">
        <v>151629388.58</v>
      </c>
      <c r="M930" t="n">
        <v>11355.498</v>
      </c>
      <c r="N930" t="inlineStr">
        <is>
          <t>Provided Total Emissions</t>
        </is>
      </c>
      <c r="O930" t="b">
        <v>1</v>
      </c>
      <c r="P930" t="n">
        <v>0.01494</v>
      </c>
      <c r="Q930" t="n">
        <v>0.048761</v>
      </c>
      <c r="R930" t="n">
        <v>24194.4085</v>
      </c>
      <c r="S930" t="n">
        <v>146948.5894</v>
      </c>
      <c r="T930" t="n">
        <v>12838.9105</v>
      </c>
      <c r="U930" t="n">
        <v>135593.0914</v>
      </c>
      <c r="V930" t="n">
        <v>1.130634</v>
      </c>
      <c r="W930" t="n">
        <v>11.940744</v>
      </c>
      <c r="X930" t="inlineStr">
        <is>
          <t>High</t>
        </is>
      </c>
      <c r="Y930" t="inlineStr">
        <is>
          <t>None</t>
        </is>
      </c>
      <c r="Z930" t="inlineStr">
        <is>
          <t>Valid</t>
        </is>
      </c>
      <c r="AA930" t="n">
        <v>2025</v>
      </c>
      <c r="AB930" t="inlineStr">
        <is>
          <t>Supplier Target Pathway</t>
        </is>
      </c>
      <c r="AC930" t="n">
        <v>9370.181500000001</v>
      </c>
      <c r="AD930" t="n">
        <v>4731.9417</v>
      </c>
      <c r="AE930" t="n">
        <v>7308.7416</v>
      </c>
      <c r="AF930" t="n">
        <v>7308.7416</v>
      </c>
      <c r="AG930" t="n">
        <v>2061.4399</v>
      </c>
      <c r="AH930" t="n">
        <v>0.00027614</v>
      </c>
      <c r="AI930" t="n">
        <v>0.22</v>
      </c>
      <c r="AJ930" t="n">
        <v>2576.7999</v>
      </c>
      <c r="AK930" t="n">
        <v>515.36</v>
      </c>
      <c r="AL930" t="n">
        <v>21082.9086</v>
      </c>
      <c r="AM930" t="n">
        <v>7308.7416</v>
      </c>
      <c r="AN930" t="n">
        <v>0.99</v>
      </c>
      <c r="AO930" t="inlineStr">
        <is>
          <t>Critical</t>
        </is>
      </c>
      <c r="AP930" t="inlineStr">
        <is>
          <t>On Track to Glide Path</t>
        </is>
      </c>
    </row>
    <row r="931">
      <c r="A931" t="inlineStr">
        <is>
          <t>SUP-0059</t>
        </is>
      </c>
      <c r="B931" t="inlineStr">
        <is>
          <t>Agriculture Supplier 059</t>
        </is>
      </c>
      <c r="C931" t="inlineStr">
        <is>
          <t>Agriculture</t>
        </is>
      </c>
      <c r="D931" t="n">
        <v>2024</v>
      </c>
      <c r="E931" t="n">
        <v>2021</v>
      </c>
      <c r="F931" t="n">
        <v>2030</v>
      </c>
      <c r="G931" t="n">
        <v>11355.498</v>
      </c>
      <c r="H931" t="n">
        <v>1747.988</v>
      </c>
      <c r="I931" t="n">
        <v>1053.9191</v>
      </c>
      <c r="J931" t="n">
        <v>9018.0995</v>
      </c>
      <c r="K931" t="n">
        <v>26467142.02</v>
      </c>
      <c r="L931" t="n">
        <v>151629388.58</v>
      </c>
      <c r="M931" t="n">
        <v>11355.498</v>
      </c>
      <c r="N931" t="inlineStr">
        <is>
          <t>Provided Total Emissions</t>
        </is>
      </c>
      <c r="O931" t="b">
        <v>1</v>
      </c>
      <c r="P931" t="n">
        <v>0.01494</v>
      </c>
      <c r="Q931" t="n">
        <v>0.048761</v>
      </c>
      <c r="R931" t="n">
        <v>24194.4085</v>
      </c>
      <c r="S931" t="n">
        <v>146948.5894</v>
      </c>
      <c r="T931" t="n">
        <v>12838.9105</v>
      </c>
      <c r="U931" t="n">
        <v>135593.0914</v>
      </c>
      <c r="V931" t="n">
        <v>1.130634</v>
      </c>
      <c r="W931" t="n">
        <v>11.940744</v>
      </c>
      <c r="X931" t="inlineStr">
        <is>
          <t>High</t>
        </is>
      </c>
      <c r="Y931" t="inlineStr">
        <is>
          <t>None</t>
        </is>
      </c>
      <c r="Z931" t="inlineStr">
        <is>
          <t>Valid</t>
        </is>
      </c>
      <c r="AA931" t="n">
        <v>2026</v>
      </c>
      <c r="AB931" t="inlineStr">
        <is>
          <t>Supplier Target Pathway</t>
        </is>
      </c>
      <c r="AC931" t="n">
        <v>9370.181500000001</v>
      </c>
      <c r="AD931" t="n">
        <v>4731.9417</v>
      </c>
      <c r="AE931" t="n">
        <v>6793.3816</v>
      </c>
      <c r="AF931" t="n">
        <v>6793.3816</v>
      </c>
      <c r="AG931" t="n">
        <v>2576.7999</v>
      </c>
      <c r="AH931" t="n">
        <v>0.00025667</v>
      </c>
      <c r="AI931" t="n">
        <v>0.275</v>
      </c>
      <c r="AJ931" t="n">
        <v>2061.4399</v>
      </c>
      <c r="AK931" t="n">
        <v>515.36</v>
      </c>
      <c r="AL931" t="n">
        <v>14289.527</v>
      </c>
      <c r="AM931" t="n">
        <v>14102.1232</v>
      </c>
      <c r="AN931" t="n">
        <v>0.99</v>
      </c>
      <c r="AO931" t="inlineStr">
        <is>
          <t>Critical</t>
        </is>
      </c>
      <c r="AP931" t="inlineStr">
        <is>
          <t>On Track to Glide Path</t>
        </is>
      </c>
    </row>
    <row r="932">
      <c r="A932" t="inlineStr">
        <is>
          <t>SUP-0059</t>
        </is>
      </c>
      <c r="B932" t="inlineStr">
        <is>
          <t>Agriculture Supplier 059</t>
        </is>
      </c>
      <c r="C932" t="inlineStr">
        <is>
          <t>Agriculture</t>
        </is>
      </c>
      <c r="D932" t="n">
        <v>2024</v>
      </c>
      <c r="E932" t="n">
        <v>2021</v>
      </c>
      <c r="F932" t="n">
        <v>2030</v>
      </c>
      <c r="G932" t="n">
        <v>11355.498</v>
      </c>
      <c r="H932" t="n">
        <v>1747.988</v>
      </c>
      <c r="I932" t="n">
        <v>1053.9191</v>
      </c>
      <c r="J932" t="n">
        <v>9018.0995</v>
      </c>
      <c r="K932" t="n">
        <v>26467142.02</v>
      </c>
      <c r="L932" t="n">
        <v>151629388.58</v>
      </c>
      <c r="M932" t="n">
        <v>11355.498</v>
      </c>
      <c r="N932" t="inlineStr">
        <is>
          <t>Provided Total Emissions</t>
        </is>
      </c>
      <c r="O932" t="b">
        <v>1</v>
      </c>
      <c r="P932" t="n">
        <v>0.01494</v>
      </c>
      <c r="Q932" t="n">
        <v>0.048761</v>
      </c>
      <c r="R932" t="n">
        <v>24194.4085</v>
      </c>
      <c r="S932" t="n">
        <v>146948.5894</v>
      </c>
      <c r="T932" t="n">
        <v>12838.9105</v>
      </c>
      <c r="U932" t="n">
        <v>135593.0914</v>
      </c>
      <c r="V932" t="n">
        <v>1.130634</v>
      </c>
      <c r="W932" t="n">
        <v>11.940744</v>
      </c>
      <c r="X932" t="inlineStr">
        <is>
          <t>High</t>
        </is>
      </c>
      <c r="Y932" t="inlineStr">
        <is>
          <t>None</t>
        </is>
      </c>
      <c r="Z932" t="inlineStr">
        <is>
          <t>Valid</t>
        </is>
      </c>
      <c r="AA932" t="n">
        <v>2027</v>
      </c>
      <c r="AB932" t="inlineStr">
        <is>
          <t>Supplier Target Pathway</t>
        </is>
      </c>
      <c r="AC932" t="n">
        <v>9370.181500000001</v>
      </c>
      <c r="AD932" t="n">
        <v>4731.9417</v>
      </c>
      <c r="AE932" t="n">
        <v>6278.0216</v>
      </c>
      <c r="AF932" t="n">
        <v>6278.0216</v>
      </c>
      <c r="AG932" t="n">
        <v>3092.1599</v>
      </c>
      <c r="AH932" t="n">
        <v>0.0002372</v>
      </c>
      <c r="AI932" t="n">
        <v>0.33</v>
      </c>
      <c r="AJ932" t="n">
        <v>1546.0799</v>
      </c>
      <c r="AK932" t="n">
        <v>515.36</v>
      </c>
      <c r="AL932" t="n">
        <v>8011.5054</v>
      </c>
      <c r="AM932" t="n">
        <v>20380.1448</v>
      </c>
      <c r="AN932" t="n">
        <v>0.99</v>
      </c>
      <c r="AO932" t="inlineStr">
        <is>
          <t>High</t>
        </is>
      </c>
      <c r="AP932" t="inlineStr">
        <is>
          <t>On Track to Glide Path</t>
        </is>
      </c>
    </row>
    <row r="933">
      <c r="A933" t="inlineStr">
        <is>
          <t>SUP-0059</t>
        </is>
      </c>
      <c r="B933" t="inlineStr">
        <is>
          <t>Agriculture Supplier 059</t>
        </is>
      </c>
      <c r="C933" t="inlineStr">
        <is>
          <t>Agriculture</t>
        </is>
      </c>
      <c r="D933" t="n">
        <v>2024</v>
      </c>
      <c r="E933" t="n">
        <v>2021</v>
      </c>
      <c r="F933" t="n">
        <v>2030</v>
      </c>
      <c r="G933" t="n">
        <v>11355.498</v>
      </c>
      <c r="H933" t="n">
        <v>1747.988</v>
      </c>
      <c r="I933" t="n">
        <v>1053.9191</v>
      </c>
      <c r="J933" t="n">
        <v>9018.0995</v>
      </c>
      <c r="K933" t="n">
        <v>26467142.02</v>
      </c>
      <c r="L933" t="n">
        <v>151629388.58</v>
      </c>
      <c r="M933" t="n">
        <v>11355.498</v>
      </c>
      <c r="N933" t="inlineStr">
        <is>
          <t>Provided Total Emissions</t>
        </is>
      </c>
      <c r="O933" t="b">
        <v>1</v>
      </c>
      <c r="P933" t="n">
        <v>0.01494</v>
      </c>
      <c r="Q933" t="n">
        <v>0.048761</v>
      </c>
      <c r="R933" t="n">
        <v>24194.4085</v>
      </c>
      <c r="S933" t="n">
        <v>146948.5894</v>
      </c>
      <c r="T933" t="n">
        <v>12838.9105</v>
      </c>
      <c r="U933" t="n">
        <v>135593.0914</v>
      </c>
      <c r="V933" t="n">
        <v>1.130634</v>
      </c>
      <c r="W933" t="n">
        <v>11.940744</v>
      </c>
      <c r="X933" t="inlineStr">
        <is>
          <t>High</t>
        </is>
      </c>
      <c r="Y933" t="inlineStr">
        <is>
          <t>None</t>
        </is>
      </c>
      <c r="Z933" t="inlineStr">
        <is>
          <t>Valid</t>
        </is>
      </c>
      <c r="AA933" t="n">
        <v>2028</v>
      </c>
      <c r="AB933" t="inlineStr">
        <is>
          <t>Supplier Target Pathway</t>
        </is>
      </c>
      <c r="AC933" t="n">
        <v>9370.181500000001</v>
      </c>
      <c r="AD933" t="n">
        <v>4731.9417</v>
      </c>
      <c r="AE933" t="n">
        <v>5762.6616</v>
      </c>
      <c r="AF933" t="n">
        <v>5762.6616</v>
      </c>
      <c r="AG933" t="n">
        <v>3607.5199</v>
      </c>
      <c r="AH933" t="n">
        <v>0.00021773</v>
      </c>
      <c r="AI933" t="n">
        <v>0.385</v>
      </c>
      <c r="AJ933" t="n">
        <v>1030.72</v>
      </c>
      <c r="AK933" t="n">
        <v>515.36</v>
      </c>
      <c r="AL933" t="n">
        <v>2248.8438</v>
      </c>
      <c r="AM933" t="n">
        <v>26142.8064</v>
      </c>
      <c r="AN933" t="n">
        <v>0.99</v>
      </c>
      <c r="AO933" t="inlineStr">
        <is>
          <t>High</t>
        </is>
      </c>
      <c r="AP933" t="inlineStr">
        <is>
          <t>On Track to Glide Path</t>
        </is>
      </c>
    </row>
    <row r="934">
      <c r="A934" t="inlineStr">
        <is>
          <t>SUP-0059</t>
        </is>
      </c>
      <c r="B934" t="inlineStr">
        <is>
          <t>Agriculture Supplier 059</t>
        </is>
      </c>
      <c r="C934" t="inlineStr">
        <is>
          <t>Agriculture</t>
        </is>
      </c>
      <c r="D934" t="n">
        <v>2024</v>
      </c>
      <c r="E934" t="n">
        <v>2021</v>
      </c>
      <c r="F934" t="n">
        <v>2030</v>
      </c>
      <c r="G934" t="n">
        <v>11355.498</v>
      </c>
      <c r="H934" t="n">
        <v>1747.988</v>
      </c>
      <c r="I934" t="n">
        <v>1053.9191</v>
      </c>
      <c r="J934" t="n">
        <v>9018.0995</v>
      </c>
      <c r="K934" t="n">
        <v>26467142.02</v>
      </c>
      <c r="L934" t="n">
        <v>151629388.58</v>
      </c>
      <c r="M934" t="n">
        <v>11355.498</v>
      </c>
      <c r="N934" t="inlineStr">
        <is>
          <t>Provided Total Emissions</t>
        </is>
      </c>
      <c r="O934" t="b">
        <v>1</v>
      </c>
      <c r="P934" t="n">
        <v>0.01494</v>
      </c>
      <c r="Q934" t="n">
        <v>0.048761</v>
      </c>
      <c r="R934" t="n">
        <v>24194.4085</v>
      </c>
      <c r="S934" t="n">
        <v>146948.5894</v>
      </c>
      <c r="T934" t="n">
        <v>12838.9105</v>
      </c>
      <c r="U934" t="n">
        <v>135593.0914</v>
      </c>
      <c r="V934" t="n">
        <v>1.130634</v>
      </c>
      <c r="W934" t="n">
        <v>11.940744</v>
      </c>
      <c r="X934" t="inlineStr">
        <is>
          <t>High</t>
        </is>
      </c>
      <c r="Y934" t="inlineStr">
        <is>
          <t>None</t>
        </is>
      </c>
      <c r="Z934" t="inlineStr">
        <is>
          <t>Valid</t>
        </is>
      </c>
      <c r="AA934" t="n">
        <v>2029</v>
      </c>
      <c r="AB934" t="inlineStr">
        <is>
          <t>Supplier Target Pathway</t>
        </is>
      </c>
      <c r="AC934" t="n">
        <v>9370.181500000001</v>
      </c>
      <c r="AD934" t="n">
        <v>4731.9417</v>
      </c>
      <c r="AE934" t="n">
        <v>5247.3016</v>
      </c>
      <c r="AF934" t="n">
        <v>5247.3016</v>
      </c>
      <c r="AG934" t="n">
        <v>4122.8799</v>
      </c>
      <c r="AH934" t="n">
        <v>0.00019826</v>
      </c>
      <c r="AI934" t="n">
        <v>0.44</v>
      </c>
      <c r="AJ934" t="n">
        <v>515.36</v>
      </c>
      <c r="AK934" t="n">
        <v>515.36</v>
      </c>
      <c r="AL934" t="n">
        <v>-2998.4578</v>
      </c>
      <c r="AM934" t="n">
        <v>31390.108</v>
      </c>
      <c r="AN934" t="n">
        <v>0.99</v>
      </c>
      <c r="AO934" t="inlineStr">
        <is>
          <t>Medium</t>
        </is>
      </c>
      <c r="AP934" t="inlineStr">
        <is>
          <t>On Track to Glide Path</t>
        </is>
      </c>
    </row>
    <row r="935">
      <c r="A935" t="inlineStr">
        <is>
          <t>SUP-0059</t>
        </is>
      </c>
      <c r="B935" t="inlineStr">
        <is>
          <t>Agriculture Supplier 059</t>
        </is>
      </c>
      <c r="C935" t="inlineStr">
        <is>
          <t>Agriculture</t>
        </is>
      </c>
      <c r="D935" t="n">
        <v>2024</v>
      </c>
      <c r="E935" t="n">
        <v>2021</v>
      </c>
      <c r="F935" t="n">
        <v>2030</v>
      </c>
      <c r="G935" t="n">
        <v>11355.498</v>
      </c>
      <c r="H935" t="n">
        <v>1747.988</v>
      </c>
      <c r="I935" t="n">
        <v>1053.9191</v>
      </c>
      <c r="J935" t="n">
        <v>9018.0995</v>
      </c>
      <c r="K935" t="n">
        <v>26467142.02</v>
      </c>
      <c r="L935" t="n">
        <v>151629388.58</v>
      </c>
      <c r="M935" t="n">
        <v>11355.498</v>
      </c>
      <c r="N935" t="inlineStr">
        <is>
          <t>Provided Total Emissions</t>
        </is>
      </c>
      <c r="O935" t="b">
        <v>1</v>
      </c>
      <c r="P935" t="n">
        <v>0.01494</v>
      </c>
      <c r="Q935" t="n">
        <v>0.048761</v>
      </c>
      <c r="R935" t="n">
        <v>24194.4085</v>
      </c>
      <c r="S935" t="n">
        <v>146948.5894</v>
      </c>
      <c r="T935" t="n">
        <v>12838.9105</v>
      </c>
      <c r="U935" t="n">
        <v>135593.0914</v>
      </c>
      <c r="V935" t="n">
        <v>1.130634</v>
      </c>
      <c r="W935" t="n">
        <v>11.940744</v>
      </c>
      <c r="X935" t="inlineStr">
        <is>
          <t>High</t>
        </is>
      </c>
      <c r="Y935" t="inlineStr">
        <is>
          <t>None</t>
        </is>
      </c>
      <c r="Z935" t="inlineStr">
        <is>
          <t>Valid</t>
        </is>
      </c>
      <c r="AA935" t="n">
        <v>2030</v>
      </c>
      <c r="AB935" t="inlineStr">
        <is>
          <t>Supplier Target Pathway</t>
        </is>
      </c>
      <c r="AC935" t="n">
        <v>9370.181500000001</v>
      </c>
      <c r="AD935" t="n">
        <v>4731.9417</v>
      </c>
      <c r="AE935" t="n">
        <v>4731.9417</v>
      </c>
      <c r="AF935" t="n">
        <v>4731.9417</v>
      </c>
      <c r="AG935" t="n">
        <v>4638.2398</v>
      </c>
      <c r="AH935" t="n">
        <v>0.00017879</v>
      </c>
      <c r="AI935" t="n">
        <v>0.495</v>
      </c>
      <c r="AJ935" t="n">
        <v>0</v>
      </c>
      <c r="AK935" t="n">
        <v>515.36</v>
      </c>
      <c r="AL935" t="n">
        <v>-7730.3995</v>
      </c>
      <c r="AM935" t="n">
        <v>36122.0497</v>
      </c>
      <c r="AN935" t="n">
        <v>0.99</v>
      </c>
      <c r="AO935" t="inlineStr">
        <is>
          <t>Low</t>
        </is>
      </c>
      <c r="AP935" t="inlineStr">
        <is>
          <t>On Track</t>
        </is>
      </c>
    </row>
    <row r="936">
      <c r="A936" t="inlineStr">
        <is>
          <t>SUP-0059</t>
        </is>
      </c>
      <c r="B936" t="inlineStr">
        <is>
          <t>Agriculture Supplier 059</t>
        </is>
      </c>
      <c r="C936" t="inlineStr">
        <is>
          <t>Agriculture</t>
        </is>
      </c>
      <c r="D936" t="n">
        <v>2024</v>
      </c>
      <c r="E936" t="n">
        <v>2021</v>
      </c>
      <c r="F936" t="n">
        <v>2030</v>
      </c>
      <c r="G936" t="n">
        <v>11355.498</v>
      </c>
      <c r="H936" t="n">
        <v>1747.988</v>
      </c>
      <c r="I936" t="n">
        <v>1053.9191</v>
      </c>
      <c r="J936" t="n">
        <v>9018.0995</v>
      </c>
      <c r="K936" t="n">
        <v>26467142.02</v>
      </c>
      <c r="L936" t="n">
        <v>151629388.58</v>
      </c>
      <c r="M936" t="n">
        <v>11355.498</v>
      </c>
      <c r="N936" t="inlineStr">
        <is>
          <t>Provided Total Emissions</t>
        </is>
      </c>
      <c r="O936" t="b">
        <v>1</v>
      </c>
      <c r="P936" t="n">
        <v>0.01494</v>
      </c>
      <c r="Q936" t="n">
        <v>0.048761</v>
      </c>
      <c r="R936" t="n">
        <v>24194.4085</v>
      </c>
      <c r="S936" t="n">
        <v>146948.5894</v>
      </c>
      <c r="T936" t="n">
        <v>12838.9105</v>
      </c>
      <c r="U936" t="n">
        <v>135593.0914</v>
      </c>
      <c r="V936" t="n">
        <v>1.130634</v>
      </c>
      <c r="W936" t="n">
        <v>11.940744</v>
      </c>
      <c r="X936" t="inlineStr">
        <is>
          <t>High</t>
        </is>
      </c>
      <c r="Y936" t="inlineStr">
        <is>
          <t>None</t>
        </is>
      </c>
      <c r="Z936" t="inlineStr">
        <is>
          <t>Valid</t>
        </is>
      </c>
      <c r="AA936" t="n">
        <v>2031</v>
      </c>
      <c r="AB936" t="inlineStr">
        <is>
          <t>Supplier Target Pathway</t>
        </is>
      </c>
      <c r="AC936" t="n">
        <v>9370.181500000001</v>
      </c>
      <c r="AD936" t="n">
        <v>4731.9417</v>
      </c>
      <c r="AE936" t="n">
        <v>4731.9417</v>
      </c>
      <c r="AF936" t="n">
        <v>4731.9417</v>
      </c>
      <c r="AG936" t="n">
        <v>4638.2398</v>
      </c>
      <c r="AH936" t="n">
        <v>0.00017879</v>
      </c>
      <c r="AI936" t="n">
        <v>0.495</v>
      </c>
      <c r="AJ936" t="n">
        <v>0</v>
      </c>
      <c r="AK936" t="n">
        <v>515.36</v>
      </c>
      <c r="AL936" t="n">
        <v>-12462.3412</v>
      </c>
      <c r="AM936" t="n">
        <v>40853.9914</v>
      </c>
      <c r="AN936" t="n">
        <v>0.99</v>
      </c>
      <c r="AO936" t="inlineStr">
        <is>
          <t>Low</t>
        </is>
      </c>
      <c r="AP936" t="inlineStr">
        <is>
          <t>On Track</t>
        </is>
      </c>
    </row>
    <row r="937">
      <c r="A937" t="inlineStr">
        <is>
          <t>SUP-0059</t>
        </is>
      </c>
      <c r="B937" t="inlineStr">
        <is>
          <t>Agriculture Supplier 059</t>
        </is>
      </c>
      <c r="C937" t="inlineStr">
        <is>
          <t>Agriculture</t>
        </is>
      </c>
      <c r="D937" t="n">
        <v>2024</v>
      </c>
      <c r="E937" t="n">
        <v>2021</v>
      </c>
      <c r="F937" t="n">
        <v>2030</v>
      </c>
      <c r="G937" t="n">
        <v>11355.498</v>
      </c>
      <c r="H937" t="n">
        <v>1747.988</v>
      </c>
      <c r="I937" t="n">
        <v>1053.9191</v>
      </c>
      <c r="J937" t="n">
        <v>9018.0995</v>
      </c>
      <c r="K937" t="n">
        <v>26467142.02</v>
      </c>
      <c r="L937" t="n">
        <v>151629388.58</v>
      </c>
      <c r="M937" t="n">
        <v>11355.498</v>
      </c>
      <c r="N937" t="inlineStr">
        <is>
          <t>Provided Total Emissions</t>
        </is>
      </c>
      <c r="O937" t="b">
        <v>1</v>
      </c>
      <c r="P937" t="n">
        <v>0.01494</v>
      </c>
      <c r="Q937" t="n">
        <v>0.048761</v>
      </c>
      <c r="R937" t="n">
        <v>24194.4085</v>
      </c>
      <c r="S937" t="n">
        <v>146948.5894</v>
      </c>
      <c r="T937" t="n">
        <v>12838.9105</v>
      </c>
      <c r="U937" t="n">
        <v>135593.0914</v>
      </c>
      <c r="V937" t="n">
        <v>1.130634</v>
      </c>
      <c r="W937" t="n">
        <v>11.940744</v>
      </c>
      <c r="X937" t="inlineStr">
        <is>
          <t>High</t>
        </is>
      </c>
      <c r="Y937" t="inlineStr">
        <is>
          <t>None</t>
        </is>
      </c>
      <c r="Z937" t="inlineStr">
        <is>
          <t>Valid</t>
        </is>
      </c>
      <c r="AA937" t="n">
        <v>2032</v>
      </c>
      <c r="AB937" t="inlineStr">
        <is>
          <t>Supplier Target Pathway</t>
        </is>
      </c>
      <c r="AC937" t="n">
        <v>9370.181500000001</v>
      </c>
      <c r="AD937" t="n">
        <v>4731.9417</v>
      </c>
      <c r="AE937" t="n">
        <v>4731.9417</v>
      </c>
      <c r="AF937" t="n">
        <v>4731.9417</v>
      </c>
      <c r="AG937" t="n">
        <v>4638.2398</v>
      </c>
      <c r="AH937" t="n">
        <v>0.00017879</v>
      </c>
      <c r="AI937" t="n">
        <v>0.495</v>
      </c>
      <c r="AJ937" t="n">
        <v>0</v>
      </c>
      <c r="AK937" t="n">
        <v>515.36</v>
      </c>
      <c r="AL937" t="n">
        <v>-17194.2829</v>
      </c>
      <c r="AM937" t="n">
        <v>45585.9331</v>
      </c>
      <c r="AN937" t="n">
        <v>0.99</v>
      </c>
      <c r="AO937" t="inlineStr">
        <is>
          <t>Low</t>
        </is>
      </c>
      <c r="AP937" t="inlineStr">
        <is>
          <t>On Track</t>
        </is>
      </c>
    </row>
    <row r="938">
      <c r="A938" t="inlineStr">
        <is>
          <t>SUP-0059</t>
        </is>
      </c>
      <c r="B938" t="inlineStr">
        <is>
          <t>Agriculture Supplier 059</t>
        </is>
      </c>
      <c r="C938" t="inlineStr">
        <is>
          <t>Agriculture</t>
        </is>
      </c>
      <c r="D938" t="n">
        <v>2024</v>
      </c>
      <c r="E938" t="n">
        <v>2021</v>
      </c>
      <c r="F938" t="n">
        <v>2030</v>
      </c>
      <c r="G938" t="n">
        <v>11355.498</v>
      </c>
      <c r="H938" t="n">
        <v>1747.988</v>
      </c>
      <c r="I938" t="n">
        <v>1053.9191</v>
      </c>
      <c r="J938" t="n">
        <v>9018.0995</v>
      </c>
      <c r="K938" t="n">
        <v>26467142.02</v>
      </c>
      <c r="L938" t="n">
        <v>151629388.58</v>
      </c>
      <c r="M938" t="n">
        <v>11355.498</v>
      </c>
      <c r="N938" t="inlineStr">
        <is>
          <t>Provided Total Emissions</t>
        </is>
      </c>
      <c r="O938" t="b">
        <v>1</v>
      </c>
      <c r="P938" t="n">
        <v>0.01494</v>
      </c>
      <c r="Q938" t="n">
        <v>0.048761</v>
      </c>
      <c r="R938" t="n">
        <v>24194.4085</v>
      </c>
      <c r="S938" t="n">
        <v>146948.5894</v>
      </c>
      <c r="T938" t="n">
        <v>12838.9105</v>
      </c>
      <c r="U938" t="n">
        <v>135593.0914</v>
      </c>
      <c r="V938" t="n">
        <v>1.130634</v>
      </c>
      <c r="W938" t="n">
        <v>11.940744</v>
      </c>
      <c r="X938" t="inlineStr">
        <is>
          <t>High</t>
        </is>
      </c>
      <c r="Y938" t="inlineStr">
        <is>
          <t>None</t>
        </is>
      </c>
      <c r="Z938" t="inlineStr">
        <is>
          <t>Valid</t>
        </is>
      </c>
      <c r="AA938" t="n">
        <v>2033</v>
      </c>
      <c r="AB938" t="inlineStr">
        <is>
          <t>Supplier Target Pathway</t>
        </is>
      </c>
      <c r="AC938" t="n">
        <v>9370.181500000001</v>
      </c>
      <c r="AD938" t="n">
        <v>4731.9417</v>
      </c>
      <c r="AE938" t="n">
        <v>4731.9417</v>
      </c>
      <c r="AF938" t="n">
        <v>4731.9417</v>
      </c>
      <c r="AG938" t="n">
        <v>4638.2398</v>
      </c>
      <c r="AH938" t="n">
        <v>0.00017879</v>
      </c>
      <c r="AI938" t="n">
        <v>0.495</v>
      </c>
      <c r="AJ938" t="n">
        <v>0</v>
      </c>
      <c r="AK938" t="n">
        <v>515.36</v>
      </c>
      <c r="AL938" t="n">
        <v>-21926.2246</v>
      </c>
      <c r="AM938" t="n">
        <v>50317.8748</v>
      </c>
      <c r="AN938" t="n">
        <v>0.99</v>
      </c>
      <c r="AO938" t="inlineStr">
        <is>
          <t>Low</t>
        </is>
      </c>
      <c r="AP938" t="inlineStr">
        <is>
          <t>On Track</t>
        </is>
      </c>
    </row>
    <row r="939">
      <c r="A939" t="inlineStr">
        <is>
          <t>SUP-0059</t>
        </is>
      </c>
      <c r="B939" t="inlineStr">
        <is>
          <t>Agriculture Supplier 059</t>
        </is>
      </c>
      <c r="C939" t="inlineStr">
        <is>
          <t>Agriculture</t>
        </is>
      </c>
      <c r="D939" t="n">
        <v>2024</v>
      </c>
      <c r="E939" t="n">
        <v>2021</v>
      </c>
      <c r="F939" t="n">
        <v>2030</v>
      </c>
      <c r="G939" t="n">
        <v>11355.498</v>
      </c>
      <c r="H939" t="n">
        <v>1747.988</v>
      </c>
      <c r="I939" t="n">
        <v>1053.9191</v>
      </c>
      <c r="J939" t="n">
        <v>9018.0995</v>
      </c>
      <c r="K939" t="n">
        <v>26467142.02</v>
      </c>
      <c r="L939" t="n">
        <v>151629388.58</v>
      </c>
      <c r="M939" t="n">
        <v>11355.498</v>
      </c>
      <c r="N939" t="inlineStr">
        <is>
          <t>Provided Total Emissions</t>
        </is>
      </c>
      <c r="O939" t="b">
        <v>1</v>
      </c>
      <c r="P939" t="n">
        <v>0.01494</v>
      </c>
      <c r="Q939" t="n">
        <v>0.048761</v>
      </c>
      <c r="R939" t="n">
        <v>24194.4085</v>
      </c>
      <c r="S939" t="n">
        <v>146948.5894</v>
      </c>
      <c r="T939" t="n">
        <v>12838.9105</v>
      </c>
      <c r="U939" t="n">
        <v>135593.0914</v>
      </c>
      <c r="V939" t="n">
        <v>1.130634</v>
      </c>
      <c r="W939" t="n">
        <v>11.940744</v>
      </c>
      <c r="X939" t="inlineStr">
        <is>
          <t>High</t>
        </is>
      </c>
      <c r="Y939" t="inlineStr">
        <is>
          <t>None</t>
        </is>
      </c>
      <c r="Z939" t="inlineStr">
        <is>
          <t>Valid</t>
        </is>
      </c>
      <c r="AA939" t="n">
        <v>2034</v>
      </c>
      <c r="AB939" t="inlineStr">
        <is>
          <t>Supplier Target Pathway</t>
        </is>
      </c>
      <c r="AC939" t="n">
        <v>9370.181500000001</v>
      </c>
      <c r="AD939" t="n">
        <v>4731.9417</v>
      </c>
      <c r="AE939" t="n">
        <v>4731.9417</v>
      </c>
      <c r="AF939" t="n">
        <v>4731.9417</v>
      </c>
      <c r="AG939" t="n">
        <v>4638.2398</v>
      </c>
      <c r="AH939" t="n">
        <v>0.00017879</v>
      </c>
      <c r="AI939" t="n">
        <v>0.495</v>
      </c>
      <c r="AJ939" t="n">
        <v>0</v>
      </c>
      <c r="AK939" t="n">
        <v>515.36</v>
      </c>
      <c r="AL939" t="n">
        <v>-26658.1663</v>
      </c>
      <c r="AM939" t="n">
        <v>55049.8165</v>
      </c>
      <c r="AN939" t="n">
        <v>0.99</v>
      </c>
      <c r="AO939" t="inlineStr">
        <is>
          <t>Low</t>
        </is>
      </c>
      <c r="AP939" t="inlineStr">
        <is>
          <t>On Track</t>
        </is>
      </c>
    </row>
    <row r="940">
      <c r="A940" t="inlineStr">
        <is>
          <t>SUP-0059</t>
        </is>
      </c>
      <c r="B940" t="inlineStr">
        <is>
          <t>Agriculture Supplier 059</t>
        </is>
      </c>
      <c r="C940" t="inlineStr">
        <is>
          <t>Agriculture</t>
        </is>
      </c>
      <c r="D940" t="n">
        <v>2024</v>
      </c>
      <c r="E940" t="n">
        <v>2021</v>
      </c>
      <c r="F940" t="n">
        <v>2030</v>
      </c>
      <c r="G940" t="n">
        <v>11355.498</v>
      </c>
      <c r="H940" t="n">
        <v>1747.988</v>
      </c>
      <c r="I940" t="n">
        <v>1053.9191</v>
      </c>
      <c r="J940" t="n">
        <v>9018.0995</v>
      </c>
      <c r="K940" t="n">
        <v>26467142.02</v>
      </c>
      <c r="L940" t="n">
        <v>151629388.58</v>
      </c>
      <c r="M940" t="n">
        <v>11355.498</v>
      </c>
      <c r="N940" t="inlineStr">
        <is>
          <t>Provided Total Emissions</t>
        </is>
      </c>
      <c r="O940" t="b">
        <v>1</v>
      </c>
      <c r="P940" t="n">
        <v>0.01494</v>
      </c>
      <c r="Q940" t="n">
        <v>0.048761</v>
      </c>
      <c r="R940" t="n">
        <v>24194.4085</v>
      </c>
      <c r="S940" t="n">
        <v>146948.5894</v>
      </c>
      <c r="T940" t="n">
        <v>12838.9105</v>
      </c>
      <c r="U940" t="n">
        <v>135593.0914</v>
      </c>
      <c r="V940" t="n">
        <v>1.130634</v>
      </c>
      <c r="W940" t="n">
        <v>11.940744</v>
      </c>
      <c r="X940" t="inlineStr">
        <is>
          <t>High</t>
        </is>
      </c>
      <c r="Y940" t="inlineStr">
        <is>
          <t>None</t>
        </is>
      </c>
      <c r="Z940" t="inlineStr">
        <is>
          <t>Valid</t>
        </is>
      </c>
      <c r="AA940" t="n">
        <v>2035</v>
      </c>
      <c r="AB940" t="inlineStr">
        <is>
          <t>Supplier Target Pathway</t>
        </is>
      </c>
      <c r="AC940" t="n">
        <v>9370.181500000001</v>
      </c>
      <c r="AD940" t="n">
        <v>4731.9417</v>
      </c>
      <c r="AE940" t="n">
        <v>4731.9417</v>
      </c>
      <c r="AF940" t="n">
        <v>4731.9417</v>
      </c>
      <c r="AG940" t="n">
        <v>4638.2398</v>
      </c>
      <c r="AH940" t="n">
        <v>0.00017879</v>
      </c>
      <c r="AI940" t="n">
        <v>0.495</v>
      </c>
      <c r="AJ940" t="n">
        <v>0</v>
      </c>
      <c r="AK940" t="n">
        <v>515.36</v>
      </c>
      <c r="AL940" t="n">
        <v>-31390.108</v>
      </c>
      <c r="AM940" t="n">
        <v>59781.7582</v>
      </c>
      <c r="AN940" t="n">
        <v>0.99</v>
      </c>
      <c r="AO940" t="inlineStr">
        <is>
          <t>Low</t>
        </is>
      </c>
      <c r="AP940" t="inlineStr">
        <is>
          <t>On Track</t>
        </is>
      </c>
    </row>
    <row r="941">
      <c r="A941" t="inlineStr">
        <is>
          <t>SUP-0059</t>
        </is>
      </c>
      <c r="B941" t="inlineStr">
        <is>
          <t>Agriculture Supplier 059</t>
        </is>
      </c>
      <c r="C941" t="inlineStr">
        <is>
          <t>Agriculture</t>
        </is>
      </c>
      <c r="D941" t="n">
        <v>2024</v>
      </c>
      <c r="E941" t="n">
        <v>2021</v>
      </c>
      <c r="F941" t="n">
        <v>2030</v>
      </c>
      <c r="G941" t="n">
        <v>11355.498</v>
      </c>
      <c r="H941" t="n">
        <v>1747.988</v>
      </c>
      <c r="I941" t="n">
        <v>1053.9191</v>
      </c>
      <c r="J941" t="n">
        <v>9018.0995</v>
      </c>
      <c r="K941" t="n">
        <v>26467142.02</v>
      </c>
      <c r="L941" t="n">
        <v>151629388.58</v>
      </c>
      <c r="M941" t="n">
        <v>11355.498</v>
      </c>
      <c r="N941" t="inlineStr">
        <is>
          <t>Provided Total Emissions</t>
        </is>
      </c>
      <c r="O941" t="b">
        <v>1</v>
      </c>
      <c r="P941" t="n">
        <v>0.01494</v>
      </c>
      <c r="Q941" t="n">
        <v>0.048761</v>
      </c>
      <c r="R941" t="n">
        <v>24194.4085</v>
      </c>
      <c r="S941" t="n">
        <v>146948.5894</v>
      </c>
      <c r="T941" t="n">
        <v>12838.9105</v>
      </c>
      <c r="U941" t="n">
        <v>135593.0914</v>
      </c>
      <c r="V941" t="n">
        <v>1.130634</v>
      </c>
      <c r="W941" t="n">
        <v>11.940744</v>
      </c>
      <c r="X941" t="inlineStr">
        <is>
          <t>High</t>
        </is>
      </c>
      <c r="Y941" t="inlineStr">
        <is>
          <t>None</t>
        </is>
      </c>
      <c r="Z941" t="inlineStr">
        <is>
          <t>Valid</t>
        </is>
      </c>
      <c r="AA941" t="n">
        <v>2036</v>
      </c>
      <c r="AB941" t="inlineStr">
        <is>
          <t>Supplier Target Pathway</t>
        </is>
      </c>
      <c r="AC941" t="n">
        <v>9370.181500000001</v>
      </c>
      <c r="AD941" t="n">
        <v>4731.9417</v>
      </c>
      <c r="AE941" t="n">
        <v>4731.9417</v>
      </c>
      <c r="AF941" t="n">
        <v>4731.9417</v>
      </c>
      <c r="AG941" t="n">
        <v>4638.2398</v>
      </c>
      <c r="AH941" t="n">
        <v>0.00017879</v>
      </c>
      <c r="AI941" t="n">
        <v>0.495</v>
      </c>
      <c r="AJ941" t="n">
        <v>0</v>
      </c>
      <c r="AK941" t="n">
        <v>515.36</v>
      </c>
      <c r="AL941" t="n">
        <v>-36122.0497</v>
      </c>
      <c r="AM941" t="n">
        <v>64513.6999</v>
      </c>
      <c r="AN941" t="n">
        <v>0.99</v>
      </c>
      <c r="AO941" t="inlineStr">
        <is>
          <t>Low</t>
        </is>
      </c>
      <c r="AP941" t="inlineStr">
        <is>
          <t>On Track</t>
        </is>
      </c>
    </row>
    <row r="942">
      <c r="A942" t="inlineStr">
        <is>
          <t>SUP-0059</t>
        </is>
      </c>
      <c r="B942" t="inlineStr">
        <is>
          <t>Agriculture Supplier 059</t>
        </is>
      </c>
      <c r="C942" t="inlineStr">
        <is>
          <t>Agriculture</t>
        </is>
      </c>
      <c r="D942" t="n">
        <v>2024</v>
      </c>
      <c r="E942" t="n">
        <v>2021</v>
      </c>
      <c r="F942" t="n">
        <v>2030</v>
      </c>
      <c r="G942" t="n">
        <v>11355.498</v>
      </c>
      <c r="H942" t="n">
        <v>1747.988</v>
      </c>
      <c r="I942" t="n">
        <v>1053.9191</v>
      </c>
      <c r="J942" t="n">
        <v>9018.0995</v>
      </c>
      <c r="K942" t="n">
        <v>26467142.02</v>
      </c>
      <c r="L942" t="n">
        <v>151629388.58</v>
      </c>
      <c r="M942" t="n">
        <v>11355.498</v>
      </c>
      <c r="N942" t="inlineStr">
        <is>
          <t>Provided Total Emissions</t>
        </is>
      </c>
      <c r="O942" t="b">
        <v>1</v>
      </c>
      <c r="P942" t="n">
        <v>0.01494</v>
      </c>
      <c r="Q942" t="n">
        <v>0.048761</v>
      </c>
      <c r="R942" t="n">
        <v>24194.4085</v>
      </c>
      <c r="S942" t="n">
        <v>146948.5894</v>
      </c>
      <c r="T942" t="n">
        <v>12838.9105</v>
      </c>
      <c r="U942" t="n">
        <v>135593.0914</v>
      </c>
      <c r="V942" t="n">
        <v>1.130634</v>
      </c>
      <c r="W942" t="n">
        <v>11.940744</v>
      </c>
      <c r="X942" t="inlineStr">
        <is>
          <t>High</t>
        </is>
      </c>
      <c r="Y942" t="inlineStr">
        <is>
          <t>None</t>
        </is>
      </c>
      <c r="Z942" t="inlineStr">
        <is>
          <t>Valid</t>
        </is>
      </c>
      <c r="AA942" t="n">
        <v>2037</v>
      </c>
      <c r="AB942" t="inlineStr">
        <is>
          <t>Supplier Target Pathway</t>
        </is>
      </c>
      <c r="AC942" t="n">
        <v>9370.181500000001</v>
      </c>
      <c r="AD942" t="n">
        <v>4731.9417</v>
      </c>
      <c r="AE942" t="n">
        <v>4731.9417</v>
      </c>
      <c r="AF942" t="n">
        <v>4731.9417</v>
      </c>
      <c r="AG942" t="n">
        <v>4638.2398</v>
      </c>
      <c r="AH942" t="n">
        <v>0.00017879</v>
      </c>
      <c r="AI942" t="n">
        <v>0.495</v>
      </c>
      <c r="AJ942" t="n">
        <v>0</v>
      </c>
      <c r="AK942" t="n">
        <v>515.36</v>
      </c>
      <c r="AL942" t="n">
        <v>-40853.9914</v>
      </c>
      <c r="AM942" t="n">
        <v>69245.6416</v>
      </c>
      <c r="AN942" t="n">
        <v>0.99</v>
      </c>
      <c r="AO942" t="inlineStr">
        <is>
          <t>Low</t>
        </is>
      </c>
      <c r="AP942" t="inlineStr">
        <is>
          <t>On Track</t>
        </is>
      </c>
    </row>
    <row r="943">
      <c r="A943" t="inlineStr">
        <is>
          <t>SUP-0059</t>
        </is>
      </c>
      <c r="B943" t="inlineStr">
        <is>
          <t>Agriculture Supplier 059</t>
        </is>
      </c>
      <c r="C943" t="inlineStr">
        <is>
          <t>Agriculture</t>
        </is>
      </c>
      <c r="D943" t="n">
        <v>2024</v>
      </c>
      <c r="E943" t="n">
        <v>2021</v>
      </c>
      <c r="F943" t="n">
        <v>2030</v>
      </c>
      <c r="G943" t="n">
        <v>11355.498</v>
      </c>
      <c r="H943" t="n">
        <v>1747.988</v>
      </c>
      <c r="I943" t="n">
        <v>1053.9191</v>
      </c>
      <c r="J943" t="n">
        <v>9018.0995</v>
      </c>
      <c r="K943" t="n">
        <v>26467142.02</v>
      </c>
      <c r="L943" t="n">
        <v>151629388.58</v>
      </c>
      <c r="M943" t="n">
        <v>11355.498</v>
      </c>
      <c r="N943" t="inlineStr">
        <is>
          <t>Provided Total Emissions</t>
        </is>
      </c>
      <c r="O943" t="b">
        <v>1</v>
      </c>
      <c r="P943" t="n">
        <v>0.01494</v>
      </c>
      <c r="Q943" t="n">
        <v>0.048761</v>
      </c>
      <c r="R943" t="n">
        <v>24194.4085</v>
      </c>
      <c r="S943" t="n">
        <v>146948.5894</v>
      </c>
      <c r="T943" t="n">
        <v>12838.9105</v>
      </c>
      <c r="U943" t="n">
        <v>135593.0914</v>
      </c>
      <c r="V943" t="n">
        <v>1.130634</v>
      </c>
      <c r="W943" t="n">
        <v>11.940744</v>
      </c>
      <c r="X943" t="inlineStr">
        <is>
          <t>High</t>
        </is>
      </c>
      <c r="Y943" t="inlineStr">
        <is>
          <t>None</t>
        </is>
      </c>
      <c r="Z943" t="inlineStr">
        <is>
          <t>Valid</t>
        </is>
      </c>
      <c r="AA943" t="n">
        <v>2038</v>
      </c>
      <c r="AB943" t="inlineStr">
        <is>
          <t>Supplier Target Pathway</t>
        </is>
      </c>
      <c r="AC943" t="n">
        <v>9370.181500000001</v>
      </c>
      <c r="AD943" t="n">
        <v>4731.9417</v>
      </c>
      <c r="AE943" t="n">
        <v>4731.9417</v>
      </c>
      <c r="AF943" t="n">
        <v>4731.9417</v>
      </c>
      <c r="AG943" t="n">
        <v>4638.2398</v>
      </c>
      <c r="AH943" t="n">
        <v>0.00017879</v>
      </c>
      <c r="AI943" t="n">
        <v>0.495</v>
      </c>
      <c r="AJ943" t="n">
        <v>0</v>
      </c>
      <c r="AK943" t="n">
        <v>515.36</v>
      </c>
      <c r="AL943" t="n">
        <v>-45585.9331</v>
      </c>
      <c r="AM943" t="n">
        <v>73977.5833</v>
      </c>
      <c r="AN943" t="n">
        <v>0.99</v>
      </c>
      <c r="AO943" t="inlineStr">
        <is>
          <t>Low</t>
        </is>
      </c>
      <c r="AP943" t="inlineStr">
        <is>
          <t>On Track</t>
        </is>
      </c>
    </row>
    <row r="944">
      <c r="A944" t="inlineStr">
        <is>
          <t>SUP-0059</t>
        </is>
      </c>
      <c r="B944" t="inlineStr">
        <is>
          <t>Agriculture Supplier 059</t>
        </is>
      </c>
      <c r="C944" t="inlineStr">
        <is>
          <t>Agriculture</t>
        </is>
      </c>
      <c r="D944" t="n">
        <v>2024</v>
      </c>
      <c r="E944" t="n">
        <v>2021</v>
      </c>
      <c r="F944" t="n">
        <v>2030</v>
      </c>
      <c r="G944" t="n">
        <v>11355.498</v>
      </c>
      <c r="H944" t="n">
        <v>1747.988</v>
      </c>
      <c r="I944" t="n">
        <v>1053.9191</v>
      </c>
      <c r="J944" t="n">
        <v>9018.0995</v>
      </c>
      <c r="K944" t="n">
        <v>26467142.02</v>
      </c>
      <c r="L944" t="n">
        <v>151629388.58</v>
      </c>
      <c r="M944" t="n">
        <v>11355.498</v>
      </c>
      <c r="N944" t="inlineStr">
        <is>
          <t>Provided Total Emissions</t>
        </is>
      </c>
      <c r="O944" t="b">
        <v>1</v>
      </c>
      <c r="P944" t="n">
        <v>0.01494</v>
      </c>
      <c r="Q944" t="n">
        <v>0.048761</v>
      </c>
      <c r="R944" t="n">
        <v>24194.4085</v>
      </c>
      <c r="S944" t="n">
        <v>146948.5894</v>
      </c>
      <c r="T944" t="n">
        <v>12838.9105</v>
      </c>
      <c r="U944" t="n">
        <v>135593.0914</v>
      </c>
      <c r="V944" t="n">
        <v>1.130634</v>
      </c>
      <c r="W944" t="n">
        <v>11.940744</v>
      </c>
      <c r="X944" t="inlineStr">
        <is>
          <t>High</t>
        </is>
      </c>
      <c r="Y944" t="inlineStr">
        <is>
          <t>None</t>
        </is>
      </c>
      <c r="Z944" t="inlineStr">
        <is>
          <t>Valid</t>
        </is>
      </c>
      <c r="AA944" t="n">
        <v>2039</v>
      </c>
      <c r="AB944" t="inlineStr">
        <is>
          <t>Supplier Target Pathway</t>
        </is>
      </c>
      <c r="AC944" t="n">
        <v>9370.181500000001</v>
      </c>
      <c r="AD944" t="n">
        <v>4731.9417</v>
      </c>
      <c r="AE944" t="n">
        <v>4731.9417</v>
      </c>
      <c r="AF944" t="n">
        <v>4731.9417</v>
      </c>
      <c r="AG944" t="n">
        <v>4638.2398</v>
      </c>
      <c r="AH944" t="n">
        <v>0.00017879</v>
      </c>
      <c r="AI944" t="n">
        <v>0.495</v>
      </c>
      <c r="AJ944" t="n">
        <v>0</v>
      </c>
      <c r="AK944" t="n">
        <v>515.36</v>
      </c>
      <c r="AL944" t="n">
        <v>-50317.8748</v>
      </c>
      <c r="AM944" t="n">
        <v>78709.52499999999</v>
      </c>
      <c r="AN944" t="n">
        <v>0.99</v>
      </c>
      <c r="AO944" t="inlineStr">
        <is>
          <t>Low</t>
        </is>
      </c>
      <c r="AP944" t="inlineStr">
        <is>
          <t>On Track</t>
        </is>
      </c>
    </row>
    <row r="945">
      <c r="A945" t="inlineStr">
        <is>
          <t>SUP-0059</t>
        </is>
      </c>
      <c r="B945" t="inlineStr">
        <is>
          <t>Agriculture Supplier 059</t>
        </is>
      </c>
      <c r="C945" t="inlineStr">
        <is>
          <t>Agriculture</t>
        </is>
      </c>
      <c r="D945" t="n">
        <v>2024</v>
      </c>
      <c r="E945" t="n">
        <v>2021</v>
      </c>
      <c r="F945" t="n">
        <v>2030</v>
      </c>
      <c r="G945" t="n">
        <v>11355.498</v>
      </c>
      <c r="H945" t="n">
        <v>1747.988</v>
      </c>
      <c r="I945" t="n">
        <v>1053.9191</v>
      </c>
      <c r="J945" t="n">
        <v>9018.0995</v>
      </c>
      <c r="K945" t="n">
        <v>26467142.02</v>
      </c>
      <c r="L945" t="n">
        <v>151629388.58</v>
      </c>
      <c r="M945" t="n">
        <v>11355.498</v>
      </c>
      <c r="N945" t="inlineStr">
        <is>
          <t>Provided Total Emissions</t>
        </is>
      </c>
      <c r="O945" t="b">
        <v>1</v>
      </c>
      <c r="P945" t="n">
        <v>0.01494</v>
      </c>
      <c r="Q945" t="n">
        <v>0.048761</v>
      </c>
      <c r="R945" t="n">
        <v>24194.4085</v>
      </c>
      <c r="S945" t="n">
        <v>146948.5894</v>
      </c>
      <c r="T945" t="n">
        <v>12838.9105</v>
      </c>
      <c r="U945" t="n">
        <v>135593.0914</v>
      </c>
      <c r="V945" t="n">
        <v>1.130634</v>
      </c>
      <c r="W945" t="n">
        <v>11.940744</v>
      </c>
      <c r="X945" t="inlineStr">
        <is>
          <t>High</t>
        </is>
      </c>
      <c r="Y945" t="inlineStr">
        <is>
          <t>None</t>
        </is>
      </c>
      <c r="Z945" t="inlineStr">
        <is>
          <t>Valid</t>
        </is>
      </c>
      <c r="AA945" t="n">
        <v>2040</v>
      </c>
      <c r="AB945" t="inlineStr">
        <is>
          <t>Supplier Target Pathway</t>
        </is>
      </c>
      <c r="AC945" t="n">
        <v>9370.181500000001</v>
      </c>
      <c r="AD945" t="n">
        <v>4731.9417</v>
      </c>
      <c r="AE945" t="n">
        <v>4731.9417</v>
      </c>
      <c r="AF945" t="n">
        <v>4731.9417</v>
      </c>
      <c r="AG945" t="n">
        <v>4638.2398</v>
      </c>
      <c r="AH945" t="n">
        <v>0.00017879</v>
      </c>
      <c r="AI945" t="n">
        <v>0.495</v>
      </c>
      <c r="AJ945" t="n">
        <v>0</v>
      </c>
      <c r="AK945" t="n">
        <v>515.36</v>
      </c>
      <c r="AL945" t="n">
        <v>-55049.8165</v>
      </c>
      <c r="AM945" t="n">
        <v>83441.4667</v>
      </c>
      <c r="AN945" t="n">
        <v>0.99</v>
      </c>
      <c r="AO945" t="inlineStr">
        <is>
          <t>Low</t>
        </is>
      </c>
      <c r="AP945" t="inlineStr">
        <is>
          <t>On Track</t>
        </is>
      </c>
    </row>
    <row r="946">
      <c r="A946" t="inlineStr">
        <is>
          <t>SUP-0060</t>
        </is>
      </c>
      <c r="B946" t="inlineStr">
        <is>
          <t>Electronics Supplier 060</t>
        </is>
      </c>
      <c r="C946" t="inlineStr">
        <is>
          <t>Electronics</t>
        </is>
      </c>
      <c r="D946" t="n">
        <v>2024</v>
      </c>
      <c r="E946" t="n">
        <v>2020</v>
      </c>
      <c r="F946" t="n">
        <v>2040</v>
      </c>
      <c r="G946" t="n">
        <v>6336.7308</v>
      </c>
      <c r="H946" t="n">
        <v>738.3951</v>
      </c>
      <c r="I946" t="n">
        <v>476.1886</v>
      </c>
      <c r="J946" t="n">
        <v>4578.248</v>
      </c>
      <c r="K946" t="n">
        <v>9511980.970000001</v>
      </c>
      <c r="L946" t="n">
        <v>51494851.6</v>
      </c>
      <c r="M946" t="n">
        <v>6336.7308</v>
      </c>
      <c r="N946" t="inlineStr">
        <is>
          <t>Provided Total Emissions</t>
        </is>
      </c>
      <c r="O946" t="b">
        <v>1</v>
      </c>
      <c r="P946" t="n">
        <v>-0.010975</v>
      </c>
      <c r="Q946" t="n">
        <v>0.052989</v>
      </c>
      <c r="R946" t="n">
        <v>8190.2912</v>
      </c>
      <c r="S946" t="n">
        <v>7181.987</v>
      </c>
      <c r="T946" t="n">
        <v>1853.5604</v>
      </c>
      <c r="U946" t="n">
        <v>845.2562</v>
      </c>
      <c r="V946" t="n">
        <v>0.292511</v>
      </c>
      <c r="W946" t="n">
        <v>0.13339</v>
      </c>
      <c r="X946" t="inlineStr">
        <is>
          <t>High</t>
        </is>
      </c>
      <c r="Y946" t="inlineStr">
        <is>
          <t>None</t>
        </is>
      </c>
      <c r="Z946" t="inlineStr">
        <is>
          <t>Valid</t>
        </is>
      </c>
      <c r="AA946" t="n">
        <v>2025</v>
      </c>
      <c r="AB946" t="inlineStr">
        <is>
          <t>Supplier Target Pathway</t>
        </is>
      </c>
      <c r="AC946" t="n">
        <v>6767.4202</v>
      </c>
      <c r="AD946" t="n">
        <v>2709.675</v>
      </c>
      <c r="AE946" t="n">
        <v>5752.9839</v>
      </c>
      <c r="AF946" t="n">
        <v>5752.9839</v>
      </c>
      <c r="AG946" t="n">
        <v>1014.4363</v>
      </c>
      <c r="AH946" t="n">
        <v>0.00060481</v>
      </c>
      <c r="AI946" t="n">
        <v>0.1499</v>
      </c>
      <c r="AJ946" t="n">
        <v>3043.3089</v>
      </c>
      <c r="AK946" t="n">
        <v>202.8873</v>
      </c>
      <c r="AL946" t="n">
        <v>37601.8161</v>
      </c>
      <c r="AM946" t="n">
        <v>5752.9839</v>
      </c>
      <c r="AN946" t="n">
        <v>0.99</v>
      </c>
      <c r="AO946" t="inlineStr">
        <is>
          <t>Critical</t>
        </is>
      </c>
      <c r="AP946" t="inlineStr">
        <is>
          <t>On Track to Glide Path</t>
        </is>
      </c>
    </row>
    <row r="947">
      <c r="A947" t="inlineStr">
        <is>
          <t>SUP-0060</t>
        </is>
      </c>
      <c r="B947" t="inlineStr">
        <is>
          <t>Electronics Supplier 060</t>
        </is>
      </c>
      <c r="C947" t="inlineStr">
        <is>
          <t>Electronics</t>
        </is>
      </c>
      <c r="D947" t="n">
        <v>2024</v>
      </c>
      <c r="E947" t="n">
        <v>2020</v>
      </c>
      <c r="F947" t="n">
        <v>2040</v>
      </c>
      <c r="G947" t="n">
        <v>6336.7308</v>
      </c>
      <c r="H947" t="n">
        <v>738.3951</v>
      </c>
      <c r="I947" t="n">
        <v>476.1886</v>
      </c>
      <c r="J947" t="n">
        <v>4578.248</v>
      </c>
      <c r="K947" t="n">
        <v>9511980.970000001</v>
      </c>
      <c r="L947" t="n">
        <v>51494851.6</v>
      </c>
      <c r="M947" t="n">
        <v>6336.7308</v>
      </c>
      <c r="N947" t="inlineStr">
        <is>
          <t>Provided Total Emissions</t>
        </is>
      </c>
      <c r="O947" t="b">
        <v>1</v>
      </c>
      <c r="P947" t="n">
        <v>-0.010975</v>
      </c>
      <c r="Q947" t="n">
        <v>0.052989</v>
      </c>
      <c r="R947" t="n">
        <v>8190.2912</v>
      </c>
      <c r="S947" t="n">
        <v>7181.987</v>
      </c>
      <c r="T947" t="n">
        <v>1853.5604</v>
      </c>
      <c r="U947" t="n">
        <v>845.2562</v>
      </c>
      <c r="V947" t="n">
        <v>0.292511</v>
      </c>
      <c r="W947" t="n">
        <v>0.13339</v>
      </c>
      <c r="X947" t="inlineStr">
        <is>
          <t>High</t>
        </is>
      </c>
      <c r="Y947" t="inlineStr">
        <is>
          <t>None</t>
        </is>
      </c>
      <c r="Z947" t="inlineStr">
        <is>
          <t>Valid</t>
        </is>
      </c>
      <c r="AA947" t="n">
        <v>2026</v>
      </c>
      <c r="AB947" t="inlineStr">
        <is>
          <t>Supplier Target Pathway</t>
        </is>
      </c>
      <c r="AC947" t="n">
        <v>6767.4202</v>
      </c>
      <c r="AD947" t="n">
        <v>2709.675</v>
      </c>
      <c r="AE947" t="n">
        <v>5550.0967</v>
      </c>
      <c r="AF947" t="n">
        <v>5550.0967</v>
      </c>
      <c r="AG947" t="n">
        <v>1217.3235</v>
      </c>
      <c r="AH947" t="n">
        <v>0.00058348</v>
      </c>
      <c r="AI947" t="n">
        <v>0.17988</v>
      </c>
      <c r="AJ947" t="n">
        <v>2840.4216</v>
      </c>
      <c r="AK947" t="n">
        <v>202.8873</v>
      </c>
      <c r="AL947" t="n">
        <v>32051.7194</v>
      </c>
      <c r="AM947" t="n">
        <v>11303.0806</v>
      </c>
      <c r="AN947" t="n">
        <v>0.99</v>
      </c>
      <c r="AO947" t="inlineStr">
        <is>
          <t>Critical</t>
        </is>
      </c>
      <c r="AP947" t="inlineStr">
        <is>
          <t>On Track to Glide Path</t>
        </is>
      </c>
    </row>
    <row r="948">
      <c r="A948" t="inlineStr">
        <is>
          <t>SUP-0060</t>
        </is>
      </c>
      <c r="B948" t="inlineStr">
        <is>
          <t>Electronics Supplier 060</t>
        </is>
      </c>
      <c r="C948" t="inlineStr">
        <is>
          <t>Electronics</t>
        </is>
      </c>
      <c r="D948" t="n">
        <v>2024</v>
      </c>
      <c r="E948" t="n">
        <v>2020</v>
      </c>
      <c r="F948" t="n">
        <v>2040</v>
      </c>
      <c r="G948" t="n">
        <v>6336.7308</v>
      </c>
      <c r="H948" t="n">
        <v>738.3951</v>
      </c>
      <c r="I948" t="n">
        <v>476.1886</v>
      </c>
      <c r="J948" t="n">
        <v>4578.248</v>
      </c>
      <c r="K948" t="n">
        <v>9511980.970000001</v>
      </c>
      <c r="L948" t="n">
        <v>51494851.6</v>
      </c>
      <c r="M948" t="n">
        <v>6336.7308</v>
      </c>
      <c r="N948" t="inlineStr">
        <is>
          <t>Provided Total Emissions</t>
        </is>
      </c>
      <c r="O948" t="b">
        <v>1</v>
      </c>
      <c r="P948" t="n">
        <v>-0.010975</v>
      </c>
      <c r="Q948" t="n">
        <v>0.052989</v>
      </c>
      <c r="R948" t="n">
        <v>8190.2912</v>
      </c>
      <c r="S948" t="n">
        <v>7181.987</v>
      </c>
      <c r="T948" t="n">
        <v>1853.5604</v>
      </c>
      <c r="U948" t="n">
        <v>845.2562</v>
      </c>
      <c r="V948" t="n">
        <v>0.292511</v>
      </c>
      <c r="W948" t="n">
        <v>0.13339</v>
      </c>
      <c r="X948" t="inlineStr">
        <is>
          <t>High</t>
        </is>
      </c>
      <c r="Y948" t="inlineStr">
        <is>
          <t>None</t>
        </is>
      </c>
      <c r="Z948" t="inlineStr">
        <is>
          <t>Valid</t>
        </is>
      </c>
      <c r="AA948" t="n">
        <v>2027</v>
      </c>
      <c r="AB948" t="inlineStr">
        <is>
          <t>Supplier Target Pathway</t>
        </is>
      </c>
      <c r="AC948" t="n">
        <v>6767.4202</v>
      </c>
      <c r="AD948" t="n">
        <v>2709.675</v>
      </c>
      <c r="AE948" t="n">
        <v>5347.2094</v>
      </c>
      <c r="AF948" t="n">
        <v>5347.2094</v>
      </c>
      <c r="AG948" t="n">
        <v>1420.2108</v>
      </c>
      <c r="AH948" t="n">
        <v>0.00056216</v>
      </c>
      <c r="AI948" t="n">
        <v>0.20986</v>
      </c>
      <c r="AJ948" t="n">
        <v>2637.5343</v>
      </c>
      <c r="AK948" t="n">
        <v>202.8873</v>
      </c>
      <c r="AL948" t="n">
        <v>26704.51</v>
      </c>
      <c r="AM948" t="n">
        <v>16650.29</v>
      </c>
      <c r="AN948" t="n">
        <v>0.99</v>
      </c>
      <c r="AO948" t="inlineStr">
        <is>
          <t>Critical</t>
        </is>
      </c>
      <c r="AP948" t="inlineStr">
        <is>
          <t>On Track to Glide Path</t>
        </is>
      </c>
    </row>
    <row r="949">
      <c r="A949" t="inlineStr">
        <is>
          <t>SUP-0060</t>
        </is>
      </c>
      <c r="B949" t="inlineStr">
        <is>
          <t>Electronics Supplier 060</t>
        </is>
      </c>
      <c r="C949" t="inlineStr">
        <is>
          <t>Electronics</t>
        </is>
      </c>
      <c r="D949" t="n">
        <v>2024</v>
      </c>
      <c r="E949" t="n">
        <v>2020</v>
      </c>
      <c r="F949" t="n">
        <v>2040</v>
      </c>
      <c r="G949" t="n">
        <v>6336.7308</v>
      </c>
      <c r="H949" t="n">
        <v>738.3951</v>
      </c>
      <c r="I949" t="n">
        <v>476.1886</v>
      </c>
      <c r="J949" t="n">
        <v>4578.248</v>
      </c>
      <c r="K949" t="n">
        <v>9511980.970000001</v>
      </c>
      <c r="L949" t="n">
        <v>51494851.6</v>
      </c>
      <c r="M949" t="n">
        <v>6336.7308</v>
      </c>
      <c r="N949" t="inlineStr">
        <is>
          <t>Provided Total Emissions</t>
        </is>
      </c>
      <c r="O949" t="b">
        <v>1</v>
      </c>
      <c r="P949" t="n">
        <v>-0.010975</v>
      </c>
      <c r="Q949" t="n">
        <v>0.052989</v>
      </c>
      <c r="R949" t="n">
        <v>8190.2912</v>
      </c>
      <c r="S949" t="n">
        <v>7181.987</v>
      </c>
      <c r="T949" t="n">
        <v>1853.5604</v>
      </c>
      <c r="U949" t="n">
        <v>845.2562</v>
      </c>
      <c r="V949" t="n">
        <v>0.292511</v>
      </c>
      <c r="W949" t="n">
        <v>0.13339</v>
      </c>
      <c r="X949" t="inlineStr">
        <is>
          <t>High</t>
        </is>
      </c>
      <c r="Y949" t="inlineStr">
        <is>
          <t>None</t>
        </is>
      </c>
      <c r="Z949" t="inlineStr">
        <is>
          <t>Valid</t>
        </is>
      </c>
      <c r="AA949" t="n">
        <v>2028</v>
      </c>
      <c r="AB949" t="inlineStr">
        <is>
          <t>Supplier Target Pathway</t>
        </is>
      </c>
      <c r="AC949" t="n">
        <v>6767.4202</v>
      </c>
      <c r="AD949" t="n">
        <v>2709.675</v>
      </c>
      <c r="AE949" t="n">
        <v>5144.3221</v>
      </c>
      <c r="AF949" t="n">
        <v>5144.3221</v>
      </c>
      <c r="AG949" t="n">
        <v>1623.0981</v>
      </c>
      <c r="AH949" t="n">
        <v>0.00054083</v>
      </c>
      <c r="AI949" t="n">
        <v>0.23984</v>
      </c>
      <c r="AJ949" t="n">
        <v>2434.6471</v>
      </c>
      <c r="AK949" t="n">
        <v>202.8873</v>
      </c>
      <c r="AL949" t="n">
        <v>21560.1879</v>
      </c>
      <c r="AM949" t="n">
        <v>21794.6121</v>
      </c>
      <c r="AN949" t="n">
        <v>0.99</v>
      </c>
      <c r="AO949" t="inlineStr">
        <is>
          <t>Critical</t>
        </is>
      </c>
      <c r="AP949" t="inlineStr">
        <is>
          <t>On Track to Glide Path</t>
        </is>
      </c>
    </row>
    <row r="950">
      <c r="A950" t="inlineStr">
        <is>
          <t>SUP-0060</t>
        </is>
      </c>
      <c r="B950" t="inlineStr">
        <is>
          <t>Electronics Supplier 060</t>
        </is>
      </c>
      <c r="C950" t="inlineStr">
        <is>
          <t>Electronics</t>
        </is>
      </c>
      <c r="D950" t="n">
        <v>2024</v>
      </c>
      <c r="E950" t="n">
        <v>2020</v>
      </c>
      <c r="F950" t="n">
        <v>2040</v>
      </c>
      <c r="G950" t="n">
        <v>6336.7308</v>
      </c>
      <c r="H950" t="n">
        <v>738.3951</v>
      </c>
      <c r="I950" t="n">
        <v>476.1886</v>
      </c>
      <c r="J950" t="n">
        <v>4578.248</v>
      </c>
      <c r="K950" t="n">
        <v>9511980.970000001</v>
      </c>
      <c r="L950" t="n">
        <v>51494851.6</v>
      </c>
      <c r="M950" t="n">
        <v>6336.7308</v>
      </c>
      <c r="N950" t="inlineStr">
        <is>
          <t>Provided Total Emissions</t>
        </is>
      </c>
      <c r="O950" t="b">
        <v>1</v>
      </c>
      <c r="P950" t="n">
        <v>-0.010975</v>
      </c>
      <c r="Q950" t="n">
        <v>0.052989</v>
      </c>
      <c r="R950" t="n">
        <v>8190.2912</v>
      </c>
      <c r="S950" t="n">
        <v>7181.987</v>
      </c>
      <c r="T950" t="n">
        <v>1853.5604</v>
      </c>
      <c r="U950" t="n">
        <v>845.2562</v>
      </c>
      <c r="V950" t="n">
        <v>0.292511</v>
      </c>
      <c r="W950" t="n">
        <v>0.13339</v>
      </c>
      <c r="X950" t="inlineStr">
        <is>
          <t>High</t>
        </is>
      </c>
      <c r="Y950" t="inlineStr">
        <is>
          <t>None</t>
        </is>
      </c>
      <c r="Z950" t="inlineStr">
        <is>
          <t>Valid</t>
        </is>
      </c>
      <c r="AA950" t="n">
        <v>2029</v>
      </c>
      <c r="AB950" t="inlineStr">
        <is>
          <t>Supplier Target Pathway</t>
        </is>
      </c>
      <c r="AC950" t="n">
        <v>6767.4202</v>
      </c>
      <c r="AD950" t="n">
        <v>2709.675</v>
      </c>
      <c r="AE950" t="n">
        <v>4941.4349</v>
      </c>
      <c r="AF950" t="n">
        <v>4941.4349</v>
      </c>
      <c r="AG950" t="n">
        <v>1825.9853</v>
      </c>
      <c r="AH950" t="n">
        <v>0.0005195</v>
      </c>
      <c r="AI950" t="n">
        <v>0.26982</v>
      </c>
      <c r="AJ950" t="n">
        <v>2231.7598</v>
      </c>
      <c r="AK950" t="n">
        <v>202.8873</v>
      </c>
      <c r="AL950" t="n">
        <v>16618.753</v>
      </c>
      <c r="AM950" t="n">
        <v>26736.047</v>
      </c>
      <c r="AN950" t="n">
        <v>0.99</v>
      </c>
      <c r="AO950" t="inlineStr">
        <is>
          <t>Critical</t>
        </is>
      </c>
      <c r="AP950" t="inlineStr">
        <is>
          <t>On Track to Glide Path</t>
        </is>
      </c>
    </row>
    <row r="951">
      <c r="A951" t="inlineStr">
        <is>
          <t>SUP-0060</t>
        </is>
      </c>
      <c r="B951" t="inlineStr">
        <is>
          <t>Electronics Supplier 060</t>
        </is>
      </c>
      <c r="C951" t="inlineStr">
        <is>
          <t>Electronics</t>
        </is>
      </c>
      <c r="D951" t="n">
        <v>2024</v>
      </c>
      <c r="E951" t="n">
        <v>2020</v>
      </c>
      <c r="F951" t="n">
        <v>2040</v>
      </c>
      <c r="G951" t="n">
        <v>6336.7308</v>
      </c>
      <c r="H951" t="n">
        <v>738.3951</v>
      </c>
      <c r="I951" t="n">
        <v>476.1886</v>
      </c>
      <c r="J951" t="n">
        <v>4578.248</v>
      </c>
      <c r="K951" t="n">
        <v>9511980.970000001</v>
      </c>
      <c r="L951" t="n">
        <v>51494851.6</v>
      </c>
      <c r="M951" t="n">
        <v>6336.7308</v>
      </c>
      <c r="N951" t="inlineStr">
        <is>
          <t>Provided Total Emissions</t>
        </is>
      </c>
      <c r="O951" t="b">
        <v>1</v>
      </c>
      <c r="P951" t="n">
        <v>-0.010975</v>
      </c>
      <c r="Q951" t="n">
        <v>0.052989</v>
      </c>
      <c r="R951" t="n">
        <v>8190.2912</v>
      </c>
      <c r="S951" t="n">
        <v>7181.987</v>
      </c>
      <c r="T951" t="n">
        <v>1853.5604</v>
      </c>
      <c r="U951" t="n">
        <v>845.2562</v>
      </c>
      <c r="V951" t="n">
        <v>0.292511</v>
      </c>
      <c r="W951" t="n">
        <v>0.13339</v>
      </c>
      <c r="X951" t="inlineStr">
        <is>
          <t>High</t>
        </is>
      </c>
      <c r="Y951" t="inlineStr">
        <is>
          <t>None</t>
        </is>
      </c>
      <c r="Z951" t="inlineStr">
        <is>
          <t>Valid</t>
        </is>
      </c>
      <c r="AA951" t="n">
        <v>2030</v>
      </c>
      <c r="AB951" t="inlineStr">
        <is>
          <t>Supplier Target Pathway</t>
        </is>
      </c>
      <c r="AC951" t="n">
        <v>6767.4202</v>
      </c>
      <c r="AD951" t="n">
        <v>2709.675</v>
      </c>
      <c r="AE951" t="n">
        <v>4738.5476</v>
      </c>
      <c r="AF951" t="n">
        <v>4738.5476</v>
      </c>
      <c r="AG951" t="n">
        <v>2028.8726</v>
      </c>
      <c r="AH951" t="n">
        <v>0.00049817</v>
      </c>
      <c r="AI951" t="n">
        <v>0.2998</v>
      </c>
      <c r="AJ951" t="n">
        <v>2028.8726</v>
      </c>
      <c r="AK951" t="n">
        <v>202.8873</v>
      </c>
      <c r="AL951" t="n">
        <v>11880.2054</v>
      </c>
      <c r="AM951" t="n">
        <v>31474.5946</v>
      </c>
      <c r="AN951" t="n">
        <v>0.99</v>
      </c>
      <c r="AO951" t="inlineStr">
        <is>
          <t>Critical</t>
        </is>
      </c>
      <c r="AP951" t="inlineStr">
        <is>
          <t>On Track to Glide Path</t>
        </is>
      </c>
    </row>
    <row r="952">
      <c r="A952" t="inlineStr">
        <is>
          <t>SUP-0060</t>
        </is>
      </c>
      <c r="B952" t="inlineStr">
        <is>
          <t>Electronics Supplier 060</t>
        </is>
      </c>
      <c r="C952" t="inlineStr">
        <is>
          <t>Electronics</t>
        </is>
      </c>
      <c r="D952" t="n">
        <v>2024</v>
      </c>
      <c r="E952" t="n">
        <v>2020</v>
      </c>
      <c r="F952" t="n">
        <v>2040</v>
      </c>
      <c r="G952" t="n">
        <v>6336.7308</v>
      </c>
      <c r="H952" t="n">
        <v>738.3951</v>
      </c>
      <c r="I952" t="n">
        <v>476.1886</v>
      </c>
      <c r="J952" t="n">
        <v>4578.248</v>
      </c>
      <c r="K952" t="n">
        <v>9511980.970000001</v>
      </c>
      <c r="L952" t="n">
        <v>51494851.6</v>
      </c>
      <c r="M952" t="n">
        <v>6336.7308</v>
      </c>
      <c r="N952" t="inlineStr">
        <is>
          <t>Provided Total Emissions</t>
        </is>
      </c>
      <c r="O952" t="b">
        <v>1</v>
      </c>
      <c r="P952" t="n">
        <v>-0.010975</v>
      </c>
      <c r="Q952" t="n">
        <v>0.052989</v>
      </c>
      <c r="R952" t="n">
        <v>8190.2912</v>
      </c>
      <c r="S952" t="n">
        <v>7181.987</v>
      </c>
      <c r="T952" t="n">
        <v>1853.5604</v>
      </c>
      <c r="U952" t="n">
        <v>845.2562</v>
      </c>
      <c r="V952" t="n">
        <v>0.292511</v>
      </c>
      <c r="W952" t="n">
        <v>0.13339</v>
      </c>
      <c r="X952" t="inlineStr">
        <is>
          <t>High</t>
        </is>
      </c>
      <c r="Y952" t="inlineStr">
        <is>
          <t>None</t>
        </is>
      </c>
      <c r="Z952" t="inlineStr">
        <is>
          <t>Valid</t>
        </is>
      </c>
      <c r="AA952" t="n">
        <v>2031</v>
      </c>
      <c r="AB952" t="inlineStr">
        <is>
          <t>Supplier Target Pathway</t>
        </is>
      </c>
      <c r="AC952" t="n">
        <v>6767.4202</v>
      </c>
      <c r="AD952" t="n">
        <v>2709.675</v>
      </c>
      <c r="AE952" t="n">
        <v>4535.6604</v>
      </c>
      <c r="AF952" t="n">
        <v>4535.6604</v>
      </c>
      <c r="AG952" t="n">
        <v>2231.7598</v>
      </c>
      <c r="AH952" t="n">
        <v>0.00047684</v>
      </c>
      <c r="AI952" t="n">
        <v>0.32978</v>
      </c>
      <c r="AJ952" t="n">
        <v>1825.9853</v>
      </c>
      <c r="AK952" t="n">
        <v>202.8873</v>
      </c>
      <c r="AL952" t="n">
        <v>7344.545</v>
      </c>
      <c r="AM952" t="n">
        <v>36010.255</v>
      </c>
      <c r="AN952" t="n">
        <v>0.99</v>
      </c>
      <c r="AO952" t="inlineStr">
        <is>
          <t>Critical</t>
        </is>
      </c>
      <c r="AP952" t="inlineStr">
        <is>
          <t>On Track to Glide Path</t>
        </is>
      </c>
    </row>
    <row r="953">
      <c r="A953" t="inlineStr">
        <is>
          <t>SUP-0060</t>
        </is>
      </c>
      <c r="B953" t="inlineStr">
        <is>
          <t>Electronics Supplier 060</t>
        </is>
      </c>
      <c r="C953" t="inlineStr">
        <is>
          <t>Electronics</t>
        </is>
      </c>
      <c r="D953" t="n">
        <v>2024</v>
      </c>
      <c r="E953" t="n">
        <v>2020</v>
      </c>
      <c r="F953" t="n">
        <v>2040</v>
      </c>
      <c r="G953" t="n">
        <v>6336.7308</v>
      </c>
      <c r="H953" t="n">
        <v>738.3951</v>
      </c>
      <c r="I953" t="n">
        <v>476.1886</v>
      </c>
      <c r="J953" t="n">
        <v>4578.248</v>
      </c>
      <c r="K953" t="n">
        <v>9511980.970000001</v>
      </c>
      <c r="L953" t="n">
        <v>51494851.6</v>
      </c>
      <c r="M953" t="n">
        <v>6336.7308</v>
      </c>
      <c r="N953" t="inlineStr">
        <is>
          <t>Provided Total Emissions</t>
        </is>
      </c>
      <c r="O953" t="b">
        <v>1</v>
      </c>
      <c r="P953" t="n">
        <v>-0.010975</v>
      </c>
      <c r="Q953" t="n">
        <v>0.052989</v>
      </c>
      <c r="R953" t="n">
        <v>8190.2912</v>
      </c>
      <c r="S953" t="n">
        <v>7181.987</v>
      </c>
      <c r="T953" t="n">
        <v>1853.5604</v>
      </c>
      <c r="U953" t="n">
        <v>845.2562</v>
      </c>
      <c r="V953" t="n">
        <v>0.292511</v>
      </c>
      <c r="W953" t="n">
        <v>0.13339</v>
      </c>
      <c r="X953" t="inlineStr">
        <is>
          <t>High</t>
        </is>
      </c>
      <c r="Y953" t="inlineStr">
        <is>
          <t>None</t>
        </is>
      </c>
      <c r="Z953" t="inlineStr">
        <is>
          <t>Valid</t>
        </is>
      </c>
      <c r="AA953" t="n">
        <v>2032</v>
      </c>
      <c r="AB953" t="inlineStr">
        <is>
          <t>Supplier Target Pathway</t>
        </is>
      </c>
      <c r="AC953" t="n">
        <v>6767.4202</v>
      </c>
      <c r="AD953" t="n">
        <v>2709.675</v>
      </c>
      <c r="AE953" t="n">
        <v>4332.7731</v>
      </c>
      <c r="AF953" t="n">
        <v>4332.7731</v>
      </c>
      <c r="AG953" t="n">
        <v>2434.6471</v>
      </c>
      <c r="AH953" t="n">
        <v>0.00045551</v>
      </c>
      <c r="AI953" t="n">
        <v>0.35976</v>
      </c>
      <c r="AJ953" t="n">
        <v>1623.0981</v>
      </c>
      <c r="AK953" t="n">
        <v>202.8873</v>
      </c>
      <c r="AL953" t="n">
        <v>3011.7719</v>
      </c>
      <c r="AM953" t="n">
        <v>40343.0281</v>
      </c>
      <c r="AN953" t="n">
        <v>0.99</v>
      </c>
      <c r="AO953" t="inlineStr">
        <is>
          <t>Critical</t>
        </is>
      </c>
      <c r="AP953" t="inlineStr">
        <is>
          <t>On Track to Glide Path</t>
        </is>
      </c>
    </row>
    <row r="954">
      <c r="A954" t="inlineStr">
        <is>
          <t>SUP-0060</t>
        </is>
      </c>
      <c r="B954" t="inlineStr">
        <is>
          <t>Electronics Supplier 060</t>
        </is>
      </c>
      <c r="C954" t="inlineStr">
        <is>
          <t>Electronics</t>
        </is>
      </c>
      <c r="D954" t="n">
        <v>2024</v>
      </c>
      <c r="E954" t="n">
        <v>2020</v>
      </c>
      <c r="F954" t="n">
        <v>2040</v>
      </c>
      <c r="G954" t="n">
        <v>6336.7308</v>
      </c>
      <c r="H954" t="n">
        <v>738.3951</v>
      </c>
      <c r="I954" t="n">
        <v>476.1886</v>
      </c>
      <c r="J954" t="n">
        <v>4578.248</v>
      </c>
      <c r="K954" t="n">
        <v>9511980.970000001</v>
      </c>
      <c r="L954" t="n">
        <v>51494851.6</v>
      </c>
      <c r="M954" t="n">
        <v>6336.7308</v>
      </c>
      <c r="N954" t="inlineStr">
        <is>
          <t>Provided Total Emissions</t>
        </is>
      </c>
      <c r="O954" t="b">
        <v>1</v>
      </c>
      <c r="P954" t="n">
        <v>-0.010975</v>
      </c>
      <c r="Q954" t="n">
        <v>0.052989</v>
      </c>
      <c r="R954" t="n">
        <v>8190.2912</v>
      </c>
      <c r="S954" t="n">
        <v>7181.987</v>
      </c>
      <c r="T954" t="n">
        <v>1853.5604</v>
      </c>
      <c r="U954" t="n">
        <v>845.2562</v>
      </c>
      <c r="V954" t="n">
        <v>0.292511</v>
      </c>
      <c r="W954" t="n">
        <v>0.13339</v>
      </c>
      <c r="X954" t="inlineStr">
        <is>
          <t>High</t>
        </is>
      </c>
      <c r="Y954" t="inlineStr">
        <is>
          <t>None</t>
        </is>
      </c>
      <c r="Z954" t="inlineStr">
        <is>
          <t>Valid</t>
        </is>
      </c>
      <c r="AA954" t="n">
        <v>2033</v>
      </c>
      <c r="AB954" t="inlineStr">
        <is>
          <t>Supplier Target Pathway</t>
        </is>
      </c>
      <c r="AC954" t="n">
        <v>6767.4202</v>
      </c>
      <c r="AD954" t="n">
        <v>2709.675</v>
      </c>
      <c r="AE954" t="n">
        <v>4129.8859</v>
      </c>
      <c r="AF954" t="n">
        <v>4129.8859</v>
      </c>
      <c r="AG954" t="n">
        <v>2637.5343</v>
      </c>
      <c r="AH954" t="n">
        <v>0.00043418</v>
      </c>
      <c r="AI954" t="n">
        <v>0.38974</v>
      </c>
      <c r="AJ954" t="n">
        <v>1420.2108</v>
      </c>
      <c r="AK954" t="n">
        <v>202.8873</v>
      </c>
      <c r="AL954" t="n">
        <v>-1118.114</v>
      </c>
      <c r="AM954" t="n">
        <v>44472.914</v>
      </c>
      <c r="AN954" t="n">
        <v>0.99</v>
      </c>
      <c r="AO954" t="inlineStr">
        <is>
          <t>Critical</t>
        </is>
      </c>
      <c r="AP954" t="inlineStr">
        <is>
          <t>On Track to Glide Path</t>
        </is>
      </c>
    </row>
    <row r="955">
      <c r="A955" t="inlineStr">
        <is>
          <t>SUP-0060</t>
        </is>
      </c>
      <c r="B955" t="inlineStr">
        <is>
          <t>Electronics Supplier 060</t>
        </is>
      </c>
      <c r="C955" t="inlineStr">
        <is>
          <t>Electronics</t>
        </is>
      </c>
      <c r="D955" t="n">
        <v>2024</v>
      </c>
      <c r="E955" t="n">
        <v>2020</v>
      </c>
      <c r="F955" t="n">
        <v>2040</v>
      </c>
      <c r="G955" t="n">
        <v>6336.7308</v>
      </c>
      <c r="H955" t="n">
        <v>738.3951</v>
      </c>
      <c r="I955" t="n">
        <v>476.1886</v>
      </c>
      <c r="J955" t="n">
        <v>4578.248</v>
      </c>
      <c r="K955" t="n">
        <v>9511980.970000001</v>
      </c>
      <c r="L955" t="n">
        <v>51494851.6</v>
      </c>
      <c r="M955" t="n">
        <v>6336.7308</v>
      </c>
      <c r="N955" t="inlineStr">
        <is>
          <t>Provided Total Emissions</t>
        </is>
      </c>
      <c r="O955" t="b">
        <v>1</v>
      </c>
      <c r="P955" t="n">
        <v>-0.010975</v>
      </c>
      <c r="Q955" t="n">
        <v>0.052989</v>
      </c>
      <c r="R955" t="n">
        <v>8190.2912</v>
      </c>
      <c r="S955" t="n">
        <v>7181.987</v>
      </c>
      <c r="T955" t="n">
        <v>1853.5604</v>
      </c>
      <c r="U955" t="n">
        <v>845.2562</v>
      </c>
      <c r="V955" t="n">
        <v>0.292511</v>
      </c>
      <c r="W955" t="n">
        <v>0.13339</v>
      </c>
      <c r="X955" t="inlineStr">
        <is>
          <t>High</t>
        </is>
      </c>
      <c r="Y955" t="inlineStr">
        <is>
          <t>None</t>
        </is>
      </c>
      <c r="Z955" t="inlineStr">
        <is>
          <t>Valid</t>
        </is>
      </c>
      <c r="AA955" t="n">
        <v>2034</v>
      </c>
      <c r="AB955" t="inlineStr">
        <is>
          <t>Supplier Target Pathway</t>
        </is>
      </c>
      <c r="AC955" t="n">
        <v>6767.4202</v>
      </c>
      <c r="AD955" t="n">
        <v>2709.675</v>
      </c>
      <c r="AE955" t="n">
        <v>3926.9986</v>
      </c>
      <c r="AF955" t="n">
        <v>3926.9986</v>
      </c>
      <c r="AG955" t="n">
        <v>2840.4216</v>
      </c>
      <c r="AH955" t="n">
        <v>0.00041285</v>
      </c>
      <c r="AI955" t="n">
        <v>0.41972</v>
      </c>
      <c r="AJ955" t="n">
        <v>1217.3235</v>
      </c>
      <c r="AK955" t="n">
        <v>202.8873</v>
      </c>
      <c r="AL955" t="n">
        <v>-5045.1126</v>
      </c>
      <c r="AM955" t="n">
        <v>48399.9126</v>
      </c>
      <c r="AN955" t="n">
        <v>0.99</v>
      </c>
      <c r="AO955" t="inlineStr">
        <is>
          <t>Critical</t>
        </is>
      </c>
      <c r="AP955" t="inlineStr">
        <is>
          <t>On Track to Glide Path</t>
        </is>
      </c>
    </row>
    <row r="956">
      <c r="A956" t="inlineStr">
        <is>
          <t>SUP-0060</t>
        </is>
      </c>
      <c r="B956" t="inlineStr">
        <is>
          <t>Electronics Supplier 060</t>
        </is>
      </c>
      <c r="C956" t="inlineStr">
        <is>
          <t>Electronics</t>
        </is>
      </c>
      <c r="D956" t="n">
        <v>2024</v>
      </c>
      <c r="E956" t="n">
        <v>2020</v>
      </c>
      <c r="F956" t="n">
        <v>2040</v>
      </c>
      <c r="G956" t="n">
        <v>6336.7308</v>
      </c>
      <c r="H956" t="n">
        <v>738.3951</v>
      </c>
      <c r="I956" t="n">
        <v>476.1886</v>
      </c>
      <c r="J956" t="n">
        <v>4578.248</v>
      </c>
      <c r="K956" t="n">
        <v>9511980.970000001</v>
      </c>
      <c r="L956" t="n">
        <v>51494851.6</v>
      </c>
      <c r="M956" t="n">
        <v>6336.7308</v>
      </c>
      <c r="N956" t="inlineStr">
        <is>
          <t>Provided Total Emissions</t>
        </is>
      </c>
      <c r="O956" t="b">
        <v>1</v>
      </c>
      <c r="P956" t="n">
        <v>-0.010975</v>
      </c>
      <c r="Q956" t="n">
        <v>0.052989</v>
      </c>
      <c r="R956" t="n">
        <v>8190.2912</v>
      </c>
      <c r="S956" t="n">
        <v>7181.987</v>
      </c>
      <c r="T956" t="n">
        <v>1853.5604</v>
      </c>
      <c r="U956" t="n">
        <v>845.2562</v>
      </c>
      <c r="V956" t="n">
        <v>0.292511</v>
      </c>
      <c r="W956" t="n">
        <v>0.13339</v>
      </c>
      <c r="X956" t="inlineStr">
        <is>
          <t>High</t>
        </is>
      </c>
      <c r="Y956" t="inlineStr">
        <is>
          <t>None</t>
        </is>
      </c>
      <c r="Z956" t="inlineStr">
        <is>
          <t>Valid</t>
        </is>
      </c>
      <c r="AA956" t="n">
        <v>2035</v>
      </c>
      <c r="AB956" t="inlineStr">
        <is>
          <t>Supplier Target Pathway</t>
        </is>
      </c>
      <c r="AC956" t="n">
        <v>6767.4202</v>
      </c>
      <c r="AD956" t="n">
        <v>2709.675</v>
      </c>
      <c r="AE956" t="n">
        <v>3724.1113</v>
      </c>
      <c r="AF956" t="n">
        <v>3724.1113</v>
      </c>
      <c r="AG956" t="n">
        <v>3043.3089</v>
      </c>
      <c r="AH956" t="n">
        <v>0.00039152</v>
      </c>
      <c r="AI956" t="n">
        <v>0.4497</v>
      </c>
      <c r="AJ956" t="n">
        <v>1014.4363</v>
      </c>
      <c r="AK956" t="n">
        <v>202.8873</v>
      </c>
      <c r="AL956" t="n">
        <v>-8769.223900000001</v>
      </c>
      <c r="AM956" t="n">
        <v>52124.0239</v>
      </c>
      <c r="AN956" t="n">
        <v>0.99</v>
      </c>
      <c r="AO956" t="inlineStr">
        <is>
          <t>Critical</t>
        </is>
      </c>
      <c r="AP956" t="inlineStr">
        <is>
          <t>On Track to Glide Path</t>
        </is>
      </c>
    </row>
    <row r="957">
      <c r="A957" t="inlineStr">
        <is>
          <t>SUP-0060</t>
        </is>
      </c>
      <c r="B957" t="inlineStr">
        <is>
          <t>Electronics Supplier 060</t>
        </is>
      </c>
      <c r="C957" t="inlineStr">
        <is>
          <t>Electronics</t>
        </is>
      </c>
      <c r="D957" t="n">
        <v>2024</v>
      </c>
      <c r="E957" t="n">
        <v>2020</v>
      </c>
      <c r="F957" t="n">
        <v>2040</v>
      </c>
      <c r="G957" t="n">
        <v>6336.7308</v>
      </c>
      <c r="H957" t="n">
        <v>738.3951</v>
      </c>
      <c r="I957" t="n">
        <v>476.1886</v>
      </c>
      <c r="J957" t="n">
        <v>4578.248</v>
      </c>
      <c r="K957" t="n">
        <v>9511980.970000001</v>
      </c>
      <c r="L957" t="n">
        <v>51494851.6</v>
      </c>
      <c r="M957" t="n">
        <v>6336.7308</v>
      </c>
      <c r="N957" t="inlineStr">
        <is>
          <t>Provided Total Emissions</t>
        </is>
      </c>
      <c r="O957" t="b">
        <v>1</v>
      </c>
      <c r="P957" t="n">
        <v>-0.010975</v>
      </c>
      <c r="Q957" t="n">
        <v>0.052989</v>
      </c>
      <c r="R957" t="n">
        <v>8190.2912</v>
      </c>
      <c r="S957" t="n">
        <v>7181.987</v>
      </c>
      <c r="T957" t="n">
        <v>1853.5604</v>
      </c>
      <c r="U957" t="n">
        <v>845.2562</v>
      </c>
      <c r="V957" t="n">
        <v>0.292511</v>
      </c>
      <c r="W957" t="n">
        <v>0.13339</v>
      </c>
      <c r="X957" t="inlineStr">
        <is>
          <t>High</t>
        </is>
      </c>
      <c r="Y957" t="inlineStr">
        <is>
          <t>None</t>
        </is>
      </c>
      <c r="Z957" t="inlineStr">
        <is>
          <t>Valid</t>
        </is>
      </c>
      <c r="AA957" t="n">
        <v>2036</v>
      </c>
      <c r="AB957" t="inlineStr">
        <is>
          <t>Supplier Target Pathway</t>
        </is>
      </c>
      <c r="AC957" t="n">
        <v>6767.4202</v>
      </c>
      <c r="AD957" t="n">
        <v>2709.675</v>
      </c>
      <c r="AE957" t="n">
        <v>3521.2241</v>
      </c>
      <c r="AF957" t="n">
        <v>3521.2241</v>
      </c>
      <c r="AG957" t="n">
        <v>3246.1961</v>
      </c>
      <c r="AH957" t="n">
        <v>0.00037019</v>
      </c>
      <c r="AI957" t="n">
        <v>0.47968</v>
      </c>
      <c r="AJ957" t="n">
        <v>811.549</v>
      </c>
      <c r="AK957" t="n">
        <v>202.8873</v>
      </c>
      <c r="AL957" t="n">
        <v>-12290.448</v>
      </c>
      <c r="AM957" t="n">
        <v>55645.248</v>
      </c>
      <c r="AN957" t="n">
        <v>0.99</v>
      </c>
      <c r="AO957" t="inlineStr">
        <is>
          <t>High</t>
        </is>
      </c>
      <c r="AP957" t="inlineStr">
        <is>
          <t>On Track to Glide Path</t>
        </is>
      </c>
    </row>
    <row r="958">
      <c r="A958" t="inlineStr">
        <is>
          <t>SUP-0060</t>
        </is>
      </c>
      <c r="B958" t="inlineStr">
        <is>
          <t>Electronics Supplier 060</t>
        </is>
      </c>
      <c r="C958" t="inlineStr">
        <is>
          <t>Electronics</t>
        </is>
      </c>
      <c r="D958" t="n">
        <v>2024</v>
      </c>
      <c r="E958" t="n">
        <v>2020</v>
      </c>
      <c r="F958" t="n">
        <v>2040</v>
      </c>
      <c r="G958" t="n">
        <v>6336.7308</v>
      </c>
      <c r="H958" t="n">
        <v>738.3951</v>
      </c>
      <c r="I958" t="n">
        <v>476.1886</v>
      </c>
      <c r="J958" t="n">
        <v>4578.248</v>
      </c>
      <c r="K958" t="n">
        <v>9511980.970000001</v>
      </c>
      <c r="L958" t="n">
        <v>51494851.6</v>
      </c>
      <c r="M958" t="n">
        <v>6336.7308</v>
      </c>
      <c r="N958" t="inlineStr">
        <is>
          <t>Provided Total Emissions</t>
        </is>
      </c>
      <c r="O958" t="b">
        <v>1</v>
      </c>
      <c r="P958" t="n">
        <v>-0.010975</v>
      </c>
      <c r="Q958" t="n">
        <v>0.052989</v>
      </c>
      <c r="R958" t="n">
        <v>8190.2912</v>
      </c>
      <c r="S958" t="n">
        <v>7181.987</v>
      </c>
      <c r="T958" t="n">
        <v>1853.5604</v>
      </c>
      <c r="U958" t="n">
        <v>845.2562</v>
      </c>
      <c r="V958" t="n">
        <v>0.292511</v>
      </c>
      <c r="W958" t="n">
        <v>0.13339</v>
      </c>
      <c r="X958" t="inlineStr">
        <is>
          <t>High</t>
        </is>
      </c>
      <c r="Y958" t="inlineStr">
        <is>
          <t>None</t>
        </is>
      </c>
      <c r="Z958" t="inlineStr">
        <is>
          <t>Valid</t>
        </is>
      </c>
      <c r="AA958" t="n">
        <v>2037</v>
      </c>
      <c r="AB958" t="inlineStr">
        <is>
          <t>Supplier Target Pathway</t>
        </is>
      </c>
      <c r="AC958" t="n">
        <v>6767.4202</v>
      </c>
      <c r="AD958" t="n">
        <v>2709.675</v>
      </c>
      <c r="AE958" t="n">
        <v>3318.3368</v>
      </c>
      <c r="AF958" t="n">
        <v>3318.3368</v>
      </c>
      <c r="AG958" t="n">
        <v>3449.0834</v>
      </c>
      <c r="AH958" t="n">
        <v>0.00034886</v>
      </c>
      <c r="AI958" t="n">
        <v>0.50966</v>
      </c>
      <c r="AJ958" t="n">
        <v>608.6618</v>
      </c>
      <c r="AK958" t="n">
        <v>202.8873</v>
      </c>
      <c r="AL958" t="n">
        <v>-15608.7848</v>
      </c>
      <c r="AM958" t="n">
        <v>58963.5848</v>
      </c>
      <c r="AN958" t="n">
        <v>0.99</v>
      </c>
      <c r="AO958" t="inlineStr">
        <is>
          <t>High</t>
        </is>
      </c>
      <c r="AP958" t="inlineStr">
        <is>
          <t>On Track to Glide Path</t>
        </is>
      </c>
    </row>
    <row r="959">
      <c r="A959" t="inlineStr">
        <is>
          <t>SUP-0060</t>
        </is>
      </c>
      <c r="B959" t="inlineStr">
        <is>
          <t>Electronics Supplier 060</t>
        </is>
      </c>
      <c r="C959" t="inlineStr">
        <is>
          <t>Electronics</t>
        </is>
      </c>
      <c r="D959" t="n">
        <v>2024</v>
      </c>
      <c r="E959" t="n">
        <v>2020</v>
      </c>
      <c r="F959" t="n">
        <v>2040</v>
      </c>
      <c r="G959" t="n">
        <v>6336.7308</v>
      </c>
      <c r="H959" t="n">
        <v>738.3951</v>
      </c>
      <c r="I959" t="n">
        <v>476.1886</v>
      </c>
      <c r="J959" t="n">
        <v>4578.248</v>
      </c>
      <c r="K959" t="n">
        <v>9511980.970000001</v>
      </c>
      <c r="L959" t="n">
        <v>51494851.6</v>
      </c>
      <c r="M959" t="n">
        <v>6336.7308</v>
      </c>
      <c r="N959" t="inlineStr">
        <is>
          <t>Provided Total Emissions</t>
        </is>
      </c>
      <c r="O959" t="b">
        <v>1</v>
      </c>
      <c r="P959" t="n">
        <v>-0.010975</v>
      </c>
      <c r="Q959" t="n">
        <v>0.052989</v>
      </c>
      <c r="R959" t="n">
        <v>8190.2912</v>
      </c>
      <c r="S959" t="n">
        <v>7181.987</v>
      </c>
      <c r="T959" t="n">
        <v>1853.5604</v>
      </c>
      <c r="U959" t="n">
        <v>845.2562</v>
      </c>
      <c r="V959" t="n">
        <v>0.292511</v>
      </c>
      <c r="W959" t="n">
        <v>0.13339</v>
      </c>
      <c r="X959" t="inlineStr">
        <is>
          <t>High</t>
        </is>
      </c>
      <c r="Y959" t="inlineStr">
        <is>
          <t>None</t>
        </is>
      </c>
      <c r="Z959" t="inlineStr">
        <is>
          <t>Valid</t>
        </is>
      </c>
      <c r="AA959" t="n">
        <v>2038</v>
      </c>
      <c r="AB959" t="inlineStr">
        <is>
          <t>Supplier Target Pathway</t>
        </is>
      </c>
      <c r="AC959" t="n">
        <v>6767.4202</v>
      </c>
      <c r="AD959" t="n">
        <v>2709.675</v>
      </c>
      <c r="AE959" t="n">
        <v>3115.4496</v>
      </c>
      <c r="AF959" t="n">
        <v>3115.4496</v>
      </c>
      <c r="AG959" t="n">
        <v>3651.9706</v>
      </c>
      <c r="AH959" t="n">
        <v>0.00032753</v>
      </c>
      <c r="AI959" t="n">
        <v>0.53964</v>
      </c>
      <c r="AJ959" t="n">
        <v>405.7745</v>
      </c>
      <c r="AK959" t="n">
        <v>202.8873</v>
      </c>
      <c r="AL959" t="n">
        <v>-18724.2344</v>
      </c>
      <c r="AM959" t="n">
        <v>62079.0344</v>
      </c>
      <c r="AN959" t="n">
        <v>0.99</v>
      </c>
      <c r="AO959" t="inlineStr">
        <is>
          <t>Medium</t>
        </is>
      </c>
      <c r="AP959" t="inlineStr">
        <is>
          <t>On Track to Glide Path</t>
        </is>
      </c>
    </row>
    <row r="960">
      <c r="A960" t="inlineStr">
        <is>
          <t>SUP-0060</t>
        </is>
      </c>
      <c r="B960" t="inlineStr">
        <is>
          <t>Electronics Supplier 060</t>
        </is>
      </c>
      <c r="C960" t="inlineStr">
        <is>
          <t>Electronics</t>
        </is>
      </c>
      <c r="D960" t="n">
        <v>2024</v>
      </c>
      <c r="E960" t="n">
        <v>2020</v>
      </c>
      <c r="F960" t="n">
        <v>2040</v>
      </c>
      <c r="G960" t="n">
        <v>6336.7308</v>
      </c>
      <c r="H960" t="n">
        <v>738.3951</v>
      </c>
      <c r="I960" t="n">
        <v>476.1886</v>
      </c>
      <c r="J960" t="n">
        <v>4578.248</v>
      </c>
      <c r="K960" t="n">
        <v>9511980.970000001</v>
      </c>
      <c r="L960" t="n">
        <v>51494851.6</v>
      </c>
      <c r="M960" t="n">
        <v>6336.7308</v>
      </c>
      <c r="N960" t="inlineStr">
        <is>
          <t>Provided Total Emissions</t>
        </is>
      </c>
      <c r="O960" t="b">
        <v>1</v>
      </c>
      <c r="P960" t="n">
        <v>-0.010975</v>
      </c>
      <c r="Q960" t="n">
        <v>0.052989</v>
      </c>
      <c r="R960" t="n">
        <v>8190.2912</v>
      </c>
      <c r="S960" t="n">
        <v>7181.987</v>
      </c>
      <c r="T960" t="n">
        <v>1853.5604</v>
      </c>
      <c r="U960" t="n">
        <v>845.2562</v>
      </c>
      <c r="V960" t="n">
        <v>0.292511</v>
      </c>
      <c r="W960" t="n">
        <v>0.13339</v>
      </c>
      <c r="X960" t="inlineStr">
        <is>
          <t>High</t>
        </is>
      </c>
      <c r="Y960" t="inlineStr">
        <is>
          <t>None</t>
        </is>
      </c>
      <c r="Z960" t="inlineStr">
        <is>
          <t>Valid</t>
        </is>
      </c>
      <c r="AA960" t="n">
        <v>2039</v>
      </c>
      <c r="AB960" t="inlineStr">
        <is>
          <t>Supplier Target Pathway</t>
        </is>
      </c>
      <c r="AC960" t="n">
        <v>6767.4202</v>
      </c>
      <c r="AD960" t="n">
        <v>2709.675</v>
      </c>
      <c r="AE960" t="n">
        <v>2912.5623</v>
      </c>
      <c r="AF960" t="n">
        <v>2912.5623</v>
      </c>
      <c r="AG960" t="n">
        <v>3854.8579</v>
      </c>
      <c r="AH960" t="n">
        <v>0.0003062</v>
      </c>
      <c r="AI960" t="n">
        <v>0.56962</v>
      </c>
      <c r="AJ960" t="n">
        <v>202.8873</v>
      </c>
      <c r="AK960" t="n">
        <v>202.8873</v>
      </c>
      <c r="AL960" t="n">
        <v>-21636.7967</v>
      </c>
      <c r="AM960" t="n">
        <v>64991.5967</v>
      </c>
      <c r="AN960" t="n">
        <v>0.99</v>
      </c>
      <c r="AO960" t="inlineStr">
        <is>
          <t>Medium</t>
        </is>
      </c>
      <c r="AP960" t="inlineStr">
        <is>
          <t>On Track to Glide Path</t>
        </is>
      </c>
    </row>
    <row r="961">
      <c r="A961" t="inlineStr">
        <is>
          <t>SUP-0060</t>
        </is>
      </c>
      <c r="B961" t="inlineStr">
        <is>
          <t>Electronics Supplier 060</t>
        </is>
      </c>
      <c r="C961" t="inlineStr">
        <is>
          <t>Electronics</t>
        </is>
      </c>
      <c r="D961" t="n">
        <v>2024</v>
      </c>
      <c r="E961" t="n">
        <v>2020</v>
      </c>
      <c r="F961" t="n">
        <v>2040</v>
      </c>
      <c r="G961" t="n">
        <v>6336.7308</v>
      </c>
      <c r="H961" t="n">
        <v>738.3951</v>
      </c>
      <c r="I961" t="n">
        <v>476.1886</v>
      </c>
      <c r="J961" t="n">
        <v>4578.248</v>
      </c>
      <c r="K961" t="n">
        <v>9511980.970000001</v>
      </c>
      <c r="L961" t="n">
        <v>51494851.6</v>
      </c>
      <c r="M961" t="n">
        <v>6336.7308</v>
      </c>
      <c r="N961" t="inlineStr">
        <is>
          <t>Provided Total Emissions</t>
        </is>
      </c>
      <c r="O961" t="b">
        <v>1</v>
      </c>
      <c r="P961" t="n">
        <v>-0.010975</v>
      </c>
      <c r="Q961" t="n">
        <v>0.052989</v>
      </c>
      <c r="R961" t="n">
        <v>8190.2912</v>
      </c>
      <c r="S961" t="n">
        <v>7181.987</v>
      </c>
      <c r="T961" t="n">
        <v>1853.5604</v>
      </c>
      <c r="U961" t="n">
        <v>845.2562</v>
      </c>
      <c r="V961" t="n">
        <v>0.292511</v>
      </c>
      <c r="W961" t="n">
        <v>0.13339</v>
      </c>
      <c r="X961" t="inlineStr">
        <is>
          <t>High</t>
        </is>
      </c>
      <c r="Y961" t="inlineStr">
        <is>
          <t>None</t>
        </is>
      </c>
      <c r="Z961" t="inlineStr">
        <is>
          <t>Valid</t>
        </is>
      </c>
      <c r="AA961" t="n">
        <v>2040</v>
      </c>
      <c r="AB961" t="inlineStr">
        <is>
          <t>Supplier Target Pathway</t>
        </is>
      </c>
      <c r="AC961" t="n">
        <v>6767.4202</v>
      </c>
      <c r="AD961" t="n">
        <v>2709.675</v>
      </c>
      <c r="AE961" t="n">
        <v>2709.675</v>
      </c>
      <c r="AF961" t="n">
        <v>2709.675</v>
      </c>
      <c r="AG961" t="n">
        <v>4057.7452</v>
      </c>
      <c r="AH961" t="n">
        <v>0.00028487</v>
      </c>
      <c r="AI961" t="n">
        <v>0.5996</v>
      </c>
      <c r="AJ961" t="n">
        <v>0</v>
      </c>
      <c r="AK961" t="n">
        <v>202.8873</v>
      </c>
      <c r="AL961" t="n">
        <v>-24346.4717</v>
      </c>
      <c r="AM961" t="n">
        <v>67701.2717</v>
      </c>
      <c r="AN961" t="n">
        <v>0.99</v>
      </c>
      <c r="AO961" t="inlineStr">
        <is>
          <t>Low</t>
        </is>
      </c>
      <c r="AP961" t="inlineStr">
        <is>
          <t>On Track</t>
        </is>
      </c>
    </row>
    <row r="962">
      <c r="A962" t="inlineStr">
        <is>
          <t>SUP-0061</t>
        </is>
      </c>
      <c r="B962" t="inlineStr">
        <is>
          <t>Metals Supplier 061</t>
        </is>
      </c>
      <c r="C962" t="inlineStr">
        <is>
          <t>Metals</t>
        </is>
      </c>
      <c r="D962" t="n">
        <v>2024</v>
      </c>
      <c r="E962" t="n">
        <v>2018</v>
      </c>
      <c r="F962" t="n">
        <v>2040</v>
      </c>
      <c r="G962" t="n">
        <v>18509.7967</v>
      </c>
      <c r="H962" t="n">
        <v>3942.7155</v>
      </c>
      <c r="I962" t="n">
        <v>1552.3745</v>
      </c>
      <c r="J962" t="n">
        <v>12231.1446</v>
      </c>
      <c r="K962" t="n">
        <v>19755026.2</v>
      </c>
      <c r="L962" t="n">
        <v>178370687.43</v>
      </c>
      <c r="M962" t="n">
        <v>18509.7967</v>
      </c>
      <c r="N962" t="inlineStr">
        <is>
          <t>Provided Total Emissions</t>
        </is>
      </c>
      <c r="O962" t="b">
        <v>1</v>
      </c>
      <c r="P962" t="n">
        <v>-0.019957</v>
      </c>
      <c r="Q962" t="n">
        <v>0.000697</v>
      </c>
      <c r="R962" t="n">
        <v>19892.3236</v>
      </c>
      <c r="S962" t="n">
        <v>115955.2165</v>
      </c>
      <c r="T962" t="n">
        <v>1382.5269</v>
      </c>
      <c r="U962" t="n">
        <v>97445.4198</v>
      </c>
      <c r="V962" t="n">
        <v>0.07469199999999999</v>
      </c>
      <c r="W962" t="n">
        <v>5.264532</v>
      </c>
      <c r="X962" t="inlineStr">
        <is>
          <t>High</t>
        </is>
      </c>
      <c r="Y962" t="inlineStr">
        <is>
          <t>None</t>
        </is>
      </c>
      <c r="Z962" t="inlineStr">
        <is>
          <t>Valid</t>
        </is>
      </c>
      <c r="AA962" t="n">
        <v>2025</v>
      </c>
      <c r="AB962" t="inlineStr">
        <is>
          <t>Supplier Target Pathway</t>
        </is>
      </c>
      <c r="AC962" t="n">
        <v>20080.9039</v>
      </c>
      <c r="AD962" t="n">
        <v>13213.2348</v>
      </c>
      <c r="AE962" t="n">
        <v>17895.7364</v>
      </c>
      <c r="AF962" t="n">
        <v>17895.7364</v>
      </c>
      <c r="AG962" t="n">
        <v>2185.1675</v>
      </c>
      <c r="AH962" t="n">
        <v>0.00090588</v>
      </c>
      <c r="AI962" t="n">
        <v>0.108818</v>
      </c>
      <c r="AJ962" t="n">
        <v>4682.5017</v>
      </c>
      <c r="AK962" t="n">
        <v>312.1668</v>
      </c>
      <c r="AL962" t="n">
        <v>193516.0204</v>
      </c>
      <c r="AM962" t="n">
        <v>17895.7364</v>
      </c>
      <c r="AN962" t="n">
        <v>0.99</v>
      </c>
      <c r="AO962" t="inlineStr">
        <is>
          <t>Critical</t>
        </is>
      </c>
      <c r="AP962" t="inlineStr">
        <is>
          <t>On Track to Glide Path</t>
        </is>
      </c>
    </row>
    <row r="963">
      <c r="A963" t="inlineStr">
        <is>
          <t>SUP-0061</t>
        </is>
      </c>
      <c r="B963" t="inlineStr">
        <is>
          <t>Metals Supplier 061</t>
        </is>
      </c>
      <c r="C963" t="inlineStr">
        <is>
          <t>Metals</t>
        </is>
      </c>
      <c r="D963" t="n">
        <v>2024</v>
      </c>
      <c r="E963" t="n">
        <v>2018</v>
      </c>
      <c r="F963" t="n">
        <v>2040</v>
      </c>
      <c r="G963" t="n">
        <v>18509.7967</v>
      </c>
      <c r="H963" t="n">
        <v>3942.7155</v>
      </c>
      <c r="I963" t="n">
        <v>1552.3745</v>
      </c>
      <c r="J963" t="n">
        <v>12231.1446</v>
      </c>
      <c r="K963" t="n">
        <v>19755026.2</v>
      </c>
      <c r="L963" t="n">
        <v>178370687.43</v>
      </c>
      <c r="M963" t="n">
        <v>18509.7967</v>
      </c>
      <c r="N963" t="inlineStr">
        <is>
          <t>Provided Total Emissions</t>
        </is>
      </c>
      <c r="O963" t="b">
        <v>1</v>
      </c>
      <c r="P963" t="n">
        <v>-0.019957</v>
      </c>
      <c r="Q963" t="n">
        <v>0.000697</v>
      </c>
      <c r="R963" t="n">
        <v>19892.3236</v>
      </c>
      <c r="S963" t="n">
        <v>115955.2165</v>
      </c>
      <c r="T963" t="n">
        <v>1382.5269</v>
      </c>
      <c r="U963" t="n">
        <v>97445.4198</v>
      </c>
      <c r="V963" t="n">
        <v>0.07469199999999999</v>
      </c>
      <c r="W963" t="n">
        <v>5.264532</v>
      </c>
      <c r="X963" t="inlineStr">
        <is>
          <t>High</t>
        </is>
      </c>
      <c r="Y963" t="inlineStr">
        <is>
          <t>None</t>
        </is>
      </c>
      <c r="Z963" t="inlineStr">
        <is>
          <t>Valid</t>
        </is>
      </c>
      <c r="AA963" t="n">
        <v>2026</v>
      </c>
      <c r="AB963" t="inlineStr">
        <is>
          <t>Supplier Target Pathway</t>
        </is>
      </c>
      <c r="AC963" t="n">
        <v>20080.9039</v>
      </c>
      <c r="AD963" t="n">
        <v>13213.2348</v>
      </c>
      <c r="AE963" t="n">
        <v>17583.5697</v>
      </c>
      <c r="AF963" t="n">
        <v>17583.5697</v>
      </c>
      <c r="AG963" t="n">
        <v>2497.3342</v>
      </c>
      <c r="AH963" t="n">
        <v>0.00089008</v>
      </c>
      <c r="AI963" t="n">
        <v>0.124364</v>
      </c>
      <c r="AJ963" t="n">
        <v>4370.3349</v>
      </c>
      <c r="AK963" t="n">
        <v>312.1668</v>
      </c>
      <c r="AL963" t="n">
        <v>175932.4507</v>
      </c>
      <c r="AM963" t="n">
        <v>35479.3061</v>
      </c>
      <c r="AN963" t="n">
        <v>0.99</v>
      </c>
      <c r="AO963" t="inlineStr">
        <is>
          <t>High</t>
        </is>
      </c>
      <c r="AP963" t="inlineStr">
        <is>
          <t>On Track to Glide Path</t>
        </is>
      </c>
    </row>
    <row r="964">
      <c r="A964" t="inlineStr">
        <is>
          <t>SUP-0061</t>
        </is>
      </c>
      <c r="B964" t="inlineStr">
        <is>
          <t>Metals Supplier 061</t>
        </is>
      </c>
      <c r="C964" t="inlineStr">
        <is>
          <t>Metals</t>
        </is>
      </c>
      <c r="D964" t="n">
        <v>2024</v>
      </c>
      <c r="E964" t="n">
        <v>2018</v>
      </c>
      <c r="F964" t="n">
        <v>2040</v>
      </c>
      <c r="G964" t="n">
        <v>18509.7967</v>
      </c>
      <c r="H964" t="n">
        <v>3942.7155</v>
      </c>
      <c r="I964" t="n">
        <v>1552.3745</v>
      </c>
      <c r="J964" t="n">
        <v>12231.1446</v>
      </c>
      <c r="K964" t="n">
        <v>19755026.2</v>
      </c>
      <c r="L964" t="n">
        <v>178370687.43</v>
      </c>
      <c r="M964" t="n">
        <v>18509.7967</v>
      </c>
      <c r="N964" t="inlineStr">
        <is>
          <t>Provided Total Emissions</t>
        </is>
      </c>
      <c r="O964" t="b">
        <v>1</v>
      </c>
      <c r="P964" t="n">
        <v>-0.019957</v>
      </c>
      <c r="Q964" t="n">
        <v>0.000697</v>
      </c>
      <c r="R964" t="n">
        <v>19892.3236</v>
      </c>
      <c r="S964" t="n">
        <v>115955.2165</v>
      </c>
      <c r="T964" t="n">
        <v>1382.5269</v>
      </c>
      <c r="U964" t="n">
        <v>97445.4198</v>
      </c>
      <c r="V964" t="n">
        <v>0.07469199999999999</v>
      </c>
      <c r="W964" t="n">
        <v>5.264532</v>
      </c>
      <c r="X964" t="inlineStr">
        <is>
          <t>High</t>
        </is>
      </c>
      <c r="Y964" t="inlineStr">
        <is>
          <t>None</t>
        </is>
      </c>
      <c r="Z964" t="inlineStr">
        <is>
          <t>Valid</t>
        </is>
      </c>
      <c r="AA964" t="n">
        <v>2027</v>
      </c>
      <c r="AB964" t="inlineStr">
        <is>
          <t>Supplier Target Pathway</t>
        </is>
      </c>
      <c r="AC964" t="n">
        <v>20080.9039</v>
      </c>
      <c r="AD964" t="n">
        <v>13213.2348</v>
      </c>
      <c r="AE964" t="n">
        <v>17271.4029</v>
      </c>
      <c r="AF964" t="n">
        <v>17271.4029</v>
      </c>
      <c r="AG964" t="n">
        <v>2809.501</v>
      </c>
      <c r="AH964" t="n">
        <v>0.00087428</v>
      </c>
      <c r="AI964" t="n">
        <v>0.139909</v>
      </c>
      <c r="AJ964" t="n">
        <v>4058.1681</v>
      </c>
      <c r="AK964" t="n">
        <v>312.1668</v>
      </c>
      <c r="AL964" t="n">
        <v>158661.0478</v>
      </c>
      <c r="AM964" t="n">
        <v>52750.709</v>
      </c>
      <c r="AN964" t="n">
        <v>0.99</v>
      </c>
      <c r="AO964" t="inlineStr">
        <is>
          <t>High</t>
        </is>
      </c>
      <c r="AP964" t="inlineStr">
        <is>
          <t>On Track to Glide Path</t>
        </is>
      </c>
    </row>
    <row r="965">
      <c r="A965" t="inlineStr">
        <is>
          <t>SUP-0061</t>
        </is>
      </c>
      <c r="B965" t="inlineStr">
        <is>
          <t>Metals Supplier 061</t>
        </is>
      </c>
      <c r="C965" t="inlineStr">
        <is>
          <t>Metals</t>
        </is>
      </c>
      <c r="D965" t="n">
        <v>2024</v>
      </c>
      <c r="E965" t="n">
        <v>2018</v>
      </c>
      <c r="F965" t="n">
        <v>2040</v>
      </c>
      <c r="G965" t="n">
        <v>18509.7967</v>
      </c>
      <c r="H965" t="n">
        <v>3942.7155</v>
      </c>
      <c r="I965" t="n">
        <v>1552.3745</v>
      </c>
      <c r="J965" t="n">
        <v>12231.1446</v>
      </c>
      <c r="K965" t="n">
        <v>19755026.2</v>
      </c>
      <c r="L965" t="n">
        <v>178370687.43</v>
      </c>
      <c r="M965" t="n">
        <v>18509.7967</v>
      </c>
      <c r="N965" t="inlineStr">
        <is>
          <t>Provided Total Emissions</t>
        </is>
      </c>
      <c r="O965" t="b">
        <v>1</v>
      </c>
      <c r="P965" t="n">
        <v>-0.019957</v>
      </c>
      <c r="Q965" t="n">
        <v>0.000697</v>
      </c>
      <c r="R965" t="n">
        <v>19892.3236</v>
      </c>
      <c r="S965" t="n">
        <v>115955.2165</v>
      </c>
      <c r="T965" t="n">
        <v>1382.5269</v>
      </c>
      <c r="U965" t="n">
        <v>97445.4198</v>
      </c>
      <c r="V965" t="n">
        <v>0.07469199999999999</v>
      </c>
      <c r="W965" t="n">
        <v>5.264532</v>
      </c>
      <c r="X965" t="inlineStr">
        <is>
          <t>High</t>
        </is>
      </c>
      <c r="Y965" t="inlineStr">
        <is>
          <t>None</t>
        </is>
      </c>
      <c r="Z965" t="inlineStr">
        <is>
          <t>Valid</t>
        </is>
      </c>
      <c r="AA965" t="n">
        <v>2028</v>
      </c>
      <c r="AB965" t="inlineStr">
        <is>
          <t>Supplier Target Pathway</t>
        </is>
      </c>
      <c r="AC965" t="n">
        <v>20080.9039</v>
      </c>
      <c r="AD965" t="n">
        <v>13213.2348</v>
      </c>
      <c r="AE965" t="n">
        <v>16959.2361</v>
      </c>
      <c r="AF965" t="n">
        <v>16959.2361</v>
      </c>
      <c r="AG965" t="n">
        <v>3121.6678</v>
      </c>
      <c r="AH965" t="n">
        <v>0.00085848</v>
      </c>
      <c r="AI965" t="n">
        <v>0.155455</v>
      </c>
      <c r="AJ965" t="n">
        <v>3746.0013</v>
      </c>
      <c r="AK965" t="n">
        <v>312.1668</v>
      </c>
      <c r="AL965" t="n">
        <v>141701.8117</v>
      </c>
      <c r="AM965" t="n">
        <v>69709.9451</v>
      </c>
      <c r="AN965" t="n">
        <v>0.99</v>
      </c>
      <c r="AO965" t="inlineStr">
        <is>
          <t>High</t>
        </is>
      </c>
      <c r="AP965" t="inlineStr">
        <is>
          <t>On Track to Glide Path</t>
        </is>
      </c>
    </row>
    <row r="966">
      <c r="A966" t="inlineStr">
        <is>
          <t>SUP-0061</t>
        </is>
      </c>
      <c r="B966" t="inlineStr">
        <is>
          <t>Metals Supplier 061</t>
        </is>
      </c>
      <c r="C966" t="inlineStr">
        <is>
          <t>Metals</t>
        </is>
      </c>
      <c r="D966" t="n">
        <v>2024</v>
      </c>
      <c r="E966" t="n">
        <v>2018</v>
      </c>
      <c r="F966" t="n">
        <v>2040</v>
      </c>
      <c r="G966" t="n">
        <v>18509.7967</v>
      </c>
      <c r="H966" t="n">
        <v>3942.7155</v>
      </c>
      <c r="I966" t="n">
        <v>1552.3745</v>
      </c>
      <c r="J966" t="n">
        <v>12231.1446</v>
      </c>
      <c r="K966" t="n">
        <v>19755026.2</v>
      </c>
      <c r="L966" t="n">
        <v>178370687.43</v>
      </c>
      <c r="M966" t="n">
        <v>18509.7967</v>
      </c>
      <c r="N966" t="inlineStr">
        <is>
          <t>Provided Total Emissions</t>
        </is>
      </c>
      <c r="O966" t="b">
        <v>1</v>
      </c>
      <c r="P966" t="n">
        <v>-0.019957</v>
      </c>
      <c r="Q966" t="n">
        <v>0.000697</v>
      </c>
      <c r="R966" t="n">
        <v>19892.3236</v>
      </c>
      <c r="S966" t="n">
        <v>115955.2165</v>
      </c>
      <c r="T966" t="n">
        <v>1382.5269</v>
      </c>
      <c r="U966" t="n">
        <v>97445.4198</v>
      </c>
      <c r="V966" t="n">
        <v>0.07469199999999999</v>
      </c>
      <c r="W966" t="n">
        <v>5.264532</v>
      </c>
      <c r="X966" t="inlineStr">
        <is>
          <t>High</t>
        </is>
      </c>
      <c r="Y966" t="inlineStr">
        <is>
          <t>None</t>
        </is>
      </c>
      <c r="Z966" t="inlineStr">
        <is>
          <t>Valid</t>
        </is>
      </c>
      <c r="AA966" t="n">
        <v>2029</v>
      </c>
      <c r="AB966" t="inlineStr">
        <is>
          <t>Supplier Target Pathway</t>
        </is>
      </c>
      <c r="AC966" t="n">
        <v>20080.9039</v>
      </c>
      <c r="AD966" t="n">
        <v>13213.2348</v>
      </c>
      <c r="AE966" t="n">
        <v>16647.0693</v>
      </c>
      <c r="AF966" t="n">
        <v>16647.0693</v>
      </c>
      <c r="AG966" t="n">
        <v>3433.8346</v>
      </c>
      <c r="AH966" t="n">
        <v>0.0008426799999999999</v>
      </c>
      <c r="AI966" t="n">
        <v>0.171</v>
      </c>
      <c r="AJ966" t="n">
        <v>3433.8346</v>
      </c>
      <c r="AK966" t="n">
        <v>312.1668</v>
      </c>
      <c r="AL966" t="n">
        <v>125054.7424</v>
      </c>
      <c r="AM966" t="n">
        <v>86357.0144</v>
      </c>
      <c r="AN966" t="n">
        <v>0.99</v>
      </c>
      <c r="AO966" t="inlineStr">
        <is>
          <t>High</t>
        </is>
      </c>
      <c r="AP966" t="inlineStr">
        <is>
          <t>On Track to Glide Path</t>
        </is>
      </c>
    </row>
    <row r="967">
      <c r="A967" t="inlineStr">
        <is>
          <t>SUP-0061</t>
        </is>
      </c>
      <c r="B967" t="inlineStr">
        <is>
          <t>Metals Supplier 061</t>
        </is>
      </c>
      <c r="C967" t="inlineStr">
        <is>
          <t>Metals</t>
        </is>
      </c>
      <c r="D967" t="n">
        <v>2024</v>
      </c>
      <c r="E967" t="n">
        <v>2018</v>
      </c>
      <c r="F967" t="n">
        <v>2040</v>
      </c>
      <c r="G967" t="n">
        <v>18509.7967</v>
      </c>
      <c r="H967" t="n">
        <v>3942.7155</v>
      </c>
      <c r="I967" t="n">
        <v>1552.3745</v>
      </c>
      <c r="J967" t="n">
        <v>12231.1446</v>
      </c>
      <c r="K967" t="n">
        <v>19755026.2</v>
      </c>
      <c r="L967" t="n">
        <v>178370687.43</v>
      </c>
      <c r="M967" t="n">
        <v>18509.7967</v>
      </c>
      <c r="N967" t="inlineStr">
        <is>
          <t>Provided Total Emissions</t>
        </is>
      </c>
      <c r="O967" t="b">
        <v>1</v>
      </c>
      <c r="P967" t="n">
        <v>-0.019957</v>
      </c>
      <c r="Q967" t="n">
        <v>0.000697</v>
      </c>
      <c r="R967" t="n">
        <v>19892.3236</v>
      </c>
      <c r="S967" t="n">
        <v>115955.2165</v>
      </c>
      <c r="T967" t="n">
        <v>1382.5269</v>
      </c>
      <c r="U967" t="n">
        <v>97445.4198</v>
      </c>
      <c r="V967" t="n">
        <v>0.07469199999999999</v>
      </c>
      <c r="W967" t="n">
        <v>5.264532</v>
      </c>
      <c r="X967" t="inlineStr">
        <is>
          <t>High</t>
        </is>
      </c>
      <c r="Y967" t="inlineStr">
        <is>
          <t>None</t>
        </is>
      </c>
      <c r="Z967" t="inlineStr">
        <is>
          <t>Valid</t>
        </is>
      </c>
      <c r="AA967" t="n">
        <v>2030</v>
      </c>
      <c r="AB967" t="inlineStr">
        <is>
          <t>Supplier Target Pathway</t>
        </is>
      </c>
      <c r="AC967" t="n">
        <v>20080.9039</v>
      </c>
      <c r="AD967" t="n">
        <v>13213.2348</v>
      </c>
      <c r="AE967" t="n">
        <v>16334.9026</v>
      </c>
      <c r="AF967" t="n">
        <v>16334.9026</v>
      </c>
      <c r="AG967" t="n">
        <v>3746.0013</v>
      </c>
      <c r="AH967" t="n">
        <v>0.0008268699999999999</v>
      </c>
      <c r="AI967" t="n">
        <v>0.186545</v>
      </c>
      <c r="AJ967" t="n">
        <v>3121.6678</v>
      </c>
      <c r="AK967" t="n">
        <v>312.1668</v>
      </c>
      <c r="AL967" t="n">
        <v>108719.8398</v>
      </c>
      <c r="AM967" t="n">
        <v>102691.917</v>
      </c>
      <c r="AN967" t="n">
        <v>0.99</v>
      </c>
      <c r="AO967" t="inlineStr">
        <is>
          <t>High</t>
        </is>
      </c>
      <c r="AP967" t="inlineStr">
        <is>
          <t>On Track to Glide Path</t>
        </is>
      </c>
    </row>
    <row r="968">
      <c r="A968" t="inlineStr">
        <is>
          <t>SUP-0061</t>
        </is>
      </c>
      <c r="B968" t="inlineStr">
        <is>
          <t>Metals Supplier 061</t>
        </is>
      </c>
      <c r="C968" t="inlineStr">
        <is>
          <t>Metals</t>
        </is>
      </c>
      <c r="D968" t="n">
        <v>2024</v>
      </c>
      <c r="E968" t="n">
        <v>2018</v>
      </c>
      <c r="F968" t="n">
        <v>2040</v>
      </c>
      <c r="G968" t="n">
        <v>18509.7967</v>
      </c>
      <c r="H968" t="n">
        <v>3942.7155</v>
      </c>
      <c r="I968" t="n">
        <v>1552.3745</v>
      </c>
      <c r="J968" t="n">
        <v>12231.1446</v>
      </c>
      <c r="K968" t="n">
        <v>19755026.2</v>
      </c>
      <c r="L968" t="n">
        <v>178370687.43</v>
      </c>
      <c r="M968" t="n">
        <v>18509.7967</v>
      </c>
      <c r="N968" t="inlineStr">
        <is>
          <t>Provided Total Emissions</t>
        </is>
      </c>
      <c r="O968" t="b">
        <v>1</v>
      </c>
      <c r="P968" t="n">
        <v>-0.019957</v>
      </c>
      <c r="Q968" t="n">
        <v>0.000697</v>
      </c>
      <c r="R968" t="n">
        <v>19892.3236</v>
      </c>
      <c r="S968" t="n">
        <v>115955.2165</v>
      </c>
      <c r="T968" t="n">
        <v>1382.5269</v>
      </c>
      <c r="U968" t="n">
        <v>97445.4198</v>
      </c>
      <c r="V968" t="n">
        <v>0.07469199999999999</v>
      </c>
      <c r="W968" t="n">
        <v>5.264532</v>
      </c>
      <c r="X968" t="inlineStr">
        <is>
          <t>High</t>
        </is>
      </c>
      <c r="Y968" t="inlineStr">
        <is>
          <t>None</t>
        </is>
      </c>
      <c r="Z968" t="inlineStr">
        <is>
          <t>Valid</t>
        </is>
      </c>
      <c r="AA968" t="n">
        <v>2031</v>
      </c>
      <c r="AB968" t="inlineStr">
        <is>
          <t>Supplier Target Pathway</t>
        </is>
      </c>
      <c r="AC968" t="n">
        <v>20080.9039</v>
      </c>
      <c r="AD968" t="n">
        <v>13213.2348</v>
      </c>
      <c r="AE968" t="n">
        <v>16022.7358</v>
      </c>
      <c r="AF968" t="n">
        <v>16022.7358</v>
      </c>
      <c r="AG968" t="n">
        <v>4058.1681</v>
      </c>
      <c r="AH968" t="n">
        <v>0.00081107</v>
      </c>
      <c r="AI968" t="n">
        <v>0.202091</v>
      </c>
      <c r="AJ968" t="n">
        <v>2809.501</v>
      </c>
      <c r="AK968" t="n">
        <v>312.1668</v>
      </c>
      <c r="AL968" t="n">
        <v>92697.10400000001</v>
      </c>
      <c r="AM968" t="n">
        <v>118714.6528</v>
      </c>
      <c r="AN968" t="n">
        <v>0.99</v>
      </c>
      <c r="AO968" t="inlineStr">
        <is>
          <t>High</t>
        </is>
      </c>
      <c r="AP968" t="inlineStr">
        <is>
          <t>On Track to Glide Path</t>
        </is>
      </c>
    </row>
    <row r="969">
      <c r="A969" t="inlineStr">
        <is>
          <t>SUP-0061</t>
        </is>
      </c>
      <c r="B969" t="inlineStr">
        <is>
          <t>Metals Supplier 061</t>
        </is>
      </c>
      <c r="C969" t="inlineStr">
        <is>
          <t>Metals</t>
        </is>
      </c>
      <c r="D969" t="n">
        <v>2024</v>
      </c>
      <c r="E969" t="n">
        <v>2018</v>
      </c>
      <c r="F969" t="n">
        <v>2040</v>
      </c>
      <c r="G969" t="n">
        <v>18509.7967</v>
      </c>
      <c r="H969" t="n">
        <v>3942.7155</v>
      </c>
      <c r="I969" t="n">
        <v>1552.3745</v>
      </c>
      <c r="J969" t="n">
        <v>12231.1446</v>
      </c>
      <c r="K969" t="n">
        <v>19755026.2</v>
      </c>
      <c r="L969" t="n">
        <v>178370687.43</v>
      </c>
      <c r="M969" t="n">
        <v>18509.7967</v>
      </c>
      <c r="N969" t="inlineStr">
        <is>
          <t>Provided Total Emissions</t>
        </is>
      </c>
      <c r="O969" t="b">
        <v>1</v>
      </c>
      <c r="P969" t="n">
        <v>-0.019957</v>
      </c>
      <c r="Q969" t="n">
        <v>0.000697</v>
      </c>
      <c r="R969" t="n">
        <v>19892.3236</v>
      </c>
      <c r="S969" t="n">
        <v>115955.2165</v>
      </c>
      <c r="T969" t="n">
        <v>1382.5269</v>
      </c>
      <c r="U969" t="n">
        <v>97445.4198</v>
      </c>
      <c r="V969" t="n">
        <v>0.07469199999999999</v>
      </c>
      <c r="W969" t="n">
        <v>5.264532</v>
      </c>
      <c r="X969" t="inlineStr">
        <is>
          <t>High</t>
        </is>
      </c>
      <c r="Y969" t="inlineStr">
        <is>
          <t>None</t>
        </is>
      </c>
      <c r="Z969" t="inlineStr">
        <is>
          <t>Valid</t>
        </is>
      </c>
      <c r="AA969" t="n">
        <v>2032</v>
      </c>
      <c r="AB969" t="inlineStr">
        <is>
          <t>Supplier Target Pathway</t>
        </is>
      </c>
      <c r="AC969" t="n">
        <v>20080.9039</v>
      </c>
      <c r="AD969" t="n">
        <v>13213.2348</v>
      </c>
      <c r="AE969" t="n">
        <v>15710.569</v>
      </c>
      <c r="AF969" t="n">
        <v>15710.569</v>
      </c>
      <c r="AG969" t="n">
        <v>4370.3349</v>
      </c>
      <c r="AH969" t="n">
        <v>0.00079527</v>
      </c>
      <c r="AI969" t="n">
        <v>0.217636</v>
      </c>
      <c r="AJ969" t="n">
        <v>2497.3342</v>
      </c>
      <c r="AK969" t="n">
        <v>312.1668</v>
      </c>
      <c r="AL969" t="n">
        <v>76986.535</v>
      </c>
      <c r="AM969" t="n">
        <v>134425.2218</v>
      </c>
      <c r="AN969" t="n">
        <v>0.99</v>
      </c>
      <c r="AO969" t="inlineStr">
        <is>
          <t>High</t>
        </is>
      </c>
      <c r="AP969" t="inlineStr">
        <is>
          <t>On Track to Glide Path</t>
        </is>
      </c>
    </row>
    <row r="970">
      <c r="A970" t="inlineStr">
        <is>
          <t>SUP-0061</t>
        </is>
      </c>
      <c r="B970" t="inlineStr">
        <is>
          <t>Metals Supplier 061</t>
        </is>
      </c>
      <c r="C970" t="inlineStr">
        <is>
          <t>Metals</t>
        </is>
      </c>
      <c r="D970" t="n">
        <v>2024</v>
      </c>
      <c r="E970" t="n">
        <v>2018</v>
      </c>
      <c r="F970" t="n">
        <v>2040</v>
      </c>
      <c r="G970" t="n">
        <v>18509.7967</v>
      </c>
      <c r="H970" t="n">
        <v>3942.7155</v>
      </c>
      <c r="I970" t="n">
        <v>1552.3745</v>
      </c>
      <c r="J970" t="n">
        <v>12231.1446</v>
      </c>
      <c r="K970" t="n">
        <v>19755026.2</v>
      </c>
      <c r="L970" t="n">
        <v>178370687.43</v>
      </c>
      <c r="M970" t="n">
        <v>18509.7967</v>
      </c>
      <c r="N970" t="inlineStr">
        <is>
          <t>Provided Total Emissions</t>
        </is>
      </c>
      <c r="O970" t="b">
        <v>1</v>
      </c>
      <c r="P970" t="n">
        <v>-0.019957</v>
      </c>
      <c r="Q970" t="n">
        <v>0.000697</v>
      </c>
      <c r="R970" t="n">
        <v>19892.3236</v>
      </c>
      <c r="S970" t="n">
        <v>115955.2165</v>
      </c>
      <c r="T970" t="n">
        <v>1382.5269</v>
      </c>
      <c r="U970" t="n">
        <v>97445.4198</v>
      </c>
      <c r="V970" t="n">
        <v>0.07469199999999999</v>
      </c>
      <c r="W970" t="n">
        <v>5.264532</v>
      </c>
      <c r="X970" t="inlineStr">
        <is>
          <t>High</t>
        </is>
      </c>
      <c r="Y970" t="inlineStr">
        <is>
          <t>None</t>
        </is>
      </c>
      <c r="Z970" t="inlineStr">
        <is>
          <t>Valid</t>
        </is>
      </c>
      <c r="AA970" t="n">
        <v>2033</v>
      </c>
      <c r="AB970" t="inlineStr">
        <is>
          <t>Supplier Target Pathway</t>
        </is>
      </c>
      <c r="AC970" t="n">
        <v>20080.9039</v>
      </c>
      <c r="AD970" t="n">
        <v>13213.2348</v>
      </c>
      <c r="AE970" t="n">
        <v>15398.4022</v>
      </c>
      <c r="AF970" t="n">
        <v>15398.4022</v>
      </c>
      <c r="AG970" t="n">
        <v>4682.5017</v>
      </c>
      <c r="AH970" t="n">
        <v>0.00077947</v>
      </c>
      <c r="AI970" t="n">
        <v>0.233182</v>
      </c>
      <c r="AJ970" t="n">
        <v>2185.1675</v>
      </c>
      <c r="AK970" t="n">
        <v>312.1668</v>
      </c>
      <c r="AL970" t="n">
        <v>61588.1328</v>
      </c>
      <c r="AM970" t="n">
        <v>149823.624</v>
      </c>
      <c r="AN970" t="n">
        <v>0.99</v>
      </c>
      <c r="AO970" t="inlineStr">
        <is>
          <t>High</t>
        </is>
      </c>
      <c r="AP970" t="inlineStr">
        <is>
          <t>On Track to Glide Path</t>
        </is>
      </c>
    </row>
    <row r="971">
      <c r="A971" t="inlineStr">
        <is>
          <t>SUP-0061</t>
        </is>
      </c>
      <c r="B971" t="inlineStr">
        <is>
          <t>Metals Supplier 061</t>
        </is>
      </c>
      <c r="C971" t="inlineStr">
        <is>
          <t>Metals</t>
        </is>
      </c>
      <c r="D971" t="n">
        <v>2024</v>
      </c>
      <c r="E971" t="n">
        <v>2018</v>
      </c>
      <c r="F971" t="n">
        <v>2040</v>
      </c>
      <c r="G971" t="n">
        <v>18509.7967</v>
      </c>
      <c r="H971" t="n">
        <v>3942.7155</v>
      </c>
      <c r="I971" t="n">
        <v>1552.3745</v>
      </c>
      <c r="J971" t="n">
        <v>12231.1446</v>
      </c>
      <c r="K971" t="n">
        <v>19755026.2</v>
      </c>
      <c r="L971" t="n">
        <v>178370687.43</v>
      </c>
      <c r="M971" t="n">
        <v>18509.7967</v>
      </c>
      <c r="N971" t="inlineStr">
        <is>
          <t>Provided Total Emissions</t>
        </is>
      </c>
      <c r="O971" t="b">
        <v>1</v>
      </c>
      <c r="P971" t="n">
        <v>-0.019957</v>
      </c>
      <c r="Q971" t="n">
        <v>0.000697</v>
      </c>
      <c r="R971" t="n">
        <v>19892.3236</v>
      </c>
      <c r="S971" t="n">
        <v>115955.2165</v>
      </c>
      <c r="T971" t="n">
        <v>1382.5269</v>
      </c>
      <c r="U971" t="n">
        <v>97445.4198</v>
      </c>
      <c r="V971" t="n">
        <v>0.07469199999999999</v>
      </c>
      <c r="W971" t="n">
        <v>5.264532</v>
      </c>
      <c r="X971" t="inlineStr">
        <is>
          <t>High</t>
        </is>
      </c>
      <c r="Y971" t="inlineStr">
        <is>
          <t>None</t>
        </is>
      </c>
      <c r="Z971" t="inlineStr">
        <is>
          <t>Valid</t>
        </is>
      </c>
      <c r="AA971" t="n">
        <v>2034</v>
      </c>
      <c r="AB971" t="inlineStr">
        <is>
          <t>Supplier Target Pathway</t>
        </is>
      </c>
      <c r="AC971" t="n">
        <v>20080.9039</v>
      </c>
      <c r="AD971" t="n">
        <v>13213.2348</v>
      </c>
      <c r="AE971" t="n">
        <v>15086.2354</v>
      </c>
      <c r="AF971" t="n">
        <v>15086.2354</v>
      </c>
      <c r="AG971" t="n">
        <v>4994.6685</v>
      </c>
      <c r="AH971" t="n">
        <v>0.00076367</v>
      </c>
      <c r="AI971" t="n">
        <v>0.248727</v>
      </c>
      <c r="AJ971" t="n">
        <v>1873.0007</v>
      </c>
      <c r="AK971" t="n">
        <v>312.1668</v>
      </c>
      <c r="AL971" t="n">
        <v>46501.8974</v>
      </c>
      <c r="AM971" t="n">
        <v>164909.8594</v>
      </c>
      <c r="AN971" t="n">
        <v>0.99</v>
      </c>
      <c r="AO971" t="inlineStr">
        <is>
          <t>Medium</t>
        </is>
      </c>
      <c r="AP971" t="inlineStr">
        <is>
          <t>On Track to Glide Path</t>
        </is>
      </c>
    </row>
    <row r="972">
      <c r="A972" t="inlineStr">
        <is>
          <t>SUP-0061</t>
        </is>
      </c>
      <c r="B972" t="inlineStr">
        <is>
          <t>Metals Supplier 061</t>
        </is>
      </c>
      <c r="C972" t="inlineStr">
        <is>
          <t>Metals</t>
        </is>
      </c>
      <c r="D972" t="n">
        <v>2024</v>
      </c>
      <c r="E972" t="n">
        <v>2018</v>
      </c>
      <c r="F972" t="n">
        <v>2040</v>
      </c>
      <c r="G972" t="n">
        <v>18509.7967</v>
      </c>
      <c r="H972" t="n">
        <v>3942.7155</v>
      </c>
      <c r="I972" t="n">
        <v>1552.3745</v>
      </c>
      <c r="J972" t="n">
        <v>12231.1446</v>
      </c>
      <c r="K972" t="n">
        <v>19755026.2</v>
      </c>
      <c r="L972" t="n">
        <v>178370687.43</v>
      </c>
      <c r="M972" t="n">
        <v>18509.7967</v>
      </c>
      <c r="N972" t="inlineStr">
        <is>
          <t>Provided Total Emissions</t>
        </is>
      </c>
      <c r="O972" t="b">
        <v>1</v>
      </c>
      <c r="P972" t="n">
        <v>-0.019957</v>
      </c>
      <c r="Q972" t="n">
        <v>0.000697</v>
      </c>
      <c r="R972" t="n">
        <v>19892.3236</v>
      </c>
      <c r="S972" t="n">
        <v>115955.2165</v>
      </c>
      <c r="T972" t="n">
        <v>1382.5269</v>
      </c>
      <c r="U972" t="n">
        <v>97445.4198</v>
      </c>
      <c r="V972" t="n">
        <v>0.07469199999999999</v>
      </c>
      <c r="W972" t="n">
        <v>5.264532</v>
      </c>
      <c r="X972" t="inlineStr">
        <is>
          <t>High</t>
        </is>
      </c>
      <c r="Y972" t="inlineStr">
        <is>
          <t>None</t>
        </is>
      </c>
      <c r="Z972" t="inlineStr">
        <is>
          <t>Valid</t>
        </is>
      </c>
      <c r="AA972" t="n">
        <v>2035</v>
      </c>
      <c r="AB972" t="inlineStr">
        <is>
          <t>Supplier Target Pathway</t>
        </is>
      </c>
      <c r="AC972" t="n">
        <v>20080.9039</v>
      </c>
      <c r="AD972" t="n">
        <v>13213.2348</v>
      </c>
      <c r="AE972" t="n">
        <v>14774.0687</v>
      </c>
      <c r="AF972" t="n">
        <v>14774.0687</v>
      </c>
      <c r="AG972" t="n">
        <v>5306.8352</v>
      </c>
      <c r="AH972" t="n">
        <v>0.00074786</v>
      </c>
      <c r="AI972" t="n">
        <v>0.264273</v>
      </c>
      <c r="AJ972" t="n">
        <v>1560.8339</v>
      </c>
      <c r="AK972" t="n">
        <v>312.1668</v>
      </c>
      <c r="AL972" t="n">
        <v>31727.8287</v>
      </c>
      <c r="AM972" t="n">
        <v>179683.9281</v>
      </c>
      <c r="AN972" t="n">
        <v>0.99</v>
      </c>
      <c r="AO972" t="inlineStr">
        <is>
          <t>Medium</t>
        </is>
      </c>
      <c r="AP972" t="inlineStr">
        <is>
          <t>On Track to Glide Path</t>
        </is>
      </c>
    </row>
    <row r="973">
      <c r="A973" t="inlineStr">
        <is>
          <t>SUP-0061</t>
        </is>
      </c>
      <c r="B973" t="inlineStr">
        <is>
          <t>Metals Supplier 061</t>
        </is>
      </c>
      <c r="C973" t="inlineStr">
        <is>
          <t>Metals</t>
        </is>
      </c>
      <c r="D973" t="n">
        <v>2024</v>
      </c>
      <c r="E973" t="n">
        <v>2018</v>
      </c>
      <c r="F973" t="n">
        <v>2040</v>
      </c>
      <c r="G973" t="n">
        <v>18509.7967</v>
      </c>
      <c r="H973" t="n">
        <v>3942.7155</v>
      </c>
      <c r="I973" t="n">
        <v>1552.3745</v>
      </c>
      <c r="J973" t="n">
        <v>12231.1446</v>
      </c>
      <c r="K973" t="n">
        <v>19755026.2</v>
      </c>
      <c r="L973" t="n">
        <v>178370687.43</v>
      </c>
      <c r="M973" t="n">
        <v>18509.7967</v>
      </c>
      <c r="N973" t="inlineStr">
        <is>
          <t>Provided Total Emissions</t>
        </is>
      </c>
      <c r="O973" t="b">
        <v>1</v>
      </c>
      <c r="P973" t="n">
        <v>-0.019957</v>
      </c>
      <c r="Q973" t="n">
        <v>0.000697</v>
      </c>
      <c r="R973" t="n">
        <v>19892.3236</v>
      </c>
      <c r="S973" t="n">
        <v>115955.2165</v>
      </c>
      <c r="T973" t="n">
        <v>1382.5269</v>
      </c>
      <c r="U973" t="n">
        <v>97445.4198</v>
      </c>
      <c r="V973" t="n">
        <v>0.07469199999999999</v>
      </c>
      <c r="W973" t="n">
        <v>5.264532</v>
      </c>
      <c r="X973" t="inlineStr">
        <is>
          <t>High</t>
        </is>
      </c>
      <c r="Y973" t="inlineStr">
        <is>
          <t>None</t>
        </is>
      </c>
      <c r="Z973" t="inlineStr">
        <is>
          <t>Valid</t>
        </is>
      </c>
      <c r="AA973" t="n">
        <v>2036</v>
      </c>
      <c r="AB973" t="inlineStr">
        <is>
          <t>Supplier Target Pathway</t>
        </is>
      </c>
      <c r="AC973" t="n">
        <v>20080.9039</v>
      </c>
      <c r="AD973" t="n">
        <v>13213.2348</v>
      </c>
      <c r="AE973" t="n">
        <v>14461.9019</v>
      </c>
      <c r="AF973" t="n">
        <v>14461.9019</v>
      </c>
      <c r="AG973" t="n">
        <v>5619.002</v>
      </c>
      <c r="AH973" t="n">
        <v>0.00073206</v>
      </c>
      <c r="AI973" t="n">
        <v>0.279818</v>
      </c>
      <c r="AJ973" t="n">
        <v>1248.6671</v>
      </c>
      <c r="AK973" t="n">
        <v>312.1668</v>
      </c>
      <c r="AL973" t="n">
        <v>17265.9268</v>
      </c>
      <c r="AM973" t="n">
        <v>194145.83</v>
      </c>
      <c r="AN973" t="n">
        <v>0.99</v>
      </c>
      <c r="AO973" t="inlineStr">
        <is>
          <t>Medium</t>
        </is>
      </c>
      <c r="AP973" t="inlineStr">
        <is>
          <t>On Track to Glide Path</t>
        </is>
      </c>
    </row>
    <row r="974">
      <c r="A974" t="inlineStr">
        <is>
          <t>SUP-0061</t>
        </is>
      </c>
      <c r="B974" t="inlineStr">
        <is>
          <t>Metals Supplier 061</t>
        </is>
      </c>
      <c r="C974" t="inlineStr">
        <is>
          <t>Metals</t>
        </is>
      </c>
      <c r="D974" t="n">
        <v>2024</v>
      </c>
      <c r="E974" t="n">
        <v>2018</v>
      </c>
      <c r="F974" t="n">
        <v>2040</v>
      </c>
      <c r="G974" t="n">
        <v>18509.7967</v>
      </c>
      <c r="H974" t="n">
        <v>3942.7155</v>
      </c>
      <c r="I974" t="n">
        <v>1552.3745</v>
      </c>
      <c r="J974" t="n">
        <v>12231.1446</v>
      </c>
      <c r="K974" t="n">
        <v>19755026.2</v>
      </c>
      <c r="L974" t="n">
        <v>178370687.43</v>
      </c>
      <c r="M974" t="n">
        <v>18509.7967</v>
      </c>
      <c r="N974" t="inlineStr">
        <is>
          <t>Provided Total Emissions</t>
        </is>
      </c>
      <c r="O974" t="b">
        <v>1</v>
      </c>
      <c r="P974" t="n">
        <v>-0.019957</v>
      </c>
      <c r="Q974" t="n">
        <v>0.000697</v>
      </c>
      <c r="R974" t="n">
        <v>19892.3236</v>
      </c>
      <c r="S974" t="n">
        <v>115955.2165</v>
      </c>
      <c r="T974" t="n">
        <v>1382.5269</v>
      </c>
      <c r="U974" t="n">
        <v>97445.4198</v>
      </c>
      <c r="V974" t="n">
        <v>0.07469199999999999</v>
      </c>
      <c r="W974" t="n">
        <v>5.264532</v>
      </c>
      <c r="X974" t="inlineStr">
        <is>
          <t>High</t>
        </is>
      </c>
      <c r="Y974" t="inlineStr">
        <is>
          <t>None</t>
        </is>
      </c>
      <c r="Z974" t="inlineStr">
        <is>
          <t>Valid</t>
        </is>
      </c>
      <c r="AA974" t="n">
        <v>2037</v>
      </c>
      <c r="AB974" t="inlineStr">
        <is>
          <t>Supplier Target Pathway</t>
        </is>
      </c>
      <c r="AC974" t="n">
        <v>20080.9039</v>
      </c>
      <c r="AD974" t="n">
        <v>13213.2348</v>
      </c>
      <c r="AE974" t="n">
        <v>14149.7351</v>
      </c>
      <c r="AF974" t="n">
        <v>14149.7351</v>
      </c>
      <c r="AG974" t="n">
        <v>5931.1688</v>
      </c>
      <c r="AH974" t="n">
        <v>0.00071626</v>
      </c>
      <c r="AI974" t="n">
        <v>0.295364</v>
      </c>
      <c r="AJ974" t="n">
        <v>936.5003</v>
      </c>
      <c r="AK974" t="n">
        <v>312.1668</v>
      </c>
      <c r="AL974" t="n">
        <v>3116.1917</v>
      </c>
      <c r="AM974" t="n">
        <v>208295.5651</v>
      </c>
      <c r="AN974" t="n">
        <v>0.99</v>
      </c>
      <c r="AO974" t="inlineStr">
        <is>
          <t>Medium</t>
        </is>
      </c>
      <c r="AP974" t="inlineStr">
        <is>
          <t>On Track to Glide Path</t>
        </is>
      </c>
    </row>
    <row r="975">
      <c r="A975" t="inlineStr">
        <is>
          <t>SUP-0061</t>
        </is>
      </c>
      <c r="B975" t="inlineStr">
        <is>
          <t>Metals Supplier 061</t>
        </is>
      </c>
      <c r="C975" t="inlineStr">
        <is>
          <t>Metals</t>
        </is>
      </c>
      <c r="D975" t="n">
        <v>2024</v>
      </c>
      <c r="E975" t="n">
        <v>2018</v>
      </c>
      <c r="F975" t="n">
        <v>2040</v>
      </c>
      <c r="G975" t="n">
        <v>18509.7967</v>
      </c>
      <c r="H975" t="n">
        <v>3942.7155</v>
      </c>
      <c r="I975" t="n">
        <v>1552.3745</v>
      </c>
      <c r="J975" t="n">
        <v>12231.1446</v>
      </c>
      <c r="K975" t="n">
        <v>19755026.2</v>
      </c>
      <c r="L975" t="n">
        <v>178370687.43</v>
      </c>
      <c r="M975" t="n">
        <v>18509.7967</v>
      </c>
      <c r="N975" t="inlineStr">
        <is>
          <t>Provided Total Emissions</t>
        </is>
      </c>
      <c r="O975" t="b">
        <v>1</v>
      </c>
      <c r="P975" t="n">
        <v>-0.019957</v>
      </c>
      <c r="Q975" t="n">
        <v>0.000697</v>
      </c>
      <c r="R975" t="n">
        <v>19892.3236</v>
      </c>
      <c r="S975" t="n">
        <v>115955.2165</v>
      </c>
      <c r="T975" t="n">
        <v>1382.5269</v>
      </c>
      <c r="U975" t="n">
        <v>97445.4198</v>
      </c>
      <c r="V975" t="n">
        <v>0.07469199999999999</v>
      </c>
      <c r="W975" t="n">
        <v>5.264532</v>
      </c>
      <c r="X975" t="inlineStr">
        <is>
          <t>High</t>
        </is>
      </c>
      <c r="Y975" t="inlineStr">
        <is>
          <t>None</t>
        </is>
      </c>
      <c r="Z975" t="inlineStr">
        <is>
          <t>Valid</t>
        </is>
      </c>
      <c r="AA975" t="n">
        <v>2038</v>
      </c>
      <c r="AB975" t="inlineStr">
        <is>
          <t>Supplier Target Pathway</t>
        </is>
      </c>
      <c r="AC975" t="n">
        <v>20080.9039</v>
      </c>
      <c r="AD975" t="n">
        <v>13213.2348</v>
      </c>
      <c r="AE975" t="n">
        <v>13837.5683</v>
      </c>
      <c r="AF975" t="n">
        <v>13837.5683</v>
      </c>
      <c r="AG975" t="n">
        <v>6243.3356</v>
      </c>
      <c r="AH975" t="n">
        <v>0.00070046</v>
      </c>
      <c r="AI975" t="n">
        <v>0.310909</v>
      </c>
      <c r="AJ975" t="n">
        <v>624.3336</v>
      </c>
      <c r="AK975" t="n">
        <v>312.1668</v>
      </c>
      <c r="AL975" t="n">
        <v>-10721.3766</v>
      </c>
      <c r="AM975" t="n">
        <v>222133.1334</v>
      </c>
      <c r="AN975" t="n">
        <v>0.99</v>
      </c>
      <c r="AO975" t="inlineStr">
        <is>
          <t>Medium</t>
        </is>
      </c>
      <c r="AP975" t="inlineStr">
        <is>
          <t>On Track to Glide Path</t>
        </is>
      </c>
    </row>
    <row r="976">
      <c r="A976" t="inlineStr">
        <is>
          <t>SUP-0061</t>
        </is>
      </c>
      <c r="B976" t="inlineStr">
        <is>
          <t>Metals Supplier 061</t>
        </is>
      </c>
      <c r="C976" t="inlineStr">
        <is>
          <t>Metals</t>
        </is>
      </c>
      <c r="D976" t="n">
        <v>2024</v>
      </c>
      <c r="E976" t="n">
        <v>2018</v>
      </c>
      <c r="F976" t="n">
        <v>2040</v>
      </c>
      <c r="G976" t="n">
        <v>18509.7967</v>
      </c>
      <c r="H976" t="n">
        <v>3942.7155</v>
      </c>
      <c r="I976" t="n">
        <v>1552.3745</v>
      </c>
      <c r="J976" t="n">
        <v>12231.1446</v>
      </c>
      <c r="K976" t="n">
        <v>19755026.2</v>
      </c>
      <c r="L976" t="n">
        <v>178370687.43</v>
      </c>
      <c r="M976" t="n">
        <v>18509.7967</v>
      </c>
      <c r="N976" t="inlineStr">
        <is>
          <t>Provided Total Emissions</t>
        </is>
      </c>
      <c r="O976" t="b">
        <v>1</v>
      </c>
      <c r="P976" t="n">
        <v>-0.019957</v>
      </c>
      <c r="Q976" t="n">
        <v>0.000697</v>
      </c>
      <c r="R976" t="n">
        <v>19892.3236</v>
      </c>
      <c r="S976" t="n">
        <v>115955.2165</v>
      </c>
      <c r="T976" t="n">
        <v>1382.5269</v>
      </c>
      <c r="U976" t="n">
        <v>97445.4198</v>
      </c>
      <c r="V976" t="n">
        <v>0.07469199999999999</v>
      </c>
      <c r="W976" t="n">
        <v>5.264532</v>
      </c>
      <c r="X976" t="inlineStr">
        <is>
          <t>High</t>
        </is>
      </c>
      <c r="Y976" t="inlineStr">
        <is>
          <t>None</t>
        </is>
      </c>
      <c r="Z976" t="inlineStr">
        <is>
          <t>Valid</t>
        </is>
      </c>
      <c r="AA976" t="n">
        <v>2039</v>
      </c>
      <c r="AB976" t="inlineStr">
        <is>
          <t>Supplier Target Pathway</t>
        </is>
      </c>
      <c r="AC976" t="n">
        <v>20080.9039</v>
      </c>
      <c r="AD976" t="n">
        <v>13213.2348</v>
      </c>
      <c r="AE976" t="n">
        <v>13525.4015</v>
      </c>
      <c r="AF976" t="n">
        <v>13525.4015</v>
      </c>
      <c r="AG976" t="n">
        <v>6555.5024</v>
      </c>
      <c r="AH976" t="n">
        <v>0.00068466</v>
      </c>
      <c r="AI976" t="n">
        <v>0.326455</v>
      </c>
      <c r="AJ976" t="n">
        <v>312.1668</v>
      </c>
      <c r="AK976" t="n">
        <v>312.1668</v>
      </c>
      <c r="AL976" t="n">
        <v>-24246.7781</v>
      </c>
      <c r="AM976" t="n">
        <v>235658.5349</v>
      </c>
      <c r="AN976" t="n">
        <v>0.99</v>
      </c>
      <c r="AO976" t="inlineStr">
        <is>
          <t>Medium</t>
        </is>
      </c>
      <c r="AP976" t="inlineStr">
        <is>
          <t>On Track to Glide Path</t>
        </is>
      </c>
    </row>
    <row r="977">
      <c r="A977" t="inlineStr">
        <is>
          <t>SUP-0061</t>
        </is>
      </c>
      <c r="B977" t="inlineStr">
        <is>
          <t>Metals Supplier 061</t>
        </is>
      </c>
      <c r="C977" t="inlineStr">
        <is>
          <t>Metals</t>
        </is>
      </c>
      <c r="D977" t="n">
        <v>2024</v>
      </c>
      <c r="E977" t="n">
        <v>2018</v>
      </c>
      <c r="F977" t="n">
        <v>2040</v>
      </c>
      <c r="G977" t="n">
        <v>18509.7967</v>
      </c>
      <c r="H977" t="n">
        <v>3942.7155</v>
      </c>
      <c r="I977" t="n">
        <v>1552.3745</v>
      </c>
      <c r="J977" t="n">
        <v>12231.1446</v>
      </c>
      <c r="K977" t="n">
        <v>19755026.2</v>
      </c>
      <c r="L977" t="n">
        <v>178370687.43</v>
      </c>
      <c r="M977" t="n">
        <v>18509.7967</v>
      </c>
      <c r="N977" t="inlineStr">
        <is>
          <t>Provided Total Emissions</t>
        </is>
      </c>
      <c r="O977" t="b">
        <v>1</v>
      </c>
      <c r="P977" t="n">
        <v>-0.019957</v>
      </c>
      <c r="Q977" t="n">
        <v>0.000697</v>
      </c>
      <c r="R977" t="n">
        <v>19892.3236</v>
      </c>
      <c r="S977" t="n">
        <v>115955.2165</v>
      </c>
      <c r="T977" t="n">
        <v>1382.5269</v>
      </c>
      <c r="U977" t="n">
        <v>97445.4198</v>
      </c>
      <c r="V977" t="n">
        <v>0.07469199999999999</v>
      </c>
      <c r="W977" t="n">
        <v>5.264532</v>
      </c>
      <c r="X977" t="inlineStr">
        <is>
          <t>High</t>
        </is>
      </c>
      <c r="Y977" t="inlineStr">
        <is>
          <t>None</t>
        </is>
      </c>
      <c r="Z977" t="inlineStr">
        <is>
          <t>Valid</t>
        </is>
      </c>
      <c r="AA977" t="n">
        <v>2040</v>
      </c>
      <c r="AB977" t="inlineStr">
        <is>
          <t>Supplier Target Pathway</t>
        </is>
      </c>
      <c r="AC977" t="n">
        <v>20080.9039</v>
      </c>
      <c r="AD977" t="n">
        <v>13213.2348</v>
      </c>
      <c r="AE977" t="n">
        <v>13213.2348</v>
      </c>
      <c r="AF977" t="n">
        <v>13213.2348</v>
      </c>
      <c r="AG977" t="n">
        <v>6867.6691</v>
      </c>
      <c r="AH977" t="n">
        <v>0.00066885</v>
      </c>
      <c r="AI977" t="n">
        <v>0.342</v>
      </c>
      <c r="AJ977" t="n">
        <v>0</v>
      </c>
      <c r="AK977" t="n">
        <v>312.1668</v>
      </c>
      <c r="AL977" t="n">
        <v>-37460.0129</v>
      </c>
      <c r="AM977" t="n">
        <v>248871.7697</v>
      </c>
      <c r="AN977" t="n">
        <v>0.99</v>
      </c>
      <c r="AO977" t="inlineStr">
        <is>
          <t>Low</t>
        </is>
      </c>
      <c r="AP977" t="inlineStr">
        <is>
          <t>On Track</t>
        </is>
      </c>
    </row>
    <row r="978">
      <c r="A978" t="inlineStr">
        <is>
          <t>SUP-0062</t>
        </is>
      </c>
      <c r="B978" t="inlineStr">
        <is>
          <t>Textiles Supplier 062</t>
        </is>
      </c>
      <c r="C978" t="inlineStr">
        <is>
          <t>Textiles</t>
        </is>
      </c>
      <c r="D978" t="n">
        <v>2024</v>
      </c>
      <c r="E978" t="n">
        <v>2018</v>
      </c>
      <c r="F978" t="n">
        <v>2030</v>
      </c>
      <c r="G978" t="n">
        <v>7479.6472</v>
      </c>
      <c r="H978" t="n">
        <v>1243.5064</v>
      </c>
      <c r="I978" t="n">
        <v>1589.1811</v>
      </c>
      <c r="J978" t="n">
        <v>4415.6005</v>
      </c>
      <c r="K978" t="n">
        <v>35793021.81</v>
      </c>
      <c r="L978" t="n">
        <v>296991410.25</v>
      </c>
      <c r="M978" t="n">
        <v>7479.6472</v>
      </c>
      <c r="N978" t="inlineStr">
        <is>
          <t>Provided Total Emissions</t>
        </is>
      </c>
      <c r="O978" t="b">
        <v>1</v>
      </c>
      <c r="P978" t="n">
        <v>0.064696</v>
      </c>
      <c r="Q978" t="n">
        <v>0.061998</v>
      </c>
      <c r="R978" t="n">
        <v>10459.0789</v>
      </c>
      <c r="S978" t="n">
        <v>51507.2203</v>
      </c>
      <c r="T978" t="n">
        <v>2979.4317</v>
      </c>
      <c r="U978" t="n">
        <v>44027.5731</v>
      </c>
      <c r="V978" t="n">
        <v>0.398339</v>
      </c>
      <c r="W978" t="n">
        <v>5.886317</v>
      </c>
      <c r="X978" t="inlineStr">
        <is>
          <t>High</t>
        </is>
      </c>
      <c r="Y978" t="inlineStr">
        <is>
          <t>None</t>
        </is>
      </c>
      <c r="Z978" t="inlineStr">
        <is>
          <t>Valid</t>
        </is>
      </c>
      <c r="AA978" t="n">
        <v>2025</v>
      </c>
      <c r="AB978" t="inlineStr">
        <is>
          <t>Supplier Target Pathway</t>
        </is>
      </c>
      <c r="AC978" t="n">
        <v>6379.3652</v>
      </c>
      <c r="AD978" t="n">
        <v>3010.4224</v>
      </c>
      <c r="AE978" t="n">
        <v>4414.1486</v>
      </c>
      <c r="AF978" t="n">
        <v>4414.1486</v>
      </c>
      <c r="AG978" t="n">
        <v>1965.2166</v>
      </c>
      <c r="AH978" t="n">
        <v>0.00012332</v>
      </c>
      <c r="AI978" t="n">
        <v>0.308058</v>
      </c>
      <c r="AJ978" t="n">
        <v>1403.7262</v>
      </c>
      <c r="AK978" t="n">
        <v>280.7452</v>
      </c>
      <c r="AL978" t="n">
        <v>13648.3858</v>
      </c>
      <c r="AM978" t="n">
        <v>4414.1486</v>
      </c>
      <c r="AN978" t="n">
        <v>0.99</v>
      </c>
      <c r="AO978" t="inlineStr">
        <is>
          <t>Critical</t>
        </is>
      </c>
      <c r="AP978" t="inlineStr">
        <is>
          <t>On Track to Glide Path</t>
        </is>
      </c>
    </row>
    <row r="979">
      <c r="A979" t="inlineStr">
        <is>
          <t>SUP-0062</t>
        </is>
      </c>
      <c r="B979" t="inlineStr">
        <is>
          <t>Textiles Supplier 062</t>
        </is>
      </c>
      <c r="C979" t="inlineStr">
        <is>
          <t>Textiles</t>
        </is>
      </c>
      <c r="D979" t="n">
        <v>2024</v>
      </c>
      <c r="E979" t="n">
        <v>2018</v>
      </c>
      <c r="F979" t="n">
        <v>2030</v>
      </c>
      <c r="G979" t="n">
        <v>7479.6472</v>
      </c>
      <c r="H979" t="n">
        <v>1243.5064</v>
      </c>
      <c r="I979" t="n">
        <v>1589.1811</v>
      </c>
      <c r="J979" t="n">
        <v>4415.6005</v>
      </c>
      <c r="K979" t="n">
        <v>35793021.81</v>
      </c>
      <c r="L979" t="n">
        <v>296991410.25</v>
      </c>
      <c r="M979" t="n">
        <v>7479.6472</v>
      </c>
      <c r="N979" t="inlineStr">
        <is>
          <t>Provided Total Emissions</t>
        </is>
      </c>
      <c r="O979" t="b">
        <v>1</v>
      </c>
      <c r="P979" t="n">
        <v>0.064696</v>
      </c>
      <c r="Q979" t="n">
        <v>0.061998</v>
      </c>
      <c r="R979" t="n">
        <v>10459.0789</v>
      </c>
      <c r="S979" t="n">
        <v>51507.2203</v>
      </c>
      <c r="T979" t="n">
        <v>2979.4317</v>
      </c>
      <c r="U979" t="n">
        <v>44027.5731</v>
      </c>
      <c r="V979" t="n">
        <v>0.398339</v>
      </c>
      <c r="W979" t="n">
        <v>5.886317</v>
      </c>
      <c r="X979" t="inlineStr">
        <is>
          <t>High</t>
        </is>
      </c>
      <c r="Y979" t="inlineStr">
        <is>
          <t>None</t>
        </is>
      </c>
      <c r="Z979" t="inlineStr">
        <is>
          <t>Valid</t>
        </is>
      </c>
      <c r="AA979" t="n">
        <v>2026</v>
      </c>
      <c r="AB979" t="inlineStr">
        <is>
          <t>Supplier Target Pathway</t>
        </is>
      </c>
      <c r="AC979" t="n">
        <v>6379.3652</v>
      </c>
      <c r="AD979" t="n">
        <v>3010.4224</v>
      </c>
      <c r="AE979" t="n">
        <v>4133.4034</v>
      </c>
      <c r="AF979" t="n">
        <v>4133.4034</v>
      </c>
      <c r="AG979" t="n">
        <v>2245.9618</v>
      </c>
      <c r="AH979" t="n">
        <v>0.00011548</v>
      </c>
      <c r="AI979" t="n">
        <v>0.352067</v>
      </c>
      <c r="AJ979" t="n">
        <v>1122.9809</v>
      </c>
      <c r="AK979" t="n">
        <v>280.7452</v>
      </c>
      <c r="AL979" t="n">
        <v>9514.982400000001</v>
      </c>
      <c r="AM979" t="n">
        <v>8547.552</v>
      </c>
      <c r="AN979" t="n">
        <v>0.99</v>
      </c>
      <c r="AO979" t="inlineStr">
        <is>
          <t>Critical</t>
        </is>
      </c>
      <c r="AP979" t="inlineStr">
        <is>
          <t>On Track to Glide Path</t>
        </is>
      </c>
    </row>
    <row r="980">
      <c r="A980" t="inlineStr">
        <is>
          <t>SUP-0062</t>
        </is>
      </c>
      <c r="B980" t="inlineStr">
        <is>
          <t>Textiles Supplier 062</t>
        </is>
      </c>
      <c r="C980" t="inlineStr">
        <is>
          <t>Textiles</t>
        </is>
      </c>
      <c r="D980" t="n">
        <v>2024</v>
      </c>
      <c r="E980" t="n">
        <v>2018</v>
      </c>
      <c r="F980" t="n">
        <v>2030</v>
      </c>
      <c r="G980" t="n">
        <v>7479.6472</v>
      </c>
      <c r="H980" t="n">
        <v>1243.5064</v>
      </c>
      <c r="I980" t="n">
        <v>1589.1811</v>
      </c>
      <c r="J980" t="n">
        <v>4415.6005</v>
      </c>
      <c r="K980" t="n">
        <v>35793021.81</v>
      </c>
      <c r="L980" t="n">
        <v>296991410.25</v>
      </c>
      <c r="M980" t="n">
        <v>7479.6472</v>
      </c>
      <c r="N980" t="inlineStr">
        <is>
          <t>Provided Total Emissions</t>
        </is>
      </c>
      <c r="O980" t="b">
        <v>1</v>
      </c>
      <c r="P980" t="n">
        <v>0.064696</v>
      </c>
      <c r="Q980" t="n">
        <v>0.061998</v>
      </c>
      <c r="R980" t="n">
        <v>10459.0789</v>
      </c>
      <c r="S980" t="n">
        <v>51507.2203</v>
      </c>
      <c r="T980" t="n">
        <v>2979.4317</v>
      </c>
      <c r="U980" t="n">
        <v>44027.5731</v>
      </c>
      <c r="V980" t="n">
        <v>0.398339</v>
      </c>
      <c r="W980" t="n">
        <v>5.886317</v>
      </c>
      <c r="X980" t="inlineStr">
        <is>
          <t>High</t>
        </is>
      </c>
      <c r="Y980" t="inlineStr">
        <is>
          <t>None</t>
        </is>
      </c>
      <c r="Z980" t="inlineStr">
        <is>
          <t>Valid</t>
        </is>
      </c>
      <c r="AA980" t="n">
        <v>2027</v>
      </c>
      <c r="AB980" t="inlineStr">
        <is>
          <t>Supplier Target Pathway</t>
        </is>
      </c>
      <c r="AC980" t="n">
        <v>6379.3652</v>
      </c>
      <c r="AD980" t="n">
        <v>3010.4224</v>
      </c>
      <c r="AE980" t="n">
        <v>3852.6581</v>
      </c>
      <c r="AF980" t="n">
        <v>3852.6581</v>
      </c>
      <c r="AG980" t="n">
        <v>2526.7071</v>
      </c>
      <c r="AH980" t="n">
        <v>0.00010764</v>
      </c>
      <c r="AI980" t="n">
        <v>0.396075</v>
      </c>
      <c r="AJ980" t="n">
        <v>842.2357</v>
      </c>
      <c r="AK980" t="n">
        <v>280.7452</v>
      </c>
      <c r="AL980" t="n">
        <v>5662.3243</v>
      </c>
      <c r="AM980" t="n">
        <v>12400.2101</v>
      </c>
      <c r="AN980" t="n">
        <v>0.99</v>
      </c>
      <c r="AO980" t="inlineStr">
        <is>
          <t>High</t>
        </is>
      </c>
      <c r="AP980" t="inlineStr">
        <is>
          <t>On Track to Glide Path</t>
        </is>
      </c>
    </row>
    <row r="981">
      <c r="A981" t="inlineStr">
        <is>
          <t>SUP-0062</t>
        </is>
      </c>
      <c r="B981" t="inlineStr">
        <is>
          <t>Textiles Supplier 062</t>
        </is>
      </c>
      <c r="C981" t="inlineStr">
        <is>
          <t>Textiles</t>
        </is>
      </c>
      <c r="D981" t="n">
        <v>2024</v>
      </c>
      <c r="E981" t="n">
        <v>2018</v>
      </c>
      <c r="F981" t="n">
        <v>2030</v>
      </c>
      <c r="G981" t="n">
        <v>7479.6472</v>
      </c>
      <c r="H981" t="n">
        <v>1243.5064</v>
      </c>
      <c r="I981" t="n">
        <v>1589.1811</v>
      </c>
      <c r="J981" t="n">
        <v>4415.6005</v>
      </c>
      <c r="K981" t="n">
        <v>35793021.81</v>
      </c>
      <c r="L981" t="n">
        <v>296991410.25</v>
      </c>
      <c r="M981" t="n">
        <v>7479.6472</v>
      </c>
      <c r="N981" t="inlineStr">
        <is>
          <t>Provided Total Emissions</t>
        </is>
      </c>
      <c r="O981" t="b">
        <v>1</v>
      </c>
      <c r="P981" t="n">
        <v>0.064696</v>
      </c>
      <c r="Q981" t="n">
        <v>0.061998</v>
      </c>
      <c r="R981" t="n">
        <v>10459.0789</v>
      </c>
      <c r="S981" t="n">
        <v>51507.2203</v>
      </c>
      <c r="T981" t="n">
        <v>2979.4317</v>
      </c>
      <c r="U981" t="n">
        <v>44027.5731</v>
      </c>
      <c r="V981" t="n">
        <v>0.398339</v>
      </c>
      <c r="W981" t="n">
        <v>5.886317</v>
      </c>
      <c r="X981" t="inlineStr">
        <is>
          <t>High</t>
        </is>
      </c>
      <c r="Y981" t="inlineStr">
        <is>
          <t>None</t>
        </is>
      </c>
      <c r="Z981" t="inlineStr">
        <is>
          <t>Valid</t>
        </is>
      </c>
      <c r="AA981" t="n">
        <v>2028</v>
      </c>
      <c r="AB981" t="inlineStr">
        <is>
          <t>Supplier Target Pathway</t>
        </is>
      </c>
      <c r="AC981" t="n">
        <v>6379.3652</v>
      </c>
      <c r="AD981" t="n">
        <v>3010.4224</v>
      </c>
      <c r="AE981" t="n">
        <v>3571.9129</v>
      </c>
      <c r="AF981" t="n">
        <v>3571.9129</v>
      </c>
      <c r="AG981" t="n">
        <v>2807.4523</v>
      </c>
      <c r="AH981" t="n">
        <v>9.979000000000001e-05</v>
      </c>
      <c r="AI981" t="n">
        <v>0.440083</v>
      </c>
      <c r="AJ981" t="n">
        <v>561.4905</v>
      </c>
      <c r="AK981" t="n">
        <v>280.7452</v>
      </c>
      <c r="AL981" t="n">
        <v>2090.4114</v>
      </c>
      <c r="AM981" t="n">
        <v>15972.123</v>
      </c>
      <c r="AN981" t="n">
        <v>0.99</v>
      </c>
      <c r="AO981" t="inlineStr">
        <is>
          <t>High</t>
        </is>
      </c>
      <c r="AP981" t="inlineStr">
        <is>
          <t>On Track to Glide Path</t>
        </is>
      </c>
    </row>
    <row r="982">
      <c r="A982" t="inlineStr">
        <is>
          <t>SUP-0062</t>
        </is>
      </c>
      <c r="B982" t="inlineStr">
        <is>
          <t>Textiles Supplier 062</t>
        </is>
      </c>
      <c r="C982" t="inlineStr">
        <is>
          <t>Textiles</t>
        </is>
      </c>
      <c r="D982" t="n">
        <v>2024</v>
      </c>
      <c r="E982" t="n">
        <v>2018</v>
      </c>
      <c r="F982" t="n">
        <v>2030</v>
      </c>
      <c r="G982" t="n">
        <v>7479.6472</v>
      </c>
      <c r="H982" t="n">
        <v>1243.5064</v>
      </c>
      <c r="I982" t="n">
        <v>1589.1811</v>
      </c>
      <c r="J982" t="n">
        <v>4415.6005</v>
      </c>
      <c r="K982" t="n">
        <v>35793021.81</v>
      </c>
      <c r="L982" t="n">
        <v>296991410.25</v>
      </c>
      <c r="M982" t="n">
        <v>7479.6472</v>
      </c>
      <c r="N982" t="inlineStr">
        <is>
          <t>Provided Total Emissions</t>
        </is>
      </c>
      <c r="O982" t="b">
        <v>1</v>
      </c>
      <c r="P982" t="n">
        <v>0.064696</v>
      </c>
      <c r="Q982" t="n">
        <v>0.061998</v>
      </c>
      <c r="R982" t="n">
        <v>10459.0789</v>
      </c>
      <c r="S982" t="n">
        <v>51507.2203</v>
      </c>
      <c r="T982" t="n">
        <v>2979.4317</v>
      </c>
      <c r="U982" t="n">
        <v>44027.5731</v>
      </c>
      <c r="V982" t="n">
        <v>0.398339</v>
      </c>
      <c r="W982" t="n">
        <v>5.886317</v>
      </c>
      <c r="X982" t="inlineStr">
        <is>
          <t>High</t>
        </is>
      </c>
      <c r="Y982" t="inlineStr">
        <is>
          <t>None</t>
        </is>
      </c>
      <c r="Z982" t="inlineStr">
        <is>
          <t>Valid</t>
        </is>
      </c>
      <c r="AA982" t="n">
        <v>2029</v>
      </c>
      <c r="AB982" t="inlineStr">
        <is>
          <t>Supplier Target Pathway</t>
        </is>
      </c>
      <c r="AC982" t="n">
        <v>6379.3652</v>
      </c>
      <c r="AD982" t="n">
        <v>3010.4224</v>
      </c>
      <c r="AE982" t="n">
        <v>3291.1677</v>
      </c>
      <c r="AF982" t="n">
        <v>3291.1677</v>
      </c>
      <c r="AG982" t="n">
        <v>3088.1975</v>
      </c>
      <c r="AH982" t="n">
        <v>9.195e-05</v>
      </c>
      <c r="AI982" t="n">
        <v>0.484092</v>
      </c>
      <c r="AJ982" t="n">
        <v>280.7452</v>
      </c>
      <c r="AK982" t="n">
        <v>280.7452</v>
      </c>
      <c r="AL982" t="n">
        <v>-1200.7563</v>
      </c>
      <c r="AM982" t="n">
        <v>19263.2907</v>
      </c>
      <c r="AN982" t="n">
        <v>0.99</v>
      </c>
      <c r="AO982" t="inlineStr">
        <is>
          <t>Medium</t>
        </is>
      </c>
      <c r="AP982" t="inlineStr">
        <is>
          <t>On Track to Glide Path</t>
        </is>
      </c>
    </row>
    <row r="983">
      <c r="A983" t="inlineStr">
        <is>
          <t>SUP-0062</t>
        </is>
      </c>
      <c r="B983" t="inlineStr">
        <is>
          <t>Textiles Supplier 062</t>
        </is>
      </c>
      <c r="C983" t="inlineStr">
        <is>
          <t>Textiles</t>
        </is>
      </c>
      <c r="D983" t="n">
        <v>2024</v>
      </c>
      <c r="E983" t="n">
        <v>2018</v>
      </c>
      <c r="F983" t="n">
        <v>2030</v>
      </c>
      <c r="G983" t="n">
        <v>7479.6472</v>
      </c>
      <c r="H983" t="n">
        <v>1243.5064</v>
      </c>
      <c r="I983" t="n">
        <v>1589.1811</v>
      </c>
      <c r="J983" t="n">
        <v>4415.6005</v>
      </c>
      <c r="K983" t="n">
        <v>35793021.81</v>
      </c>
      <c r="L983" t="n">
        <v>296991410.25</v>
      </c>
      <c r="M983" t="n">
        <v>7479.6472</v>
      </c>
      <c r="N983" t="inlineStr">
        <is>
          <t>Provided Total Emissions</t>
        </is>
      </c>
      <c r="O983" t="b">
        <v>1</v>
      </c>
      <c r="P983" t="n">
        <v>0.064696</v>
      </c>
      <c r="Q983" t="n">
        <v>0.061998</v>
      </c>
      <c r="R983" t="n">
        <v>10459.0789</v>
      </c>
      <c r="S983" t="n">
        <v>51507.2203</v>
      </c>
      <c r="T983" t="n">
        <v>2979.4317</v>
      </c>
      <c r="U983" t="n">
        <v>44027.5731</v>
      </c>
      <c r="V983" t="n">
        <v>0.398339</v>
      </c>
      <c r="W983" t="n">
        <v>5.886317</v>
      </c>
      <c r="X983" t="inlineStr">
        <is>
          <t>High</t>
        </is>
      </c>
      <c r="Y983" t="inlineStr">
        <is>
          <t>None</t>
        </is>
      </c>
      <c r="Z983" t="inlineStr">
        <is>
          <t>Valid</t>
        </is>
      </c>
      <c r="AA983" t="n">
        <v>2030</v>
      </c>
      <c r="AB983" t="inlineStr">
        <is>
          <t>Supplier Target Pathway</t>
        </is>
      </c>
      <c r="AC983" t="n">
        <v>6379.3652</v>
      </c>
      <c r="AD983" t="n">
        <v>3010.4224</v>
      </c>
      <c r="AE983" t="n">
        <v>3010.4224</v>
      </c>
      <c r="AF983" t="n">
        <v>3010.4224</v>
      </c>
      <c r="AG983" t="n">
        <v>3368.9428</v>
      </c>
      <c r="AH983" t="n">
        <v>8.411000000000001e-05</v>
      </c>
      <c r="AI983" t="n">
        <v>0.5281</v>
      </c>
      <c r="AJ983" t="n">
        <v>0</v>
      </c>
      <c r="AK983" t="n">
        <v>280.7452</v>
      </c>
      <c r="AL983" t="n">
        <v>-4211.1787</v>
      </c>
      <c r="AM983" t="n">
        <v>22273.7131</v>
      </c>
      <c r="AN983" t="n">
        <v>0.99</v>
      </c>
      <c r="AO983" t="inlineStr">
        <is>
          <t>Low</t>
        </is>
      </c>
      <c r="AP983" t="inlineStr">
        <is>
          <t>On Track</t>
        </is>
      </c>
    </row>
    <row r="984">
      <c r="A984" t="inlineStr">
        <is>
          <t>SUP-0062</t>
        </is>
      </c>
      <c r="B984" t="inlineStr">
        <is>
          <t>Textiles Supplier 062</t>
        </is>
      </c>
      <c r="C984" t="inlineStr">
        <is>
          <t>Textiles</t>
        </is>
      </c>
      <c r="D984" t="n">
        <v>2024</v>
      </c>
      <c r="E984" t="n">
        <v>2018</v>
      </c>
      <c r="F984" t="n">
        <v>2030</v>
      </c>
      <c r="G984" t="n">
        <v>7479.6472</v>
      </c>
      <c r="H984" t="n">
        <v>1243.5064</v>
      </c>
      <c r="I984" t="n">
        <v>1589.1811</v>
      </c>
      <c r="J984" t="n">
        <v>4415.6005</v>
      </c>
      <c r="K984" t="n">
        <v>35793021.81</v>
      </c>
      <c r="L984" t="n">
        <v>296991410.25</v>
      </c>
      <c r="M984" t="n">
        <v>7479.6472</v>
      </c>
      <c r="N984" t="inlineStr">
        <is>
          <t>Provided Total Emissions</t>
        </is>
      </c>
      <c r="O984" t="b">
        <v>1</v>
      </c>
      <c r="P984" t="n">
        <v>0.064696</v>
      </c>
      <c r="Q984" t="n">
        <v>0.061998</v>
      </c>
      <c r="R984" t="n">
        <v>10459.0789</v>
      </c>
      <c r="S984" t="n">
        <v>51507.2203</v>
      </c>
      <c r="T984" t="n">
        <v>2979.4317</v>
      </c>
      <c r="U984" t="n">
        <v>44027.5731</v>
      </c>
      <c r="V984" t="n">
        <v>0.398339</v>
      </c>
      <c r="W984" t="n">
        <v>5.886317</v>
      </c>
      <c r="X984" t="inlineStr">
        <is>
          <t>High</t>
        </is>
      </c>
      <c r="Y984" t="inlineStr">
        <is>
          <t>None</t>
        </is>
      </c>
      <c r="Z984" t="inlineStr">
        <is>
          <t>Valid</t>
        </is>
      </c>
      <c r="AA984" t="n">
        <v>2031</v>
      </c>
      <c r="AB984" t="inlineStr">
        <is>
          <t>Supplier Target Pathway</t>
        </is>
      </c>
      <c r="AC984" t="n">
        <v>6379.3652</v>
      </c>
      <c r="AD984" t="n">
        <v>3010.4224</v>
      </c>
      <c r="AE984" t="n">
        <v>3010.4224</v>
      </c>
      <c r="AF984" t="n">
        <v>3010.4224</v>
      </c>
      <c r="AG984" t="n">
        <v>3368.9428</v>
      </c>
      <c r="AH984" t="n">
        <v>8.411000000000001e-05</v>
      </c>
      <c r="AI984" t="n">
        <v>0.5281</v>
      </c>
      <c r="AJ984" t="n">
        <v>0</v>
      </c>
      <c r="AK984" t="n">
        <v>280.7452</v>
      </c>
      <c r="AL984" t="n">
        <v>-7221.6011</v>
      </c>
      <c r="AM984" t="n">
        <v>25284.1355</v>
      </c>
      <c r="AN984" t="n">
        <v>0.99</v>
      </c>
      <c r="AO984" t="inlineStr">
        <is>
          <t>Low</t>
        </is>
      </c>
      <c r="AP984" t="inlineStr">
        <is>
          <t>On Track</t>
        </is>
      </c>
    </row>
    <row r="985">
      <c r="A985" t="inlineStr">
        <is>
          <t>SUP-0062</t>
        </is>
      </c>
      <c r="B985" t="inlineStr">
        <is>
          <t>Textiles Supplier 062</t>
        </is>
      </c>
      <c r="C985" t="inlineStr">
        <is>
          <t>Textiles</t>
        </is>
      </c>
      <c r="D985" t="n">
        <v>2024</v>
      </c>
      <c r="E985" t="n">
        <v>2018</v>
      </c>
      <c r="F985" t="n">
        <v>2030</v>
      </c>
      <c r="G985" t="n">
        <v>7479.6472</v>
      </c>
      <c r="H985" t="n">
        <v>1243.5064</v>
      </c>
      <c r="I985" t="n">
        <v>1589.1811</v>
      </c>
      <c r="J985" t="n">
        <v>4415.6005</v>
      </c>
      <c r="K985" t="n">
        <v>35793021.81</v>
      </c>
      <c r="L985" t="n">
        <v>296991410.25</v>
      </c>
      <c r="M985" t="n">
        <v>7479.6472</v>
      </c>
      <c r="N985" t="inlineStr">
        <is>
          <t>Provided Total Emissions</t>
        </is>
      </c>
      <c r="O985" t="b">
        <v>1</v>
      </c>
      <c r="P985" t="n">
        <v>0.064696</v>
      </c>
      <c r="Q985" t="n">
        <v>0.061998</v>
      </c>
      <c r="R985" t="n">
        <v>10459.0789</v>
      </c>
      <c r="S985" t="n">
        <v>51507.2203</v>
      </c>
      <c r="T985" t="n">
        <v>2979.4317</v>
      </c>
      <c r="U985" t="n">
        <v>44027.5731</v>
      </c>
      <c r="V985" t="n">
        <v>0.398339</v>
      </c>
      <c r="W985" t="n">
        <v>5.886317</v>
      </c>
      <c r="X985" t="inlineStr">
        <is>
          <t>High</t>
        </is>
      </c>
      <c r="Y985" t="inlineStr">
        <is>
          <t>None</t>
        </is>
      </c>
      <c r="Z985" t="inlineStr">
        <is>
          <t>Valid</t>
        </is>
      </c>
      <c r="AA985" t="n">
        <v>2032</v>
      </c>
      <c r="AB985" t="inlineStr">
        <is>
          <t>Supplier Target Pathway</t>
        </is>
      </c>
      <c r="AC985" t="n">
        <v>6379.3652</v>
      </c>
      <c r="AD985" t="n">
        <v>3010.4224</v>
      </c>
      <c r="AE985" t="n">
        <v>3010.4224</v>
      </c>
      <c r="AF985" t="n">
        <v>3010.4224</v>
      </c>
      <c r="AG985" t="n">
        <v>3368.9428</v>
      </c>
      <c r="AH985" t="n">
        <v>8.411000000000001e-05</v>
      </c>
      <c r="AI985" t="n">
        <v>0.5281</v>
      </c>
      <c r="AJ985" t="n">
        <v>0</v>
      </c>
      <c r="AK985" t="n">
        <v>280.7452</v>
      </c>
      <c r="AL985" t="n">
        <v>-10232.0235</v>
      </c>
      <c r="AM985" t="n">
        <v>28294.5579</v>
      </c>
      <c r="AN985" t="n">
        <v>0.99</v>
      </c>
      <c r="AO985" t="inlineStr">
        <is>
          <t>Low</t>
        </is>
      </c>
      <c r="AP985" t="inlineStr">
        <is>
          <t>On Track</t>
        </is>
      </c>
    </row>
    <row r="986">
      <c r="A986" t="inlineStr">
        <is>
          <t>SUP-0062</t>
        </is>
      </c>
      <c r="B986" t="inlineStr">
        <is>
          <t>Textiles Supplier 062</t>
        </is>
      </c>
      <c r="C986" t="inlineStr">
        <is>
          <t>Textiles</t>
        </is>
      </c>
      <c r="D986" t="n">
        <v>2024</v>
      </c>
      <c r="E986" t="n">
        <v>2018</v>
      </c>
      <c r="F986" t="n">
        <v>2030</v>
      </c>
      <c r="G986" t="n">
        <v>7479.6472</v>
      </c>
      <c r="H986" t="n">
        <v>1243.5064</v>
      </c>
      <c r="I986" t="n">
        <v>1589.1811</v>
      </c>
      <c r="J986" t="n">
        <v>4415.6005</v>
      </c>
      <c r="K986" t="n">
        <v>35793021.81</v>
      </c>
      <c r="L986" t="n">
        <v>296991410.25</v>
      </c>
      <c r="M986" t="n">
        <v>7479.6472</v>
      </c>
      <c r="N986" t="inlineStr">
        <is>
          <t>Provided Total Emissions</t>
        </is>
      </c>
      <c r="O986" t="b">
        <v>1</v>
      </c>
      <c r="P986" t="n">
        <v>0.064696</v>
      </c>
      <c r="Q986" t="n">
        <v>0.061998</v>
      </c>
      <c r="R986" t="n">
        <v>10459.0789</v>
      </c>
      <c r="S986" t="n">
        <v>51507.2203</v>
      </c>
      <c r="T986" t="n">
        <v>2979.4317</v>
      </c>
      <c r="U986" t="n">
        <v>44027.5731</v>
      </c>
      <c r="V986" t="n">
        <v>0.398339</v>
      </c>
      <c r="W986" t="n">
        <v>5.886317</v>
      </c>
      <c r="X986" t="inlineStr">
        <is>
          <t>High</t>
        </is>
      </c>
      <c r="Y986" t="inlineStr">
        <is>
          <t>None</t>
        </is>
      </c>
      <c r="Z986" t="inlineStr">
        <is>
          <t>Valid</t>
        </is>
      </c>
      <c r="AA986" t="n">
        <v>2033</v>
      </c>
      <c r="AB986" t="inlineStr">
        <is>
          <t>Supplier Target Pathway</t>
        </is>
      </c>
      <c r="AC986" t="n">
        <v>6379.3652</v>
      </c>
      <c r="AD986" t="n">
        <v>3010.4224</v>
      </c>
      <c r="AE986" t="n">
        <v>3010.4224</v>
      </c>
      <c r="AF986" t="n">
        <v>3010.4224</v>
      </c>
      <c r="AG986" t="n">
        <v>3368.9428</v>
      </c>
      <c r="AH986" t="n">
        <v>8.411000000000001e-05</v>
      </c>
      <c r="AI986" t="n">
        <v>0.5281</v>
      </c>
      <c r="AJ986" t="n">
        <v>0</v>
      </c>
      <c r="AK986" t="n">
        <v>280.7452</v>
      </c>
      <c r="AL986" t="n">
        <v>-13242.4459</v>
      </c>
      <c r="AM986" t="n">
        <v>31304.9803</v>
      </c>
      <c r="AN986" t="n">
        <v>0.99</v>
      </c>
      <c r="AO986" t="inlineStr">
        <is>
          <t>Low</t>
        </is>
      </c>
      <c r="AP986" t="inlineStr">
        <is>
          <t>On Track</t>
        </is>
      </c>
    </row>
    <row r="987">
      <c r="A987" t="inlineStr">
        <is>
          <t>SUP-0062</t>
        </is>
      </c>
      <c r="B987" t="inlineStr">
        <is>
          <t>Textiles Supplier 062</t>
        </is>
      </c>
      <c r="C987" t="inlineStr">
        <is>
          <t>Textiles</t>
        </is>
      </c>
      <c r="D987" t="n">
        <v>2024</v>
      </c>
      <c r="E987" t="n">
        <v>2018</v>
      </c>
      <c r="F987" t="n">
        <v>2030</v>
      </c>
      <c r="G987" t="n">
        <v>7479.6472</v>
      </c>
      <c r="H987" t="n">
        <v>1243.5064</v>
      </c>
      <c r="I987" t="n">
        <v>1589.1811</v>
      </c>
      <c r="J987" t="n">
        <v>4415.6005</v>
      </c>
      <c r="K987" t="n">
        <v>35793021.81</v>
      </c>
      <c r="L987" t="n">
        <v>296991410.25</v>
      </c>
      <c r="M987" t="n">
        <v>7479.6472</v>
      </c>
      <c r="N987" t="inlineStr">
        <is>
          <t>Provided Total Emissions</t>
        </is>
      </c>
      <c r="O987" t="b">
        <v>1</v>
      </c>
      <c r="P987" t="n">
        <v>0.064696</v>
      </c>
      <c r="Q987" t="n">
        <v>0.061998</v>
      </c>
      <c r="R987" t="n">
        <v>10459.0789</v>
      </c>
      <c r="S987" t="n">
        <v>51507.2203</v>
      </c>
      <c r="T987" t="n">
        <v>2979.4317</v>
      </c>
      <c r="U987" t="n">
        <v>44027.5731</v>
      </c>
      <c r="V987" t="n">
        <v>0.398339</v>
      </c>
      <c r="W987" t="n">
        <v>5.886317</v>
      </c>
      <c r="X987" t="inlineStr">
        <is>
          <t>High</t>
        </is>
      </c>
      <c r="Y987" t="inlineStr">
        <is>
          <t>None</t>
        </is>
      </c>
      <c r="Z987" t="inlineStr">
        <is>
          <t>Valid</t>
        </is>
      </c>
      <c r="AA987" t="n">
        <v>2034</v>
      </c>
      <c r="AB987" t="inlineStr">
        <is>
          <t>Supplier Target Pathway</t>
        </is>
      </c>
      <c r="AC987" t="n">
        <v>6379.3652</v>
      </c>
      <c r="AD987" t="n">
        <v>3010.4224</v>
      </c>
      <c r="AE987" t="n">
        <v>3010.4224</v>
      </c>
      <c r="AF987" t="n">
        <v>3010.4224</v>
      </c>
      <c r="AG987" t="n">
        <v>3368.9428</v>
      </c>
      <c r="AH987" t="n">
        <v>8.411000000000001e-05</v>
      </c>
      <c r="AI987" t="n">
        <v>0.5281</v>
      </c>
      <c r="AJ987" t="n">
        <v>0</v>
      </c>
      <c r="AK987" t="n">
        <v>280.7452</v>
      </c>
      <c r="AL987" t="n">
        <v>-16252.8683</v>
      </c>
      <c r="AM987" t="n">
        <v>34315.4027</v>
      </c>
      <c r="AN987" t="n">
        <v>0.99</v>
      </c>
      <c r="AO987" t="inlineStr">
        <is>
          <t>Low</t>
        </is>
      </c>
      <c r="AP987" t="inlineStr">
        <is>
          <t>On Track</t>
        </is>
      </c>
    </row>
    <row r="988">
      <c r="A988" t="inlineStr">
        <is>
          <t>SUP-0062</t>
        </is>
      </c>
      <c r="B988" t="inlineStr">
        <is>
          <t>Textiles Supplier 062</t>
        </is>
      </c>
      <c r="C988" t="inlineStr">
        <is>
          <t>Textiles</t>
        </is>
      </c>
      <c r="D988" t="n">
        <v>2024</v>
      </c>
      <c r="E988" t="n">
        <v>2018</v>
      </c>
      <c r="F988" t="n">
        <v>2030</v>
      </c>
      <c r="G988" t="n">
        <v>7479.6472</v>
      </c>
      <c r="H988" t="n">
        <v>1243.5064</v>
      </c>
      <c r="I988" t="n">
        <v>1589.1811</v>
      </c>
      <c r="J988" t="n">
        <v>4415.6005</v>
      </c>
      <c r="K988" t="n">
        <v>35793021.81</v>
      </c>
      <c r="L988" t="n">
        <v>296991410.25</v>
      </c>
      <c r="M988" t="n">
        <v>7479.6472</v>
      </c>
      <c r="N988" t="inlineStr">
        <is>
          <t>Provided Total Emissions</t>
        </is>
      </c>
      <c r="O988" t="b">
        <v>1</v>
      </c>
      <c r="P988" t="n">
        <v>0.064696</v>
      </c>
      <c r="Q988" t="n">
        <v>0.061998</v>
      </c>
      <c r="R988" t="n">
        <v>10459.0789</v>
      </c>
      <c r="S988" t="n">
        <v>51507.2203</v>
      </c>
      <c r="T988" t="n">
        <v>2979.4317</v>
      </c>
      <c r="U988" t="n">
        <v>44027.5731</v>
      </c>
      <c r="V988" t="n">
        <v>0.398339</v>
      </c>
      <c r="W988" t="n">
        <v>5.886317</v>
      </c>
      <c r="X988" t="inlineStr">
        <is>
          <t>High</t>
        </is>
      </c>
      <c r="Y988" t="inlineStr">
        <is>
          <t>None</t>
        </is>
      </c>
      <c r="Z988" t="inlineStr">
        <is>
          <t>Valid</t>
        </is>
      </c>
      <c r="AA988" t="n">
        <v>2035</v>
      </c>
      <c r="AB988" t="inlineStr">
        <is>
          <t>Supplier Target Pathway</t>
        </is>
      </c>
      <c r="AC988" t="n">
        <v>6379.3652</v>
      </c>
      <c r="AD988" t="n">
        <v>3010.4224</v>
      </c>
      <c r="AE988" t="n">
        <v>3010.4224</v>
      </c>
      <c r="AF988" t="n">
        <v>3010.4224</v>
      </c>
      <c r="AG988" t="n">
        <v>3368.9428</v>
      </c>
      <c r="AH988" t="n">
        <v>8.411000000000001e-05</v>
      </c>
      <c r="AI988" t="n">
        <v>0.5281</v>
      </c>
      <c r="AJ988" t="n">
        <v>0</v>
      </c>
      <c r="AK988" t="n">
        <v>280.7452</v>
      </c>
      <c r="AL988" t="n">
        <v>-19263.2907</v>
      </c>
      <c r="AM988" t="n">
        <v>37325.8251</v>
      </c>
      <c r="AN988" t="n">
        <v>0.99</v>
      </c>
      <c r="AO988" t="inlineStr">
        <is>
          <t>Low</t>
        </is>
      </c>
      <c r="AP988" t="inlineStr">
        <is>
          <t>On Track</t>
        </is>
      </c>
    </row>
    <row r="989">
      <c r="A989" t="inlineStr">
        <is>
          <t>SUP-0062</t>
        </is>
      </c>
      <c r="B989" t="inlineStr">
        <is>
          <t>Textiles Supplier 062</t>
        </is>
      </c>
      <c r="C989" t="inlineStr">
        <is>
          <t>Textiles</t>
        </is>
      </c>
      <c r="D989" t="n">
        <v>2024</v>
      </c>
      <c r="E989" t="n">
        <v>2018</v>
      </c>
      <c r="F989" t="n">
        <v>2030</v>
      </c>
      <c r="G989" t="n">
        <v>7479.6472</v>
      </c>
      <c r="H989" t="n">
        <v>1243.5064</v>
      </c>
      <c r="I989" t="n">
        <v>1589.1811</v>
      </c>
      <c r="J989" t="n">
        <v>4415.6005</v>
      </c>
      <c r="K989" t="n">
        <v>35793021.81</v>
      </c>
      <c r="L989" t="n">
        <v>296991410.25</v>
      </c>
      <c r="M989" t="n">
        <v>7479.6472</v>
      </c>
      <c r="N989" t="inlineStr">
        <is>
          <t>Provided Total Emissions</t>
        </is>
      </c>
      <c r="O989" t="b">
        <v>1</v>
      </c>
      <c r="P989" t="n">
        <v>0.064696</v>
      </c>
      <c r="Q989" t="n">
        <v>0.061998</v>
      </c>
      <c r="R989" t="n">
        <v>10459.0789</v>
      </c>
      <c r="S989" t="n">
        <v>51507.2203</v>
      </c>
      <c r="T989" t="n">
        <v>2979.4317</v>
      </c>
      <c r="U989" t="n">
        <v>44027.5731</v>
      </c>
      <c r="V989" t="n">
        <v>0.398339</v>
      </c>
      <c r="W989" t="n">
        <v>5.886317</v>
      </c>
      <c r="X989" t="inlineStr">
        <is>
          <t>High</t>
        </is>
      </c>
      <c r="Y989" t="inlineStr">
        <is>
          <t>None</t>
        </is>
      </c>
      <c r="Z989" t="inlineStr">
        <is>
          <t>Valid</t>
        </is>
      </c>
      <c r="AA989" t="n">
        <v>2036</v>
      </c>
      <c r="AB989" t="inlineStr">
        <is>
          <t>Supplier Target Pathway</t>
        </is>
      </c>
      <c r="AC989" t="n">
        <v>6379.3652</v>
      </c>
      <c r="AD989" t="n">
        <v>3010.4224</v>
      </c>
      <c r="AE989" t="n">
        <v>3010.4224</v>
      </c>
      <c r="AF989" t="n">
        <v>3010.4224</v>
      </c>
      <c r="AG989" t="n">
        <v>3368.9428</v>
      </c>
      <c r="AH989" t="n">
        <v>8.411000000000001e-05</v>
      </c>
      <c r="AI989" t="n">
        <v>0.5281</v>
      </c>
      <c r="AJ989" t="n">
        <v>0</v>
      </c>
      <c r="AK989" t="n">
        <v>280.7452</v>
      </c>
      <c r="AL989" t="n">
        <v>-22273.7131</v>
      </c>
      <c r="AM989" t="n">
        <v>40336.2475</v>
      </c>
      <c r="AN989" t="n">
        <v>0.99</v>
      </c>
      <c r="AO989" t="inlineStr">
        <is>
          <t>Low</t>
        </is>
      </c>
      <c r="AP989" t="inlineStr">
        <is>
          <t>On Track</t>
        </is>
      </c>
    </row>
    <row r="990">
      <c r="A990" t="inlineStr">
        <is>
          <t>SUP-0062</t>
        </is>
      </c>
      <c r="B990" t="inlineStr">
        <is>
          <t>Textiles Supplier 062</t>
        </is>
      </c>
      <c r="C990" t="inlineStr">
        <is>
          <t>Textiles</t>
        </is>
      </c>
      <c r="D990" t="n">
        <v>2024</v>
      </c>
      <c r="E990" t="n">
        <v>2018</v>
      </c>
      <c r="F990" t="n">
        <v>2030</v>
      </c>
      <c r="G990" t="n">
        <v>7479.6472</v>
      </c>
      <c r="H990" t="n">
        <v>1243.5064</v>
      </c>
      <c r="I990" t="n">
        <v>1589.1811</v>
      </c>
      <c r="J990" t="n">
        <v>4415.6005</v>
      </c>
      <c r="K990" t="n">
        <v>35793021.81</v>
      </c>
      <c r="L990" t="n">
        <v>296991410.25</v>
      </c>
      <c r="M990" t="n">
        <v>7479.6472</v>
      </c>
      <c r="N990" t="inlineStr">
        <is>
          <t>Provided Total Emissions</t>
        </is>
      </c>
      <c r="O990" t="b">
        <v>1</v>
      </c>
      <c r="P990" t="n">
        <v>0.064696</v>
      </c>
      <c r="Q990" t="n">
        <v>0.061998</v>
      </c>
      <c r="R990" t="n">
        <v>10459.0789</v>
      </c>
      <c r="S990" t="n">
        <v>51507.2203</v>
      </c>
      <c r="T990" t="n">
        <v>2979.4317</v>
      </c>
      <c r="U990" t="n">
        <v>44027.5731</v>
      </c>
      <c r="V990" t="n">
        <v>0.398339</v>
      </c>
      <c r="W990" t="n">
        <v>5.886317</v>
      </c>
      <c r="X990" t="inlineStr">
        <is>
          <t>High</t>
        </is>
      </c>
      <c r="Y990" t="inlineStr">
        <is>
          <t>None</t>
        </is>
      </c>
      <c r="Z990" t="inlineStr">
        <is>
          <t>Valid</t>
        </is>
      </c>
      <c r="AA990" t="n">
        <v>2037</v>
      </c>
      <c r="AB990" t="inlineStr">
        <is>
          <t>Supplier Target Pathway</t>
        </is>
      </c>
      <c r="AC990" t="n">
        <v>6379.3652</v>
      </c>
      <c r="AD990" t="n">
        <v>3010.4224</v>
      </c>
      <c r="AE990" t="n">
        <v>3010.4224</v>
      </c>
      <c r="AF990" t="n">
        <v>3010.4224</v>
      </c>
      <c r="AG990" t="n">
        <v>3368.9428</v>
      </c>
      <c r="AH990" t="n">
        <v>8.411000000000001e-05</v>
      </c>
      <c r="AI990" t="n">
        <v>0.5281</v>
      </c>
      <c r="AJ990" t="n">
        <v>0</v>
      </c>
      <c r="AK990" t="n">
        <v>280.7452</v>
      </c>
      <c r="AL990" t="n">
        <v>-25284.1355</v>
      </c>
      <c r="AM990" t="n">
        <v>43346.6699</v>
      </c>
      <c r="AN990" t="n">
        <v>0.99</v>
      </c>
      <c r="AO990" t="inlineStr">
        <is>
          <t>Low</t>
        </is>
      </c>
      <c r="AP990" t="inlineStr">
        <is>
          <t>On Track</t>
        </is>
      </c>
    </row>
    <row r="991">
      <c r="A991" t="inlineStr">
        <is>
          <t>SUP-0062</t>
        </is>
      </c>
      <c r="B991" t="inlineStr">
        <is>
          <t>Textiles Supplier 062</t>
        </is>
      </c>
      <c r="C991" t="inlineStr">
        <is>
          <t>Textiles</t>
        </is>
      </c>
      <c r="D991" t="n">
        <v>2024</v>
      </c>
      <c r="E991" t="n">
        <v>2018</v>
      </c>
      <c r="F991" t="n">
        <v>2030</v>
      </c>
      <c r="G991" t="n">
        <v>7479.6472</v>
      </c>
      <c r="H991" t="n">
        <v>1243.5064</v>
      </c>
      <c r="I991" t="n">
        <v>1589.1811</v>
      </c>
      <c r="J991" t="n">
        <v>4415.6005</v>
      </c>
      <c r="K991" t="n">
        <v>35793021.81</v>
      </c>
      <c r="L991" t="n">
        <v>296991410.25</v>
      </c>
      <c r="M991" t="n">
        <v>7479.6472</v>
      </c>
      <c r="N991" t="inlineStr">
        <is>
          <t>Provided Total Emissions</t>
        </is>
      </c>
      <c r="O991" t="b">
        <v>1</v>
      </c>
      <c r="P991" t="n">
        <v>0.064696</v>
      </c>
      <c r="Q991" t="n">
        <v>0.061998</v>
      </c>
      <c r="R991" t="n">
        <v>10459.0789</v>
      </c>
      <c r="S991" t="n">
        <v>51507.2203</v>
      </c>
      <c r="T991" t="n">
        <v>2979.4317</v>
      </c>
      <c r="U991" t="n">
        <v>44027.5731</v>
      </c>
      <c r="V991" t="n">
        <v>0.398339</v>
      </c>
      <c r="W991" t="n">
        <v>5.886317</v>
      </c>
      <c r="X991" t="inlineStr">
        <is>
          <t>High</t>
        </is>
      </c>
      <c r="Y991" t="inlineStr">
        <is>
          <t>None</t>
        </is>
      </c>
      <c r="Z991" t="inlineStr">
        <is>
          <t>Valid</t>
        </is>
      </c>
      <c r="AA991" t="n">
        <v>2038</v>
      </c>
      <c r="AB991" t="inlineStr">
        <is>
          <t>Supplier Target Pathway</t>
        </is>
      </c>
      <c r="AC991" t="n">
        <v>6379.3652</v>
      </c>
      <c r="AD991" t="n">
        <v>3010.4224</v>
      </c>
      <c r="AE991" t="n">
        <v>3010.4224</v>
      </c>
      <c r="AF991" t="n">
        <v>3010.4224</v>
      </c>
      <c r="AG991" t="n">
        <v>3368.9428</v>
      </c>
      <c r="AH991" t="n">
        <v>8.411000000000001e-05</v>
      </c>
      <c r="AI991" t="n">
        <v>0.5281</v>
      </c>
      <c r="AJ991" t="n">
        <v>0</v>
      </c>
      <c r="AK991" t="n">
        <v>280.7452</v>
      </c>
      <c r="AL991" t="n">
        <v>-28294.5579</v>
      </c>
      <c r="AM991" t="n">
        <v>46357.0923</v>
      </c>
      <c r="AN991" t="n">
        <v>0.99</v>
      </c>
      <c r="AO991" t="inlineStr">
        <is>
          <t>Low</t>
        </is>
      </c>
      <c r="AP991" t="inlineStr">
        <is>
          <t>On Track</t>
        </is>
      </c>
    </row>
    <row r="992">
      <c r="A992" t="inlineStr">
        <is>
          <t>SUP-0062</t>
        </is>
      </c>
      <c r="B992" t="inlineStr">
        <is>
          <t>Textiles Supplier 062</t>
        </is>
      </c>
      <c r="C992" t="inlineStr">
        <is>
          <t>Textiles</t>
        </is>
      </c>
      <c r="D992" t="n">
        <v>2024</v>
      </c>
      <c r="E992" t="n">
        <v>2018</v>
      </c>
      <c r="F992" t="n">
        <v>2030</v>
      </c>
      <c r="G992" t="n">
        <v>7479.6472</v>
      </c>
      <c r="H992" t="n">
        <v>1243.5064</v>
      </c>
      <c r="I992" t="n">
        <v>1589.1811</v>
      </c>
      <c r="J992" t="n">
        <v>4415.6005</v>
      </c>
      <c r="K992" t="n">
        <v>35793021.81</v>
      </c>
      <c r="L992" t="n">
        <v>296991410.25</v>
      </c>
      <c r="M992" t="n">
        <v>7479.6472</v>
      </c>
      <c r="N992" t="inlineStr">
        <is>
          <t>Provided Total Emissions</t>
        </is>
      </c>
      <c r="O992" t="b">
        <v>1</v>
      </c>
      <c r="P992" t="n">
        <v>0.064696</v>
      </c>
      <c r="Q992" t="n">
        <v>0.061998</v>
      </c>
      <c r="R992" t="n">
        <v>10459.0789</v>
      </c>
      <c r="S992" t="n">
        <v>51507.2203</v>
      </c>
      <c r="T992" t="n">
        <v>2979.4317</v>
      </c>
      <c r="U992" t="n">
        <v>44027.5731</v>
      </c>
      <c r="V992" t="n">
        <v>0.398339</v>
      </c>
      <c r="W992" t="n">
        <v>5.886317</v>
      </c>
      <c r="X992" t="inlineStr">
        <is>
          <t>High</t>
        </is>
      </c>
      <c r="Y992" t="inlineStr">
        <is>
          <t>None</t>
        </is>
      </c>
      <c r="Z992" t="inlineStr">
        <is>
          <t>Valid</t>
        </is>
      </c>
      <c r="AA992" t="n">
        <v>2039</v>
      </c>
      <c r="AB992" t="inlineStr">
        <is>
          <t>Supplier Target Pathway</t>
        </is>
      </c>
      <c r="AC992" t="n">
        <v>6379.3652</v>
      </c>
      <c r="AD992" t="n">
        <v>3010.4224</v>
      </c>
      <c r="AE992" t="n">
        <v>3010.4224</v>
      </c>
      <c r="AF992" t="n">
        <v>3010.4224</v>
      </c>
      <c r="AG992" t="n">
        <v>3368.9428</v>
      </c>
      <c r="AH992" t="n">
        <v>8.411000000000001e-05</v>
      </c>
      <c r="AI992" t="n">
        <v>0.5281</v>
      </c>
      <c r="AJ992" t="n">
        <v>0</v>
      </c>
      <c r="AK992" t="n">
        <v>280.7452</v>
      </c>
      <c r="AL992" t="n">
        <v>-31304.9803</v>
      </c>
      <c r="AM992" t="n">
        <v>49367.5147</v>
      </c>
      <c r="AN992" t="n">
        <v>0.99</v>
      </c>
      <c r="AO992" t="inlineStr">
        <is>
          <t>Low</t>
        </is>
      </c>
      <c r="AP992" t="inlineStr">
        <is>
          <t>On Track</t>
        </is>
      </c>
    </row>
    <row r="993">
      <c r="A993" t="inlineStr">
        <is>
          <t>SUP-0062</t>
        </is>
      </c>
      <c r="B993" t="inlineStr">
        <is>
          <t>Textiles Supplier 062</t>
        </is>
      </c>
      <c r="C993" t="inlineStr">
        <is>
          <t>Textiles</t>
        </is>
      </c>
      <c r="D993" t="n">
        <v>2024</v>
      </c>
      <c r="E993" t="n">
        <v>2018</v>
      </c>
      <c r="F993" t="n">
        <v>2030</v>
      </c>
      <c r="G993" t="n">
        <v>7479.6472</v>
      </c>
      <c r="H993" t="n">
        <v>1243.5064</v>
      </c>
      <c r="I993" t="n">
        <v>1589.1811</v>
      </c>
      <c r="J993" t="n">
        <v>4415.6005</v>
      </c>
      <c r="K993" t="n">
        <v>35793021.81</v>
      </c>
      <c r="L993" t="n">
        <v>296991410.25</v>
      </c>
      <c r="M993" t="n">
        <v>7479.6472</v>
      </c>
      <c r="N993" t="inlineStr">
        <is>
          <t>Provided Total Emissions</t>
        </is>
      </c>
      <c r="O993" t="b">
        <v>1</v>
      </c>
      <c r="P993" t="n">
        <v>0.064696</v>
      </c>
      <c r="Q993" t="n">
        <v>0.061998</v>
      </c>
      <c r="R993" t="n">
        <v>10459.0789</v>
      </c>
      <c r="S993" t="n">
        <v>51507.2203</v>
      </c>
      <c r="T993" t="n">
        <v>2979.4317</v>
      </c>
      <c r="U993" t="n">
        <v>44027.5731</v>
      </c>
      <c r="V993" t="n">
        <v>0.398339</v>
      </c>
      <c r="W993" t="n">
        <v>5.886317</v>
      </c>
      <c r="X993" t="inlineStr">
        <is>
          <t>High</t>
        </is>
      </c>
      <c r="Y993" t="inlineStr">
        <is>
          <t>None</t>
        </is>
      </c>
      <c r="Z993" t="inlineStr">
        <is>
          <t>Valid</t>
        </is>
      </c>
      <c r="AA993" t="n">
        <v>2040</v>
      </c>
      <c r="AB993" t="inlineStr">
        <is>
          <t>Supplier Target Pathway</t>
        </is>
      </c>
      <c r="AC993" t="n">
        <v>6379.3652</v>
      </c>
      <c r="AD993" t="n">
        <v>3010.4224</v>
      </c>
      <c r="AE993" t="n">
        <v>3010.4224</v>
      </c>
      <c r="AF993" t="n">
        <v>3010.4224</v>
      </c>
      <c r="AG993" t="n">
        <v>3368.9428</v>
      </c>
      <c r="AH993" t="n">
        <v>8.411000000000001e-05</v>
      </c>
      <c r="AI993" t="n">
        <v>0.5281</v>
      </c>
      <c r="AJ993" t="n">
        <v>0</v>
      </c>
      <c r="AK993" t="n">
        <v>280.7452</v>
      </c>
      <c r="AL993" t="n">
        <v>-34315.4027</v>
      </c>
      <c r="AM993" t="n">
        <v>52377.9371</v>
      </c>
      <c r="AN993" t="n">
        <v>0.99</v>
      </c>
      <c r="AO993" t="inlineStr">
        <is>
          <t>Low</t>
        </is>
      </c>
      <c r="AP993" t="inlineStr">
        <is>
          <t>On Track</t>
        </is>
      </c>
    </row>
    <row r="994">
      <c r="A994" t="inlineStr">
        <is>
          <t>SUP-0063</t>
        </is>
      </c>
      <c r="B994" t="inlineStr">
        <is>
          <t>Chemicals Supplier 063</t>
        </is>
      </c>
      <c r="C994" t="inlineStr">
        <is>
          <t>Chemicals</t>
        </is>
      </c>
      <c r="D994" t="n">
        <v>2024</v>
      </c>
      <c r="E994" t="n">
        <v>2020</v>
      </c>
      <c r="F994" t="n">
        <v>2030</v>
      </c>
      <c r="G994" t="n">
        <v>18647.3146</v>
      </c>
      <c r="H994" t="n">
        <v>1913.937</v>
      </c>
      <c r="I994" t="n">
        <v>1263.2604</v>
      </c>
      <c r="J994" t="n">
        <v>15802.7697</v>
      </c>
      <c r="K994" t="n">
        <v>17530557.49</v>
      </c>
      <c r="L994" t="n">
        <v>116720536.19</v>
      </c>
      <c r="M994" t="n">
        <v>18647.3146</v>
      </c>
      <c r="N994" t="inlineStr">
        <is>
          <t>Provided Total Emissions</t>
        </is>
      </c>
      <c r="O994" t="b">
        <v>1</v>
      </c>
      <c r="P994" t="n">
        <v>0.0005820000000000001</v>
      </c>
      <c r="Q994" t="n">
        <v>0.038673</v>
      </c>
      <c r="R994" t="n">
        <v>17556.678</v>
      </c>
      <c r="S994" t="n">
        <v>55003.3855</v>
      </c>
      <c r="T994" t="n">
        <v>-1090.6366</v>
      </c>
      <c r="U994" t="n">
        <v>36356.0709</v>
      </c>
      <c r="V994" t="n">
        <v>-0.058488</v>
      </c>
      <c r="W994" t="n">
        <v>1.949668</v>
      </c>
      <c r="X994" t="inlineStr">
        <is>
          <t>High</t>
        </is>
      </c>
      <c r="Y994" t="inlineStr">
        <is>
          <t>None</t>
        </is>
      </c>
      <c r="Z994" t="inlineStr">
        <is>
          <t>Valid</t>
        </is>
      </c>
      <c r="AA994" t="n">
        <v>2025</v>
      </c>
      <c r="AB994" t="inlineStr">
        <is>
          <t>Supplier Target Pathway</t>
        </is>
      </c>
      <c r="AC994" t="n">
        <v>17812.0997</v>
      </c>
      <c r="AD994" t="n">
        <v>8898.924999999999</v>
      </c>
      <c r="AE994" t="n">
        <v>13355.5124</v>
      </c>
      <c r="AF994" t="n">
        <v>13355.5124</v>
      </c>
      <c r="AG994" t="n">
        <v>4456.5873</v>
      </c>
      <c r="AH994" t="n">
        <v>0.00076184</v>
      </c>
      <c r="AI994" t="n">
        <v>0.2502</v>
      </c>
      <c r="AJ994" t="n">
        <v>4456.5873</v>
      </c>
      <c r="AK994" t="n">
        <v>891.3175</v>
      </c>
      <c r="AL994" t="n">
        <v>40038.0376</v>
      </c>
      <c r="AM994" t="n">
        <v>13355.5124</v>
      </c>
      <c r="AN994" t="n">
        <v>0.99</v>
      </c>
      <c r="AO994" t="inlineStr">
        <is>
          <t>Critical</t>
        </is>
      </c>
      <c r="AP994" t="inlineStr">
        <is>
          <t>On Track to Glide Path</t>
        </is>
      </c>
    </row>
    <row r="995">
      <c r="A995" t="inlineStr">
        <is>
          <t>SUP-0063</t>
        </is>
      </c>
      <c r="B995" t="inlineStr">
        <is>
          <t>Chemicals Supplier 063</t>
        </is>
      </c>
      <c r="C995" t="inlineStr">
        <is>
          <t>Chemicals</t>
        </is>
      </c>
      <c r="D995" t="n">
        <v>2024</v>
      </c>
      <c r="E995" t="n">
        <v>2020</v>
      </c>
      <c r="F995" t="n">
        <v>2030</v>
      </c>
      <c r="G995" t="n">
        <v>18647.3146</v>
      </c>
      <c r="H995" t="n">
        <v>1913.937</v>
      </c>
      <c r="I995" t="n">
        <v>1263.2604</v>
      </c>
      <c r="J995" t="n">
        <v>15802.7697</v>
      </c>
      <c r="K995" t="n">
        <v>17530557.49</v>
      </c>
      <c r="L995" t="n">
        <v>116720536.19</v>
      </c>
      <c r="M995" t="n">
        <v>18647.3146</v>
      </c>
      <c r="N995" t="inlineStr">
        <is>
          <t>Provided Total Emissions</t>
        </is>
      </c>
      <c r="O995" t="b">
        <v>1</v>
      </c>
      <c r="P995" t="n">
        <v>0.0005820000000000001</v>
      </c>
      <c r="Q995" t="n">
        <v>0.038673</v>
      </c>
      <c r="R995" t="n">
        <v>17556.678</v>
      </c>
      <c r="S995" t="n">
        <v>55003.3855</v>
      </c>
      <c r="T995" t="n">
        <v>-1090.6366</v>
      </c>
      <c r="U995" t="n">
        <v>36356.0709</v>
      </c>
      <c r="V995" t="n">
        <v>-0.058488</v>
      </c>
      <c r="W995" t="n">
        <v>1.949668</v>
      </c>
      <c r="X995" t="inlineStr">
        <is>
          <t>High</t>
        </is>
      </c>
      <c r="Y995" t="inlineStr">
        <is>
          <t>None</t>
        </is>
      </c>
      <c r="Z995" t="inlineStr">
        <is>
          <t>Valid</t>
        </is>
      </c>
      <c r="AA995" t="n">
        <v>2026</v>
      </c>
      <c r="AB995" t="inlineStr">
        <is>
          <t>Supplier Target Pathway</t>
        </is>
      </c>
      <c r="AC995" t="n">
        <v>17812.0997</v>
      </c>
      <c r="AD995" t="n">
        <v>8898.924999999999</v>
      </c>
      <c r="AE995" t="n">
        <v>12464.1949</v>
      </c>
      <c r="AF995" t="n">
        <v>12464.1949</v>
      </c>
      <c r="AG995" t="n">
        <v>5347.9048</v>
      </c>
      <c r="AH995" t="n">
        <v>0.000711</v>
      </c>
      <c r="AI995" t="n">
        <v>0.30024</v>
      </c>
      <c r="AJ995" t="n">
        <v>3565.2699</v>
      </c>
      <c r="AK995" t="n">
        <v>891.3175</v>
      </c>
      <c r="AL995" t="n">
        <v>27573.8427</v>
      </c>
      <c r="AM995" t="n">
        <v>25819.7073</v>
      </c>
      <c r="AN995" t="n">
        <v>0.99</v>
      </c>
      <c r="AO995" t="inlineStr">
        <is>
          <t>Critical</t>
        </is>
      </c>
      <c r="AP995" t="inlineStr">
        <is>
          <t>On Track to Glide Path</t>
        </is>
      </c>
    </row>
    <row r="996">
      <c r="A996" t="inlineStr">
        <is>
          <t>SUP-0063</t>
        </is>
      </c>
      <c r="B996" t="inlineStr">
        <is>
          <t>Chemicals Supplier 063</t>
        </is>
      </c>
      <c r="C996" t="inlineStr">
        <is>
          <t>Chemicals</t>
        </is>
      </c>
      <c r="D996" t="n">
        <v>2024</v>
      </c>
      <c r="E996" t="n">
        <v>2020</v>
      </c>
      <c r="F996" t="n">
        <v>2030</v>
      </c>
      <c r="G996" t="n">
        <v>18647.3146</v>
      </c>
      <c r="H996" t="n">
        <v>1913.937</v>
      </c>
      <c r="I996" t="n">
        <v>1263.2604</v>
      </c>
      <c r="J996" t="n">
        <v>15802.7697</v>
      </c>
      <c r="K996" t="n">
        <v>17530557.49</v>
      </c>
      <c r="L996" t="n">
        <v>116720536.19</v>
      </c>
      <c r="M996" t="n">
        <v>18647.3146</v>
      </c>
      <c r="N996" t="inlineStr">
        <is>
          <t>Provided Total Emissions</t>
        </is>
      </c>
      <c r="O996" t="b">
        <v>1</v>
      </c>
      <c r="P996" t="n">
        <v>0.0005820000000000001</v>
      </c>
      <c r="Q996" t="n">
        <v>0.038673</v>
      </c>
      <c r="R996" t="n">
        <v>17556.678</v>
      </c>
      <c r="S996" t="n">
        <v>55003.3855</v>
      </c>
      <c r="T996" t="n">
        <v>-1090.6366</v>
      </c>
      <c r="U996" t="n">
        <v>36356.0709</v>
      </c>
      <c r="V996" t="n">
        <v>-0.058488</v>
      </c>
      <c r="W996" t="n">
        <v>1.949668</v>
      </c>
      <c r="X996" t="inlineStr">
        <is>
          <t>High</t>
        </is>
      </c>
      <c r="Y996" t="inlineStr">
        <is>
          <t>None</t>
        </is>
      </c>
      <c r="Z996" t="inlineStr">
        <is>
          <t>Valid</t>
        </is>
      </c>
      <c r="AA996" t="n">
        <v>2027</v>
      </c>
      <c r="AB996" t="inlineStr">
        <is>
          <t>Supplier Target Pathway</t>
        </is>
      </c>
      <c r="AC996" t="n">
        <v>17812.0997</v>
      </c>
      <c r="AD996" t="n">
        <v>8898.924999999999</v>
      </c>
      <c r="AE996" t="n">
        <v>11572.8774</v>
      </c>
      <c r="AF996" t="n">
        <v>11572.8774</v>
      </c>
      <c r="AG996" t="n">
        <v>6239.2223</v>
      </c>
      <c r="AH996" t="n">
        <v>0.00066015</v>
      </c>
      <c r="AI996" t="n">
        <v>0.35028</v>
      </c>
      <c r="AJ996" t="n">
        <v>2673.9524</v>
      </c>
      <c r="AK996" t="n">
        <v>891.3175</v>
      </c>
      <c r="AL996" t="n">
        <v>16000.9653</v>
      </c>
      <c r="AM996" t="n">
        <v>37392.5847</v>
      </c>
      <c r="AN996" t="n">
        <v>0.99</v>
      </c>
      <c r="AO996" t="inlineStr">
        <is>
          <t>High</t>
        </is>
      </c>
      <c r="AP996" t="inlineStr">
        <is>
          <t>On Track to Glide Path</t>
        </is>
      </c>
    </row>
    <row r="997">
      <c r="A997" t="inlineStr">
        <is>
          <t>SUP-0063</t>
        </is>
      </c>
      <c r="B997" t="inlineStr">
        <is>
          <t>Chemicals Supplier 063</t>
        </is>
      </c>
      <c r="C997" t="inlineStr">
        <is>
          <t>Chemicals</t>
        </is>
      </c>
      <c r="D997" t="n">
        <v>2024</v>
      </c>
      <c r="E997" t="n">
        <v>2020</v>
      </c>
      <c r="F997" t="n">
        <v>2030</v>
      </c>
      <c r="G997" t="n">
        <v>18647.3146</v>
      </c>
      <c r="H997" t="n">
        <v>1913.937</v>
      </c>
      <c r="I997" t="n">
        <v>1263.2604</v>
      </c>
      <c r="J997" t="n">
        <v>15802.7697</v>
      </c>
      <c r="K997" t="n">
        <v>17530557.49</v>
      </c>
      <c r="L997" t="n">
        <v>116720536.19</v>
      </c>
      <c r="M997" t="n">
        <v>18647.3146</v>
      </c>
      <c r="N997" t="inlineStr">
        <is>
          <t>Provided Total Emissions</t>
        </is>
      </c>
      <c r="O997" t="b">
        <v>1</v>
      </c>
      <c r="P997" t="n">
        <v>0.0005820000000000001</v>
      </c>
      <c r="Q997" t="n">
        <v>0.038673</v>
      </c>
      <c r="R997" t="n">
        <v>17556.678</v>
      </c>
      <c r="S997" t="n">
        <v>55003.3855</v>
      </c>
      <c r="T997" t="n">
        <v>-1090.6366</v>
      </c>
      <c r="U997" t="n">
        <v>36356.0709</v>
      </c>
      <c r="V997" t="n">
        <v>-0.058488</v>
      </c>
      <c r="W997" t="n">
        <v>1.949668</v>
      </c>
      <c r="X997" t="inlineStr">
        <is>
          <t>High</t>
        </is>
      </c>
      <c r="Y997" t="inlineStr">
        <is>
          <t>None</t>
        </is>
      </c>
      <c r="Z997" t="inlineStr">
        <is>
          <t>Valid</t>
        </is>
      </c>
      <c r="AA997" t="n">
        <v>2028</v>
      </c>
      <c r="AB997" t="inlineStr">
        <is>
          <t>Supplier Target Pathway</t>
        </is>
      </c>
      <c r="AC997" t="n">
        <v>17812.0997</v>
      </c>
      <c r="AD997" t="n">
        <v>8898.924999999999</v>
      </c>
      <c r="AE997" t="n">
        <v>10681.5599</v>
      </c>
      <c r="AF997" t="n">
        <v>10681.5599</v>
      </c>
      <c r="AG997" t="n">
        <v>7130.5398</v>
      </c>
      <c r="AH997" t="n">
        <v>0.00060931</v>
      </c>
      <c r="AI997" t="n">
        <v>0.40032</v>
      </c>
      <c r="AJ997" t="n">
        <v>1782.6349</v>
      </c>
      <c r="AK997" t="n">
        <v>891.3175</v>
      </c>
      <c r="AL997" t="n">
        <v>5319.4054</v>
      </c>
      <c r="AM997" t="n">
        <v>48074.1446</v>
      </c>
      <c r="AN997" t="n">
        <v>0.99</v>
      </c>
      <c r="AO997" t="inlineStr">
        <is>
          <t>High</t>
        </is>
      </c>
      <c r="AP997" t="inlineStr">
        <is>
          <t>On Track to Glide Path</t>
        </is>
      </c>
    </row>
    <row r="998">
      <c r="A998" t="inlineStr">
        <is>
          <t>SUP-0063</t>
        </is>
      </c>
      <c r="B998" t="inlineStr">
        <is>
          <t>Chemicals Supplier 063</t>
        </is>
      </c>
      <c r="C998" t="inlineStr">
        <is>
          <t>Chemicals</t>
        </is>
      </c>
      <c r="D998" t="n">
        <v>2024</v>
      </c>
      <c r="E998" t="n">
        <v>2020</v>
      </c>
      <c r="F998" t="n">
        <v>2030</v>
      </c>
      <c r="G998" t="n">
        <v>18647.3146</v>
      </c>
      <c r="H998" t="n">
        <v>1913.937</v>
      </c>
      <c r="I998" t="n">
        <v>1263.2604</v>
      </c>
      <c r="J998" t="n">
        <v>15802.7697</v>
      </c>
      <c r="K998" t="n">
        <v>17530557.49</v>
      </c>
      <c r="L998" t="n">
        <v>116720536.19</v>
      </c>
      <c r="M998" t="n">
        <v>18647.3146</v>
      </c>
      <c r="N998" t="inlineStr">
        <is>
          <t>Provided Total Emissions</t>
        </is>
      </c>
      <c r="O998" t="b">
        <v>1</v>
      </c>
      <c r="P998" t="n">
        <v>0.0005820000000000001</v>
      </c>
      <c r="Q998" t="n">
        <v>0.038673</v>
      </c>
      <c r="R998" t="n">
        <v>17556.678</v>
      </c>
      <c r="S998" t="n">
        <v>55003.3855</v>
      </c>
      <c r="T998" t="n">
        <v>-1090.6366</v>
      </c>
      <c r="U998" t="n">
        <v>36356.0709</v>
      </c>
      <c r="V998" t="n">
        <v>-0.058488</v>
      </c>
      <c r="W998" t="n">
        <v>1.949668</v>
      </c>
      <c r="X998" t="inlineStr">
        <is>
          <t>High</t>
        </is>
      </c>
      <c r="Y998" t="inlineStr">
        <is>
          <t>None</t>
        </is>
      </c>
      <c r="Z998" t="inlineStr">
        <is>
          <t>Valid</t>
        </is>
      </c>
      <c r="AA998" t="n">
        <v>2029</v>
      </c>
      <c r="AB998" t="inlineStr">
        <is>
          <t>Supplier Target Pathway</t>
        </is>
      </c>
      <c r="AC998" t="n">
        <v>17812.0997</v>
      </c>
      <c r="AD998" t="n">
        <v>8898.924999999999</v>
      </c>
      <c r="AE998" t="n">
        <v>9790.2425</v>
      </c>
      <c r="AF998" t="n">
        <v>9790.2425</v>
      </c>
      <c r="AG998" t="n">
        <v>8021.8572</v>
      </c>
      <c r="AH998" t="n">
        <v>0.00055847</v>
      </c>
      <c r="AI998" t="n">
        <v>0.45036</v>
      </c>
      <c r="AJ998" t="n">
        <v>891.3175</v>
      </c>
      <c r="AK998" t="n">
        <v>891.3175</v>
      </c>
      <c r="AL998" t="n">
        <v>-4470.8371</v>
      </c>
      <c r="AM998" t="n">
        <v>57864.3871</v>
      </c>
      <c r="AN998" t="n">
        <v>0.99</v>
      </c>
      <c r="AO998" t="inlineStr">
        <is>
          <t>Medium</t>
        </is>
      </c>
      <c r="AP998" t="inlineStr">
        <is>
          <t>On Track to Glide Path</t>
        </is>
      </c>
    </row>
    <row r="999">
      <c r="A999" t="inlineStr">
        <is>
          <t>SUP-0063</t>
        </is>
      </c>
      <c r="B999" t="inlineStr">
        <is>
          <t>Chemicals Supplier 063</t>
        </is>
      </c>
      <c r="C999" t="inlineStr">
        <is>
          <t>Chemicals</t>
        </is>
      </c>
      <c r="D999" t="n">
        <v>2024</v>
      </c>
      <c r="E999" t="n">
        <v>2020</v>
      </c>
      <c r="F999" t="n">
        <v>2030</v>
      </c>
      <c r="G999" t="n">
        <v>18647.3146</v>
      </c>
      <c r="H999" t="n">
        <v>1913.937</v>
      </c>
      <c r="I999" t="n">
        <v>1263.2604</v>
      </c>
      <c r="J999" t="n">
        <v>15802.7697</v>
      </c>
      <c r="K999" t="n">
        <v>17530557.49</v>
      </c>
      <c r="L999" t="n">
        <v>116720536.19</v>
      </c>
      <c r="M999" t="n">
        <v>18647.3146</v>
      </c>
      <c r="N999" t="inlineStr">
        <is>
          <t>Provided Total Emissions</t>
        </is>
      </c>
      <c r="O999" t="b">
        <v>1</v>
      </c>
      <c r="P999" t="n">
        <v>0.0005820000000000001</v>
      </c>
      <c r="Q999" t="n">
        <v>0.038673</v>
      </c>
      <c r="R999" t="n">
        <v>17556.678</v>
      </c>
      <c r="S999" t="n">
        <v>55003.3855</v>
      </c>
      <c r="T999" t="n">
        <v>-1090.6366</v>
      </c>
      <c r="U999" t="n">
        <v>36356.0709</v>
      </c>
      <c r="V999" t="n">
        <v>-0.058488</v>
      </c>
      <c r="W999" t="n">
        <v>1.949668</v>
      </c>
      <c r="X999" t="inlineStr">
        <is>
          <t>High</t>
        </is>
      </c>
      <c r="Y999" t="inlineStr">
        <is>
          <t>None</t>
        </is>
      </c>
      <c r="Z999" t="inlineStr">
        <is>
          <t>Valid</t>
        </is>
      </c>
      <c r="AA999" t="n">
        <v>2030</v>
      </c>
      <c r="AB999" t="inlineStr">
        <is>
          <t>Supplier Target Pathway</t>
        </is>
      </c>
      <c r="AC999" t="n">
        <v>17812.0997</v>
      </c>
      <c r="AD999" t="n">
        <v>8898.924999999999</v>
      </c>
      <c r="AE999" t="n">
        <v>8898.924999999999</v>
      </c>
      <c r="AF999" t="n">
        <v>8898.924999999999</v>
      </c>
      <c r="AG999" t="n">
        <v>8913.1747</v>
      </c>
      <c r="AH999" t="n">
        <v>0.00050762</v>
      </c>
      <c r="AI999" t="n">
        <v>0.5004</v>
      </c>
      <c r="AJ999" t="n">
        <v>0</v>
      </c>
      <c r="AK999" t="n">
        <v>891.3175</v>
      </c>
      <c r="AL999" t="n">
        <v>-13369.7621</v>
      </c>
      <c r="AM999" t="n">
        <v>66763.3121</v>
      </c>
      <c r="AN999" t="n">
        <v>0.99</v>
      </c>
      <c r="AO999" t="inlineStr">
        <is>
          <t>Low</t>
        </is>
      </c>
      <c r="AP999" t="inlineStr">
        <is>
          <t>On Track</t>
        </is>
      </c>
    </row>
    <row r="1000">
      <c r="A1000" t="inlineStr">
        <is>
          <t>SUP-0063</t>
        </is>
      </c>
      <c r="B1000" t="inlineStr">
        <is>
          <t>Chemicals Supplier 063</t>
        </is>
      </c>
      <c r="C1000" t="inlineStr">
        <is>
          <t>Chemicals</t>
        </is>
      </c>
      <c r="D1000" t="n">
        <v>2024</v>
      </c>
      <c r="E1000" t="n">
        <v>2020</v>
      </c>
      <c r="F1000" t="n">
        <v>2030</v>
      </c>
      <c r="G1000" t="n">
        <v>18647.3146</v>
      </c>
      <c r="H1000" t="n">
        <v>1913.937</v>
      </c>
      <c r="I1000" t="n">
        <v>1263.2604</v>
      </c>
      <c r="J1000" t="n">
        <v>15802.7697</v>
      </c>
      <c r="K1000" t="n">
        <v>17530557.49</v>
      </c>
      <c r="L1000" t="n">
        <v>116720536.19</v>
      </c>
      <c r="M1000" t="n">
        <v>18647.3146</v>
      </c>
      <c r="N1000" t="inlineStr">
        <is>
          <t>Provided Total Emissions</t>
        </is>
      </c>
      <c r="O1000" t="b">
        <v>1</v>
      </c>
      <c r="P1000" t="n">
        <v>0.0005820000000000001</v>
      </c>
      <c r="Q1000" t="n">
        <v>0.038673</v>
      </c>
      <c r="R1000" t="n">
        <v>17556.678</v>
      </c>
      <c r="S1000" t="n">
        <v>55003.3855</v>
      </c>
      <c r="T1000" t="n">
        <v>-1090.6366</v>
      </c>
      <c r="U1000" t="n">
        <v>36356.0709</v>
      </c>
      <c r="V1000" t="n">
        <v>-0.058488</v>
      </c>
      <c r="W1000" t="n">
        <v>1.949668</v>
      </c>
      <c r="X1000" t="inlineStr">
        <is>
          <t>High</t>
        </is>
      </c>
      <c r="Y1000" t="inlineStr">
        <is>
          <t>None</t>
        </is>
      </c>
      <c r="Z1000" t="inlineStr">
        <is>
          <t>Valid</t>
        </is>
      </c>
      <c r="AA1000" t="n">
        <v>2031</v>
      </c>
      <c r="AB1000" t="inlineStr">
        <is>
          <t>Supplier Target Pathway</t>
        </is>
      </c>
      <c r="AC1000" t="n">
        <v>17812.0997</v>
      </c>
      <c r="AD1000" t="n">
        <v>8898.924999999999</v>
      </c>
      <c r="AE1000" t="n">
        <v>8898.924999999999</v>
      </c>
      <c r="AF1000" t="n">
        <v>8898.924999999999</v>
      </c>
      <c r="AG1000" t="n">
        <v>8913.1747</v>
      </c>
      <c r="AH1000" t="n">
        <v>0.00050762</v>
      </c>
      <c r="AI1000" t="n">
        <v>0.5004</v>
      </c>
      <c r="AJ1000" t="n">
        <v>0</v>
      </c>
      <c r="AK1000" t="n">
        <v>891.3175</v>
      </c>
      <c r="AL1000" t="n">
        <v>-22268.6871</v>
      </c>
      <c r="AM1000" t="n">
        <v>75662.2371</v>
      </c>
      <c r="AN1000" t="n">
        <v>0.99</v>
      </c>
      <c r="AO1000" t="inlineStr">
        <is>
          <t>Low</t>
        </is>
      </c>
      <c r="AP1000" t="inlineStr">
        <is>
          <t>On Track</t>
        </is>
      </c>
    </row>
    <row r="1001">
      <c r="A1001" t="inlineStr">
        <is>
          <t>SUP-0063</t>
        </is>
      </c>
      <c r="B1001" t="inlineStr">
        <is>
          <t>Chemicals Supplier 063</t>
        </is>
      </c>
      <c r="C1001" t="inlineStr">
        <is>
          <t>Chemicals</t>
        </is>
      </c>
      <c r="D1001" t="n">
        <v>2024</v>
      </c>
      <c r="E1001" t="n">
        <v>2020</v>
      </c>
      <c r="F1001" t="n">
        <v>2030</v>
      </c>
      <c r="G1001" t="n">
        <v>18647.3146</v>
      </c>
      <c r="H1001" t="n">
        <v>1913.937</v>
      </c>
      <c r="I1001" t="n">
        <v>1263.2604</v>
      </c>
      <c r="J1001" t="n">
        <v>15802.7697</v>
      </c>
      <c r="K1001" t="n">
        <v>17530557.49</v>
      </c>
      <c r="L1001" t="n">
        <v>116720536.19</v>
      </c>
      <c r="M1001" t="n">
        <v>18647.3146</v>
      </c>
      <c r="N1001" t="inlineStr">
        <is>
          <t>Provided Total Emissions</t>
        </is>
      </c>
      <c r="O1001" t="b">
        <v>1</v>
      </c>
      <c r="P1001" t="n">
        <v>0.0005820000000000001</v>
      </c>
      <c r="Q1001" t="n">
        <v>0.038673</v>
      </c>
      <c r="R1001" t="n">
        <v>17556.678</v>
      </c>
      <c r="S1001" t="n">
        <v>55003.3855</v>
      </c>
      <c r="T1001" t="n">
        <v>-1090.6366</v>
      </c>
      <c r="U1001" t="n">
        <v>36356.0709</v>
      </c>
      <c r="V1001" t="n">
        <v>-0.058488</v>
      </c>
      <c r="W1001" t="n">
        <v>1.949668</v>
      </c>
      <c r="X1001" t="inlineStr">
        <is>
          <t>High</t>
        </is>
      </c>
      <c r="Y1001" t="inlineStr">
        <is>
          <t>None</t>
        </is>
      </c>
      <c r="Z1001" t="inlineStr">
        <is>
          <t>Valid</t>
        </is>
      </c>
      <c r="AA1001" t="n">
        <v>2032</v>
      </c>
      <c r="AB1001" t="inlineStr">
        <is>
          <t>Supplier Target Pathway</t>
        </is>
      </c>
      <c r="AC1001" t="n">
        <v>17812.0997</v>
      </c>
      <c r="AD1001" t="n">
        <v>8898.924999999999</v>
      </c>
      <c r="AE1001" t="n">
        <v>8898.924999999999</v>
      </c>
      <c r="AF1001" t="n">
        <v>8898.924999999999</v>
      </c>
      <c r="AG1001" t="n">
        <v>8913.1747</v>
      </c>
      <c r="AH1001" t="n">
        <v>0.00050762</v>
      </c>
      <c r="AI1001" t="n">
        <v>0.5004</v>
      </c>
      <c r="AJ1001" t="n">
        <v>0</v>
      </c>
      <c r="AK1001" t="n">
        <v>891.3175</v>
      </c>
      <c r="AL1001" t="n">
        <v>-31167.6121</v>
      </c>
      <c r="AM1001" t="n">
        <v>84561.1621</v>
      </c>
      <c r="AN1001" t="n">
        <v>0.99</v>
      </c>
      <c r="AO1001" t="inlineStr">
        <is>
          <t>Low</t>
        </is>
      </c>
      <c r="AP1001" t="inlineStr">
        <is>
          <t>On Track</t>
        </is>
      </c>
    </row>
    <row r="1002">
      <c r="A1002" t="inlineStr">
        <is>
          <t>SUP-0063</t>
        </is>
      </c>
      <c r="B1002" t="inlineStr">
        <is>
          <t>Chemicals Supplier 063</t>
        </is>
      </c>
      <c r="C1002" t="inlineStr">
        <is>
          <t>Chemicals</t>
        </is>
      </c>
      <c r="D1002" t="n">
        <v>2024</v>
      </c>
      <c r="E1002" t="n">
        <v>2020</v>
      </c>
      <c r="F1002" t="n">
        <v>2030</v>
      </c>
      <c r="G1002" t="n">
        <v>18647.3146</v>
      </c>
      <c r="H1002" t="n">
        <v>1913.937</v>
      </c>
      <c r="I1002" t="n">
        <v>1263.2604</v>
      </c>
      <c r="J1002" t="n">
        <v>15802.7697</v>
      </c>
      <c r="K1002" t="n">
        <v>17530557.49</v>
      </c>
      <c r="L1002" t="n">
        <v>116720536.19</v>
      </c>
      <c r="M1002" t="n">
        <v>18647.3146</v>
      </c>
      <c r="N1002" t="inlineStr">
        <is>
          <t>Provided Total Emissions</t>
        </is>
      </c>
      <c r="O1002" t="b">
        <v>1</v>
      </c>
      <c r="P1002" t="n">
        <v>0.0005820000000000001</v>
      </c>
      <c r="Q1002" t="n">
        <v>0.038673</v>
      </c>
      <c r="R1002" t="n">
        <v>17556.678</v>
      </c>
      <c r="S1002" t="n">
        <v>55003.3855</v>
      </c>
      <c r="T1002" t="n">
        <v>-1090.6366</v>
      </c>
      <c r="U1002" t="n">
        <v>36356.0709</v>
      </c>
      <c r="V1002" t="n">
        <v>-0.058488</v>
      </c>
      <c r="W1002" t="n">
        <v>1.949668</v>
      </c>
      <c r="X1002" t="inlineStr">
        <is>
          <t>High</t>
        </is>
      </c>
      <c r="Y1002" t="inlineStr">
        <is>
          <t>None</t>
        </is>
      </c>
      <c r="Z1002" t="inlineStr">
        <is>
          <t>Valid</t>
        </is>
      </c>
      <c r="AA1002" t="n">
        <v>2033</v>
      </c>
      <c r="AB1002" t="inlineStr">
        <is>
          <t>Supplier Target Pathway</t>
        </is>
      </c>
      <c r="AC1002" t="n">
        <v>17812.0997</v>
      </c>
      <c r="AD1002" t="n">
        <v>8898.924999999999</v>
      </c>
      <c r="AE1002" t="n">
        <v>8898.924999999999</v>
      </c>
      <c r="AF1002" t="n">
        <v>8898.924999999999</v>
      </c>
      <c r="AG1002" t="n">
        <v>8913.1747</v>
      </c>
      <c r="AH1002" t="n">
        <v>0.00050762</v>
      </c>
      <c r="AI1002" t="n">
        <v>0.5004</v>
      </c>
      <c r="AJ1002" t="n">
        <v>0</v>
      </c>
      <c r="AK1002" t="n">
        <v>891.3175</v>
      </c>
      <c r="AL1002" t="n">
        <v>-40066.5371</v>
      </c>
      <c r="AM1002" t="n">
        <v>93460.0871</v>
      </c>
      <c r="AN1002" t="n">
        <v>0.99</v>
      </c>
      <c r="AO1002" t="inlineStr">
        <is>
          <t>Low</t>
        </is>
      </c>
      <c r="AP1002" t="inlineStr">
        <is>
          <t>On Track</t>
        </is>
      </c>
    </row>
    <row r="1003">
      <c r="A1003" t="inlineStr">
        <is>
          <t>SUP-0063</t>
        </is>
      </c>
      <c r="B1003" t="inlineStr">
        <is>
          <t>Chemicals Supplier 063</t>
        </is>
      </c>
      <c r="C1003" t="inlineStr">
        <is>
          <t>Chemicals</t>
        </is>
      </c>
      <c r="D1003" t="n">
        <v>2024</v>
      </c>
      <c r="E1003" t="n">
        <v>2020</v>
      </c>
      <c r="F1003" t="n">
        <v>2030</v>
      </c>
      <c r="G1003" t="n">
        <v>18647.3146</v>
      </c>
      <c r="H1003" t="n">
        <v>1913.937</v>
      </c>
      <c r="I1003" t="n">
        <v>1263.2604</v>
      </c>
      <c r="J1003" t="n">
        <v>15802.7697</v>
      </c>
      <c r="K1003" t="n">
        <v>17530557.49</v>
      </c>
      <c r="L1003" t="n">
        <v>116720536.19</v>
      </c>
      <c r="M1003" t="n">
        <v>18647.3146</v>
      </c>
      <c r="N1003" t="inlineStr">
        <is>
          <t>Provided Total Emissions</t>
        </is>
      </c>
      <c r="O1003" t="b">
        <v>1</v>
      </c>
      <c r="P1003" t="n">
        <v>0.0005820000000000001</v>
      </c>
      <c r="Q1003" t="n">
        <v>0.038673</v>
      </c>
      <c r="R1003" t="n">
        <v>17556.678</v>
      </c>
      <c r="S1003" t="n">
        <v>55003.3855</v>
      </c>
      <c r="T1003" t="n">
        <v>-1090.6366</v>
      </c>
      <c r="U1003" t="n">
        <v>36356.0709</v>
      </c>
      <c r="V1003" t="n">
        <v>-0.058488</v>
      </c>
      <c r="W1003" t="n">
        <v>1.949668</v>
      </c>
      <c r="X1003" t="inlineStr">
        <is>
          <t>High</t>
        </is>
      </c>
      <c r="Y1003" t="inlineStr">
        <is>
          <t>None</t>
        </is>
      </c>
      <c r="Z1003" t="inlineStr">
        <is>
          <t>Valid</t>
        </is>
      </c>
      <c r="AA1003" t="n">
        <v>2034</v>
      </c>
      <c r="AB1003" t="inlineStr">
        <is>
          <t>Supplier Target Pathway</t>
        </is>
      </c>
      <c r="AC1003" t="n">
        <v>17812.0997</v>
      </c>
      <c r="AD1003" t="n">
        <v>8898.924999999999</v>
      </c>
      <c r="AE1003" t="n">
        <v>8898.924999999999</v>
      </c>
      <c r="AF1003" t="n">
        <v>8898.924999999999</v>
      </c>
      <c r="AG1003" t="n">
        <v>8913.1747</v>
      </c>
      <c r="AH1003" t="n">
        <v>0.00050762</v>
      </c>
      <c r="AI1003" t="n">
        <v>0.5004</v>
      </c>
      <c r="AJ1003" t="n">
        <v>0</v>
      </c>
      <c r="AK1003" t="n">
        <v>891.3175</v>
      </c>
      <c r="AL1003" t="n">
        <v>-48965.4621</v>
      </c>
      <c r="AM1003" t="n">
        <v>102359.0121</v>
      </c>
      <c r="AN1003" t="n">
        <v>0.99</v>
      </c>
      <c r="AO1003" t="inlineStr">
        <is>
          <t>Low</t>
        </is>
      </c>
      <c r="AP1003" t="inlineStr">
        <is>
          <t>On Track</t>
        </is>
      </c>
    </row>
    <row r="1004">
      <c r="A1004" t="inlineStr">
        <is>
          <t>SUP-0063</t>
        </is>
      </c>
      <c r="B1004" t="inlineStr">
        <is>
          <t>Chemicals Supplier 063</t>
        </is>
      </c>
      <c r="C1004" t="inlineStr">
        <is>
          <t>Chemicals</t>
        </is>
      </c>
      <c r="D1004" t="n">
        <v>2024</v>
      </c>
      <c r="E1004" t="n">
        <v>2020</v>
      </c>
      <c r="F1004" t="n">
        <v>2030</v>
      </c>
      <c r="G1004" t="n">
        <v>18647.3146</v>
      </c>
      <c r="H1004" t="n">
        <v>1913.937</v>
      </c>
      <c r="I1004" t="n">
        <v>1263.2604</v>
      </c>
      <c r="J1004" t="n">
        <v>15802.7697</v>
      </c>
      <c r="K1004" t="n">
        <v>17530557.49</v>
      </c>
      <c r="L1004" t="n">
        <v>116720536.19</v>
      </c>
      <c r="M1004" t="n">
        <v>18647.3146</v>
      </c>
      <c r="N1004" t="inlineStr">
        <is>
          <t>Provided Total Emissions</t>
        </is>
      </c>
      <c r="O1004" t="b">
        <v>1</v>
      </c>
      <c r="P1004" t="n">
        <v>0.0005820000000000001</v>
      </c>
      <c r="Q1004" t="n">
        <v>0.038673</v>
      </c>
      <c r="R1004" t="n">
        <v>17556.678</v>
      </c>
      <c r="S1004" t="n">
        <v>55003.3855</v>
      </c>
      <c r="T1004" t="n">
        <v>-1090.6366</v>
      </c>
      <c r="U1004" t="n">
        <v>36356.0709</v>
      </c>
      <c r="V1004" t="n">
        <v>-0.058488</v>
      </c>
      <c r="W1004" t="n">
        <v>1.949668</v>
      </c>
      <c r="X1004" t="inlineStr">
        <is>
          <t>High</t>
        </is>
      </c>
      <c r="Y1004" t="inlineStr">
        <is>
          <t>None</t>
        </is>
      </c>
      <c r="Z1004" t="inlineStr">
        <is>
          <t>Valid</t>
        </is>
      </c>
      <c r="AA1004" t="n">
        <v>2035</v>
      </c>
      <c r="AB1004" t="inlineStr">
        <is>
          <t>Supplier Target Pathway</t>
        </is>
      </c>
      <c r="AC1004" t="n">
        <v>17812.0997</v>
      </c>
      <c r="AD1004" t="n">
        <v>8898.924999999999</v>
      </c>
      <c r="AE1004" t="n">
        <v>8898.924999999999</v>
      </c>
      <c r="AF1004" t="n">
        <v>8898.924999999999</v>
      </c>
      <c r="AG1004" t="n">
        <v>8913.1747</v>
      </c>
      <c r="AH1004" t="n">
        <v>0.00050762</v>
      </c>
      <c r="AI1004" t="n">
        <v>0.5004</v>
      </c>
      <c r="AJ1004" t="n">
        <v>0</v>
      </c>
      <c r="AK1004" t="n">
        <v>891.3175</v>
      </c>
      <c r="AL1004" t="n">
        <v>-57864.3871</v>
      </c>
      <c r="AM1004" t="n">
        <v>111257.9371</v>
      </c>
      <c r="AN1004" t="n">
        <v>0.99</v>
      </c>
      <c r="AO1004" t="inlineStr">
        <is>
          <t>Low</t>
        </is>
      </c>
      <c r="AP1004" t="inlineStr">
        <is>
          <t>On Track</t>
        </is>
      </c>
    </row>
    <row r="1005">
      <c r="A1005" t="inlineStr">
        <is>
          <t>SUP-0063</t>
        </is>
      </c>
      <c r="B1005" t="inlineStr">
        <is>
          <t>Chemicals Supplier 063</t>
        </is>
      </c>
      <c r="C1005" t="inlineStr">
        <is>
          <t>Chemicals</t>
        </is>
      </c>
      <c r="D1005" t="n">
        <v>2024</v>
      </c>
      <c r="E1005" t="n">
        <v>2020</v>
      </c>
      <c r="F1005" t="n">
        <v>2030</v>
      </c>
      <c r="G1005" t="n">
        <v>18647.3146</v>
      </c>
      <c r="H1005" t="n">
        <v>1913.937</v>
      </c>
      <c r="I1005" t="n">
        <v>1263.2604</v>
      </c>
      <c r="J1005" t="n">
        <v>15802.7697</v>
      </c>
      <c r="K1005" t="n">
        <v>17530557.49</v>
      </c>
      <c r="L1005" t="n">
        <v>116720536.19</v>
      </c>
      <c r="M1005" t="n">
        <v>18647.3146</v>
      </c>
      <c r="N1005" t="inlineStr">
        <is>
          <t>Provided Total Emissions</t>
        </is>
      </c>
      <c r="O1005" t="b">
        <v>1</v>
      </c>
      <c r="P1005" t="n">
        <v>0.0005820000000000001</v>
      </c>
      <c r="Q1005" t="n">
        <v>0.038673</v>
      </c>
      <c r="R1005" t="n">
        <v>17556.678</v>
      </c>
      <c r="S1005" t="n">
        <v>55003.3855</v>
      </c>
      <c r="T1005" t="n">
        <v>-1090.6366</v>
      </c>
      <c r="U1005" t="n">
        <v>36356.0709</v>
      </c>
      <c r="V1005" t="n">
        <v>-0.058488</v>
      </c>
      <c r="W1005" t="n">
        <v>1.949668</v>
      </c>
      <c r="X1005" t="inlineStr">
        <is>
          <t>High</t>
        </is>
      </c>
      <c r="Y1005" t="inlineStr">
        <is>
          <t>None</t>
        </is>
      </c>
      <c r="Z1005" t="inlineStr">
        <is>
          <t>Valid</t>
        </is>
      </c>
      <c r="AA1005" t="n">
        <v>2036</v>
      </c>
      <c r="AB1005" t="inlineStr">
        <is>
          <t>Supplier Target Pathway</t>
        </is>
      </c>
      <c r="AC1005" t="n">
        <v>17812.0997</v>
      </c>
      <c r="AD1005" t="n">
        <v>8898.924999999999</v>
      </c>
      <c r="AE1005" t="n">
        <v>8898.924999999999</v>
      </c>
      <c r="AF1005" t="n">
        <v>8898.924999999999</v>
      </c>
      <c r="AG1005" t="n">
        <v>8913.1747</v>
      </c>
      <c r="AH1005" t="n">
        <v>0.00050762</v>
      </c>
      <c r="AI1005" t="n">
        <v>0.5004</v>
      </c>
      <c r="AJ1005" t="n">
        <v>0</v>
      </c>
      <c r="AK1005" t="n">
        <v>891.3175</v>
      </c>
      <c r="AL1005" t="n">
        <v>-66763.3121</v>
      </c>
      <c r="AM1005" t="n">
        <v>120156.8621</v>
      </c>
      <c r="AN1005" t="n">
        <v>0.99</v>
      </c>
      <c r="AO1005" t="inlineStr">
        <is>
          <t>Low</t>
        </is>
      </c>
      <c r="AP1005" t="inlineStr">
        <is>
          <t>On Track</t>
        </is>
      </c>
    </row>
    <row r="1006">
      <c r="A1006" t="inlineStr">
        <is>
          <t>SUP-0063</t>
        </is>
      </c>
      <c r="B1006" t="inlineStr">
        <is>
          <t>Chemicals Supplier 063</t>
        </is>
      </c>
      <c r="C1006" t="inlineStr">
        <is>
          <t>Chemicals</t>
        </is>
      </c>
      <c r="D1006" t="n">
        <v>2024</v>
      </c>
      <c r="E1006" t="n">
        <v>2020</v>
      </c>
      <c r="F1006" t="n">
        <v>2030</v>
      </c>
      <c r="G1006" t="n">
        <v>18647.3146</v>
      </c>
      <c r="H1006" t="n">
        <v>1913.937</v>
      </c>
      <c r="I1006" t="n">
        <v>1263.2604</v>
      </c>
      <c r="J1006" t="n">
        <v>15802.7697</v>
      </c>
      <c r="K1006" t="n">
        <v>17530557.49</v>
      </c>
      <c r="L1006" t="n">
        <v>116720536.19</v>
      </c>
      <c r="M1006" t="n">
        <v>18647.3146</v>
      </c>
      <c r="N1006" t="inlineStr">
        <is>
          <t>Provided Total Emissions</t>
        </is>
      </c>
      <c r="O1006" t="b">
        <v>1</v>
      </c>
      <c r="P1006" t="n">
        <v>0.0005820000000000001</v>
      </c>
      <c r="Q1006" t="n">
        <v>0.038673</v>
      </c>
      <c r="R1006" t="n">
        <v>17556.678</v>
      </c>
      <c r="S1006" t="n">
        <v>55003.3855</v>
      </c>
      <c r="T1006" t="n">
        <v>-1090.6366</v>
      </c>
      <c r="U1006" t="n">
        <v>36356.0709</v>
      </c>
      <c r="V1006" t="n">
        <v>-0.058488</v>
      </c>
      <c r="W1006" t="n">
        <v>1.949668</v>
      </c>
      <c r="X1006" t="inlineStr">
        <is>
          <t>High</t>
        </is>
      </c>
      <c r="Y1006" t="inlineStr">
        <is>
          <t>None</t>
        </is>
      </c>
      <c r="Z1006" t="inlineStr">
        <is>
          <t>Valid</t>
        </is>
      </c>
      <c r="AA1006" t="n">
        <v>2037</v>
      </c>
      <c r="AB1006" t="inlineStr">
        <is>
          <t>Supplier Target Pathway</t>
        </is>
      </c>
      <c r="AC1006" t="n">
        <v>17812.0997</v>
      </c>
      <c r="AD1006" t="n">
        <v>8898.924999999999</v>
      </c>
      <c r="AE1006" t="n">
        <v>8898.924999999999</v>
      </c>
      <c r="AF1006" t="n">
        <v>8898.924999999999</v>
      </c>
      <c r="AG1006" t="n">
        <v>8913.1747</v>
      </c>
      <c r="AH1006" t="n">
        <v>0.00050762</v>
      </c>
      <c r="AI1006" t="n">
        <v>0.5004</v>
      </c>
      <c r="AJ1006" t="n">
        <v>0</v>
      </c>
      <c r="AK1006" t="n">
        <v>891.3175</v>
      </c>
      <c r="AL1006" t="n">
        <v>-75662.2371</v>
      </c>
      <c r="AM1006" t="n">
        <v>129055.7871</v>
      </c>
      <c r="AN1006" t="n">
        <v>0.99</v>
      </c>
      <c r="AO1006" t="inlineStr">
        <is>
          <t>Low</t>
        </is>
      </c>
      <c r="AP1006" t="inlineStr">
        <is>
          <t>On Track</t>
        </is>
      </c>
    </row>
    <row r="1007">
      <c r="A1007" t="inlineStr">
        <is>
          <t>SUP-0063</t>
        </is>
      </c>
      <c r="B1007" t="inlineStr">
        <is>
          <t>Chemicals Supplier 063</t>
        </is>
      </c>
      <c r="C1007" t="inlineStr">
        <is>
          <t>Chemicals</t>
        </is>
      </c>
      <c r="D1007" t="n">
        <v>2024</v>
      </c>
      <c r="E1007" t="n">
        <v>2020</v>
      </c>
      <c r="F1007" t="n">
        <v>2030</v>
      </c>
      <c r="G1007" t="n">
        <v>18647.3146</v>
      </c>
      <c r="H1007" t="n">
        <v>1913.937</v>
      </c>
      <c r="I1007" t="n">
        <v>1263.2604</v>
      </c>
      <c r="J1007" t="n">
        <v>15802.7697</v>
      </c>
      <c r="K1007" t="n">
        <v>17530557.49</v>
      </c>
      <c r="L1007" t="n">
        <v>116720536.19</v>
      </c>
      <c r="M1007" t="n">
        <v>18647.3146</v>
      </c>
      <c r="N1007" t="inlineStr">
        <is>
          <t>Provided Total Emissions</t>
        </is>
      </c>
      <c r="O1007" t="b">
        <v>1</v>
      </c>
      <c r="P1007" t="n">
        <v>0.0005820000000000001</v>
      </c>
      <c r="Q1007" t="n">
        <v>0.038673</v>
      </c>
      <c r="R1007" t="n">
        <v>17556.678</v>
      </c>
      <c r="S1007" t="n">
        <v>55003.3855</v>
      </c>
      <c r="T1007" t="n">
        <v>-1090.6366</v>
      </c>
      <c r="U1007" t="n">
        <v>36356.0709</v>
      </c>
      <c r="V1007" t="n">
        <v>-0.058488</v>
      </c>
      <c r="W1007" t="n">
        <v>1.949668</v>
      </c>
      <c r="X1007" t="inlineStr">
        <is>
          <t>High</t>
        </is>
      </c>
      <c r="Y1007" t="inlineStr">
        <is>
          <t>None</t>
        </is>
      </c>
      <c r="Z1007" t="inlineStr">
        <is>
          <t>Valid</t>
        </is>
      </c>
      <c r="AA1007" t="n">
        <v>2038</v>
      </c>
      <c r="AB1007" t="inlineStr">
        <is>
          <t>Supplier Target Pathway</t>
        </is>
      </c>
      <c r="AC1007" t="n">
        <v>17812.0997</v>
      </c>
      <c r="AD1007" t="n">
        <v>8898.924999999999</v>
      </c>
      <c r="AE1007" t="n">
        <v>8898.924999999999</v>
      </c>
      <c r="AF1007" t="n">
        <v>8898.924999999999</v>
      </c>
      <c r="AG1007" t="n">
        <v>8913.1747</v>
      </c>
      <c r="AH1007" t="n">
        <v>0.00050762</v>
      </c>
      <c r="AI1007" t="n">
        <v>0.5004</v>
      </c>
      <c r="AJ1007" t="n">
        <v>0</v>
      </c>
      <c r="AK1007" t="n">
        <v>891.3175</v>
      </c>
      <c r="AL1007" t="n">
        <v>-84561.1621</v>
      </c>
      <c r="AM1007" t="n">
        <v>137954.7121</v>
      </c>
      <c r="AN1007" t="n">
        <v>0.99</v>
      </c>
      <c r="AO1007" t="inlineStr">
        <is>
          <t>Low</t>
        </is>
      </c>
      <c r="AP1007" t="inlineStr">
        <is>
          <t>On Track</t>
        </is>
      </c>
    </row>
    <row r="1008">
      <c r="A1008" t="inlineStr">
        <is>
          <t>SUP-0063</t>
        </is>
      </c>
      <c r="B1008" t="inlineStr">
        <is>
          <t>Chemicals Supplier 063</t>
        </is>
      </c>
      <c r="C1008" t="inlineStr">
        <is>
          <t>Chemicals</t>
        </is>
      </c>
      <c r="D1008" t="n">
        <v>2024</v>
      </c>
      <c r="E1008" t="n">
        <v>2020</v>
      </c>
      <c r="F1008" t="n">
        <v>2030</v>
      </c>
      <c r="G1008" t="n">
        <v>18647.3146</v>
      </c>
      <c r="H1008" t="n">
        <v>1913.937</v>
      </c>
      <c r="I1008" t="n">
        <v>1263.2604</v>
      </c>
      <c r="J1008" t="n">
        <v>15802.7697</v>
      </c>
      <c r="K1008" t="n">
        <v>17530557.49</v>
      </c>
      <c r="L1008" t="n">
        <v>116720536.19</v>
      </c>
      <c r="M1008" t="n">
        <v>18647.3146</v>
      </c>
      <c r="N1008" t="inlineStr">
        <is>
          <t>Provided Total Emissions</t>
        </is>
      </c>
      <c r="O1008" t="b">
        <v>1</v>
      </c>
      <c r="P1008" t="n">
        <v>0.0005820000000000001</v>
      </c>
      <c r="Q1008" t="n">
        <v>0.038673</v>
      </c>
      <c r="R1008" t="n">
        <v>17556.678</v>
      </c>
      <c r="S1008" t="n">
        <v>55003.3855</v>
      </c>
      <c r="T1008" t="n">
        <v>-1090.6366</v>
      </c>
      <c r="U1008" t="n">
        <v>36356.0709</v>
      </c>
      <c r="V1008" t="n">
        <v>-0.058488</v>
      </c>
      <c r="W1008" t="n">
        <v>1.949668</v>
      </c>
      <c r="X1008" t="inlineStr">
        <is>
          <t>High</t>
        </is>
      </c>
      <c r="Y1008" t="inlineStr">
        <is>
          <t>None</t>
        </is>
      </c>
      <c r="Z1008" t="inlineStr">
        <is>
          <t>Valid</t>
        </is>
      </c>
      <c r="AA1008" t="n">
        <v>2039</v>
      </c>
      <c r="AB1008" t="inlineStr">
        <is>
          <t>Supplier Target Pathway</t>
        </is>
      </c>
      <c r="AC1008" t="n">
        <v>17812.0997</v>
      </c>
      <c r="AD1008" t="n">
        <v>8898.924999999999</v>
      </c>
      <c r="AE1008" t="n">
        <v>8898.924999999999</v>
      </c>
      <c r="AF1008" t="n">
        <v>8898.924999999999</v>
      </c>
      <c r="AG1008" t="n">
        <v>8913.1747</v>
      </c>
      <c r="AH1008" t="n">
        <v>0.00050762</v>
      </c>
      <c r="AI1008" t="n">
        <v>0.5004</v>
      </c>
      <c r="AJ1008" t="n">
        <v>0</v>
      </c>
      <c r="AK1008" t="n">
        <v>891.3175</v>
      </c>
      <c r="AL1008" t="n">
        <v>-93460.0871</v>
      </c>
      <c r="AM1008" t="n">
        <v>146853.6371</v>
      </c>
      <c r="AN1008" t="n">
        <v>0.99</v>
      </c>
      <c r="AO1008" t="inlineStr">
        <is>
          <t>Low</t>
        </is>
      </c>
      <c r="AP1008" t="inlineStr">
        <is>
          <t>On Track</t>
        </is>
      </c>
    </row>
    <row r="1009">
      <c r="A1009" t="inlineStr">
        <is>
          <t>SUP-0063</t>
        </is>
      </c>
      <c r="B1009" t="inlineStr">
        <is>
          <t>Chemicals Supplier 063</t>
        </is>
      </c>
      <c r="C1009" t="inlineStr">
        <is>
          <t>Chemicals</t>
        </is>
      </c>
      <c r="D1009" t="n">
        <v>2024</v>
      </c>
      <c r="E1009" t="n">
        <v>2020</v>
      </c>
      <c r="F1009" t="n">
        <v>2030</v>
      </c>
      <c r="G1009" t="n">
        <v>18647.3146</v>
      </c>
      <c r="H1009" t="n">
        <v>1913.937</v>
      </c>
      <c r="I1009" t="n">
        <v>1263.2604</v>
      </c>
      <c r="J1009" t="n">
        <v>15802.7697</v>
      </c>
      <c r="K1009" t="n">
        <v>17530557.49</v>
      </c>
      <c r="L1009" t="n">
        <v>116720536.19</v>
      </c>
      <c r="M1009" t="n">
        <v>18647.3146</v>
      </c>
      <c r="N1009" t="inlineStr">
        <is>
          <t>Provided Total Emissions</t>
        </is>
      </c>
      <c r="O1009" t="b">
        <v>1</v>
      </c>
      <c r="P1009" t="n">
        <v>0.0005820000000000001</v>
      </c>
      <c r="Q1009" t="n">
        <v>0.038673</v>
      </c>
      <c r="R1009" t="n">
        <v>17556.678</v>
      </c>
      <c r="S1009" t="n">
        <v>55003.3855</v>
      </c>
      <c r="T1009" t="n">
        <v>-1090.6366</v>
      </c>
      <c r="U1009" t="n">
        <v>36356.0709</v>
      </c>
      <c r="V1009" t="n">
        <v>-0.058488</v>
      </c>
      <c r="W1009" t="n">
        <v>1.949668</v>
      </c>
      <c r="X1009" t="inlineStr">
        <is>
          <t>High</t>
        </is>
      </c>
      <c r="Y1009" t="inlineStr">
        <is>
          <t>None</t>
        </is>
      </c>
      <c r="Z1009" t="inlineStr">
        <is>
          <t>Valid</t>
        </is>
      </c>
      <c r="AA1009" t="n">
        <v>2040</v>
      </c>
      <c r="AB1009" t="inlineStr">
        <is>
          <t>Supplier Target Pathway</t>
        </is>
      </c>
      <c r="AC1009" t="n">
        <v>17812.0997</v>
      </c>
      <c r="AD1009" t="n">
        <v>8898.924999999999</v>
      </c>
      <c r="AE1009" t="n">
        <v>8898.924999999999</v>
      </c>
      <c r="AF1009" t="n">
        <v>8898.924999999999</v>
      </c>
      <c r="AG1009" t="n">
        <v>8913.1747</v>
      </c>
      <c r="AH1009" t="n">
        <v>0.00050762</v>
      </c>
      <c r="AI1009" t="n">
        <v>0.5004</v>
      </c>
      <c r="AJ1009" t="n">
        <v>0</v>
      </c>
      <c r="AK1009" t="n">
        <v>891.3175</v>
      </c>
      <c r="AL1009" t="n">
        <v>-102359.0121</v>
      </c>
      <c r="AM1009" t="n">
        <v>155752.5621</v>
      </c>
      <c r="AN1009" t="n">
        <v>0.99</v>
      </c>
      <c r="AO1009" t="inlineStr">
        <is>
          <t>Low</t>
        </is>
      </c>
      <c r="AP1009" t="inlineStr">
        <is>
          <t>On Track</t>
        </is>
      </c>
    </row>
    <row r="1010">
      <c r="A1010" t="inlineStr">
        <is>
          <t>SUP-0064</t>
        </is>
      </c>
      <c r="B1010" t="inlineStr">
        <is>
          <t>Metals Supplier 064</t>
        </is>
      </c>
      <c r="C1010" t="inlineStr">
        <is>
          <t>Metals</t>
        </is>
      </c>
      <c r="D1010" t="n">
        <v>2024</v>
      </c>
      <c r="E1010" t="n">
        <v>2015</v>
      </c>
      <c r="F1010" t="n">
        <v>2030</v>
      </c>
      <c r="G1010" t="n">
        <v>6615.3276</v>
      </c>
      <c r="H1010" t="n">
        <v>1523.4357</v>
      </c>
      <c r="I1010" t="n">
        <v>1186.8678</v>
      </c>
      <c r="J1010" t="n">
        <v>3615.0829</v>
      </c>
      <c r="K1010" t="n">
        <v>10514177.67</v>
      </c>
      <c r="L1010" t="n">
        <v>58694224.57</v>
      </c>
      <c r="M1010" t="n">
        <v>6615.3276</v>
      </c>
      <c r="N1010" t="inlineStr">
        <is>
          <t>Provided Total Emissions</t>
        </is>
      </c>
      <c r="O1010" t="b">
        <v>1</v>
      </c>
      <c r="P1010" t="n">
        <v>-0.018191</v>
      </c>
      <c r="Q1010" t="n">
        <v>0.006753</v>
      </c>
      <c r="R1010" t="n">
        <v>10587.2512</v>
      </c>
      <c r="S1010" t="n">
        <v>38155.9415</v>
      </c>
      <c r="T1010" t="n">
        <v>3971.9236</v>
      </c>
      <c r="U1010" t="n">
        <v>31540.6139</v>
      </c>
      <c r="V1010" t="n">
        <v>0.6004119999999999</v>
      </c>
      <c r="W1010" t="n">
        <v>4.767808</v>
      </c>
      <c r="X1010" t="inlineStr">
        <is>
          <t>High</t>
        </is>
      </c>
      <c r="Y1010" t="inlineStr">
        <is>
          <t>None</t>
        </is>
      </c>
      <c r="Z1010" t="inlineStr">
        <is>
          <t>Valid</t>
        </is>
      </c>
      <c r="AA1010" t="n">
        <v>2025</v>
      </c>
      <c r="AB1010" t="inlineStr">
        <is>
          <t>Industry Haircut Pathway</t>
        </is>
      </c>
      <c r="AC1010" t="n">
        <v>7803.8473</v>
      </c>
      <c r="AD1010" t="n">
        <v>4797.8053</v>
      </c>
      <c r="AE1010" t="n">
        <v>5799.8193</v>
      </c>
      <c r="AF1010" t="n">
        <v>5799.8193</v>
      </c>
      <c r="AG1010" t="n">
        <v>2004.028</v>
      </c>
      <c r="AH1010" t="n">
        <v>0.00055162</v>
      </c>
      <c r="AI1010" t="n">
        <v>0.2568</v>
      </c>
      <c r="AJ1010" t="n">
        <v>1002.014</v>
      </c>
      <c r="AK1010" t="n">
        <v>200.4028</v>
      </c>
      <c r="AL1010" t="n">
        <v>22987.0125</v>
      </c>
      <c r="AM1010" t="n">
        <v>5799.8193</v>
      </c>
      <c r="AN1010" t="n">
        <v>0.95</v>
      </c>
      <c r="AO1010" t="inlineStr">
        <is>
          <t>High</t>
        </is>
      </c>
      <c r="AP1010" t="inlineStr">
        <is>
          <t>On Track to Glide Path</t>
        </is>
      </c>
    </row>
    <row r="1011">
      <c r="A1011" t="inlineStr">
        <is>
          <t>SUP-0064</t>
        </is>
      </c>
      <c r="B1011" t="inlineStr">
        <is>
          <t>Metals Supplier 064</t>
        </is>
      </c>
      <c r="C1011" t="inlineStr">
        <is>
          <t>Metals</t>
        </is>
      </c>
      <c r="D1011" t="n">
        <v>2024</v>
      </c>
      <c r="E1011" t="n">
        <v>2015</v>
      </c>
      <c r="F1011" t="n">
        <v>2030</v>
      </c>
      <c r="G1011" t="n">
        <v>6615.3276</v>
      </c>
      <c r="H1011" t="n">
        <v>1523.4357</v>
      </c>
      <c r="I1011" t="n">
        <v>1186.8678</v>
      </c>
      <c r="J1011" t="n">
        <v>3615.0829</v>
      </c>
      <c r="K1011" t="n">
        <v>10514177.67</v>
      </c>
      <c r="L1011" t="n">
        <v>58694224.57</v>
      </c>
      <c r="M1011" t="n">
        <v>6615.3276</v>
      </c>
      <c r="N1011" t="inlineStr">
        <is>
          <t>Provided Total Emissions</t>
        </is>
      </c>
      <c r="O1011" t="b">
        <v>1</v>
      </c>
      <c r="P1011" t="n">
        <v>-0.018191</v>
      </c>
      <c r="Q1011" t="n">
        <v>0.006753</v>
      </c>
      <c r="R1011" t="n">
        <v>10587.2512</v>
      </c>
      <c r="S1011" t="n">
        <v>38155.9415</v>
      </c>
      <c r="T1011" t="n">
        <v>3971.9236</v>
      </c>
      <c r="U1011" t="n">
        <v>31540.6139</v>
      </c>
      <c r="V1011" t="n">
        <v>0.6004119999999999</v>
      </c>
      <c r="W1011" t="n">
        <v>4.767808</v>
      </c>
      <c r="X1011" t="inlineStr">
        <is>
          <t>High</t>
        </is>
      </c>
      <c r="Y1011" t="inlineStr">
        <is>
          <t>None</t>
        </is>
      </c>
      <c r="Z1011" t="inlineStr">
        <is>
          <t>Valid</t>
        </is>
      </c>
      <c r="AA1011" t="n">
        <v>2026</v>
      </c>
      <c r="AB1011" t="inlineStr">
        <is>
          <t>Industry Haircut Pathway</t>
        </is>
      </c>
      <c r="AC1011" t="n">
        <v>7803.8473</v>
      </c>
      <c r="AD1011" t="n">
        <v>4797.8053</v>
      </c>
      <c r="AE1011" t="n">
        <v>5599.4165</v>
      </c>
      <c r="AF1011" t="n">
        <v>5599.4165</v>
      </c>
      <c r="AG1011" t="n">
        <v>2204.4308</v>
      </c>
      <c r="AH1011" t="n">
        <v>0.00053256</v>
      </c>
      <c r="AI1011" t="n">
        <v>0.28248</v>
      </c>
      <c r="AJ1011" t="n">
        <v>801.6112000000001</v>
      </c>
      <c r="AK1011" t="n">
        <v>200.4028</v>
      </c>
      <c r="AL1011" t="n">
        <v>17387.596</v>
      </c>
      <c r="AM1011" t="n">
        <v>11399.2358</v>
      </c>
      <c r="AN1011" t="n">
        <v>0.95</v>
      </c>
      <c r="AO1011" t="inlineStr">
        <is>
          <t>High</t>
        </is>
      </c>
      <c r="AP1011" t="inlineStr">
        <is>
          <t>On Track to Glide Path</t>
        </is>
      </c>
    </row>
    <row r="1012">
      <c r="A1012" t="inlineStr">
        <is>
          <t>SUP-0064</t>
        </is>
      </c>
      <c r="B1012" t="inlineStr">
        <is>
          <t>Metals Supplier 064</t>
        </is>
      </c>
      <c r="C1012" t="inlineStr">
        <is>
          <t>Metals</t>
        </is>
      </c>
      <c r="D1012" t="n">
        <v>2024</v>
      </c>
      <c r="E1012" t="n">
        <v>2015</v>
      </c>
      <c r="F1012" t="n">
        <v>2030</v>
      </c>
      <c r="G1012" t="n">
        <v>6615.3276</v>
      </c>
      <c r="H1012" t="n">
        <v>1523.4357</v>
      </c>
      <c r="I1012" t="n">
        <v>1186.8678</v>
      </c>
      <c r="J1012" t="n">
        <v>3615.0829</v>
      </c>
      <c r="K1012" t="n">
        <v>10514177.67</v>
      </c>
      <c r="L1012" t="n">
        <v>58694224.57</v>
      </c>
      <c r="M1012" t="n">
        <v>6615.3276</v>
      </c>
      <c r="N1012" t="inlineStr">
        <is>
          <t>Provided Total Emissions</t>
        </is>
      </c>
      <c r="O1012" t="b">
        <v>1</v>
      </c>
      <c r="P1012" t="n">
        <v>-0.018191</v>
      </c>
      <c r="Q1012" t="n">
        <v>0.006753</v>
      </c>
      <c r="R1012" t="n">
        <v>10587.2512</v>
      </c>
      <c r="S1012" t="n">
        <v>38155.9415</v>
      </c>
      <c r="T1012" t="n">
        <v>3971.9236</v>
      </c>
      <c r="U1012" t="n">
        <v>31540.6139</v>
      </c>
      <c r="V1012" t="n">
        <v>0.6004119999999999</v>
      </c>
      <c r="W1012" t="n">
        <v>4.767808</v>
      </c>
      <c r="X1012" t="inlineStr">
        <is>
          <t>High</t>
        </is>
      </c>
      <c r="Y1012" t="inlineStr">
        <is>
          <t>None</t>
        </is>
      </c>
      <c r="Z1012" t="inlineStr">
        <is>
          <t>Valid</t>
        </is>
      </c>
      <c r="AA1012" t="n">
        <v>2027</v>
      </c>
      <c r="AB1012" t="inlineStr">
        <is>
          <t>Industry Haircut Pathway</t>
        </is>
      </c>
      <c r="AC1012" t="n">
        <v>7803.8473</v>
      </c>
      <c r="AD1012" t="n">
        <v>4797.8053</v>
      </c>
      <c r="AE1012" t="n">
        <v>5399.0137</v>
      </c>
      <c r="AF1012" t="n">
        <v>5399.0137</v>
      </c>
      <c r="AG1012" t="n">
        <v>2404.8336</v>
      </c>
      <c r="AH1012" t="n">
        <v>0.0005135</v>
      </c>
      <c r="AI1012" t="n">
        <v>0.30816</v>
      </c>
      <c r="AJ1012" t="n">
        <v>601.2084</v>
      </c>
      <c r="AK1012" t="n">
        <v>200.4028</v>
      </c>
      <c r="AL1012" t="n">
        <v>11988.5823</v>
      </c>
      <c r="AM1012" t="n">
        <v>16798.2495</v>
      </c>
      <c r="AN1012" t="n">
        <v>0.95</v>
      </c>
      <c r="AO1012" t="inlineStr">
        <is>
          <t>Medium</t>
        </is>
      </c>
      <c r="AP1012" t="inlineStr">
        <is>
          <t>On Track to Glide Path</t>
        </is>
      </c>
    </row>
    <row r="1013">
      <c r="A1013" t="inlineStr">
        <is>
          <t>SUP-0064</t>
        </is>
      </c>
      <c r="B1013" t="inlineStr">
        <is>
          <t>Metals Supplier 064</t>
        </is>
      </c>
      <c r="C1013" t="inlineStr">
        <is>
          <t>Metals</t>
        </is>
      </c>
      <c r="D1013" t="n">
        <v>2024</v>
      </c>
      <c r="E1013" t="n">
        <v>2015</v>
      </c>
      <c r="F1013" t="n">
        <v>2030</v>
      </c>
      <c r="G1013" t="n">
        <v>6615.3276</v>
      </c>
      <c r="H1013" t="n">
        <v>1523.4357</v>
      </c>
      <c r="I1013" t="n">
        <v>1186.8678</v>
      </c>
      <c r="J1013" t="n">
        <v>3615.0829</v>
      </c>
      <c r="K1013" t="n">
        <v>10514177.67</v>
      </c>
      <c r="L1013" t="n">
        <v>58694224.57</v>
      </c>
      <c r="M1013" t="n">
        <v>6615.3276</v>
      </c>
      <c r="N1013" t="inlineStr">
        <is>
          <t>Provided Total Emissions</t>
        </is>
      </c>
      <c r="O1013" t="b">
        <v>1</v>
      </c>
      <c r="P1013" t="n">
        <v>-0.018191</v>
      </c>
      <c r="Q1013" t="n">
        <v>0.006753</v>
      </c>
      <c r="R1013" t="n">
        <v>10587.2512</v>
      </c>
      <c r="S1013" t="n">
        <v>38155.9415</v>
      </c>
      <c r="T1013" t="n">
        <v>3971.9236</v>
      </c>
      <c r="U1013" t="n">
        <v>31540.6139</v>
      </c>
      <c r="V1013" t="n">
        <v>0.6004119999999999</v>
      </c>
      <c r="W1013" t="n">
        <v>4.767808</v>
      </c>
      <c r="X1013" t="inlineStr">
        <is>
          <t>High</t>
        </is>
      </c>
      <c r="Y1013" t="inlineStr">
        <is>
          <t>None</t>
        </is>
      </c>
      <c r="Z1013" t="inlineStr">
        <is>
          <t>Valid</t>
        </is>
      </c>
      <c r="AA1013" t="n">
        <v>2028</v>
      </c>
      <c r="AB1013" t="inlineStr">
        <is>
          <t>Industry Haircut Pathway</t>
        </is>
      </c>
      <c r="AC1013" t="n">
        <v>7803.8473</v>
      </c>
      <c r="AD1013" t="n">
        <v>4797.8053</v>
      </c>
      <c r="AE1013" t="n">
        <v>5198.6109</v>
      </c>
      <c r="AF1013" t="n">
        <v>5198.6109</v>
      </c>
      <c r="AG1013" t="n">
        <v>2605.2364</v>
      </c>
      <c r="AH1013" t="n">
        <v>0.00049444</v>
      </c>
      <c r="AI1013" t="n">
        <v>0.33384</v>
      </c>
      <c r="AJ1013" t="n">
        <v>400.8056</v>
      </c>
      <c r="AK1013" t="n">
        <v>200.4028</v>
      </c>
      <c r="AL1013" t="n">
        <v>6789.9714</v>
      </c>
      <c r="AM1013" t="n">
        <v>21996.8604</v>
      </c>
      <c r="AN1013" t="n">
        <v>0.95</v>
      </c>
      <c r="AO1013" t="inlineStr">
        <is>
          <t>Medium</t>
        </is>
      </c>
      <c r="AP1013" t="inlineStr">
        <is>
          <t>On Track to Glide Path</t>
        </is>
      </c>
    </row>
    <row r="1014">
      <c r="A1014" t="inlineStr">
        <is>
          <t>SUP-0064</t>
        </is>
      </c>
      <c r="B1014" t="inlineStr">
        <is>
          <t>Metals Supplier 064</t>
        </is>
      </c>
      <c r="C1014" t="inlineStr">
        <is>
          <t>Metals</t>
        </is>
      </c>
      <c r="D1014" t="n">
        <v>2024</v>
      </c>
      <c r="E1014" t="n">
        <v>2015</v>
      </c>
      <c r="F1014" t="n">
        <v>2030</v>
      </c>
      <c r="G1014" t="n">
        <v>6615.3276</v>
      </c>
      <c r="H1014" t="n">
        <v>1523.4357</v>
      </c>
      <c r="I1014" t="n">
        <v>1186.8678</v>
      </c>
      <c r="J1014" t="n">
        <v>3615.0829</v>
      </c>
      <c r="K1014" t="n">
        <v>10514177.67</v>
      </c>
      <c r="L1014" t="n">
        <v>58694224.57</v>
      </c>
      <c r="M1014" t="n">
        <v>6615.3276</v>
      </c>
      <c r="N1014" t="inlineStr">
        <is>
          <t>Provided Total Emissions</t>
        </is>
      </c>
      <c r="O1014" t="b">
        <v>1</v>
      </c>
      <c r="P1014" t="n">
        <v>-0.018191</v>
      </c>
      <c r="Q1014" t="n">
        <v>0.006753</v>
      </c>
      <c r="R1014" t="n">
        <v>10587.2512</v>
      </c>
      <c r="S1014" t="n">
        <v>38155.9415</v>
      </c>
      <c r="T1014" t="n">
        <v>3971.9236</v>
      </c>
      <c r="U1014" t="n">
        <v>31540.6139</v>
      </c>
      <c r="V1014" t="n">
        <v>0.6004119999999999</v>
      </c>
      <c r="W1014" t="n">
        <v>4.767808</v>
      </c>
      <c r="X1014" t="inlineStr">
        <is>
          <t>High</t>
        </is>
      </c>
      <c r="Y1014" t="inlineStr">
        <is>
          <t>None</t>
        </is>
      </c>
      <c r="Z1014" t="inlineStr">
        <is>
          <t>Valid</t>
        </is>
      </c>
      <c r="AA1014" t="n">
        <v>2029</v>
      </c>
      <c r="AB1014" t="inlineStr">
        <is>
          <t>Industry Haircut Pathway</t>
        </is>
      </c>
      <c r="AC1014" t="n">
        <v>7803.8473</v>
      </c>
      <c r="AD1014" t="n">
        <v>4797.8053</v>
      </c>
      <c r="AE1014" t="n">
        <v>4998.2081</v>
      </c>
      <c r="AF1014" t="n">
        <v>4998.2081</v>
      </c>
      <c r="AG1014" t="n">
        <v>2805.6392</v>
      </c>
      <c r="AH1014" t="n">
        <v>0.00047538</v>
      </c>
      <c r="AI1014" t="n">
        <v>0.35952</v>
      </c>
      <c r="AJ1014" t="n">
        <v>200.4028</v>
      </c>
      <c r="AK1014" t="n">
        <v>200.4028</v>
      </c>
      <c r="AL1014" t="n">
        <v>1791.7633</v>
      </c>
      <c r="AM1014" t="n">
        <v>26995.0685</v>
      </c>
      <c r="AN1014" t="n">
        <v>0.95</v>
      </c>
      <c r="AO1014" t="inlineStr">
        <is>
          <t>Medium</t>
        </is>
      </c>
      <c r="AP1014" t="inlineStr">
        <is>
          <t>On Track to Glide Path</t>
        </is>
      </c>
    </row>
    <row r="1015">
      <c r="A1015" t="inlineStr">
        <is>
          <t>SUP-0064</t>
        </is>
      </c>
      <c r="B1015" t="inlineStr">
        <is>
          <t>Metals Supplier 064</t>
        </is>
      </c>
      <c r="C1015" t="inlineStr">
        <is>
          <t>Metals</t>
        </is>
      </c>
      <c r="D1015" t="n">
        <v>2024</v>
      </c>
      <c r="E1015" t="n">
        <v>2015</v>
      </c>
      <c r="F1015" t="n">
        <v>2030</v>
      </c>
      <c r="G1015" t="n">
        <v>6615.3276</v>
      </c>
      <c r="H1015" t="n">
        <v>1523.4357</v>
      </c>
      <c r="I1015" t="n">
        <v>1186.8678</v>
      </c>
      <c r="J1015" t="n">
        <v>3615.0829</v>
      </c>
      <c r="K1015" t="n">
        <v>10514177.67</v>
      </c>
      <c r="L1015" t="n">
        <v>58694224.57</v>
      </c>
      <c r="M1015" t="n">
        <v>6615.3276</v>
      </c>
      <c r="N1015" t="inlineStr">
        <is>
          <t>Provided Total Emissions</t>
        </is>
      </c>
      <c r="O1015" t="b">
        <v>1</v>
      </c>
      <c r="P1015" t="n">
        <v>-0.018191</v>
      </c>
      <c r="Q1015" t="n">
        <v>0.006753</v>
      </c>
      <c r="R1015" t="n">
        <v>10587.2512</v>
      </c>
      <c r="S1015" t="n">
        <v>38155.9415</v>
      </c>
      <c r="T1015" t="n">
        <v>3971.9236</v>
      </c>
      <c r="U1015" t="n">
        <v>31540.6139</v>
      </c>
      <c r="V1015" t="n">
        <v>0.6004119999999999</v>
      </c>
      <c r="W1015" t="n">
        <v>4.767808</v>
      </c>
      <c r="X1015" t="inlineStr">
        <is>
          <t>High</t>
        </is>
      </c>
      <c r="Y1015" t="inlineStr">
        <is>
          <t>None</t>
        </is>
      </c>
      <c r="Z1015" t="inlineStr">
        <is>
          <t>Valid</t>
        </is>
      </c>
      <c r="AA1015" t="n">
        <v>2030</v>
      </c>
      <c r="AB1015" t="inlineStr">
        <is>
          <t>Industry Haircut Pathway</t>
        </is>
      </c>
      <c r="AC1015" t="n">
        <v>7803.8473</v>
      </c>
      <c r="AD1015" t="n">
        <v>4797.8053</v>
      </c>
      <c r="AE1015" t="n">
        <v>4797.8053</v>
      </c>
      <c r="AF1015" t="n">
        <v>4797.8053</v>
      </c>
      <c r="AG1015" t="n">
        <v>3006.042</v>
      </c>
      <c r="AH1015" t="n">
        <v>0.00045632</v>
      </c>
      <c r="AI1015" t="n">
        <v>0.3852</v>
      </c>
      <c r="AJ1015" t="n">
        <v>0</v>
      </c>
      <c r="AK1015" t="n">
        <v>200.4028</v>
      </c>
      <c r="AL1015" t="n">
        <v>-3006.042</v>
      </c>
      <c r="AM1015" t="n">
        <v>31792.8738</v>
      </c>
      <c r="AN1015" t="n">
        <v>0.95</v>
      </c>
      <c r="AO1015" t="inlineStr">
        <is>
          <t>Low</t>
        </is>
      </c>
      <c r="AP1015" t="inlineStr">
        <is>
          <t>On Track</t>
        </is>
      </c>
    </row>
    <row r="1016">
      <c r="A1016" t="inlineStr">
        <is>
          <t>SUP-0064</t>
        </is>
      </c>
      <c r="B1016" t="inlineStr">
        <is>
          <t>Metals Supplier 064</t>
        </is>
      </c>
      <c r="C1016" t="inlineStr">
        <is>
          <t>Metals</t>
        </is>
      </c>
      <c r="D1016" t="n">
        <v>2024</v>
      </c>
      <c r="E1016" t="n">
        <v>2015</v>
      </c>
      <c r="F1016" t="n">
        <v>2030</v>
      </c>
      <c r="G1016" t="n">
        <v>6615.3276</v>
      </c>
      <c r="H1016" t="n">
        <v>1523.4357</v>
      </c>
      <c r="I1016" t="n">
        <v>1186.8678</v>
      </c>
      <c r="J1016" t="n">
        <v>3615.0829</v>
      </c>
      <c r="K1016" t="n">
        <v>10514177.67</v>
      </c>
      <c r="L1016" t="n">
        <v>58694224.57</v>
      </c>
      <c r="M1016" t="n">
        <v>6615.3276</v>
      </c>
      <c r="N1016" t="inlineStr">
        <is>
          <t>Provided Total Emissions</t>
        </is>
      </c>
      <c r="O1016" t="b">
        <v>1</v>
      </c>
      <c r="P1016" t="n">
        <v>-0.018191</v>
      </c>
      <c r="Q1016" t="n">
        <v>0.006753</v>
      </c>
      <c r="R1016" t="n">
        <v>10587.2512</v>
      </c>
      <c r="S1016" t="n">
        <v>38155.9415</v>
      </c>
      <c r="T1016" t="n">
        <v>3971.9236</v>
      </c>
      <c r="U1016" t="n">
        <v>31540.6139</v>
      </c>
      <c r="V1016" t="n">
        <v>0.6004119999999999</v>
      </c>
      <c r="W1016" t="n">
        <v>4.767808</v>
      </c>
      <c r="X1016" t="inlineStr">
        <is>
          <t>High</t>
        </is>
      </c>
      <c r="Y1016" t="inlineStr">
        <is>
          <t>None</t>
        </is>
      </c>
      <c r="Z1016" t="inlineStr">
        <is>
          <t>Valid</t>
        </is>
      </c>
      <c r="AA1016" t="n">
        <v>2031</v>
      </c>
      <c r="AB1016" t="inlineStr">
        <is>
          <t>Industry Haircut Pathway</t>
        </is>
      </c>
      <c r="AC1016" t="n">
        <v>7803.8473</v>
      </c>
      <c r="AD1016" t="n">
        <v>4797.8053</v>
      </c>
      <c r="AE1016" t="n">
        <v>4797.8053</v>
      </c>
      <c r="AF1016" t="n">
        <v>4797.8053</v>
      </c>
      <c r="AG1016" t="n">
        <v>3006.042</v>
      </c>
      <c r="AH1016" t="n">
        <v>0.00045632</v>
      </c>
      <c r="AI1016" t="n">
        <v>0.3852</v>
      </c>
      <c r="AJ1016" t="n">
        <v>0</v>
      </c>
      <c r="AK1016" t="n">
        <v>200.4028</v>
      </c>
      <c r="AL1016" t="n">
        <v>-7803.8473</v>
      </c>
      <c r="AM1016" t="n">
        <v>36590.6791</v>
      </c>
      <c r="AN1016" t="n">
        <v>0.95</v>
      </c>
      <c r="AO1016" t="inlineStr">
        <is>
          <t>Low</t>
        </is>
      </c>
      <c r="AP1016" t="inlineStr">
        <is>
          <t>On Track</t>
        </is>
      </c>
    </row>
    <row r="1017">
      <c r="A1017" t="inlineStr">
        <is>
          <t>SUP-0064</t>
        </is>
      </c>
      <c r="B1017" t="inlineStr">
        <is>
          <t>Metals Supplier 064</t>
        </is>
      </c>
      <c r="C1017" t="inlineStr">
        <is>
          <t>Metals</t>
        </is>
      </c>
      <c r="D1017" t="n">
        <v>2024</v>
      </c>
      <c r="E1017" t="n">
        <v>2015</v>
      </c>
      <c r="F1017" t="n">
        <v>2030</v>
      </c>
      <c r="G1017" t="n">
        <v>6615.3276</v>
      </c>
      <c r="H1017" t="n">
        <v>1523.4357</v>
      </c>
      <c r="I1017" t="n">
        <v>1186.8678</v>
      </c>
      <c r="J1017" t="n">
        <v>3615.0829</v>
      </c>
      <c r="K1017" t="n">
        <v>10514177.67</v>
      </c>
      <c r="L1017" t="n">
        <v>58694224.57</v>
      </c>
      <c r="M1017" t="n">
        <v>6615.3276</v>
      </c>
      <c r="N1017" t="inlineStr">
        <is>
          <t>Provided Total Emissions</t>
        </is>
      </c>
      <c r="O1017" t="b">
        <v>1</v>
      </c>
      <c r="P1017" t="n">
        <v>-0.018191</v>
      </c>
      <c r="Q1017" t="n">
        <v>0.006753</v>
      </c>
      <c r="R1017" t="n">
        <v>10587.2512</v>
      </c>
      <c r="S1017" t="n">
        <v>38155.9415</v>
      </c>
      <c r="T1017" t="n">
        <v>3971.9236</v>
      </c>
      <c r="U1017" t="n">
        <v>31540.6139</v>
      </c>
      <c r="V1017" t="n">
        <v>0.6004119999999999</v>
      </c>
      <c r="W1017" t="n">
        <v>4.767808</v>
      </c>
      <c r="X1017" t="inlineStr">
        <is>
          <t>High</t>
        </is>
      </c>
      <c r="Y1017" t="inlineStr">
        <is>
          <t>None</t>
        </is>
      </c>
      <c r="Z1017" t="inlineStr">
        <is>
          <t>Valid</t>
        </is>
      </c>
      <c r="AA1017" t="n">
        <v>2032</v>
      </c>
      <c r="AB1017" t="inlineStr">
        <is>
          <t>Industry Haircut Pathway</t>
        </is>
      </c>
      <c r="AC1017" t="n">
        <v>7803.8473</v>
      </c>
      <c r="AD1017" t="n">
        <v>4797.8053</v>
      </c>
      <c r="AE1017" t="n">
        <v>4797.8053</v>
      </c>
      <c r="AF1017" t="n">
        <v>4797.8053</v>
      </c>
      <c r="AG1017" t="n">
        <v>3006.042</v>
      </c>
      <c r="AH1017" t="n">
        <v>0.00045632</v>
      </c>
      <c r="AI1017" t="n">
        <v>0.3852</v>
      </c>
      <c r="AJ1017" t="n">
        <v>0</v>
      </c>
      <c r="AK1017" t="n">
        <v>200.4028</v>
      </c>
      <c r="AL1017" t="n">
        <v>-12601.6526</v>
      </c>
      <c r="AM1017" t="n">
        <v>41388.4844</v>
      </c>
      <c r="AN1017" t="n">
        <v>0.95</v>
      </c>
      <c r="AO1017" t="inlineStr">
        <is>
          <t>Low</t>
        </is>
      </c>
      <c r="AP1017" t="inlineStr">
        <is>
          <t>On Track</t>
        </is>
      </c>
    </row>
    <row r="1018">
      <c r="A1018" t="inlineStr">
        <is>
          <t>SUP-0064</t>
        </is>
      </c>
      <c r="B1018" t="inlineStr">
        <is>
          <t>Metals Supplier 064</t>
        </is>
      </c>
      <c r="C1018" t="inlineStr">
        <is>
          <t>Metals</t>
        </is>
      </c>
      <c r="D1018" t="n">
        <v>2024</v>
      </c>
      <c r="E1018" t="n">
        <v>2015</v>
      </c>
      <c r="F1018" t="n">
        <v>2030</v>
      </c>
      <c r="G1018" t="n">
        <v>6615.3276</v>
      </c>
      <c r="H1018" t="n">
        <v>1523.4357</v>
      </c>
      <c r="I1018" t="n">
        <v>1186.8678</v>
      </c>
      <c r="J1018" t="n">
        <v>3615.0829</v>
      </c>
      <c r="K1018" t="n">
        <v>10514177.67</v>
      </c>
      <c r="L1018" t="n">
        <v>58694224.57</v>
      </c>
      <c r="M1018" t="n">
        <v>6615.3276</v>
      </c>
      <c r="N1018" t="inlineStr">
        <is>
          <t>Provided Total Emissions</t>
        </is>
      </c>
      <c r="O1018" t="b">
        <v>1</v>
      </c>
      <c r="P1018" t="n">
        <v>-0.018191</v>
      </c>
      <c r="Q1018" t="n">
        <v>0.006753</v>
      </c>
      <c r="R1018" t="n">
        <v>10587.2512</v>
      </c>
      <c r="S1018" t="n">
        <v>38155.9415</v>
      </c>
      <c r="T1018" t="n">
        <v>3971.9236</v>
      </c>
      <c r="U1018" t="n">
        <v>31540.6139</v>
      </c>
      <c r="V1018" t="n">
        <v>0.6004119999999999</v>
      </c>
      <c r="W1018" t="n">
        <v>4.767808</v>
      </c>
      <c r="X1018" t="inlineStr">
        <is>
          <t>High</t>
        </is>
      </c>
      <c r="Y1018" t="inlineStr">
        <is>
          <t>None</t>
        </is>
      </c>
      <c r="Z1018" t="inlineStr">
        <is>
          <t>Valid</t>
        </is>
      </c>
      <c r="AA1018" t="n">
        <v>2033</v>
      </c>
      <c r="AB1018" t="inlineStr">
        <is>
          <t>Industry Haircut Pathway</t>
        </is>
      </c>
      <c r="AC1018" t="n">
        <v>7803.8473</v>
      </c>
      <c r="AD1018" t="n">
        <v>4797.8053</v>
      </c>
      <c r="AE1018" t="n">
        <v>4797.8053</v>
      </c>
      <c r="AF1018" t="n">
        <v>4797.8053</v>
      </c>
      <c r="AG1018" t="n">
        <v>3006.042</v>
      </c>
      <c r="AH1018" t="n">
        <v>0.00045632</v>
      </c>
      <c r="AI1018" t="n">
        <v>0.3852</v>
      </c>
      <c r="AJ1018" t="n">
        <v>0</v>
      </c>
      <c r="AK1018" t="n">
        <v>200.4028</v>
      </c>
      <c r="AL1018" t="n">
        <v>-17399.4579</v>
      </c>
      <c r="AM1018" t="n">
        <v>46186.2897</v>
      </c>
      <c r="AN1018" t="n">
        <v>0.95</v>
      </c>
      <c r="AO1018" t="inlineStr">
        <is>
          <t>Low</t>
        </is>
      </c>
      <c r="AP1018" t="inlineStr">
        <is>
          <t>On Track</t>
        </is>
      </c>
    </row>
    <row r="1019">
      <c r="A1019" t="inlineStr">
        <is>
          <t>SUP-0064</t>
        </is>
      </c>
      <c r="B1019" t="inlineStr">
        <is>
          <t>Metals Supplier 064</t>
        </is>
      </c>
      <c r="C1019" t="inlineStr">
        <is>
          <t>Metals</t>
        </is>
      </c>
      <c r="D1019" t="n">
        <v>2024</v>
      </c>
      <c r="E1019" t="n">
        <v>2015</v>
      </c>
      <c r="F1019" t="n">
        <v>2030</v>
      </c>
      <c r="G1019" t="n">
        <v>6615.3276</v>
      </c>
      <c r="H1019" t="n">
        <v>1523.4357</v>
      </c>
      <c r="I1019" t="n">
        <v>1186.8678</v>
      </c>
      <c r="J1019" t="n">
        <v>3615.0829</v>
      </c>
      <c r="K1019" t="n">
        <v>10514177.67</v>
      </c>
      <c r="L1019" t="n">
        <v>58694224.57</v>
      </c>
      <c r="M1019" t="n">
        <v>6615.3276</v>
      </c>
      <c r="N1019" t="inlineStr">
        <is>
          <t>Provided Total Emissions</t>
        </is>
      </c>
      <c r="O1019" t="b">
        <v>1</v>
      </c>
      <c r="P1019" t="n">
        <v>-0.018191</v>
      </c>
      <c r="Q1019" t="n">
        <v>0.006753</v>
      </c>
      <c r="R1019" t="n">
        <v>10587.2512</v>
      </c>
      <c r="S1019" t="n">
        <v>38155.9415</v>
      </c>
      <c r="T1019" t="n">
        <v>3971.9236</v>
      </c>
      <c r="U1019" t="n">
        <v>31540.6139</v>
      </c>
      <c r="V1019" t="n">
        <v>0.6004119999999999</v>
      </c>
      <c r="W1019" t="n">
        <v>4.767808</v>
      </c>
      <c r="X1019" t="inlineStr">
        <is>
          <t>High</t>
        </is>
      </c>
      <c r="Y1019" t="inlineStr">
        <is>
          <t>None</t>
        </is>
      </c>
      <c r="Z1019" t="inlineStr">
        <is>
          <t>Valid</t>
        </is>
      </c>
      <c r="AA1019" t="n">
        <v>2034</v>
      </c>
      <c r="AB1019" t="inlineStr">
        <is>
          <t>Industry Haircut Pathway</t>
        </is>
      </c>
      <c r="AC1019" t="n">
        <v>7803.8473</v>
      </c>
      <c r="AD1019" t="n">
        <v>4797.8053</v>
      </c>
      <c r="AE1019" t="n">
        <v>4797.8053</v>
      </c>
      <c r="AF1019" t="n">
        <v>4797.8053</v>
      </c>
      <c r="AG1019" t="n">
        <v>3006.042</v>
      </c>
      <c r="AH1019" t="n">
        <v>0.00045632</v>
      </c>
      <c r="AI1019" t="n">
        <v>0.3852</v>
      </c>
      <c r="AJ1019" t="n">
        <v>0</v>
      </c>
      <c r="AK1019" t="n">
        <v>200.4028</v>
      </c>
      <c r="AL1019" t="n">
        <v>-22197.2632</v>
      </c>
      <c r="AM1019" t="n">
        <v>50984.095</v>
      </c>
      <c r="AN1019" t="n">
        <v>0.95</v>
      </c>
      <c r="AO1019" t="inlineStr">
        <is>
          <t>Low</t>
        </is>
      </c>
      <c r="AP1019" t="inlineStr">
        <is>
          <t>On Track</t>
        </is>
      </c>
    </row>
    <row r="1020">
      <c r="A1020" t="inlineStr">
        <is>
          <t>SUP-0064</t>
        </is>
      </c>
      <c r="B1020" t="inlineStr">
        <is>
          <t>Metals Supplier 064</t>
        </is>
      </c>
      <c r="C1020" t="inlineStr">
        <is>
          <t>Metals</t>
        </is>
      </c>
      <c r="D1020" t="n">
        <v>2024</v>
      </c>
      <c r="E1020" t="n">
        <v>2015</v>
      </c>
      <c r="F1020" t="n">
        <v>2030</v>
      </c>
      <c r="G1020" t="n">
        <v>6615.3276</v>
      </c>
      <c r="H1020" t="n">
        <v>1523.4357</v>
      </c>
      <c r="I1020" t="n">
        <v>1186.8678</v>
      </c>
      <c r="J1020" t="n">
        <v>3615.0829</v>
      </c>
      <c r="K1020" t="n">
        <v>10514177.67</v>
      </c>
      <c r="L1020" t="n">
        <v>58694224.57</v>
      </c>
      <c r="M1020" t="n">
        <v>6615.3276</v>
      </c>
      <c r="N1020" t="inlineStr">
        <is>
          <t>Provided Total Emissions</t>
        </is>
      </c>
      <c r="O1020" t="b">
        <v>1</v>
      </c>
      <c r="P1020" t="n">
        <v>-0.018191</v>
      </c>
      <c r="Q1020" t="n">
        <v>0.006753</v>
      </c>
      <c r="R1020" t="n">
        <v>10587.2512</v>
      </c>
      <c r="S1020" t="n">
        <v>38155.9415</v>
      </c>
      <c r="T1020" t="n">
        <v>3971.9236</v>
      </c>
      <c r="U1020" t="n">
        <v>31540.6139</v>
      </c>
      <c r="V1020" t="n">
        <v>0.6004119999999999</v>
      </c>
      <c r="W1020" t="n">
        <v>4.767808</v>
      </c>
      <c r="X1020" t="inlineStr">
        <is>
          <t>High</t>
        </is>
      </c>
      <c r="Y1020" t="inlineStr">
        <is>
          <t>None</t>
        </is>
      </c>
      <c r="Z1020" t="inlineStr">
        <is>
          <t>Valid</t>
        </is>
      </c>
      <c r="AA1020" t="n">
        <v>2035</v>
      </c>
      <c r="AB1020" t="inlineStr">
        <is>
          <t>Industry Haircut Pathway</t>
        </is>
      </c>
      <c r="AC1020" t="n">
        <v>7803.8473</v>
      </c>
      <c r="AD1020" t="n">
        <v>4797.8053</v>
      </c>
      <c r="AE1020" t="n">
        <v>4797.8053</v>
      </c>
      <c r="AF1020" t="n">
        <v>4797.8053</v>
      </c>
      <c r="AG1020" t="n">
        <v>3006.042</v>
      </c>
      <c r="AH1020" t="n">
        <v>0.00045632</v>
      </c>
      <c r="AI1020" t="n">
        <v>0.3852</v>
      </c>
      <c r="AJ1020" t="n">
        <v>0</v>
      </c>
      <c r="AK1020" t="n">
        <v>200.4028</v>
      </c>
      <c r="AL1020" t="n">
        <v>-26995.0685</v>
      </c>
      <c r="AM1020" t="n">
        <v>55781.9003</v>
      </c>
      <c r="AN1020" t="n">
        <v>0.95</v>
      </c>
      <c r="AO1020" t="inlineStr">
        <is>
          <t>Low</t>
        </is>
      </c>
      <c r="AP1020" t="inlineStr">
        <is>
          <t>On Track</t>
        </is>
      </c>
    </row>
    <row r="1021">
      <c r="A1021" t="inlineStr">
        <is>
          <t>SUP-0064</t>
        </is>
      </c>
      <c r="B1021" t="inlineStr">
        <is>
          <t>Metals Supplier 064</t>
        </is>
      </c>
      <c r="C1021" t="inlineStr">
        <is>
          <t>Metals</t>
        </is>
      </c>
      <c r="D1021" t="n">
        <v>2024</v>
      </c>
      <c r="E1021" t="n">
        <v>2015</v>
      </c>
      <c r="F1021" t="n">
        <v>2030</v>
      </c>
      <c r="G1021" t="n">
        <v>6615.3276</v>
      </c>
      <c r="H1021" t="n">
        <v>1523.4357</v>
      </c>
      <c r="I1021" t="n">
        <v>1186.8678</v>
      </c>
      <c r="J1021" t="n">
        <v>3615.0829</v>
      </c>
      <c r="K1021" t="n">
        <v>10514177.67</v>
      </c>
      <c r="L1021" t="n">
        <v>58694224.57</v>
      </c>
      <c r="M1021" t="n">
        <v>6615.3276</v>
      </c>
      <c r="N1021" t="inlineStr">
        <is>
          <t>Provided Total Emissions</t>
        </is>
      </c>
      <c r="O1021" t="b">
        <v>1</v>
      </c>
      <c r="P1021" t="n">
        <v>-0.018191</v>
      </c>
      <c r="Q1021" t="n">
        <v>0.006753</v>
      </c>
      <c r="R1021" t="n">
        <v>10587.2512</v>
      </c>
      <c r="S1021" t="n">
        <v>38155.9415</v>
      </c>
      <c r="T1021" t="n">
        <v>3971.9236</v>
      </c>
      <c r="U1021" t="n">
        <v>31540.6139</v>
      </c>
      <c r="V1021" t="n">
        <v>0.6004119999999999</v>
      </c>
      <c r="W1021" t="n">
        <v>4.767808</v>
      </c>
      <c r="X1021" t="inlineStr">
        <is>
          <t>High</t>
        </is>
      </c>
      <c r="Y1021" t="inlineStr">
        <is>
          <t>None</t>
        </is>
      </c>
      <c r="Z1021" t="inlineStr">
        <is>
          <t>Valid</t>
        </is>
      </c>
      <c r="AA1021" t="n">
        <v>2036</v>
      </c>
      <c r="AB1021" t="inlineStr">
        <is>
          <t>Industry Haircut Pathway</t>
        </is>
      </c>
      <c r="AC1021" t="n">
        <v>7803.8473</v>
      </c>
      <c r="AD1021" t="n">
        <v>4797.8053</v>
      </c>
      <c r="AE1021" t="n">
        <v>4797.8053</v>
      </c>
      <c r="AF1021" t="n">
        <v>4797.8053</v>
      </c>
      <c r="AG1021" t="n">
        <v>3006.042</v>
      </c>
      <c r="AH1021" t="n">
        <v>0.00045632</v>
      </c>
      <c r="AI1021" t="n">
        <v>0.3852</v>
      </c>
      <c r="AJ1021" t="n">
        <v>0</v>
      </c>
      <c r="AK1021" t="n">
        <v>200.4028</v>
      </c>
      <c r="AL1021" t="n">
        <v>-31792.8738</v>
      </c>
      <c r="AM1021" t="n">
        <v>60579.7056</v>
      </c>
      <c r="AN1021" t="n">
        <v>0.95</v>
      </c>
      <c r="AO1021" t="inlineStr">
        <is>
          <t>Low</t>
        </is>
      </c>
      <c r="AP1021" t="inlineStr">
        <is>
          <t>On Track</t>
        </is>
      </c>
    </row>
    <row r="1022">
      <c r="A1022" t="inlineStr">
        <is>
          <t>SUP-0064</t>
        </is>
      </c>
      <c r="B1022" t="inlineStr">
        <is>
          <t>Metals Supplier 064</t>
        </is>
      </c>
      <c r="C1022" t="inlineStr">
        <is>
          <t>Metals</t>
        </is>
      </c>
      <c r="D1022" t="n">
        <v>2024</v>
      </c>
      <c r="E1022" t="n">
        <v>2015</v>
      </c>
      <c r="F1022" t="n">
        <v>2030</v>
      </c>
      <c r="G1022" t="n">
        <v>6615.3276</v>
      </c>
      <c r="H1022" t="n">
        <v>1523.4357</v>
      </c>
      <c r="I1022" t="n">
        <v>1186.8678</v>
      </c>
      <c r="J1022" t="n">
        <v>3615.0829</v>
      </c>
      <c r="K1022" t="n">
        <v>10514177.67</v>
      </c>
      <c r="L1022" t="n">
        <v>58694224.57</v>
      </c>
      <c r="M1022" t="n">
        <v>6615.3276</v>
      </c>
      <c r="N1022" t="inlineStr">
        <is>
          <t>Provided Total Emissions</t>
        </is>
      </c>
      <c r="O1022" t="b">
        <v>1</v>
      </c>
      <c r="P1022" t="n">
        <v>-0.018191</v>
      </c>
      <c r="Q1022" t="n">
        <v>0.006753</v>
      </c>
      <c r="R1022" t="n">
        <v>10587.2512</v>
      </c>
      <c r="S1022" t="n">
        <v>38155.9415</v>
      </c>
      <c r="T1022" t="n">
        <v>3971.9236</v>
      </c>
      <c r="U1022" t="n">
        <v>31540.6139</v>
      </c>
      <c r="V1022" t="n">
        <v>0.6004119999999999</v>
      </c>
      <c r="W1022" t="n">
        <v>4.767808</v>
      </c>
      <c r="X1022" t="inlineStr">
        <is>
          <t>High</t>
        </is>
      </c>
      <c r="Y1022" t="inlineStr">
        <is>
          <t>None</t>
        </is>
      </c>
      <c r="Z1022" t="inlineStr">
        <is>
          <t>Valid</t>
        </is>
      </c>
      <c r="AA1022" t="n">
        <v>2037</v>
      </c>
      <c r="AB1022" t="inlineStr">
        <is>
          <t>Industry Haircut Pathway</t>
        </is>
      </c>
      <c r="AC1022" t="n">
        <v>7803.8473</v>
      </c>
      <c r="AD1022" t="n">
        <v>4797.8053</v>
      </c>
      <c r="AE1022" t="n">
        <v>4797.8053</v>
      </c>
      <c r="AF1022" t="n">
        <v>4797.8053</v>
      </c>
      <c r="AG1022" t="n">
        <v>3006.042</v>
      </c>
      <c r="AH1022" t="n">
        <v>0.00045632</v>
      </c>
      <c r="AI1022" t="n">
        <v>0.3852</v>
      </c>
      <c r="AJ1022" t="n">
        <v>0</v>
      </c>
      <c r="AK1022" t="n">
        <v>200.4028</v>
      </c>
      <c r="AL1022" t="n">
        <v>-36590.6791</v>
      </c>
      <c r="AM1022" t="n">
        <v>65377.5109</v>
      </c>
      <c r="AN1022" t="n">
        <v>0.95</v>
      </c>
      <c r="AO1022" t="inlineStr">
        <is>
          <t>Low</t>
        </is>
      </c>
      <c r="AP1022" t="inlineStr">
        <is>
          <t>On Track</t>
        </is>
      </c>
    </row>
    <row r="1023">
      <c r="A1023" t="inlineStr">
        <is>
          <t>SUP-0064</t>
        </is>
      </c>
      <c r="B1023" t="inlineStr">
        <is>
          <t>Metals Supplier 064</t>
        </is>
      </c>
      <c r="C1023" t="inlineStr">
        <is>
          <t>Metals</t>
        </is>
      </c>
      <c r="D1023" t="n">
        <v>2024</v>
      </c>
      <c r="E1023" t="n">
        <v>2015</v>
      </c>
      <c r="F1023" t="n">
        <v>2030</v>
      </c>
      <c r="G1023" t="n">
        <v>6615.3276</v>
      </c>
      <c r="H1023" t="n">
        <v>1523.4357</v>
      </c>
      <c r="I1023" t="n">
        <v>1186.8678</v>
      </c>
      <c r="J1023" t="n">
        <v>3615.0829</v>
      </c>
      <c r="K1023" t="n">
        <v>10514177.67</v>
      </c>
      <c r="L1023" t="n">
        <v>58694224.57</v>
      </c>
      <c r="M1023" t="n">
        <v>6615.3276</v>
      </c>
      <c r="N1023" t="inlineStr">
        <is>
          <t>Provided Total Emissions</t>
        </is>
      </c>
      <c r="O1023" t="b">
        <v>1</v>
      </c>
      <c r="P1023" t="n">
        <v>-0.018191</v>
      </c>
      <c r="Q1023" t="n">
        <v>0.006753</v>
      </c>
      <c r="R1023" t="n">
        <v>10587.2512</v>
      </c>
      <c r="S1023" t="n">
        <v>38155.9415</v>
      </c>
      <c r="T1023" t="n">
        <v>3971.9236</v>
      </c>
      <c r="U1023" t="n">
        <v>31540.6139</v>
      </c>
      <c r="V1023" t="n">
        <v>0.6004119999999999</v>
      </c>
      <c r="W1023" t="n">
        <v>4.767808</v>
      </c>
      <c r="X1023" t="inlineStr">
        <is>
          <t>High</t>
        </is>
      </c>
      <c r="Y1023" t="inlineStr">
        <is>
          <t>None</t>
        </is>
      </c>
      <c r="Z1023" t="inlineStr">
        <is>
          <t>Valid</t>
        </is>
      </c>
      <c r="AA1023" t="n">
        <v>2038</v>
      </c>
      <c r="AB1023" t="inlineStr">
        <is>
          <t>Industry Haircut Pathway</t>
        </is>
      </c>
      <c r="AC1023" t="n">
        <v>7803.8473</v>
      </c>
      <c r="AD1023" t="n">
        <v>4797.8053</v>
      </c>
      <c r="AE1023" t="n">
        <v>4797.8053</v>
      </c>
      <c r="AF1023" t="n">
        <v>4797.8053</v>
      </c>
      <c r="AG1023" t="n">
        <v>3006.042</v>
      </c>
      <c r="AH1023" t="n">
        <v>0.00045632</v>
      </c>
      <c r="AI1023" t="n">
        <v>0.3852</v>
      </c>
      <c r="AJ1023" t="n">
        <v>0</v>
      </c>
      <c r="AK1023" t="n">
        <v>200.4028</v>
      </c>
      <c r="AL1023" t="n">
        <v>-41388.4844</v>
      </c>
      <c r="AM1023" t="n">
        <v>70175.3162</v>
      </c>
      <c r="AN1023" t="n">
        <v>0.95</v>
      </c>
      <c r="AO1023" t="inlineStr">
        <is>
          <t>Low</t>
        </is>
      </c>
      <c r="AP1023" t="inlineStr">
        <is>
          <t>On Track</t>
        </is>
      </c>
    </row>
    <row r="1024">
      <c r="A1024" t="inlineStr">
        <is>
          <t>SUP-0064</t>
        </is>
      </c>
      <c r="B1024" t="inlineStr">
        <is>
          <t>Metals Supplier 064</t>
        </is>
      </c>
      <c r="C1024" t="inlineStr">
        <is>
          <t>Metals</t>
        </is>
      </c>
      <c r="D1024" t="n">
        <v>2024</v>
      </c>
      <c r="E1024" t="n">
        <v>2015</v>
      </c>
      <c r="F1024" t="n">
        <v>2030</v>
      </c>
      <c r="G1024" t="n">
        <v>6615.3276</v>
      </c>
      <c r="H1024" t="n">
        <v>1523.4357</v>
      </c>
      <c r="I1024" t="n">
        <v>1186.8678</v>
      </c>
      <c r="J1024" t="n">
        <v>3615.0829</v>
      </c>
      <c r="K1024" t="n">
        <v>10514177.67</v>
      </c>
      <c r="L1024" t="n">
        <v>58694224.57</v>
      </c>
      <c r="M1024" t="n">
        <v>6615.3276</v>
      </c>
      <c r="N1024" t="inlineStr">
        <is>
          <t>Provided Total Emissions</t>
        </is>
      </c>
      <c r="O1024" t="b">
        <v>1</v>
      </c>
      <c r="P1024" t="n">
        <v>-0.018191</v>
      </c>
      <c r="Q1024" t="n">
        <v>0.006753</v>
      </c>
      <c r="R1024" t="n">
        <v>10587.2512</v>
      </c>
      <c r="S1024" t="n">
        <v>38155.9415</v>
      </c>
      <c r="T1024" t="n">
        <v>3971.9236</v>
      </c>
      <c r="U1024" t="n">
        <v>31540.6139</v>
      </c>
      <c r="V1024" t="n">
        <v>0.6004119999999999</v>
      </c>
      <c r="W1024" t="n">
        <v>4.767808</v>
      </c>
      <c r="X1024" t="inlineStr">
        <is>
          <t>High</t>
        </is>
      </c>
      <c r="Y1024" t="inlineStr">
        <is>
          <t>None</t>
        </is>
      </c>
      <c r="Z1024" t="inlineStr">
        <is>
          <t>Valid</t>
        </is>
      </c>
      <c r="AA1024" t="n">
        <v>2039</v>
      </c>
      <c r="AB1024" t="inlineStr">
        <is>
          <t>Industry Haircut Pathway</t>
        </is>
      </c>
      <c r="AC1024" t="n">
        <v>7803.8473</v>
      </c>
      <c r="AD1024" t="n">
        <v>4797.8053</v>
      </c>
      <c r="AE1024" t="n">
        <v>4797.8053</v>
      </c>
      <c r="AF1024" t="n">
        <v>4797.8053</v>
      </c>
      <c r="AG1024" t="n">
        <v>3006.042</v>
      </c>
      <c r="AH1024" t="n">
        <v>0.00045632</v>
      </c>
      <c r="AI1024" t="n">
        <v>0.3852</v>
      </c>
      <c r="AJ1024" t="n">
        <v>0</v>
      </c>
      <c r="AK1024" t="n">
        <v>200.4028</v>
      </c>
      <c r="AL1024" t="n">
        <v>-46186.2897</v>
      </c>
      <c r="AM1024" t="n">
        <v>74973.12149999999</v>
      </c>
      <c r="AN1024" t="n">
        <v>0.95</v>
      </c>
      <c r="AO1024" t="inlineStr">
        <is>
          <t>Low</t>
        </is>
      </c>
      <c r="AP1024" t="inlineStr">
        <is>
          <t>On Track</t>
        </is>
      </c>
    </row>
    <row r="1025">
      <c r="A1025" t="inlineStr">
        <is>
          <t>SUP-0064</t>
        </is>
      </c>
      <c r="B1025" t="inlineStr">
        <is>
          <t>Metals Supplier 064</t>
        </is>
      </c>
      <c r="C1025" t="inlineStr">
        <is>
          <t>Metals</t>
        </is>
      </c>
      <c r="D1025" t="n">
        <v>2024</v>
      </c>
      <c r="E1025" t="n">
        <v>2015</v>
      </c>
      <c r="F1025" t="n">
        <v>2030</v>
      </c>
      <c r="G1025" t="n">
        <v>6615.3276</v>
      </c>
      <c r="H1025" t="n">
        <v>1523.4357</v>
      </c>
      <c r="I1025" t="n">
        <v>1186.8678</v>
      </c>
      <c r="J1025" t="n">
        <v>3615.0829</v>
      </c>
      <c r="K1025" t="n">
        <v>10514177.67</v>
      </c>
      <c r="L1025" t="n">
        <v>58694224.57</v>
      </c>
      <c r="M1025" t="n">
        <v>6615.3276</v>
      </c>
      <c r="N1025" t="inlineStr">
        <is>
          <t>Provided Total Emissions</t>
        </is>
      </c>
      <c r="O1025" t="b">
        <v>1</v>
      </c>
      <c r="P1025" t="n">
        <v>-0.018191</v>
      </c>
      <c r="Q1025" t="n">
        <v>0.006753</v>
      </c>
      <c r="R1025" t="n">
        <v>10587.2512</v>
      </c>
      <c r="S1025" t="n">
        <v>38155.9415</v>
      </c>
      <c r="T1025" t="n">
        <v>3971.9236</v>
      </c>
      <c r="U1025" t="n">
        <v>31540.6139</v>
      </c>
      <c r="V1025" t="n">
        <v>0.6004119999999999</v>
      </c>
      <c r="W1025" t="n">
        <v>4.767808</v>
      </c>
      <c r="X1025" t="inlineStr">
        <is>
          <t>High</t>
        </is>
      </c>
      <c r="Y1025" t="inlineStr">
        <is>
          <t>None</t>
        </is>
      </c>
      <c r="Z1025" t="inlineStr">
        <is>
          <t>Valid</t>
        </is>
      </c>
      <c r="AA1025" t="n">
        <v>2040</v>
      </c>
      <c r="AB1025" t="inlineStr">
        <is>
          <t>Industry Haircut Pathway</t>
        </is>
      </c>
      <c r="AC1025" t="n">
        <v>7803.8473</v>
      </c>
      <c r="AD1025" t="n">
        <v>4797.8053</v>
      </c>
      <c r="AE1025" t="n">
        <v>4797.8053</v>
      </c>
      <c r="AF1025" t="n">
        <v>4797.8053</v>
      </c>
      <c r="AG1025" t="n">
        <v>3006.042</v>
      </c>
      <c r="AH1025" t="n">
        <v>0.00045632</v>
      </c>
      <c r="AI1025" t="n">
        <v>0.3852</v>
      </c>
      <c r="AJ1025" t="n">
        <v>0</v>
      </c>
      <c r="AK1025" t="n">
        <v>200.4028</v>
      </c>
      <c r="AL1025" t="n">
        <v>-50984.095</v>
      </c>
      <c r="AM1025" t="n">
        <v>79770.9268</v>
      </c>
      <c r="AN1025" t="n">
        <v>0.95</v>
      </c>
      <c r="AO1025" t="inlineStr">
        <is>
          <t>Low</t>
        </is>
      </c>
      <c r="AP1025" t="inlineStr">
        <is>
          <t>On Track</t>
        </is>
      </c>
    </row>
    <row r="1026">
      <c r="A1026" t="inlineStr">
        <is>
          <t>SUP-0065</t>
        </is>
      </c>
      <c r="B1026" t="inlineStr">
        <is>
          <t>Agriculture Supplier 065</t>
        </is>
      </c>
      <c r="C1026" t="inlineStr">
        <is>
          <t>Agriculture</t>
        </is>
      </c>
      <c r="D1026" t="n">
        <v>2024</v>
      </c>
      <c r="E1026" t="n">
        <v>2018</v>
      </c>
      <c r="F1026" t="n">
        <v>2035</v>
      </c>
      <c r="G1026" t="n">
        <v>864.2283</v>
      </c>
      <c r="H1026" t="n">
        <v>118.7355</v>
      </c>
      <c r="I1026" t="n">
        <v>70.1896</v>
      </c>
      <c r="J1026" t="n">
        <v>696.6199</v>
      </c>
      <c r="K1026" t="n">
        <v>783969.24</v>
      </c>
      <c r="L1026" t="n">
        <v>5047969.27</v>
      </c>
      <c r="M1026" t="n">
        <v>864.2283</v>
      </c>
      <c r="N1026" t="inlineStr">
        <is>
          <t>Provided Total Emissions</t>
        </is>
      </c>
      <c r="O1026" t="b">
        <v>1</v>
      </c>
      <c r="P1026" t="n">
        <v>-0.039017</v>
      </c>
      <c r="Q1026" t="n">
        <v>-0.033932</v>
      </c>
      <c r="R1026" t="n">
        <v>716.6498</v>
      </c>
      <c r="S1026" t="n">
        <v>4892.1385</v>
      </c>
      <c r="T1026" t="n">
        <v>-147.5785</v>
      </c>
      <c r="U1026" t="n">
        <v>4027.9102</v>
      </c>
      <c r="V1026" t="n">
        <v>-0.170763</v>
      </c>
      <c r="W1026" t="n">
        <v>4.660702</v>
      </c>
      <c r="X1026" t="inlineStr">
        <is>
          <t>High</t>
        </is>
      </c>
      <c r="Y1026" t="inlineStr">
        <is>
          <t>None</t>
        </is>
      </c>
      <c r="Z1026" t="inlineStr">
        <is>
          <t>Valid</t>
        </is>
      </c>
      <c r="AA1026" t="n">
        <v>2025</v>
      </c>
      <c r="AB1026" t="inlineStr">
        <is>
          <t>Supplier Target Pathway</t>
        </is>
      </c>
      <c r="AC1026" t="n">
        <v>1245.2041</v>
      </c>
      <c r="AD1026" t="n">
        <v>722.2184</v>
      </c>
      <c r="AE1026" t="n">
        <v>1029.857</v>
      </c>
      <c r="AF1026" t="n">
        <v>1029.857</v>
      </c>
      <c r="AG1026" t="n">
        <v>215.3471</v>
      </c>
      <c r="AH1026" t="n">
        <v>0.00131364</v>
      </c>
      <c r="AI1026" t="n">
        <v>0.172941</v>
      </c>
      <c r="AJ1026" t="n">
        <v>307.6387</v>
      </c>
      <c r="AK1026" t="n">
        <v>30.7639</v>
      </c>
      <c r="AL1026" t="n">
        <v>6914.5454</v>
      </c>
      <c r="AM1026" t="n">
        <v>1029.857</v>
      </c>
      <c r="AN1026" t="n">
        <v>0.99</v>
      </c>
      <c r="AO1026" t="inlineStr">
        <is>
          <t>Critical</t>
        </is>
      </c>
      <c r="AP1026" t="inlineStr">
        <is>
          <t>On Track to Glide Path</t>
        </is>
      </c>
    </row>
    <row r="1027">
      <c r="A1027" t="inlineStr">
        <is>
          <t>SUP-0065</t>
        </is>
      </c>
      <c r="B1027" t="inlineStr">
        <is>
          <t>Agriculture Supplier 065</t>
        </is>
      </c>
      <c r="C1027" t="inlineStr">
        <is>
          <t>Agriculture</t>
        </is>
      </c>
      <c r="D1027" t="n">
        <v>2024</v>
      </c>
      <c r="E1027" t="n">
        <v>2018</v>
      </c>
      <c r="F1027" t="n">
        <v>2035</v>
      </c>
      <c r="G1027" t="n">
        <v>864.2283</v>
      </c>
      <c r="H1027" t="n">
        <v>118.7355</v>
      </c>
      <c r="I1027" t="n">
        <v>70.1896</v>
      </c>
      <c r="J1027" t="n">
        <v>696.6199</v>
      </c>
      <c r="K1027" t="n">
        <v>783969.24</v>
      </c>
      <c r="L1027" t="n">
        <v>5047969.27</v>
      </c>
      <c r="M1027" t="n">
        <v>864.2283</v>
      </c>
      <c r="N1027" t="inlineStr">
        <is>
          <t>Provided Total Emissions</t>
        </is>
      </c>
      <c r="O1027" t="b">
        <v>1</v>
      </c>
      <c r="P1027" t="n">
        <v>-0.039017</v>
      </c>
      <c r="Q1027" t="n">
        <v>-0.033932</v>
      </c>
      <c r="R1027" t="n">
        <v>716.6498</v>
      </c>
      <c r="S1027" t="n">
        <v>4892.1385</v>
      </c>
      <c r="T1027" t="n">
        <v>-147.5785</v>
      </c>
      <c r="U1027" t="n">
        <v>4027.9102</v>
      </c>
      <c r="V1027" t="n">
        <v>-0.170763</v>
      </c>
      <c r="W1027" t="n">
        <v>4.660702</v>
      </c>
      <c r="X1027" t="inlineStr">
        <is>
          <t>High</t>
        </is>
      </c>
      <c r="Y1027" t="inlineStr">
        <is>
          <t>None</t>
        </is>
      </c>
      <c r="Z1027" t="inlineStr">
        <is>
          <t>Valid</t>
        </is>
      </c>
      <c r="AA1027" t="n">
        <v>2026</v>
      </c>
      <c r="AB1027" t="inlineStr">
        <is>
          <t>Supplier Target Pathway</t>
        </is>
      </c>
      <c r="AC1027" t="n">
        <v>1245.2041</v>
      </c>
      <c r="AD1027" t="n">
        <v>722.2184</v>
      </c>
      <c r="AE1027" t="n">
        <v>999.0932</v>
      </c>
      <c r="AF1027" t="n">
        <v>999.0932</v>
      </c>
      <c r="AG1027" t="n">
        <v>246.1109</v>
      </c>
      <c r="AH1027" t="n">
        <v>0.0012744</v>
      </c>
      <c r="AI1027" t="n">
        <v>0.197647</v>
      </c>
      <c r="AJ1027" t="n">
        <v>276.8748</v>
      </c>
      <c r="AK1027" t="n">
        <v>30.7639</v>
      </c>
      <c r="AL1027" t="n">
        <v>5915.4522</v>
      </c>
      <c r="AM1027" t="n">
        <v>2028.9502</v>
      </c>
      <c r="AN1027" t="n">
        <v>0.99</v>
      </c>
      <c r="AO1027" t="inlineStr">
        <is>
          <t>Critical</t>
        </is>
      </c>
      <c r="AP1027" t="inlineStr">
        <is>
          <t>On Track to Glide Path</t>
        </is>
      </c>
    </row>
    <row r="1028">
      <c r="A1028" t="inlineStr">
        <is>
          <t>SUP-0065</t>
        </is>
      </c>
      <c r="B1028" t="inlineStr">
        <is>
          <t>Agriculture Supplier 065</t>
        </is>
      </c>
      <c r="C1028" t="inlineStr">
        <is>
          <t>Agriculture</t>
        </is>
      </c>
      <c r="D1028" t="n">
        <v>2024</v>
      </c>
      <c r="E1028" t="n">
        <v>2018</v>
      </c>
      <c r="F1028" t="n">
        <v>2035</v>
      </c>
      <c r="G1028" t="n">
        <v>864.2283</v>
      </c>
      <c r="H1028" t="n">
        <v>118.7355</v>
      </c>
      <c r="I1028" t="n">
        <v>70.1896</v>
      </c>
      <c r="J1028" t="n">
        <v>696.6199</v>
      </c>
      <c r="K1028" t="n">
        <v>783969.24</v>
      </c>
      <c r="L1028" t="n">
        <v>5047969.27</v>
      </c>
      <c r="M1028" t="n">
        <v>864.2283</v>
      </c>
      <c r="N1028" t="inlineStr">
        <is>
          <t>Provided Total Emissions</t>
        </is>
      </c>
      <c r="O1028" t="b">
        <v>1</v>
      </c>
      <c r="P1028" t="n">
        <v>-0.039017</v>
      </c>
      <c r="Q1028" t="n">
        <v>-0.033932</v>
      </c>
      <c r="R1028" t="n">
        <v>716.6498</v>
      </c>
      <c r="S1028" t="n">
        <v>4892.1385</v>
      </c>
      <c r="T1028" t="n">
        <v>-147.5785</v>
      </c>
      <c r="U1028" t="n">
        <v>4027.9102</v>
      </c>
      <c r="V1028" t="n">
        <v>-0.170763</v>
      </c>
      <c r="W1028" t="n">
        <v>4.660702</v>
      </c>
      <c r="X1028" t="inlineStr">
        <is>
          <t>High</t>
        </is>
      </c>
      <c r="Y1028" t="inlineStr">
        <is>
          <t>None</t>
        </is>
      </c>
      <c r="Z1028" t="inlineStr">
        <is>
          <t>Valid</t>
        </is>
      </c>
      <c r="AA1028" t="n">
        <v>2027</v>
      </c>
      <c r="AB1028" t="inlineStr">
        <is>
          <t>Supplier Target Pathway</t>
        </is>
      </c>
      <c r="AC1028" t="n">
        <v>1245.2041</v>
      </c>
      <c r="AD1028" t="n">
        <v>722.2184</v>
      </c>
      <c r="AE1028" t="n">
        <v>968.3293</v>
      </c>
      <c r="AF1028" t="n">
        <v>968.3293</v>
      </c>
      <c r="AG1028" t="n">
        <v>276.8748</v>
      </c>
      <c r="AH1028" t="n">
        <v>0.00123516</v>
      </c>
      <c r="AI1028" t="n">
        <v>0.222353</v>
      </c>
      <c r="AJ1028" t="n">
        <v>246.1109</v>
      </c>
      <c r="AK1028" t="n">
        <v>30.7639</v>
      </c>
      <c r="AL1028" t="n">
        <v>4947.1229</v>
      </c>
      <c r="AM1028" t="n">
        <v>2997.2795</v>
      </c>
      <c r="AN1028" t="n">
        <v>0.99</v>
      </c>
      <c r="AO1028" t="inlineStr">
        <is>
          <t>High</t>
        </is>
      </c>
      <c r="AP1028" t="inlineStr">
        <is>
          <t>On Track to Glide Path</t>
        </is>
      </c>
    </row>
    <row r="1029">
      <c r="A1029" t="inlineStr">
        <is>
          <t>SUP-0065</t>
        </is>
      </c>
      <c r="B1029" t="inlineStr">
        <is>
          <t>Agriculture Supplier 065</t>
        </is>
      </c>
      <c r="C1029" t="inlineStr">
        <is>
          <t>Agriculture</t>
        </is>
      </c>
      <c r="D1029" t="n">
        <v>2024</v>
      </c>
      <c r="E1029" t="n">
        <v>2018</v>
      </c>
      <c r="F1029" t="n">
        <v>2035</v>
      </c>
      <c r="G1029" t="n">
        <v>864.2283</v>
      </c>
      <c r="H1029" t="n">
        <v>118.7355</v>
      </c>
      <c r="I1029" t="n">
        <v>70.1896</v>
      </c>
      <c r="J1029" t="n">
        <v>696.6199</v>
      </c>
      <c r="K1029" t="n">
        <v>783969.24</v>
      </c>
      <c r="L1029" t="n">
        <v>5047969.27</v>
      </c>
      <c r="M1029" t="n">
        <v>864.2283</v>
      </c>
      <c r="N1029" t="inlineStr">
        <is>
          <t>Provided Total Emissions</t>
        </is>
      </c>
      <c r="O1029" t="b">
        <v>1</v>
      </c>
      <c r="P1029" t="n">
        <v>-0.039017</v>
      </c>
      <c r="Q1029" t="n">
        <v>-0.033932</v>
      </c>
      <c r="R1029" t="n">
        <v>716.6498</v>
      </c>
      <c r="S1029" t="n">
        <v>4892.1385</v>
      </c>
      <c r="T1029" t="n">
        <v>-147.5785</v>
      </c>
      <c r="U1029" t="n">
        <v>4027.9102</v>
      </c>
      <c r="V1029" t="n">
        <v>-0.170763</v>
      </c>
      <c r="W1029" t="n">
        <v>4.660702</v>
      </c>
      <c r="X1029" t="inlineStr">
        <is>
          <t>High</t>
        </is>
      </c>
      <c r="Y1029" t="inlineStr">
        <is>
          <t>None</t>
        </is>
      </c>
      <c r="Z1029" t="inlineStr">
        <is>
          <t>Valid</t>
        </is>
      </c>
      <c r="AA1029" t="n">
        <v>2028</v>
      </c>
      <c r="AB1029" t="inlineStr">
        <is>
          <t>Supplier Target Pathway</t>
        </is>
      </c>
      <c r="AC1029" t="n">
        <v>1245.2041</v>
      </c>
      <c r="AD1029" t="n">
        <v>722.2184</v>
      </c>
      <c r="AE1029" t="n">
        <v>937.5654</v>
      </c>
      <c r="AF1029" t="n">
        <v>937.5654</v>
      </c>
      <c r="AG1029" t="n">
        <v>307.6387</v>
      </c>
      <c r="AH1029" t="n">
        <v>0.00119592</v>
      </c>
      <c r="AI1029" t="n">
        <v>0.247059</v>
      </c>
      <c r="AJ1029" t="n">
        <v>215.3471</v>
      </c>
      <c r="AK1029" t="n">
        <v>30.7639</v>
      </c>
      <c r="AL1029" t="n">
        <v>4009.5575</v>
      </c>
      <c r="AM1029" t="n">
        <v>3934.8449</v>
      </c>
      <c r="AN1029" t="n">
        <v>0.99</v>
      </c>
      <c r="AO1029" t="inlineStr">
        <is>
          <t>High</t>
        </is>
      </c>
      <c r="AP1029" t="inlineStr">
        <is>
          <t>On Track to Glide Path</t>
        </is>
      </c>
    </row>
    <row r="1030">
      <c r="A1030" t="inlineStr">
        <is>
          <t>SUP-0065</t>
        </is>
      </c>
      <c r="B1030" t="inlineStr">
        <is>
          <t>Agriculture Supplier 065</t>
        </is>
      </c>
      <c r="C1030" t="inlineStr">
        <is>
          <t>Agriculture</t>
        </is>
      </c>
      <c r="D1030" t="n">
        <v>2024</v>
      </c>
      <c r="E1030" t="n">
        <v>2018</v>
      </c>
      <c r="F1030" t="n">
        <v>2035</v>
      </c>
      <c r="G1030" t="n">
        <v>864.2283</v>
      </c>
      <c r="H1030" t="n">
        <v>118.7355</v>
      </c>
      <c r="I1030" t="n">
        <v>70.1896</v>
      </c>
      <c r="J1030" t="n">
        <v>696.6199</v>
      </c>
      <c r="K1030" t="n">
        <v>783969.24</v>
      </c>
      <c r="L1030" t="n">
        <v>5047969.27</v>
      </c>
      <c r="M1030" t="n">
        <v>864.2283</v>
      </c>
      <c r="N1030" t="inlineStr">
        <is>
          <t>Provided Total Emissions</t>
        </is>
      </c>
      <c r="O1030" t="b">
        <v>1</v>
      </c>
      <c r="P1030" t="n">
        <v>-0.039017</v>
      </c>
      <c r="Q1030" t="n">
        <v>-0.033932</v>
      </c>
      <c r="R1030" t="n">
        <v>716.6498</v>
      </c>
      <c r="S1030" t="n">
        <v>4892.1385</v>
      </c>
      <c r="T1030" t="n">
        <v>-147.5785</v>
      </c>
      <c r="U1030" t="n">
        <v>4027.9102</v>
      </c>
      <c r="V1030" t="n">
        <v>-0.170763</v>
      </c>
      <c r="W1030" t="n">
        <v>4.660702</v>
      </c>
      <c r="X1030" t="inlineStr">
        <is>
          <t>High</t>
        </is>
      </c>
      <c r="Y1030" t="inlineStr">
        <is>
          <t>None</t>
        </is>
      </c>
      <c r="Z1030" t="inlineStr">
        <is>
          <t>Valid</t>
        </is>
      </c>
      <c r="AA1030" t="n">
        <v>2029</v>
      </c>
      <c r="AB1030" t="inlineStr">
        <is>
          <t>Supplier Target Pathway</t>
        </is>
      </c>
      <c r="AC1030" t="n">
        <v>1245.2041</v>
      </c>
      <c r="AD1030" t="n">
        <v>722.2184</v>
      </c>
      <c r="AE1030" t="n">
        <v>906.8016</v>
      </c>
      <c r="AF1030" t="n">
        <v>906.8016</v>
      </c>
      <c r="AG1030" t="n">
        <v>338.4025</v>
      </c>
      <c r="AH1030" t="n">
        <v>0.00115668</v>
      </c>
      <c r="AI1030" t="n">
        <v>0.271765</v>
      </c>
      <c r="AJ1030" t="n">
        <v>184.5832</v>
      </c>
      <c r="AK1030" t="n">
        <v>30.7639</v>
      </c>
      <c r="AL1030" t="n">
        <v>3102.7559</v>
      </c>
      <c r="AM1030" t="n">
        <v>4841.6465</v>
      </c>
      <c r="AN1030" t="n">
        <v>0.99</v>
      </c>
      <c r="AO1030" t="inlineStr">
        <is>
          <t>High</t>
        </is>
      </c>
      <c r="AP1030" t="inlineStr">
        <is>
          <t>On Track to Glide Path</t>
        </is>
      </c>
    </row>
    <row r="1031">
      <c r="A1031" t="inlineStr">
        <is>
          <t>SUP-0065</t>
        </is>
      </c>
      <c r="B1031" t="inlineStr">
        <is>
          <t>Agriculture Supplier 065</t>
        </is>
      </c>
      <c r="C1031" t="inlineStr">
        <is>
          <t>Agriculture</t>
        </is>
      </c>
      <c r="D1031" t="n">
        <v>2024</v>
      </c>
      <c r="E1031" t="n">
        <v>2018</v>
      </c>
      <c r="F1031" t="n">
        <v>2035</v>
      </c>
      <c r="G1031" t="n">
        <v>864.2283</v>
      </c>
      <c r="H1031" t="n">
        <v>118.7355</v>
      </c>
      <c r="I1031" t="n">
        <v>70.1896</v>
      </c>
      <c r="J1031" t="n">
        <v>696.6199</v>
      </c>
      <c r="K1031" t="n">
        <v>783969.24</v>
      </c>
      <c r="L1031" t="n">
        <v>5047969.27</v>
      </c>
      <c r="M1031" t="n">
        <v>864.2283</v>
      </c>
      <c r="N1031" t="inlineStr">
        <is>
          <t>Provided Total Emissions</t>
        </is>
      </c>
      <c r="O1031" t="b">
        <v>1</v>
      </c>
      <c r="P1031" t="n">
        <v>-0.039017</v>
      </c>
      <c r="Q1031" t="n">
        <v>-0.033932</v>
      </c>
      <c r="R1031" t="n">
        <v>716.6498</v>
      </c>
      <c r="S1031" t="n">
        <v>4892.1385</v>
      </c>
      <c r="T1031" t="n">
        <v>-147.5785</v>
      </c>
      <c r="U1031" t="n">
        <v>4027.9102</v>
      </c>
      <c r="V1031" t="n">
        <v>-0.170763</v>
      </c>
      <c r="W1031" t="n">
        <v>4.660702</v>
      </c>
      <c r="X1031" t="inlineStr">
        <is>
          <t>High</t>
        </is>
      </c>
      <c r="Y1031" t="inlineStr">
        <is>
          <t>None</t>
        </is>
      </c>
      <c r="Z1031" t="inlineStr">
        <is>
          <t>Valid</t>
        </is>
      </c>
      <c r="AA1031" t="n">
        <v>2030</v>
      </c>
      <c r="AB1031" t="inlineStr">
        <is>
          <t>Supplier Target Pathway</t>
        </is>
      </c>
      <c r="AC1031" t="n">
        <v>1245.2041</v>
      </c>
      <c r="AD1031" t="n">
        <v>722.2184</v>
      </c>
      <c r="AE1031" t="n">
        <v>876.0377</v>
      </c>
      <c r="AF1031" t="n">
        <v>876.0377</v>
      </c>
      <c r="AG1031" t="n">
        <v>369.1664</v>
      </c>
      <c r="AH1031" t="n">
        <v>0.00111744</v>
      </c>
      <c r="AI1031" t="n">
        <v>0.296471</v>
      </c>
      <c r="AJ1031" t="n">
        <v>153.8193</v>
      </c>
      <c r="AK1031" t="n">
        <v>30.7639</v>
      </c>
      <c r="AL1031" t="n">
        <v>2226.7182</v>
      </c>
      <c r="AM1031" t="n">
        <v>5717.6842</v>
      </c>
      <c r="AN1031" t="n">
        <v>0.99</v>
      </c>
      <c r="AO1031" t="inlineStr">
        <is>
          <t>High</t>
        </is>
      </c>
      <c r="AP1031" t="inlineStr">
        <is>
          <t>On Track to Glide Path</t>
        </is>
      </c>
    </row>
    <row r="1032">
      <c r="A1032" t="inlineStr">
        <is>
          <t>SUP-0065</t>
        </is>
      </c>
      <c r="B1032" t="inlineStr">
        <is>
          <t>Agriculture Supplier 065</t>
        </is>
      </c>
      <c r="C1032" t="inlineStr">
        <is>
          <t>Agriculture</t>
        </is>
      </c>
      <c r="D1032" t="n">
        <v>2024</v>
      </c>
      <c r="E1032" t="n">
        <v>2018</v>
      </c>
      <c r="F1032" t="n">
        <v>2035</v>
      </c>
      <c r="G1032" t="n">
        <v>864.2283</v>
      </c>
      <c r="H1032" t="n">
        <v>118.7355</v>
      </c>
      <c r="I1032" t="n">
        <v>70.1896</v>
      </c>
      <c r="J1032" t="n">
        <v>696.6199</v>
      </c>
      <c r="K1032" t="n">
        <v>783969.24</v>
      </c>
      <c r="L1032" t="n">
        <v>5047969.27</v>
      </c>
      <c r="M1032" t="n">
        <v>864.2283</v>
      </c>
      <c r="N1032" t="inlineStr">
        <is>
          <t>Provided Total Emissions</t>
        </is>
      </c>
      <c r="O1032" t="b">
        <v>1</v>
      </c>
      <c r="P1032" t="n">
        <v>-0.039017</v>
      </c>
      <c r="Q1032" t="n">
        <v>-0.033932</v>
      </c>
      <c r="R1032" t="n">
        <v>716.6498</v>
      </c>
      <c r="S1032" t="n">
        <v>4892.1385</v>
      </c>
      <c r="T1032" t="n">
        <v>-147.5785</v>
      </c>
      <c r="U1032" t="n">
        <v>4027.9102</v>
      </c>
      <c r="V1032" t="n">
        <v>-0.170763</v>
      </c>
      <c r="W1032" t="n">
        <v>4.660702</v>
      </c>
      <c r="X1032" t="inlineStr">
        <is>
          <t>High</t>
        </is>
      </c>
      <c r="Y1032" t="inlineStr">
        <is>
          <t>None</t>
        </is>
      </c>
      <c r="Z1032" t="inlineStr">
        <is>
          <t>Valid</t>
        </is>
      </c>
      <c r="AA1032" t="n">
        <v>2031</v>
      </c>
      <c r="AB1032" t="inlineStr">
        <is>
          <t>Supplier Target Pathway</t>
        </is>
      </c>
      <c r="AC1032" t="n">
        <v>1245.2041</v>
      </c>
      <c r="AD1032" t="n">
        <v>722.2184</v>
      </c>
      <c r="AE1032" t="n">
        <v>845.2738000000001</v>
      </c>
      <c r="AF1032" t="n">
        <v>845.2738000000001</v>
      </c>
      <c r="AG1032" t="n">
        <v>399.9303</v>
      </c>
      <c r="AH1032" t="n">
        <v>0.0010782</v>
      </c>
      <c r="AI1032" t="n">
        <v>0.321176</v>
      </c>
      <c r="AJ1032" t="n">
        <v>123.0555</v>
      </c>
      <c r="AK1032" t="n">
        <v>30.7639</v>
      </c>
      <c r="AL1032" t="n">
        <v>1381.4444</v>
      </c>
      <c r="AM1032" t="n">
        <v>6562.958</v>
      </c>
      <c r="AN1032" t="n">
        <v>0.99</v>
      </c>
      <c r="AO1032" t="inlineStr">
        <is>
          <t>High</t>
        </is>
      </c>
      <c r="AP1032" t="inlineStr">
        <is>
          <t>On Track to Glide Path</t>
        </is>
      </c>
    </row>
    <row r="1033">
      <c r="A1033" t="inlineStr">
        <is>
          <t>SUP-0065</t>
        </is>
      </c>
      <c r="B1033" t="inlineStr">
        <is>
          <t>Agriculture Supplier 065</t>
        </is>
      </c>
      <c r="C1033" t="inlineStr">
        <is>
          <t>Agriculture</t>
        </is>
      </c>
      <c r="D1033" t="n">
        <v>2024</v>
      </c>
      <c r="E1033" t="n">
        <v>2018</v>
      </c>
      <c r="F1033" t="n">
        <v>2035</v>
      </c>
      <c r="G1033" t="n">
        <v>864.2283</v>
      </c>
      <c r="H1033" t="n">
        <v>118.7355</v>
      </c>
      <c r="I1033" t="n">
        <v>70.1896</v>
      </c>
      <c r="J1033" t="n">
        <v>696.6199</v>
      </c>
      <c r="K1033" t="n">
        <v>783969.24</v>
      </c>
      <c r="L1033" t="n">
        <v>5047969.27</v>
      </c>
      <c r="M1033" t="n">
        <v>864.2283</v>
      </c>
      <c r="N1033" t="inlineStr">
        <is>
          <t>Provided Total Emissions</t>
        </is>
      </c>
      <c r="O1033" t="b">
        <v>1</v>
      </c>
      <c r="P1033" t="n">
        <v>-0.039017</v>
      </c>
      <c r="Q1033" t="n">
        <v>-0.033932</v>
      </c>
      <c r="R1033" t="n">
        <v>716.6498</v>
      </c>
      <c r="S1033" t="n">
        <v>4892.1385</v>
      </c>
      <c r="T1033" t="n">
        <v>-147.5785</v>
      </c>
      <c r="U1033" t="n">
        <v>4027.9102</v>
      </c>
      <c r="V1033" t="n">
        <v>-0.170763</v>
      </c>
      <c r="W1033" t="n">
        <v>4.660702</v>
      </c>
      <c r="X1033" t="inlineStr">
        <is>
          <t>High</t>
        </is>
      </c>
      <c r="Y1033" t="inlineStr">
        <is>
          <t>None</t>
        </is>
      </c>
      <c r="Z1033" t="inlineStr">
        <is>
          <t>Valid</t>
        </is>
      </c>
      <c r="AA1033" t="n">
        <v>2032</v>
      </c>
      <c r="AB1033" t="inlineStr">
        <is>
          <t>Supplier Target Pathway</t>
        </is>
      </c>
      <c r="AC1033" t="n">
        <v>1245.2041</v>
      </c>
      <c r="AD1033" t="n">
        <v>722.2184</v>
      </c>
      <c r="AE1033" t="n">
        <v>814.51</v>
      </c>
      <c r="AF1033" t="n">
        <v>814.51</v>
      </c>
      <c r="AG1033" t="n">
        <v>430.6941</v>
      </c>
      <c r="AH1033" t="n">
        <v>0.00103896</v>
      </c>
      <c r="AI1033" t="n">
        <v>0.345882</v>
      </c>
      <c r="AJ1033" t="n">
        <v>92.2916</v>
      </c>
      <c r="AK1033" t="n">
        <v>30.7639</v>
      </c>
      <c r="AL1033" t="n">
        <v>566.9344</v>
      </c>
      <c r="AM1033" t="n">
        <v>7377.468</v>
      </c>
      <c r="AN1033" t="n">
        <v>0.99</v>
      </c>
      <c r="AO1033" t="inlineStr">
        <is>
          <t>Medium</t>
        </is>
      </c>
      <c r="AP1033" t="inlineStr">
        <is>
          <t>On Track to Glide Path</t>
        </is>
      </c>
    </row>
    <row r="1034">
      <c r="A1034" t="inlineStr">
        <is>
          <t>SUP-0065</t>
        </is>
      </c>
      <c r="B1034" t="inlineStr">
        <is>
          <t>Agriculture Supplier 065</t>
        </is>
      </c>
      <c r="C1034" t="inlineStr">
        <is>
          <t>Agriculture</t>
        </is>
      </c>
      <c r="D1034" t="n">
        <v>2024</v>
      </c>
      <c r="E1034" t="n">
        <v>2018</v>
      </c>
      <c r="F1034" t="n">
        <v>2035</v>
      </c>
      <c r="G1034" t="n">
        <v>864.2283</v>
      </c>
      <c r="H1034" t="n">
        <v>118.7355</v>
      </c>
      <c r="I1034" t="n">
        <v>70.1896</v>
      </c>
      <c r="J1034" t="n">
        <v>696.6199</v>
      </c>
      <c r="K1034" t="n">
        <v>783969.24</v>
      </c>
      <c r="L1034" t="n">
        <v>5047969.27</v>
      </c>
      <c r="M1034" t="n">
        <v>864.2283</v>
      </c>
      <c r="N1034" t="inlineStr">
        <is>
          <t>Provided Total Emissions</t>
        </is>
      </c>
      <c r="O1034" t="b">
        <v>1</v>
      </c>
      <c r="P1034" t="n">
        <v>-0.039017</v>
      </c>
      <c r="Q1034" t="n">
        <v>-0.033932</v>
      </c>
      <c r="R1034" t="n">
        <v>716.6498</v>
      </c>
      <c r="S1034" t="n">
        <v>4892.1385</v>
      </c>
      <c r="T1034" t="n">
        <v>-147.5785</v>
      </c>
      <c r="U1034" t="n">
        <v>4027.9102</v>
      </c>
      <c r="V1034" t="n">
        <v>-0.170763</v>
      </c>
      <c r="W1034" t="n">
        <v>4.660702</v>
      </c>
      <c r="X1034" t="inlineStr">
        <is>
          <t>High</t>
        </is>
      </c>
      <c r="Y1034" t="inlineStr">
        <is>
          <t>None</t>
        </is>
      </c>
      <c r="Z1034" t="inlineStr">
        <is>
          <t>Valid</t>
        </is>
      </c>
      <c r="AA1034" t="n">
        <v>2033</v>
      </c>
      <c r="AB1034" t="inlineStr">
        <is>
          <t>Supplier Target Pathway</t>
        </is>
      </c>
      <c r="AC1034" t="n">
        <v>1245.2041</v>
      </c>
      <c r="AD1034" t="n">
        <v>722.2184</v>
      </c>
      <c r="AE1034" t="n">
        <v>783.7461</v>
      </c>
      <c r="AF1034" t="n">
        <v>783.7461</v>
      </c>
      <c r="AG1034" t="n">
        <v>461.458</v>
      </c>
      <c r="AH1034" t="n">
        <v>0.0009997199999999999</v>
      </c>
      <c r="AI1034" t="n">
        <v>0.370588</v>
      </c>
      <c r="AJ1034" t="n">
        <v>61.5277</v>
      </c>
      <c r="AK1034" t="n">
        <v>30.7639</v>
      </c>
      <c r="AL1034" t="n">
        <v>-216.8117</v>
      </c>
      <c r="AM1034" t="n">
        <v>8161.2141</v>
      </c>
      <c r="AN1034" t="n">
        <v>0.99</v>
      </c>
      <c r="AO1034" t="inlineStr">
        <is>
          <t>Medium</t>
        </is>
      </c>
      <c r="AP1034" t="inlineStr">
        <is>
          <t>On Track to Glide Path</t>
        </is>
      </c>
    </row>
    <row r="1035">
      <c r="A1035" t="inlineStr">
        <is>
          <t>SUP-0065</t>
        </is>
      </c>
      <c r="B1035" t="inlineStr">
        <is>
          <t>Agriculture Supplier 065</t>
        </is>
      </c>
      <c r="C1035" t="inlineStr">
        <is>
          <t>Agriculture</t>
        </is>
      </c>
      <c r="D1035" t="n">
        <v>2024</v>
      </c>
      <c r="E1035" t="n">
        <v>2018</v>
      </c>
      <c r="F1035" t="n">
        <v>2035</v>
      </c>
      <c r="G1035" t="n">
        <v>864.2283</v>
      </c>
      <c r="H1035" t="n">
        <v>118.7355</v>
      </c>
      <c r="I1035" t="n">
        <v>70.1896</v>
      </c>
      <c r="J1035" t="n">
        <v>696.6199</v>
      </c>
      <c r="K1035" t="n">
        <v>783969.24</v>
      </c>
      <c r="L1035" t="n">
        <v>5047969.27</v>
      </c>
      <c r="M1035" t="n">
        <v>864.2283</v>
      </c>
      <c r="N1035" t="inlineStr">
        <is>
          <t>Provided Total Emissions</t>
        </is>
      </c>
      <c r="O1035" t="b">
        <v>1</v>
      </c>
      <c r="P1035" t="n">
        <v>-0.039017</v>
      </c>
      <c r="Q1035" t="n">
        <v>-0.033932</v>
      </c>
      <c r="R1035" t="n">
        <v>716.6498</v>
      </c>
      <c r="S1035" t="n">
        <v>4892.1385</v>
      </c>
      <c r="T1035" t="n">
        <v>-147.5785</v>
      </c>
      <c r="U1035" t="n">
        <v>4027.9102</v>
      </c>
      <c r="V1035" t="n">
        <v>-0.170763</v>
      </c>
      <c r="W1035" t="n">
        <v>4.660702</v>
      </c>
      <c r="X1035" t="inlineStr">
        <is>
          <t>High</t>
        </is>
      </c>
      <c r="Y1035" t="inlineStr">
        <is>
          <t>None</t>
        </is>
      </c>
      <c r="Z1035" t="inlineStr">
        <is>
          <t>Valid</t>
        </is>
      </c>
      <c r="AA1035" t="n">
        <v>2034</v>
      </c>
      <c r="AB1035" t="inlineStr">
        <is>
          <t>Supplier Target Pathway</t>
        </is>
      </c>
      <c r="AC1035" t="n">
        <v>1245.2041</v>
      </c>
      <c r="AD1035" t="n">
        <v>722.2184</v>
      </c>
      <c r="AE1035" t="n">
        <v>752.9822</v>
      </c>
      <c r="AF1035" t="n">
        <v>752.9822</v>
      </c>
      <c r="AG1035" t="n">
        <v>492.2219</v>
      </c>
      <c r="AH1035" t="n">
        <v>0.0009604700000000001</v>
      </c>
      <c r="AI1035" t="n">
        <v>0.395294</v>
      </c>
      <c r="AJ1035" t="n">
        <v>30.7639</v>
      </c>
      <c r="AK1035" t="n">
        <v>30.7639</v>
      </c>
      <c r="AL1035" t="n">
        <v>-969.7939</v>
      </c>
      <c r="AM1035" t="n">
        <v>8914.1963</v>
      </c>
      <c r="AN1035" t="n">
        <v>0.99</v>
      </c>
      <c r="AO1035" t="inlineStr">
        <is>
          <t>Medium</t>
        </is>
      </c>
      <c r="AP1035" t="inlineStr">
        <is>
          <t>On Track to Glide Path</t>
        </is>
      </c>
    </row>
    <row r="1036">
      <c r="A1036" t="inlineStr">
        <is>
          <t>SUP-0065</t>
        </is>
      </c>
      <c r="B1036" t="inlineStr">
        <is>
          <t>Agriculture Supplier 065</t>
        </is>
      </c>
      <c r="C1036" t="inlineStr">
        <is>
          <t>Agriculture</t>
        </is>
      </c>
      <c r="D1036" t="n">
        <v>2024</v>
      </c>
      <c r="E1036" t="n">
        <v>2018</v>
      </c>
      <c r="F1036" t="n">
        <v>2035</v>
      </c>
      <c r="G1036" t="n">
        <v>864.2283</v>
      </c>
      <c r="H1036" t="n">
        <v>118.7355</v>
      </c>
      <c r="I1036" t="n">
        <v>70.1896</v>
      </c>
      <c r="J1036" t="n">
        <v>696.6199</v>
      </c>
      <c r="K1036" t="n">
        <v>783969.24</v>
      </c>
      <c r="L1036" t="n">
        <v>5047969.27</v>
      </c>
      <c r="M1036" t="n">
        <v>864.2283</v>
      </c>
      <c r="N1036" t="inlineStr">
        <is>
          <t>Provided Total Emissions</t>
        </is>
      </c>
      <c r="O1036" t="b">
        <v>1</v>
      </c>
      <c r="P1036" t="n">
        <v>-0.039017</v>
      </c>
      <c r="Q1036" t="n">
        <v>-0.033932</v>
      </c>
      <c r="R1036" t="n">
        <v>716.6498</v>
      </c>
      <c r="S1036" t="n">
        <v>4892.1385</v>
      </c>
      <c r="T1036" t="n">
        <v>-147.5785</v>
      </c>
      <c r="U1036" t="n">
        <v>4027.9102</v>
      </c>
      <c r="V1036" t="n">
        <v>-0.170763</v>
      </c>
      <c r="W1036" t="n">
        <v>4.660702</v>
      </c>
      <c r="X1036" t="inlineStr">
        <is>
          <t>High</t>
        </is>
      </c>
      <c r="Y1036" t="inlineStr">
        <is>
          <t>None</t>
        </is>
      </c>
      <c r="Z1036" t="inlineStr">
        <is>
          <t>Valid</t>
        </is>
      </c>
      <c r="AA1036" t="n">
        <v>2035</v>
      </c>
      <c r="AB1036" t="inlineStr">
        <is>
          <t>Supplier Target Pathway</t>
        </is>
      </c>
      <c r="AC1036" t="n">
        <v>1245.2041</v>
      </c>
      <c r="AD1036" t="n">
        <v>722.2184</v>
      </c>
      <c r="AE1036" t="n">
        <v>722.2184</v>
      </c>
      <c r="AF1036" t="n">
        <v>722.2184</v>
      </c>
      <c r="AG1036" t="n">
        <v>522.9857</v>
      </c>
      <c r="AH1036" t="n">
        <v>0.00092123</v>
      </c>
      <c r="AI1036" t="n">
        <v>0.42</v>
      </c>
      <c r="AJ1036" t="n">
        <v>0</v>
      </c>
      <c r="AK1036" t="n">
        <v>30.7639</v>
      </c>
      <c r="AL1036" t="n">
        <v>-1692.0123</v>
      </c>
      <c r="AM1036" t="n">
        <v>9636.414699999999</v>
      </c>
      <c r="AN1036" t="n">
        <v>0.99</v>
      </c>
      <c r="AO1036" t="inlineStr">
        <is>
          <t>Low</t>
        </is>
      </c>
      <c r="AP1036" t="inlineStr">
        <is>
          <t>On Track</t>
        </is>
      </c>
    </row>
    <row r="1037">
      <c r="A1037" t="inlineStr">
        <is>
          <t>SUP-0065</t>
        </is>
      </c>
      <c r="B1037" t="inlineStr">
        <is>
          <t>Agriculture Supplier 065</t>
        </is>
      </c>
      <c r="C1037" t="inlineStr">
        <is>
          <t>Agriculture</t>
        </is>
      </c>
      <c r="D1037" t="n">
        <v>2024</v>
      </c>
      <c r="E1037" t="n">
        <v>2018</v>
      </c>
      <c r="F1037" t="n">
        <v>2035</v>
      </c>
      <c r="G1037" t="n">
        <v>864.2283</v>
      </c>
      <c r="H1037" t="n">
        <v>118.7355</v>
      </c>
      <c r="I1037" t="n">
        <v>70.1896</v>
      </c>
      <c r="J1037" t="n">
        <v>696.6199</v>
      </c>
      <c r="K1037" t="n">
        <v>783969.24</v>
      </c>
      <c r="L1037" t="n">
        <v>5047969.27</v>
      </c>
      <c r="M1037" t="n">
        <v>864.2283</v>
      </c>
      <c r="N1037" t="inlineStr">
        <is>
          <t>Provided Total Emissions</t>
        </is>
      </c>
      <c r="O1037" t="b">
        <v>1</v>
      </c>
      <c r="P1037" t="n">
        <v>-0.039017</v>
      </c>
      <c r="Q1037" t="n">
        <v>-0.033932</v>
      </c>
      <c r="R1037" t="n">
        <v>716.6498</v>
      </c>
      <c r="S1037" t="n">
        <v>4892.1385</v>
      </c>
      <c r="T1037" t="n">
        <v>-147.5785</v>
      </c>
      <c r="U1037" t="n">
        <v>4027.9102</v>
      </c>
      <c r="V1037" t="n">
        <v>-0.170763</v>
      </c>
      <c r="W1037" t="n">
        <v>4.660702</v>
      </c>
      <c r="X1037" t="inlineStr">
        <is>
          <t>High</t>
        </is>
      </c>
      <c r="Y1037" t="inlineStr">
        <is>
          <t>None</t>
        </is>
      </c>
      <c r="Z1037" t="inlineStr">
        <is>
          <t>Valid</t>
        </is>
      </c>
      <c r="AA1037" t="n">
        <v>2036</v>
      </c>
      <c r="AB1037" t="inlineStr">
        <is>
          <t>Supplier Target Pathway</t>
        </is>
      </c>
      <c r="AC1037" t="n">
        <v>1245.2041</v>
      </c>
      <c r="AD1037" t="n">
        <v>722.2184</v>
      </c>
      <c r="AE1037" t="n">
        <v>722.2184</v>
      </c>
      <c r="AF1037" t="n">
        <v>722.2184</v>
      </c>
      <c r="AG1037" t="n">
        <v>522.9857</v>
      </c>
      <c r="AH1037" t="n">
        <v>0.00092123</v>
      </c>
      <c r="AI1037" t="n">
        <v>0.42</v>
      </c>
      <c r="AJ1037" t="n">
        <v>0</v>
      </c>
      <c r="AK1037" t="n">
        <v>30.7639</v>
      </c>
      <c r="AL1037" t="n">
        <v>-2414.2307</v>
      </c>
      <c r="AM1037" t="n">
        <v>10358.6331</v>
      </c>
      <c r="AN1037" t="n">
        <v>0.99</v>
      </c>
      <c r="AO1037" t="inlineStr">
        <is>
          <t>Low</t>
        </is>
      </c>
      <c r="AP1037" t="inlineStr">
        <is>
          <t>On Track</t>
        </is>
      </c>
    </row>
    <row r="1038">
      <c r="A1038" t="inlineStr">
        <is>
          <t>SUP-0065</t>
        </is>
      </c>
      <c r="B1038" t="inlineStr">
        <is>
          <t>Agriculture Supplier 065</t>
        </is>
      </c>
      <c r="C1038" t="inlineStr">
        <is>
          <t>Agriculture</t>
        </is>
      </c>
      <c r="D1038" t="n">
        <v>2024</v>
      </c>
      <c r="E1038" t="n">
        <v>2018</v>
      </c>
      <c r="F1038" t="n">
        <v>2035</v>
      </c>
      <c r="G1038" t="n">
        <v>864.2283</v>
      </c>
      <c r="H1038" t="n">
        <v>118.7355</v>
      </c>
      <c r="I1038" t="n">
        <v>70.1896</v>
      </c>
      <c r="J1038" t="n">
        <v>696.6199</v>
      </c>
      <c r="K1038" t="n">
        <v>783969.24</v>
      </c>
      <c r="L1038" t="n">
        <v>5047969.27</v>
      </c>
      <c r="M1038" t="n">
        <v>864.2283</v>
      </c>
      <c r="N1038" t="inlineStr">
        <is>
          <t>Provided Total Emissions</t>
        </is>
      </c>
      <c r="O1038" t="b">
        <v>1</v>
      </c>
      <c r="P1038" t="n">
        <v>-0.039017</v>
      </c>
      <c r="Q1038" t="n">
        <v>-0.033932</v>
      </c>
      <c r="R1038" t="n">
        <v>716.6498</v>
      </c>
      <c r="S1038" t="n">
        <v>4892.1385</v>
      </c>
      <c r="T1038" t="n">
        <v>-147.5785</v>
      </c>
      <c r="U1038" t="n">
        <v>4027.9102</v>
      </c>
      <c r="V1038" t="n">
        <v>-0.170763</v>
      </c>
      <c r="W1038" t="n">
        <v>4.660702</v>
      </c>
      <c r="X1038" t="inlineStr">
        <is>
          <t>High</t>
        </is>
      </c>
      <c r="Y1038" t="inlineStr">
        <is>
          <t>None</t>
        </is>
      </c>
      <c r="Z1038" t="inlineStr">
        <is>
          <t>Valid</t>
        </is>
      </c>
      <c r="AA1038" t="n">
        <v>2037</v>
      </c>
      <c r="AB1038" t="inlineStr">
        <is>
          <t>Supplier Target Pathway</t>
        </is>
      </c>
      <c r="AC1038" t="n">
        <v>1245.2041</v>
      </c>
      <c r="AD1038" t="n">
        <v>722.2184</v>
      </c>
      <c r="AE1038" t="n">
        <v>722.2184</v>
      </c>
      <c r="AF1038" t="n">
        <v>722.2184</v>
      </c>
      <c r="AG1038" t="n">
        <v>522.9857</v>
      </c>
      <c r="AH1038" t="n">
        <v>0.00092123</v>
      </c>
      <c r="AI1038" t="n">
        <v>0.42</v>
      </c>
      <c r="AJ1038" t="n">
        <v>0</v>
      </c>
      <c r="AK1038" t="n">
        <v>30.7639</v>
      </c>
      <c r="AL1038" t="n">
        <v>-3136.4491</v>
      </c>
      <c r="AM1038" t="n">
        <v>11080.8515</v>
      </c>
      <c r="AN1038" t="n">
        <v>0.99</v>
      </c>
      <c r="AO1038" t="inlineStr">
        <is>
          <t>Low</t>
        </is>
      </c>
      <c r="AP1038" t="inlineStr">
        <is>
          <t>On Track</t>
        </is>
      </c>
    </row>
    <row r="1039">
      <c r="A1039" t="inlineStr">
        <is>
          <t>SUP-0065</t>
        </is>
      </c>
      <c r="B1039" t="inlineStr">
        <is>
          <t>Agriculture Supplier 065</t>
        </is>
      </c>
      <c r="C1039" t="inlineStr">
        <is>
          <t>Agriculture</t>
        </is>
      </c>
      <c r="D1039" t="n">
        <v>2024</v>
      </c>
      <c r="E1039" t="n">
        <v>2018</v>
      </c>
      <c r="F1039" t="n">
        <v>2035</v>
      </c>
      <c r="G1039" t="n">
        <v>864.2283</v>
      </c>
      <c r="H1039" t="n">
        <v>118.7355</v>
      </c>
      <c r="I1039" t="n">
        <v>70.1896</v>
      </c>
      <c r="J1039" t="n">
        <v>696.6199</v>
      </c>
      <c r="K1039" t="n">
        <v>783969.24</v>
      </c>
      <c r="L1039" t="n">
        <v>5047969.27</v>
      </c>
      <c r="M1039" t="n">
        <v>864.2283</v>
      </c>
      <c r="N1039" t="inlineStr">
        <is>
          <t>Provided Total Emissions</t>
        </is>
      </c>
      <c r="O1039" t="b">
        <v>1</v>
      </c>
      <c r="P1039" t="n">
        <v>-0.039017</v>
      </c>
      <c r="Q1039" t="n">
        <v>-0.033932</v>
      </c>
      <c r="R1039" t="n">
        <v>716.6498</v>
      </c>
      <c r="S1039" t="n">
        <v>4892.1385</v>
      </c>
      <c r="T1039" t="n">
        <v>-147.5785</v>
      </c>
      <c r="U1039" t="n">
        <v>4027.9102</v>
      </c>
      <c r="V1039" t="n">
        <v>-0.170763</v>
      </c>
      <c r="W1039" t="n">
        <v>4.660702</v>
      </c>
      <c r="X1039" t="inlineStr">
        <is>
          <t>High</t>
        </is>
      </c>
      <c r="Y1039" t="inlineStr">
        <is>
          <t>None</t>
        </is>
      </c>
      <c r="Z1039" t="inlineStr">
        <is>
          <t>Valid</t>
        </is>
      </c>
      <c r="AA1039" t="n">
        <v>2038</v>
      </c>
      <c r="AB1039" t="inlineStr">
        <is>
          <t>Supplier Target Pathway</t>
        </is>
      </c>
      <c r="AC1039" t="n">
        <v>1245.2041</v>
      </c>
      <c r="AD1039" t="n">
        <v>722.2184</v>
      </c>
      <c r="AE1039" t="n">
        <v>722.2184</v>
      </c>
      <c r="AF1039" t="n">
        <v>722.2184</v>
      </c>
      <c r="AG1039" t="n">
        <v>522.9857</v>
      </c>
      <c r="AH1039" t="n">
        <v>0.00092123</v>
      </c>
      <c r="AI1039" t="n">
        <v>0.42</v>
      </c>
      <c r="AJ1039" t="n">
        <v>0</v>
      </c>
      <c r="AK1039" t="n">
        <v>30.7639</v>
      </c>
      <c r="AL1039" t="n">
        <v>-3858.6675</v>
      </c>
      <c r="AM1039" t="n">
        <v>11803.0699</v>
      </c>
      <c r="AN1039" t="n">
        <v>0.99</v>
      </c>
      <c r="AO1039" t="inlineStr">
        <is>
          <t>Low</t>
        </is>
      </c>
      <c r="AP1039" t="inlineStr">
        <is>
          <t>On Track</t>
        </is>
      </c>
    </row>
    <row r="1040">
      <c r="A1040" t="inlineStr">
        <is>
          <t>SUP-0065</t>
        </is>
      </c>
      <c r="B1040" t="inlineStr">
        <is>
          <t>Agriculture Supplier 065</t>
        </is>
      </c>
      <c r="C1040" t="inlineStr">
        <is>
          <t>Agriculture</t>
        </is>
      </c>
      <c r="D1040" t="n">
        <v>2024</v>
      </c>
      <c r="E1040" t="n">
        <v>2018</v>
      </c>
      <c r="F1040" t="n">
        <v>2035</v>
      </c>
      <c r="G1040" t="n">
        <v>864.2283</v>
      </c>
      <c r="H1040" t="n">
        <v>118.7355</v>
      </c>
      <c r="I1040" t="n">
        <v>70.1896</v>
      </c>
      <c r="J1040" t="n">
        <v>696.6199</v>
      </c>
      <c r="K1040" t="n">
        <v>783969.24</v>
      </c>
      <c r="L1040" t="n">
        <v>5047969.27</v>
      </c>
      <c r="M1040" t="n">
        <v>864.2283</v>
      </c>
      <c r="N1040" t="inlineStr">
        <is>
          <t>Provided Total Emissions</t>
        </is>
      </c>
      <c r="O1040" t="b">
        <v>1</v>
      </c>
      <c r="P1040" t="n">
        <v>-0.039017</v>
      </c>
      <c r="Q1040" t="n">
        <v>-0.033932</v>
      </c>
      <c r="R1040" t="n">
        <v>716.6498</v>
      </c>
      <c r="S1040" t="n">
        <v>4892.1385</v>
      </c>
      <c r="T1040" t="n">
        <v>-147.5785</v>
      </c>
      <c r="U1040" t="n">
        <v>4027.9102</v>
      </c>
      <c r="V1040" t="n">
        <v>-0.170763</v>
      </c>
      <c r="W1040" t="n">
        <v>4.660702</v>
      </c>
      <c r="X1040" t="inlineStr">
        <is>
          <t>High</t>
        </is>
      </c>
      <c r="Y1040" t="inlineStr">
        <is>
          <t>None</t>
        </is>
      </c>
      <c r="Z1040" t="inlineStr">
        <is>
          <t>Valid</t>
        </is>
      </c>
      <c r="AA1040" t="n">
        <v>2039</v>
      </c>
      <c r="AB1040" t="inlineStr">
        <is>
          <t>Supplier Target Pathway</t>
        </is>
      </c>
      <c r="AC1040" t="n">
        <v>1245.2041</v>
      </c>
      <c r="AD1040" t="n">
        <v>722.2184</v>
      </c>
      <c r="AE1040" t="n">
        <v>722.2184</v>
      </c>
      <c r="AF1040" t="n">
        <v>722.2184</v>
      </c>
      <c r="AG1040" t="n">
        <v>522.9857</v>
      </c>
      <c r="AH1040" t="n">
        <v>0.00092123</v>
      </c>
      <c r="AI1040" t="n">
        <v>0.42</v>
      </c>
      <c r="AJ1040" t="n">
        <v>0</v>
      </c>
      <c r="AK1040" t="n">
        <v>30.7639</v>
      </c>
      <c r="AL1040" t="n">
        <v>-4580.8859</v>
      </c>
      <c r="AM1040" t="n">
        <v>12525.2883</v>
      </c>
      <c r="AN1040" t="n">
        <v>0.99</v>
      </c>
      <c r="AO1040" t="inlineStr">
        <is>
          <t>Low</t>
        </is>
      </c>
      <c r="AP1040" t="inlineStr">
        <is>
          <t>On Track</t>
        </is>
      </c>
    </row>
    <row r="1041">
      <c r="A1041" t="inlineStr">
        <is>
          <t>SUP-0065</t>
        </is>
      </c>
      <c r="B1041" t="inlineStr">
        <is>
          <t>Agriculture Supplier 065</t>
        </is>
      </c>
      <c r="C1041" t="inlineStr">
        <is>
          <t>Agriculture</t>
        </is>
      </c>
      <c r="D1041" t="n">
        <v>2024</v>
      </c>
      <c r="E1041" t="n">
        <v>2018</v>
      </c>
      <c r="F1041" t="n">
        <v>2035</v>
      </c>
      <c r="G1041" t="n">
        <v>864.2283</v>
      </c>
      <c r="H1041" t="n">
        <v>118.7355</v>
      </c>
      <c r="I1041" t="n">
        <v>70.1896</v>
      </c>
      <c r="J1041" t="n">
        <v>696.6199</v>
      </c>
      <c r="K1041" t="n">
        <v>783969.24</v>
      </c>
      <c r="L1041" t="n">
        <v>5047969.27</v>
      </c>
      <c r="M1041" t="n">
        <v>864.2283</v>
      </c>
      <c r="N1041" t="inlineStr">
        <is>
          <t>Provided Total Emissions</t>
        </is>
      </c>
      <c r="O1041" t="b">
        <v>1</v>
      </c>
      <c r="P1041" t="n">
        <v>-0.039017</v>
      </c>
      <c r="Q1041" t="n">
        <v>-0.033932</v>
      </c>
      <c r="R1041" t="n">
        <v>716.6498</v>
      </c>
      <c r="S1041" t="n">
        <v>4892.1385</v>
      </c>
      <c r="T1041" t="n">
        <v>-147.5785</v>
      </c>
      <c r="U1041" t="n">
        <v>4027.9102</v>
      </c>
      <c r="V1041" t="n">
        <v>-0.170763</v>
      </c>
      <c r="W1041" t="n">
        <v>4.660702</v>
      </c>
      <c r="X1041" t="inlineStr">
        <is>
          <t>High</t>
        </is>
      </c>
      <c r="Y1041" t="inlineStr">
        <is>
          <t>None</t>
        </is>
      </c>
      <c r="Z1041" t="inlineStr">
        <is>
          <t>Valid</t>
        </is>
      </c>
      <c r="AA1041" t="n">
        <v>2040</v>
      </c>
      <c r="AB1041" t="inlineStr">
        <is>
          <t>Supplier Target Pathway</t>
        </is>
      </c>
      <c r="AC1041" t="n">
        <v>1245.2041</v>
      </c>
      <c r="AD1041" t="n">
        <v>722.2184</v>
      </c>
      <c r="AE1041" t="n">
        <v>722.2184</v>
      </c>
      <c r="AF1041" t="n">
        <v>722.2184</v>
      </c>
      <c r="AG1041" t="n">
        <v>522.9857</v>
      </c>
      <c r="AH1041" t="n">
        <v>0.00092123</v>
      </c>
      <c r="AI1041" t="n">
        <v>0.42</v>
      </c>
      <c r="AJ1041" t="n">
        <v>0</v>
      </c>
      <c r="AK1041" t="n">
        <v>30.7639</v>
      </c>
      <c r="AL1041" t="n">
        <v>-5303.1043</v>
      </c>
      <c r="AM1041" t="n">
        <v>13247.5067</v>
      </c>
      <c r="AN1041" t="n">
        <v>0.99</v>
      </c>
      <c r="AO1041" t="inlineStr">
        <is>
          <t>Low</t>
        </is>
      </c>
      <c r="AP1041" t="inlineStr">
        <is>
          <t>On Track</t>
        </is>
      </c>
    </row>
    <row r="1042">
      <c r="A1042" t="inlineStr">
        <is>
          <t>SUP-0066</t>
        </is>
      </c>
      <c r="B1042" t="inlineStr">
        <is>
          <t>Electronics Supplier 066</t>
        </is>
      </c>
      <c r="C1042" t="inlineStr">
        <is>
          <t>Electronics</t>
        </is>
      </c>
      <c r="D1042" t="n">
        <v>2024</v>
      </c>
      <c r="E1042" t="n">
        <v>2020</v>
      </c>
      <c r="F1042" t="n">
        <v>2030</v>
      </c>
      <c r="G1042" t="n">
        <v>17053.0904</v>
      </c>
      <c r="H1042" t="n">
        <v>3144.3067</v>
      </c>
      <c r="I1042" t="n">
        <v>2347.2066</v>
      </c>
      <c r="J1042" t="n">
        <v>11019.9071</v>
      </c>
      <c r="K1042" t="n">
        <v>19647049.39</v>
      </c>
      <c r="L1042" t="n">
        <v>180616239.14</v>
      </c>
      <c r="M1042" t="n">
        <v>17053.0904</v>
      </c>
      <c r="N1042" t="inlineStr">
        <is>
          <t>Provided Total Emissions</t>
        </is>
      </c>
      <c r="O1042" t="b">
        <v>1</v>
      </c>
      <c r="P1042" t="n">
        <v>0.013165</v>
      </c>
      <c r="Q1042" t="n">
        <v>0.0374</v>
      </c>
      <c r="R1042" t="n">
        <v>16917.0919</v>
      </c>
      <c r="S1042" t="n">
        <v>25190.5469</v>
      </c>
      <c r="T1042" t="n">
        <v>-135.9985</v>
      </c>
      <c r="U1042" t="n">
        <v>8137.4565</v>
      </c>
      <c r="V1042" t="n">
        <v>-0.007974999999999999</v>
      </c>
      <c r="W1042" t="n">
        <v>0.477184</v>
      </c>
      <c r="X1042" t="inlineStr">
        <is>
          <t>High</t>
        </is>
      </c>
      <c r="Y1042" t="inlineStr">
        <is>
          <t>None</t>
        </is>
      </c>
      <c r="Z1042" t="inlineStr">
        <is>
          <t>Valid</t>
        </is>
      </c>
      <c r="AA1042" t="n">
        <v>2025</v>
      </c>
      <c r="AB1042" t="inlineStr">
        <is>
          <t>Supplier Target Pathway</t>
        </is>
      </c>
      <c r="AC1042" t="n">
        <v>16152.7618</v>
      </c>
      <c r="AD1042" t="n">
        <v>10676.9755</v>
      </c>
      <c r="AE1042" t="n">
        <v>13414.8687</v>
      </c>
      <c r="AF1042" t="n">
        <v>13414.8687</v>
      </c>
      <c r="AG1042" t="n">
        <v>2737.8931</v>
      </c>
      <c r="AH1042" t="n">
        <v>0.00068279</v>
      </c>
      <c r="AI1042" t="n">
        <v>0.1695</v>
      </c>
      <c r="AJ1042" t="n">
        <v>2737.8931</v>
      </c>
      <c r="AK1042" t="n">
        <v>547.5786000000001</v>
      </c>
      <c r="AL1042" t="n">
        <v>50646.9843</v>
      </c>
      <c r="AM1042" t="n">
        <v>13414.8687</v>
      </c>
      <c r="AN1042" t="n">
        <v>0.99</v>
      </c>
      <c r="AO1042" t="inlineStr">
        <is>
          <t>High</t>
        </is>
      </c>
      <c r="AP1042" t="inlineStr">
        <is>
          <t>On Track to Glide Path</t>
        </is>
      </c>
    </row>
    <row r="1043">
      <c r="A1043" t="inlineStr">
        <is>
          <t>SUP-0066</t>
        </is>
      </c>
      <c r="B1043" t="inlineStr">
        <is>
          <t>Electronics Supplier 066</t>
        </is>
      </c>
      <c r="C1043" t="inlineStr">
        <is>
          <t>Electronics</t>
        </is>
      </c>
      <c r="D1043" t="n">
        <v>2024</v>
      </c>
      <c r="E1043" t="n">
        <v>2020</v>
      </c>
      <c r="F1043" t="n">
        <v>2030</v>
      </c>
      <c r="G1043" t="n">
        <v>17053.0904</v>
      </c>
      <c r="H1043" t="n">
        <v>3144.3067</v>
      </c>
      <c r="I1043" t="n">
        <v>2347.2066</v>
      </c>
      <c r="J1043" t="n">
        <v>11019.9071</v>
      </c>
      <c r="K1043" t="n">
        <v>19647049.39</v>
      </c>
      <c r="L1043" t="n">
        <v>180616239.14</v>
      </c>
      <c r="M1043" t="n">
        <v>17053.0904</v>
      </c>
      <c r="N1043" t="inlineStr">
        <is>
          <t>Provided Total Emissions</t>
        </is>
      </c>
      <c r="O1043" t="b">
        <v>1</v>
      </c>
      <c r="P1043" t="n">
        <v>0.013165</v>
      </c>
      <c r="Q1043" t="n">
        <v>0.0374</v>
      </c>
      <c r="R1043" t="n">
        <v>16917.0919</v>
      </c>
      <c r="S1043" t="n">
        <v>25190.5469</v>
      </c>
      <c r="T1043" t="n">
        <v>-135.9985</v>
      </c>
      <c r="U1043" t="n">
        <v>8137.4565</v>
      </c>
      <c r="V1043" t="n">
        <v>-0.007974999999999999</v>
      </c>
      <c r="W1043" t="n">
        <v>0.477184</v>
      </c>
      <c r="X1043" t="inlineStr">
        <is>
          <t>High</t>
        </is>
      </c>
      <c r="Y1043" t="inlineStr">
        <is>
          <t>None</t>
        </is>
      </c>
      <c r="Z1043" t="inlineStr">
        <is>
          <t>Valid</t>
        </is>
      </c>
      <c r="AA1043" t="n">
        <v>2026</v>
      </c>
      <c r="AB1043" t="inlineStr">
        <is>
          <t>Supplier Target Pathway</t>
        </is>
      </c>
      <c r="AC1043" t="n">
        <v>16152.7618</v>
      </c>
      <c r="AD1043" t="n">
        <v>10676.9755</v>
      </c>
      <c r="AE1043" t="n">
        <v>12867.29</v>
      </c>
      <c r="AF1043" t="n">
        <v>12867.29</v>
      </c>
      <c r="AG1043" t="n">
        <v>3285.4718</v>
      </c>
      <c r="AH1043" t="n">
        <v>0.00065492</v>
      </c>
      <c r="AI1043" t="n">
        <v>0.2034</v>
      </c>
      <c r="AJ1043" t="n">
        <v>2190.3145</v>
      </c>
      <c r="AK1043" t="n">
        <v>547.5786000000001</v>
      </c>
      <c r="AL1043" t="n">
        <v>37779.6943</v>
      </c>
      <c r="AM1043" t="n">
        <v>26282.1587</v>
      </c>
      <c r="AN1043" t="n">
        <v>0.99</v>
      </c>
      <c r="AO1043" t="inlineStr">
        <is>
          <t>High</t>
        </is>
      </c>
      <c r="AP1043" t="inlineStr">
        <is>
          <t>On Track to Glide Path</t>
        </is>
      </c>
    </row>
    <row r="1044">
      <c r="A1044" t="inlineStr">
        <is>
          <t>SUP-0066</t>
        </is>
      </c>
      <c r="B1044" t="inlineStr">
        <is>
          <t>Electronics Supplier 066</t>
        </is>
      </c>
      <c r="C1044" t="inlineStr">
        <is>
          <t>Electronics</t>
        </is>
      </c>
      <c r="D1044" t="n">
        <v>2024</v>
      </c>
      <c r="E1044" t="n">
        <v>2020</v>
      </c>
      <c r="F1044" t="n">
        <v>2030</v>
      </c>
      <c r="G1044" t="n">
        <v>17053.0904</v>
      </c>
      <c r="H1044" t="n">
        <v>3144.3067</v>
      </c>
      <c r="I1044" t="n">
        <v>2347.2066</v>
      </c>
      <c r="J1044" t="n">
        <v>11019.9071</v>
      </c>
      <c r="K1044" t="n">
        <v>19647049.39</v>
      </c>
      <c r="L1044" t="n">
        <v>180616239.14</v>
      </c>
      <c r="M1044" t="n">
        <v>17053.0904</v>
      </c>
      <c r="N1044" t="inlineStr">
        <is>
          <t>Provided Total Emissions</t>
        </is>
      </c>
      <c r="O1044" t="b">
        <v>1</v>
      </c>
      <c r="P1044" t="n">
        <v>0.013165</v>
      </c>
      <c r="Q1044" t="n">
        <v>0.0374</v>
      </c>
      <c r="R1044" t="n">
        <v>16917.0919</v>
      </c>
      <c r="S1044" t="n">
        <v>25190.5469</v>
      </c>
      <c r="T1044" t="n">
        <v>-135.9985</v>
      </c>
      <c r="U1044" t="n">
        <v>8137.4565</v>
      </c>
      <c r="V1044" t="n">
        <v>-0.007974999999999999</v>
      </c>
      <c r="W1044" t="n">
        <v>0.477184</v>
      </c>
      <c r="X1044" t="inlineStr">
        <is>
          <t>High</t>
        </is>
      </c>
      <c r="Y1044" t="inlineStr">
        <is>
          <t>None</t>
        </is>
      </c>
      <c r="Z1044" t="inlineStr">
        <is>
          <t>Valid</t>
        </is>
      </c>
      <c r="AA1044" t="n">
        <v>2027</v>
      </c>
      <c r="AB1044" t="inlineStr">
        <is>
          <t>Supplier Target Pathway</t>
        </is>
      </c>
      <c r="AC1044" t="n">
        <v>16152.7618</v>
      </c>
      <c r="AD1044" t="n">
        <v>10676.9755</v>
      </c>
      <c r="AE1044" t="n">
        <v>12319.7114</v>
      </c>
      <c r="AF1044" t="n">
        <v>12319.7114</v>
      </c>
      <c r="AG1044" t="n">
        <v>3833.0504</v>
      </c>
      <c r="AH1044" t="n">
        <v>0.00062705</v>
      </c>
      <c r="AI1044" t="n">
        <v>0.2373</v>
      </c>
      <c r="AJ1044" t="n">
        <v>1642.7359</v>
      </c>
      <c r="AK1044" t="n">
        <v>547.5786000000001</v>
      </c>
      <c r="AL1044" t="n">
        <v>25459.9829</v>
      </c>
      <c r="AM1044" t="n">
        <v>38601.8701</v>
      </c>
      <c r="AN1044" t="n">
        <v>0.99</v>
      </c>
      <c r="AO1044" t="inlineStr">
        <is>
          <t>High</t>
        </is>
      </c>
      <c r="AP1044" t="inlineStr">
        <is>
          <t>On Track to Glide Path</t>
        </is>
      </c>
    </row>
    <row r="1045">
      <c r="A1045" t="inlineStr">
        <is>
          <t>SUP-0066</t>
        </is>
      </c>
      <c r="B1045" t="inlineStr">
        <is>
          <t>Electronics Supplier 066</t>
        </is>
      </c>
      <c r="C1045" t="inlineStr">
        <is>
          <t>Electronics</t>
        </is>
      </c>
      <c r="D1045" t="n">
        <v>2024</v>
      </c>
      <c r="E1045" t="n">
        <v>2020</v>
      </c>
      <c r="F1045" t="n">
        <v>2030</v>
      </c>
      <c r="G1045" t="n">
        <v>17053.0904</v>
      </c>
      <c r="H1045" t="n">
        <v>3144.3067</v>
      </c>
      <c r="I1045" t="n">
        <v>2347.2066</v>
      </c>
      <c r="J1045" t="n">
        <v>11019.9071</v>
      </c>
      <c r="K1045" t="n">
        <v>19647049.39</v>
      </c>
      <c r="L1045" t="n">
        <v>180616239.14</v>
      </c>
      <c r="M1045" t="n">
        <v>17053.0904</v>
      </c>
      <c r="N1045" t="inlineStr">
        <is>
          <t>Provided Total Emissions</t>
        </is>
      </c>
      <c r="O1045" t="b">
        <v>1</v>
      </c>
      <c r="P1045" t="n">
        <v>0.013165</v>
      </c>
      <c r="Q1045" t="n">
        <v>0.0374</v>
      </c>
      <c r="R1045" t="n">
        <v>16917.0919</v>
      </c>
      <c r="S1045" t="n">
        <v>25190.5469</v>
      </c>
      <c r="T1045" t="n">
        <v>-135.9985</v>
      </c>
      <c r="U1045" t="n">
        <v>8137.4565</v>
      </c>
      <c r="V1045" t="n">
        <v>-0.007974999999999999</v>
      </c>
      <c r="W1045" t="n">
        <v>0.477184</v>
      </c>
      <c r="X1045" t="inlineStr">
        <is>
          <t>High</t>
        </is>
      </c>
      <c r="Y1045" t="inlineStr">
        <is>
          <t>None</t>
        </is>
      </c>
      <c r="Z1045" t="inlineStr">
        <is>
          <t>Valid</t>
        </is>
      </c>
      <c r="AA1045" t="n">
        <v>2028</v>
      </c>
      <c r="AB1045" t="inlineStr">
        <is>
          <t>Supplier Target Pathway</t>
        </is>
      </c>
      <c r="AC1045" t="n">
        <v>16152.7618</v>
      </c>
      <c r="AD1045" t="n">
        <v>10676.9755</v>
      </c>
      <c r="AE1045" t="n">
        <v>11772.1328</v>
      </c>
      <c r="AF1045" t="n">
        <v>11772.1328</v>
      </c>
      <c r="AG1045" t="n">
        <v>4380.629</v>
      </c>
      <c r="AH1045" t="n">
        <v>0.00059918</v>
      </c>
      <c r="AI1045" t="n">
        <v>0.2712</v>
      </c>
      <c r="AJ1045" t="n">
        <v>1095.1573</v>
      </c>
      <c r="AK1045" t="n">
        <v>547.5786000000001</v>
      </c>
      <c r="AL1045" t="n">
        <v>13687.8501</v>
      </c>
      <c r="AM1045" t="n">
        <v>50374.0029</v>
      </c>
      <c r="AN1045" t="n">
        <v>0.99</v>
      </c>
      <c r="AO1045" t="inlineStr">
        <is>
          <t>Medium</t>
        </is>
      </c>
      <c r="AP1045" t="inlineStr">
        <is>
          <t>On Track to Glide Path</t>
        </is>
      </c>
    </row>
    <row r="1046">
      <c r="A1046" t="inlineStr">
        <is>
          <t>SUP-0066</t>
        </is>
      </c>
      <c r="B1046" t="inlineStr">
        <is>
          <t>Electronics Supplier 066</t>
        </is>
      </c>
      <c r="C1046" t="inlineStr">
        <is>
          <t>Electronics</t>
        </is>
      </c>
      <c r="D1046" t="n">
        <v>2024</v>
      </c>
      <c r="E1046" t="n">
        <v>2020</v>
      </c>
      <c r="F1046" t="n">
        <v>2030</v>
      </c>
      <c r="G1046" t="n">
        <v>17053.0904</v>
      </c>
      <c r="H1046" t="n">
        <v>3144.3067</v>
      </c>
      <c r="I1046" t="n">
        <v>2347.2066</v>
      </c>
      <c r="J1046" t="n">
        <v>11019.9071</v>
      </c>
      <c r="K1046" t="n">
        <v>19647049.39</v>
      </c>
      <c r="L1046" t="n">
        <v>180616239.14</v>
      </c>
      <c r="M1046" t="n">
        <v>17053.0904</v>
      </c>
      <c r="N1046" t="inlineStr">
        <is>
          <t>Provided Total Emissions</t>
        </is>
      </c>
      <c r="O1046" t="b">
        <v>1</v>
      </c>
      <c r="P1046" t="n">
        <v>0.013165</v>
      </c>
      <c r="Q1046" t="n">
        <v>0.0374</v>
      </c>
      <c r="R1046" t="n">
        <v>16917.0919</v>
      </c>
      <c r="S1046" t="n">
        <v>25190.5469</v>
      </c>
      <c r="T1046" t="n">
        <v>-135.9985</v>
      </c>
      <c r="U1046" t="n">
        <v>8137.4565</v>
      </c>
      <c r="V1046" t="n">
        <v>-0.007974999999999999</v>
      </c>
      <c r="W1046" t="n">
        <v>0.477184</v>
      </c>
      <c r="X1046" t="inlineStr">
        <is>
          <t>High</t>
        </is>
      </c>
      <c r="Y1046" t="inlineStr">
        <is>
          <t>None</t>
        </is>
      </c>
      <c r="Z1046" t="inlineStr">
        <is>
          <t>Valid</t>
        </is>
      </c>
      <c r="AA1046" t="n">
        <v>2029</v>
      </c>
      <c r="AB1046" t="inlineStr">
        <is>
          <t>Supplier Target Pathway</t>
        </is>
      </c>
      <c r="AC1046" t="n">
        <v>16152.7618</v>
      </c>
      <c r="AD1046" t="n">
        <v>10676.9755</v>
      </c>
      <c r="AE1046" t="n">
        <v>11224.5542</v>
      </c>
      <c r="AF1046" t="n">
        <v>11224.5542</v>
      </c>
      <c r="AG1046" t="n">
        <v>4928.2076</v>
      </c>
      <c r="AH1046" t="n">
        <v>0.00057131</v>
      </c>
      <c r="AI1046" t="n">
        <v>0.3051</v>
      </c>
      <c r="AJ1046" t="n">
        <v>547.5786000000001</v>
      </c>
      <c r="AK1046" t="n">
        <v>547.5786000000001</v>
      </c>
      <c r="AL1046" t="n">
        <v>2463.2959</v>
      </c>
      <c r="AM1046" t="n">
        <v>61598.5571</v>
      </c>
      <c r="AN1046" t="n">
        <v>0.99</v>
      </c>
      <c r="AO1046" t="inlineStr">
        <is>
          <t>Medium</t>
        </is>
      </c>
      <c r="AP1046" t="inlineStr">
        <is>
          <t>On Track to Glide Path</t>
        </is>
      </c>
    </row>
    <row r="1047">
      <c r="A1047" t="inlineStr">
        <is>
          <t>SUP-0066</t>
        </is>
      </c>
      <c r="B1047" t="inlineStr">
        <is>
          <t>Electronics Supplier 066</t>
        </is>
      </c>
      <c r="C1047" t="inlineStr">
        <is>
          <t>Electronics</t>
        </is>
      </c>
      <c r="D1047" t="n">
        <v>2024</v>
      </c>
      <c r="E1047" t="n">
        <v>2020</v>
      </c>
      <c r="F1047" t="n">
        <v>2030</v>
      </c>
      <c r="G1047" t="n">
        <v>17053.0904</v>
      </c>
      <c r="H1047" t="n">
        <v>3144.3067</v>
      </c>
      <c r="I1047" t="n">
        <v>2347.2066</v>
      </c>
      <c r="J1047" t="n">
        <v>11019.9071</v>
      </c>
      <c r="K1047" t="n">
        <v>19647049.39</v>
      </c>
      <c r="L1047" t="n">
        <v>180616239.14</v>
      </c>
      <c r="M1047" t="n">
        <v>17053.0904</v>
      </c>
      <c r="N1047" t="inlineStr">
        <is>
          <t>Provided Total Emissions</t>
        </is>
      </c>
      <c r="O1047" t="b">
        <v>1</v>
      </c>
      <c r="P1047" t="n">
        <v>0.013165</v>
      </c>
      <c r="Q1047" t="n">
        <v>0.0374</v>
      </c>
      <c r="R1047" t="n">
        <v>16917.0919</v>
      </c>
      <c r="S1047" t="n">
        <v>25190.5469</v>
      </c>
      <c r="T1047" t="n">
        <v>-135.9985</v>
      </c>
      <c r="U1047" t="n">
        <v>8137.4565</v>
      </c>
      <c r="V1047" t="n">
        <v>-0.007974999999999999</v>
      </c>
      <c r="W1047" t="n">
        <v>0.477184</v>
      </c>
      <c r="X1047" t="inlineStr">
        <is>
          <t>High</t>
        </is>
      </c>
      <c r="Y1047" t="inlineStr">
        <is>
          <t>None</t>
        </is>
      </c>
      <c r="Z1047" t="inlineStr">
        <is>
          <t>Valid</t>
        </is>
      </c>
      <c r="AA1047" t="n">
        <v>2030</v>
      </c>
      <c r="AB1047" t="inlineStr">
        <is>
          <t>Supplier Target Pathway</t>
        </is>
      </c>
      <c r="AC1047" t="n">
        <v>16152.7618</v>
      </c>
      <c r="AD1047" t="n">
        <v>10676.9755</v>
      </c>
      <c r="AE1047" t="n">
        <v>10676.9755</v>
      </c>
      <c r="AF1047" t="n">
        <v>10676.9755</v>
      </c>
      <c r="AG1047" t="n">
        <v>5475.7863</v>
      </c>
      <c r="AH1047" t="n">
        <v>0.00054344</v>
      </c>
      <c r="AI1047" t="n">
        <v>0.339</v>
      </c>
      <c r="AJ1047" t="n">
        <v>0</v>
      </c>
      <c r="AK1047" t="n">
        <v>547.5786000000001</v>
      </c>
      <c r="AL1047" t="n">
        <v>-8213.679599999999</v>
      </c>
      <c r="AM1047" t="n">
        <v>72275.53260000001</v>
      </c>
      <c r="AN1047" t="n">
        <v>0.99</v>
      </c>
      <c r="AO1047" t="inlineStr">
        <is>
          <t>Low</t>
        </is>
      </c>
      <c r="AP1047" t="inlineStr">
        <is>
          <t>On Track</t>
        </is>
      </c>
    </row>
    <row r="1048">
      <c r="A1048" t="inlineStr">
        <is>
          <t>SUP-0066</t>
        </is>
      </c>
      <c r="B1048" t="inlineStr">
        <is>
          <t>Electronics Supplier 066</t>
        </is>
      </c>
      <c r="C1048" t="inlineStr">
        <is>
          <t>Electronics</t>
        </is>
      </c>
      <c r="D1048" t="n">
        <v>2024</v>
      </c>
      <c r="E1048" t="n">
        <v>2020</v>
      </c>
      <c r="F1048" t="n">
        <v>2030</v>
      </c>
      <c r="G1048" t="n">
        <v>17053.0904</v>
      </c>
      <c r="H1048" t="n">
        <v>3144.3067</v>
      </c>
      <c r="I1048" t="n">
        <v>2347.2066</v>
      </c>
      <c r="J1048" t="n">
        <v>11019.9071</v>
      </c>
      <c r="K1048" t="n">
        <v>19647049.39</v>
      </c>
      <c r="L1048" t="n">
        <v>180616239.14</v>
      </c>
      <c r="M1048" t="n">
        <v>17053.0904</v>
      </c>
      <c r="N1048" t="inlineStr">
        <is>
          <t>Provided Total Emissions</t>
        </is>
      </c>
      <c r="O1048" t="b">
        <v>1</v>
      </c>
      <c r="P1048" t="n">
        <v>0.013165</v>
      </c>
      <c r="Q1048" t="n">
        <v>0.0374</v>
      </c>
      <c r="R1048" t="n">
        <v>16917.0919</v>
      </c>
      <c r="S1048" t="n">
        <v>25190.5469</v>
      </c>
      <c r="T1048" t="n">
        <v>-135.9985</v>
      </c>
      <c r="U1048" t="n">
        <v>8137.4565</v>
      </c>
      <c r="V1048" t="n">
        <v>-0.007974999999999999</v>
      </c>
      <c r="W1048" t="n">
        <v>0.477184</v>
      </c>
      <c r="X1048" t="inlineStr">
        <is>
          <t>High</t>
        </is>
      </c>
      <c r="Y1048" t="inlineStr">
        <is>
          <t>None</t>
        </is>
      </c>
      <c r="Z1048" t="inlineStr">
        <is>
          <t>Valid</t>
        </is>
      </c>
      <c r="AA1048" t="n">
        <v>2031</v>
      </c>
      <c r="AB1048" t="inlineStr">
        <is>
          <t>Supplier Target Pathway</t>
        </is>
      </c>
      <c r="AC1048" t="n">
        <v>16152.7618</v>
      </c>
      <c r="AD1048" t="n">
        <v>10676.9755</v>
      </c>
      <c r="AE1048" t="n">
        <v>10676.9755</v>
      </c>
      <c r="AF1048" t="n">
        <v>10676.9755</v>
      </c>
      <c r="AG1048" t="n">
        <v>5475.7863</v>
      </c>
      <c r="AH1048" t="n">
        <v>0.00054344</v>
      </c>
      <c r="AI1048" t="n">
        <v>0.339</v>
      </c>
      <c r="AJ1048" t="n">
        <v>0</v>
      </c>
      <c r="AK1048" t="n">
        <v>547.5786000000001</v>
      </c>
      <c r="AL1048" t="n">
        <v>-18890.6551</v>
      </c>
      <c r="AM1048" t="n">
        <v>82952.50810000001</v>
      </c>
      <c r="AN1048" t="n">
        <v>0.99</v>
      </c>
      <c r="AO1048" t="inlineStr">
        <is>
          <t>Low</t>
        </is>
      </c>
      <c r="AP1048" t="inlineStr">
        <is>
          <t>On Track</t>
        </is>
      </c>
    </row>
    <row r="1049">
      <c r="A1049" t="inlineStr">
        <is>
          <t>SUP-0066</t>
        </is>
      </c>
      <c r="B1049" t="inlineStr">
        <is>
          <t>Electronics Supplier 066</t>
        </is>
      </c>
      <c r="C1049" t="inlineStr">
        <is>
          <t>Electronics</t>
        </is>
      </c>
      <c r="D1049" t="n">
        <v>2024</v>
      </c>
      <c r="E1049" t="n">
        <v>2020</v>
      </c>
      <c r="F1049" t="n">
        <v>2030</v>
      </c>
      <c r="G1049" t="n">
        <v>17053.0904</v>
      </c>
      <c r="H1049" t="n">
        <v>3144.3067</v>
      </c>
      <c r="I1049" t="n">
        <v>2347.2066</v>
      </c>
      <c r="J1049" t="n">
        <v>11019.9071</v>
      </c>
      <c r="K1049" t="n">
        <v>19647049.39</v>
      </c>
      <c r="L1049" t="n">
        <v>180616239.14</v>
      </c>
      <c r="M1049" t="n">
        <v>17053.0904</v>
      </c>
      <c r="N1049" t="inlineStr">
        <is>
          <t>Provided Total Emissions</t>
        </is>
      </c>
      <c r="O1049" t="b">
        <v>1</v>
      </c>
      <c r="P1049" t="n">
        <v>0.013165</v>
      </c>
      <c r="Q1049" t="n">
        <v>0.0374</v>
      </c>
      <c r="R1049" t="n">
        <v>16917.0919</v>
      </c>
      <c r="S1049" t="n">
        <v>25190.5469</v>
      </c>
      <c r="T1049" t="n">
        <v>-135.9985</v>
      </c>
      <c r="U1049" t="n">
        <v>8137.4565</v>
      </c>
      <c r="V1049" t="n">
        <v>-0.007974999999999999</v>
      </c>
      <c r="W1049" t="n">
        <v>0.477184</v>
      </c>
      <c r="X1049" t="inlineStr">
        <is>
          <t>High</t>
        </is>
      </c>
      <c r="Y1049" t="inlineStr">
        <is>
          <t>None</t>
        </is>
      </c>
      <c r="Z1049" t="inlineStr">
        <is>
          <t>Valid</t>
        </is>
      </c>
      <c r="AA1049" t="n">
        <v>2032</v>
      </c>
      <c r="AB1049" t="inlineStr">
        <is>
          <t>Supplier Target Pathway</t>
        </is>
      </c>
      <c r="AC1049" t="n">
        <v>16152.7618</v>
      </c>
      <c r="AD1049" t="n">
        <v>10676.9755</v>
      </c>
      <c r="AE1049" t="n">
        <v>10676.9755</v>
      </c>
      <c r="AF1049" t="n">
        <v>10676.9755</v>
      </c>
      <c r="AG1049" t="n">
        <v>5475.7863</v>
      </c>
      <c r="AH1049" t="n">
        <v>0.00054344</v>
      </c>
      <c r="AI1049" t="n">
        <v>0.339</v>
      </c>
      <c r="AJ1049" t="n">
        <v>0</v>
      </c>
      <c r="AK1049" t="n">
        <v>547.5786000000001</v>
      </c>
      <c r="AL1049" t="n">
        <v>-29567.6306</v>
      </c>
      <c r="AM1049" t="n">
        <v>93629.48360000001</v>
      </c>
      <c r="AN1049" t="n">
        <v>0.99</v>
      </c>
      <c r="AO1049" t="inlineStr">
        <is>
          <t>Low</t>
        </is>
      </c>
      <c r="AP1049" t="inlineStr">
        <is>
          <t>On Track</t>
        </is>
      </c>
    </row>
    <row r="1050">
      <c r="A1050" t="inlineStr">
        <is>
          <t>SUP-0066</t>
        </is>
      </c>
      <c r="B1050" t="inlineStr">
        <is>
          <t>Electronics Supplier 066</t>
        </is>
      </c>
      <c r="C1050" t="inlineStr">
        <is>
          <t>Electronics</t>
        </is>
      </c>
      <c r="D1050" t="n">
        <v>2024</v>
      </c>
      <c r="E1050" t="n">
        <v>2020</v>
      </c>
      <c r="F1050" t="n">
        <v>2030</v>
      </c>
      <c r="G1050" t="n">
        <v>17053.0904</v>
      </c>
      <c r="H1050" t="n">
        <v>3144.3067</v>
      </c>
      <c r="I1050" t="n">
        <v>2347.2066</v>
      </c>
      <c r="J1050" t="n">
        <v>11019.9071</v>
      </c>
      <c r="K1050" t="n">
        <v>19647049.39</v>
      </c>
      <c r="L1050" t="n">
        <v>180616239.14</v>
      </c>
      <c r="M1050" t="n">
        <v>17053.0904</v>
      </c>
      <c r="N1050" t="inlineStr">
        <is>
          <t>Provided Total Emissions</t>
        </is>
      </c>
      <c r="O1050" t="b">
        <v>1</v>
      </c>
      <c r="P1050" t="n">
        <v>0.013165</v>
      </c>
      <c r="Q1050" t="n">
        <v>0.0374</v>
      </c>
      <c r="R1050" t="n">
        <v>16917.0919</v>
      </c>
      <c r="S1050" t="n">
        <v>25190.5469</v>
      </c>
      <c r="T1050" t="n">
        <v>-135.9985</v>
      </c>
      <c r="U1050" t="n">
        <v>8137.4565</v>
      </c>
      <c r="V1050" t="n">
        <v>-0.007974999999999999</v>
      </c>
      <c r="W1050" t="n">
        <v>0.477184</v>
      </c>
      <c r="X1050" t="inlineStr">
        <is>
          <t>High</t>
        </is>
      </c>
      <c r="Y1050" t="inlineStr">
        <is>
          <t>None</t>
        </is>
      </c>
      <c r="Z1050" t="inlineStr">
        <is>
          <t>Valid</t>
        </is>
      </c>
      <c r="AA1050" t="n">
        <v>2033</v>
      </c>
      <c r="AB1050" t="inlineStr">
        <is>
          <t>Supplier Target Pathway</t>
        </is>
      </c>
      <c r="AC1050" t="n">
        <v>16152.7618</v>
      </c>
      <c r="AD1050" t="n">
        <v>10676.9755</v>
      </c>
      <c r="AE1050" t="n">
        <v>10676.9755</v>
      </c>
      <c r="AF1050" t="n">
        <v>10676.9755</v>
      </c>
      <c r="AG1050" t="n">
        <v>5475.7863</v>
      </c>
      <c r="AH1050" t="n">
        <v>0.00054344</v>
      </c>
      <c r="AI1050" t="n">
        <v>0.339</v>
      </c>
      <c r="AJ1050" t="n">
        <v>0</v>
      </c>
      <c r="AK1050" t="n">
        <v>547.5786000000001</v>
      </c>
      <c r="AL1050" t="n">
        <v>-40244.6061</v>
      </c>
      <c r="AM1050" t="n">
        <v>104306.4591</v>
      </c>
      <c r="AN1050" t="n">
        <v>0.99</v>
      </c>
      <c r="AO1050" t="inlineStr">
        <is>
          <t>Low</t>
        </is>
      </c>
      <c r="AP1050" t="inlineStr">
        <is>
          <t>On Track</t>
        </is>
      </c>
    </row>
    <row r="1051">
      <c r="A1051" t="inlineStr">
        <is>
          <t>SUP-0066</t>
        </is>
      </c>
      <c r="B1051" t="inlineStr">
        <is>
          <t>Electronics Supplier 066</t>
        </is>
      </c>
      <c r="C1051" t="inlineStr">
        <is>
          <t>Electronics</t>
        </is>
      </c>
      <c r="D1051" t="n">
        <v>2024</v>
      </c>
      <c r="E1051" t="n">
        <v>2020</v>
      </c>
      <c r="F1051" t="n">
        <v>2030</v>
      </c>
      <c r="G1051" t="n">
        <v>17053.0904</v>
      </c>
      <c r="H1051" t="n">
        <v>3144.3067</v>
      </c>
      <c r="I1051" t="n">
        <v>2347.2066</v>
      </c>
      <c r="J1051" t="n">
        <v>11019.9071</v>
      </c>
      <c r="K1051" t="n">
        <v>19647049.39</v>
      </c>
      <c r="L1051" t="n">
        <v>180616239.14</v>
      </c>
      <c r="M1051" t="n">
        <v>17053.0904</v>
      </c>
      <c r="N1051" t="inlineStr">
        <is>
          <t>Provided Total Emissions</t>
        </is>
      </c>
      <c r="O1051" t="b">
        <v>1</v>
      </c>
      <c r="P1051" t="n">
        <v>0.013165</v>
      </c>
      <c r="Q1051" t="n">
        <v>0.0374</v>
      </c>
      <c r="R1051" t="n">
        <v>16917.0919</v>
      </c>
      <c r="S1051" t="n">
        <v>25190.5469</v>
      </c>
      <c r="T1051" t="n">
        <v>-135.9985</v>
      </c>
      <c r="U1051" t="n">
        <v>8137.4565</v>
      </c>
      <c r="V1051" t="n">
        <v>-0.007974999999999999</v>
      </c>
      <c r="W1051" t="n">
        <v>0.477184</v>
      </c>
      <c r="X1051" t="inlineStr">
        <is>
          <t>High</t>
        </is>
      </c>
      <c r="Y1051" t="inlineStr">
        <is>
          <t>None</t>
        </is>
      </c>
      <c r="Z1051" t="inlineStr">
        <is>
          <t>Valid</t>
        </is>
      </c>
      <c r="AA1051" t="n">
        <v>2034</v>
      </c>
      <c r="AB1051" t="inlineStr">
        <is>
          <t>Supplier Target Pathway</t>
        </is>
      </c>
      <c r="AC1051" t="n">
        <v>16152.7618</v>
      </c>
      <c r="AD1051" t="n">
        <v>10676.9755</v>
      </c>
      <c r="AE1051" t="n">
        <v>10676.9755</v>
      </c>
      <c r="AF1051" t="n">
        <v>10676.9755</v>
      </c>
      <c r="AG1051" t="n">
        <v>5475.7863</v>
      </c>
      <c r="AH1051" t="n">
        <v>0.00054344</v>
      </c>
      <c r="AI1051" t="n">
        <v>0.339</v>
      </c>
      <c r="AJ1051" t="n">
        <v>0</v>
      </c>
      <c r="AK1051" t="n">
        <v>547.5786000000001</v>
      </c>
      <c r="AL1051" t="n">
        <v>-50921.5816</v>
      </c>
      <c r="AM1051" t="n">
        <v>114983.4346</v>
      </c>
      <c r="AN1051" t="n">
        <v>0.99</v>
      </c>
      <c r="AO1051" t="inlineStr">
        <is>
          <t>Low</t>
        </is>
      </c>
      <c r="AP1051" t="inlineStr">
        <is>
          <t>On Track</t>
        </is>
      </c>
    </row>
    <row r="1052">
      <c r="A1052" t="inlineStr">
        <is>
          <t>SUP-0066</t>
        </is>
      </c>
      <c r="B1052" t="inlineStr">
        <is>
          <t>Electronics Supplier 066</t>
        </is>
      </c>
      <c r="C1052" t="inlineStr">
        <is>
          <t>Electronics</t>
        </is>
      </c>
      <c r="D1052" t="n">
        <v>2024</v>
      </c>
      <c r="E1052" t="n">
        <v>2020</v>
      </c>
      <c r="F1052" t="n">
        <v>2030</v>
      </c>
      <c r="G1052" t="n">
        <v>17053.0904</v>
      </c>
      <c r="H1052" t="n">
        <v>3144.3067</v>
      </c>
      <c r="I1052" t="n">
        <v>2347.2066</v>
      </c>
      <c r="J1052" t="n">
        <v>11019.9071</v>
      </c>
      <c r="K1052" t="n">
        <v>19647049.39</v>
      </c>
      <c r="L1052" t="n">
        <v>180616239.14</v>
      </c>
      <c r="M1052" t="n">
        <v>17053.0904</v>
      </c>
      <c r="N1052" t="inlineStr">
        <is>
          <t>Provided Total Emissions</t>
        </is>
      </c>
      <c r="O1052" t="b">
        <v>1</v>
      </c>
      <c r="P1052" t="n">
        <v>0.013165</v>
      </c>
      <c r="Q1052" t="n">
        <v>0.0374</v>
      </c>
      <c r="R1052" t="n">
        <v>16917.0919</v>
      </c>
      <c r="S1052" t="n">
        <v>25190.5469</v>
      </c>
      <c r="T1052" t="n">
        <v>-135.9985</v>
      </c>
      <c r="U1052" t="n">
        <v>8137.4565</v>
      </c>
      <c r="V1052" t="n">
        <v>-0.007974999999999999</v>
      </c>
      <c r="W1052" t="n">
        <v>0.477184</v>
      </c>
      <c r="X1052" t="inlineStr">
        <is>
          <t>High</t>
        </is>
      </c>
      <c r="Y1052" t="inlineStr">
        <is>
          <t>None</t>
        </is>
      </c>
      <c r="Z1052" t="inlineStr">
        <is>
          <t>Valid</t>
        </is>
      </c>
      <c r="AA1052" t="n">
        <v>2035</v>
      </c>
      <c r="AB1052" t="inlineStr">
        <is>
          <t>Supplier Target Pathway</t>
        </is>
      </c>
      <c r="AC1052" t="n">
        <v>16152.7618</v>
      </c>
      <c r="AD1052" t="n">
        <v>10676.9755</v>
      </c>
      <c r="AE1052" t="n">
        <v>10676.9755</v>
      </c>
      <c r="AF1052" t="n">
        <v>10676.9755</v>
      </c>
      <c r="AG1052" t="n">
        <v>5475.7863</v>
      </c>
      <c r="AH1052" t="n">
        <v>0.00054344</v>
      </c>
      <c r="AI1052" t="n">
        <v>0.339</v>
      </c>
      <c r="AJ1052" t="n">
        <v>0</v>
      </c>
      <c r="AK1052" t="n">
        <v>547.5786000000001</v>
      </c>
      <c r="AL1052" t="n">
        <v>-61598.5571</v>
      </c>
      <c r="AM1052" t="n">
        <v>125660.4101</v>
      </c>
      <c r="AN1052" t="n">
        <v>0.99</v>
      </c>
      <c r="AO1052" t="inlineStr">
        <is>
          <t>Low</t>
        </is>
      </c>
      <c r="AP1052" t="inlineStr">
        <is>
          <t>On Track</t>
        </is>
      </c>
    </row>
    <row r="1053">
      <c r="A1053" t="inlineStr">
        <is>
          <t>SUP-0066</t>
        </is>
      </c>
      <c r="B1053" t="inlineStr">
        <is>
          <t>Electronics Supplier 066</t>
        </is>
      </c>
      <c r="C1053" t="inlineStr">
        <is>
          <t>Electronics</t>
        </is>
      </c>
      <c r="D1053" t="n">
        <v>2024</v>
      </c>
      <c r="E1053" t="n">
        <v>2020</v>
      </c>
      <c r="F1053" t="n">
        <v>2030</v>
      </c>
      <c r="G1053" t="n">
        <v>17053.0904</v>
      </c>
      <c r="H1053" t="n">
        <v>3144.3067</v>
      </c>
      <c r="I1053" t="n">
        <v>2347.2066</v>
      </c>
      <c r="J1053" t="n">
        <v>11019.9071</v>
      </c>
      <c r="K1053" t="n">
        <v>19647049.39</v>
      </c>
      <c r="L1053" t="n">
        <v>180616239.14</v>
      </c>
      <c r="M1053" t="n">
        <v>17053.0904</v>
      </c>
      <c r="N1053" t="inlineStr">
        <is>
          <t>Provided Total Emissions</t>
        </is>
      </c>
      <c r="O1053" t="b">
        <v>1</v>
      </c>
      <c r="P1053" t="n">
        <v>0.013165</v>
      </c>
      <c r="Q1053" t="n">
        <v>0.0374</v>
      </c>
      <c r="R1053" t="n">
        <v>16917.0919</v>
      </c>
      <c r="S1053" t="n">
        <v>25190.5469</v>
      </c>
      <c r="T1053" t="n">
        <v>-135.9985</v>
      </c>
      <c r="U1053" t="n">
        <v>8137.4565</v>
      </c>
      <c r="V1053" t="n">
        <v>-0.007974999999999999</v>
      </c>
      <c r="W1053" t="n">
        <v>0.477184</v>
      </c>
      <c r="X1053" t="inlineStr">
        <is>
          <t>High</t>
        </is>
      </c>
      <c r="Y1053" t="inlineStr">
        <is>
          <t>None</t>
        </is>
      </c>
      <c r="Z1053" t="inlineStr">
        <is>
          <t>Valid</t>
        </is>
      </c>
      <c r="AA1053" t="n">
        <v>2036</v>
      </c>
      <c r="AB1053" t="inlineStr">
        <is>
          <t>Supplier Target Pathway</t>
        </is>
      </c>
      <c r="AC1053" t="n">
        <v>16152.7618</v>
      </c>
      <c r="AD1053" t="n">
        <v>10676.9755</v>
      </c>
      <c r="AE1053" t="n">
        <v>10676.9755</v>
      </c>
      <c r="AF1053" t="n">
        <v>10676.9755</v>
      </c>
      <c r="AG1053" t="n">
        <v>5475.7863</v>
      </c>
      <c r="AH1053" t="n">
        <v>0.00054344</v>
      </c>
      <c r="AI1053" t="n">
        <v>0.339</v>
      </c>
      <c r="AJ1053" t="n">
        <v>0</v>
      </c>
      <c r="AK1053" t="n">
        <v>547.5786000000001</v>
      </c>
      <c r="AL1053" t="n">
        <v>-72275.53260000001</v>
      </c>
      <c r="AM1053" t="n">
        <v>136337.3856</v>
      </c>
      <c r="AN1053" t="n">
        <v>0.99</v>
      </c>
      <c r="AO1053" t="inlineStr">
        <is>
          <t>Low</t>
        </is>
      </c>
      <c r="AP1053" t="inlineStr">
        <is>
          <t>On Track</t>
        </is>
      </c>
    </row>
    <row r="1054">
      <c r="A1054" t="inlineStr">
        <is>
          <t>SUP-0066</t>
        </is>
      </c>
      <c r="B1054" t="inlineStr">
        <is>
          <t>Electronics Supplier 066</t>
        </is>
      </c>
      <c r="C1054" t="inlineStr">
        <is>
          <t>Electronics</t>
        </is>
      </c>
      <c r="D1054" t="n">
        <v>2024</v>
      </c>
      <c r="E1054" t="n">
        <v>2020</v>
      </c>
      <c r="F1054" t="n">
        <v>2030</v>
      </c>
      <c r="G1054" t="n">
        <v>17053.0904</v>
      </c>
      <c r="H1054" t="n">
        <v>3144.3067</v>
      </c>
      <c r="I1054" t="n">
        <v>2347.2066</v>
      </c>
      <c r="J1054" t="n">
        <v>11019.9071</v>
      </c>
      <c r="K1054" t="n">
        <v>19647049.39</v>
      </c>
      <c r="L1054" t="n">
        <v>180616239.14</v>
      </c>
      <c r="M1054" t="n">
        <v>17053.0904</v>
      </c>
      <c r="N1054" t="inlineStr">
        <is>
          <t>Provided Total Emissions</t>
        </is>
      </c>
      <c r="O1054" t="b">
        <v>1</v>
      </c>
      <c r="P1054" t="n">
        <v>0.013165</v>
      </c>
      <c r="Q1054" t="n">
        <v>0.0374</v>
      </c>
      <c r="R1054" t="n">
        <v>16917.0919</v>
      </c>
      <c r="S1054" t="n">
        <v>25190.5469</v>
      </c>
      <c r="T1054" t="n">
        <v>-135.9985</v>
      </c>
      <c r="U1054" t="n">
        <v>8137.4565</v>
      </c>
      <c r="V1054" t="n">
        <v>-0.007974999999999999</v>
      </c>
      <c r="W1054" t="n">
        <v>0.477184</v>
      </c>
      <c r="X1054" t="inlineStr">
        <is>
          <t>High</t>
        </is>
      </c>
      <c r="Y1054" t="inlineStr">
        <is>
          <t>None</t>
        </is>
      </c>
      <c r="Z1054" t="inlineStr">
        <is>
          <t>Valid</t>
        </is>
      </c>
      <c r="AA1054" t="n">
        <v>2037</v>
      </c>
      <c r="AB1054" t="inlineStr">
        <is>
          <t>Supplier Target Pathway</t>
        </is>
      </c>
      <c r="AC1054" t="n">
        <v>16152.7618</v>
      </c>
      <c r="AD1054" t="n">
        <v>10676.9755</v>
      </c>
      <c r="AE1054" t="n">
        <v>10676.9755</v>
      </c>
      <c r="AF1054" t="n">
        <v>10676.9755</v>
      </c>
      <c r="AG1054" t="n">
        <v>5475.7863</v>
      </c>
      <c r="AH1054" t="n">
        <v>0.00054344</v>
      </c>
      <c r="AI1054" t="n">
        <v>0.339</v>
      </c>
      <c r="AJ1054" t="n">
        <v>0</v>
      </c>
      <c r="AK1054" t="n">
        <v>547.5786000000001</v>
      </c>
      <c r="AL1054" t="n">
        <v>-82952.50810000001</v>
      </c>
      <c r="AM1054" t="n">
        <v>147014.3611</v>
      </c>
      <c r="AN1054" t="n">
        <v>0.99</v>
      </c>
      <c r="AO1054" t="inlineStr">
        <is>
          <t>Low</t>
        </is>
      </c>
      <c r="AP1054" t="inlineStr">
        <is>
          <t>On Track</t>
        </is>
      </c>
    </row>
    <row r="1055">
      <c r="A1055" t="inlineStr">
        <is>
          <t>SUP-0066</t>
        </is>
      </c>
      <c r="B1055" t="inlineStr">
        <is>
          <t>Electronics Supplier 066</t>
        </is>
      </c>
      <c r="C1055" t="inlineStr">
        <is>
          <t>Electronics</t>
        </is>
      </c>
      <c r="D1055" t="n">
        <v>2024</v>
      </c>
      <c r="E1055" t="n">
        <v>2020</v>
      </c>
      <c r="F1055" t="n">
        <v>2030</v>
      </c>
      <c r="G1055" t="n">
        <v>17053.0904</v>
      </c>
      <c r="H1055" t="n">
        <v>3144.3067</v>
      </c>
      <c r="I1055" t="n">
        <v>2347.2066</v>
      </c>
      <c r="J1055" t="n">
        <v>11019.9071</v>
      </c>
      <c r="K1055" t="n">
        <v>19647049.39</v>
      </c>
      <c r="L1055" t="n">
        <v>180616239.14</v>
      </c>
      <c r="M1055" t="n">
        <v>17053.0904</v>
      </c>
      <c r="N1055" t="inlineStr">
        <is>
          <t>Provided Total Emissions</t>
        </is>
      </c>
      <c r="O1055" t="b">
        <v>1</v>
      </c>
      <c r="P1055" t="n">
        <v>0.013165</v>
      </c>
      <c r="Q1055" t="n">
        <v>0.0374</v>
      </c>
      <c r="R1055" t="n">
        <v>16917.0919</v>
      </c>
      <c r="S1055" t="n">
        <v>25190.5469</v>
      </c>
      <c r="T1055" t="n">
        <v>-135.9985</v>
      </c>
      <c r="U1055" t="n">
        <v>8137.4565</v>
      </c>
      <c r="V1055" t="n">
        <v>-0.007974999999999999</v>
      </c>
      <c r="W1055" t="n">
        <v>0.477184</v>
      </c>
      <c r="X1055" t="inlineStr">
        <is>
          <t>High</t>
        </is>
      </c>
      <c r="Y1055" t="inlineStr">
        <is>
          <t>None</t>
        </is>
      </c>
      <c r="Z1055" t="inlineStr">
        <is>
          <t>Valid</t>
        </is>
      </c>
      <c r="AA1055" t="n">
        <v>2038</v>
      </c>
      <c r="AB1055" t="inlineStr">
        <is>
          <t>Supplier Target Pathway</t>
        </is>
      </c>
      <c r="AC1055" t="n">
        <v>16152.7618</v>
      </c>
      <c r="AD1055" t="n">
        <v>10676.9755</v>
      </c>
      <c r="AE1055" t="n">
        <v>10676.9755</v>
      </c>
      <c r="AF1055" t="n">
        <v>10676.9755</v>
      </c>
      <c r="AG1055" t="n">
        <v>5475.7863</v>
      </c>
      <c r="AH1055" t="n">
        <v>0.00054344</v>
      </c>
      <c r="AI1055" t="n">
        <v>0.339</v>
      </c>
      <c r="AJ1055" t="n">
        <v>0</v>
      </c>
      <c r="AK1055" t="n">
        <v>547.5786000000001</v>
      </c>
      <c r="AL1055" t="n">
        <v>-93629.48360000001</v>
      </c>
      <c r="AM1055" t="n">
        <v>157691.3366</v>
      </c>
      <c r="AN1055" t="n">
        <v>0.99</v>
      </c>
      <c r="AO1055" t="inlineStr">
        <is>
          <t>Low</t>
        </is>
      </c>
      <c r="AP1055" t="inlineStr">
        <is>
          <t>On Track</t>
        </is>
      </c>
    </row>
    <row r="1056">
      <c r="A1056" t="inlineStr">
        <is>
          <t>SUP-0066</t>
        </is>
      </c>
      <c r="B1056" t="inlineStr">
        <is>
          <t>Electronics Supplier 066</t>
        </is>
      </c>
      <c r="C1056" t="inlineStr">
        <is>
          <t>Electronics</t>
        </is>
      </c>
      <c r="D1056" t="n">
        <v>2024</v>
      </c>
      <c r="E1056" t="n">
        <v>2020</v>
      </c>
      <c r="F1056" t="n">
        <v>2030</v>
      </c>
      <c r="G1056" t="n">
        <v>17053.0904</v>
      </c>
      <c r="H1056" t="n">
        <v>3144.3067</v>
      </c>
      <c r="I1056" t="n">
        <v>2347.2066</v>
      </c>
      <c r="J1056" t="n">
        <v>11019.9071</v>
      </c>
      <c r="K1056" t="n">
        <v>19647049.39</v>
      </c>
      <c r="L1056" t="n">
        <v>180616239.14</v>
      </c>
      <c r="M1056" t="n">
        <v>17053.0904</v>
      </c>
      <c r="N1056" t="inlineStr">
        <is>
          <t>Provided Total Emissions</t>
        </is>
      </c>
      <c r="O1056" t="b">
        <v>1</v>
      </c>
      <c r="P1056" t="n">
        <v>0.013165</v>
      </c>
      <c r="Q1056" t="n">
        <v>0.0374</v>
      </c>
      <c r="R1056" t="n">
        <v>16917.0919</v>
      </c>
      <c r="S1056" t="n">
        <v>25190.5469</v>
      </c>
      <c r="T1056" t="n">
        <v>-135.9985</v>
      </c>
      <c r="U1056" t="n">
        <v>8137.4565</v>
      </c>
      <c r="V1056" t="n">
        <v>-0.007974999999999999</v>
      </c>
      <c r="W1056" t="n">
        <v>0.477184</v>
      </c>
      <c r="X1056" t="inlineStr">
        <is>
          <t>High</t>
        </is>
      </c>
      <c r="Y1056" t="inlineStr">
        <is>
          <t>None</t>
        </is>
      </c>
      <c r="Z1056" t="inlineStr">
        <is>
          <t>Valid</t>
        </is>
      </c>
      <c r="AA1056" t="n">
        <v>2039</v>
      </c>
      <c r="AB1056" t="inlineStr">
        <is>
          <t>Supplier Target Pathway</t>
        </is>
      </c>
      <c r="AC1056" t="n">
        <v>16152.7618</v>
      </c>
      <c r="AD1056" t="n">
        <v>10676.9755</v>
      </c>
      <c r="AE1056" t="n">
        <v>10676.9755</v>
      </c>
      <c r="AF1056" t="n">
        <v>10676.9755</v>
      </c>
      <c r="AG1056" t="n">
        <v>5475.7863</v>
      </c>
      <c r="AH1056" t="n">
        <v>0.00054344</v>
      </c>
      <c r="AI1056" t="n">
        <v>0.339</v>
      </c>
      <c r="AJ1056" t="n">
        <v>0</v>
      </c>
      <c r="AK1056" t="n">
        <v>547.5786000000001</v>
      </c>
      <c r="AL1056" t="n">
        <v>-104306.4591</v>
      </c>
      <c r="AM1056" t="n">
        <v>168368.3121</v>
      </c>
      <c r="AN1056" t="n">
        <v>0.99</v>
      </c>
      <c r="AO1056" t="inlineStr">
        <is>
          <t>Low</t>
        </is>
      </c>
      <c r="AP1056" t="inlineStr">
        <is>
          <t>On Track</t>
        </is>
      </c>
    </row>
    <row r="1057">
      <c r="A1057" t="inlineStr">
        <is>
          <t>SUP-0066</t>
        </is>
      </c>
      <c r="B1057" t="inlineStr">
        <is>
          <t>Electronics Supplier 066</t>
        </is>
      </c>
      <c r="C1057" t="inlineStr">
        <is>
          <t>Electronics</t>
        </is>
      </c>
      <c r="D1057" t="n">
        <v>2024</v>
      </c>
      <c r="E1057" t="n">
        <v>2020</v>
      </c>
      <c r="F1057" t="n">
        <v>2030</v>
      </c>
      <c r="G1057" t="n">
        <v>17053.0904</v>
      </c>
      <c r="H1057" t="n">
        <v>3144.3067</v>
      </c>
      <c r="I1057" t="n">
        <v>2347.2066</v>
      </c>
      <c r="J1057" t="n">
        <v>11019.9071</v>
      </c>
      <c r="K1057" t="n">
        <v>19647049.39</v>
      </c>
      <c r="L1057" t="n">
        <v>180616239.14</v>
      </c>
      <c r="M1057" t="n">
        <v>17053.0904</v>
      </c>
      <c r="N1057" t="inlineStr">
        <is>
          <t>Provided Total Emissions</t>
        </is>
      </c>
      <c r="O1057" t="b">
        <v>1</v>
      </c>
      <c r="P1057" t="n">
        <v>0.013165</v>
      </c>
      <c r="Q1057" t="n">
        <v>0.0374</v>
      </c>
      <c r="R1057" t="n">
        <v>16917.0919</v>
      </c>
      <c r="S1057" t="n">
        <v>25190.5469</v>
      </c>
      <c r="T1057" t="n">
        <v>-135.9985</v>
      </c>
      <c r="U1057" t="n">
        <v>8137.4565</v>
      </c>
      <c r="V1057" t="n">
        <v>-0.007974999999999999</v>
      </c>
      <c r="W1057" t="n">
        <v>0.477184</v>
      </c>
      <c r="X1057" t="inlineStr">
        <is>
          <t>High</t>
        </is>
      </c>
      <c r="Y1057" t="inlineStr">
        <is>
          <t>None</t>
        </is>
      </c>
      <c r="Z1057" t="inlineStr">
        <is>
          <t>Valid</t>
        </is>
      </c>
      <c r="AA1057" t="n">
        <v>2040</v>
      </c>
      <c r="AB1057" t="inlineStr">
        <is>
          <t>Supplier Target Pathway</t>
        </is>
      </c>
      <c r="AC1057" t="n">
        <v>16152.7618</v>
      </c>
      <c r="AD1057" t="n">
        <v>10676.9755</v>
      </c>
      <c r="AE1057" t="n">
        <v>10676.9755</v>
      </c>
      <c r="AF1057" t="n">
        <v>10676.9755</v>
      </c>
      <c r="AG1057" t="n">
        <v>5475.7863</v>
      </c>
      <c r="AH1057" t="n">
        <v>0.00054344</v>
      </c>
      <c r="AI1057" t="n">
        <v>0.339</v>
      </c>
      <c r="AJ1057" t="n">
        <v>0</v>
      </c>
      <c r="AK1057" t="n">
        <v>547.5786000000001</v>
      </c>
      <c r="AL1057" t="n">
        <v>-114983.4346</v>
      </c>
      <c r="AM1057" t="n">
        <v>179045.2876</v>
      </c>
      <c r="AN1057" t="n">
        <v>0.99</v>
      </c>
      <c r="AO1057" t="inlineStr">
        <is>
          <t>Low</t>
        </is>
      </c>
      <c r="AP1057" t="inlineStr">
        <is>
          <t>On Track</t>
        </is>
      </c>
    </row>
    <row r="1058">
      <c r="A1058" t="inlineStr">
        <is>
          <t>SUP-0067</t>
        </is>
      </c>
      <c r="B1058" t="inlineStr">
        <is>
          <t>Professional Supplier 067</t>
        </is>
      </c>
      <c r="C1058" t="inlineStr">
        <is>
          <t>Professional Services</t>
        </is>
      </c>
      <c r="D1058" t="n">
        <v>2024</v>
      </c>
      <c r="E1058" t="n">
        <v>2015</v>
      </c>
      <c r="F1058" t="n">
        <v>2040</v>
      </c>
      <c r="G1058" t="n">
        <v>1476.7146</v>
      </c>
      <c r="H1058" t="n">
        <v>295.2488</v>
      </c>
      <c r="I1058" t="n">
        <v>192.0735</v>
      </c>
      <c r="J1058" t="n">
        <v>897.9854</v>
      </c>
      <c r="K1058" t="n">
        <v>21150301.34</v>
      </c>
      <c r="L1058" t="n">
        <v>151276455.11</v>
      </c>
      <c r="M1058" t="n">
        <v>1476.7146</v>
      </c>
      <c r="N1058" t="inlineStr">
        <is>
          <t>Provided Total Emissions</t>
        </is>
      </c>
      <c r="O1058" t="b">
        <v>1</v>
      </c>
      <c r="P1058" t="n">
        <v>0.022875</v>
      </c>
      <c r="Q1058" t="n">
        <v>0.086331</v>
      </c>
      <c r="R1058" t="n">
        <v>2729.6579</v>
      </c>
      <c r="S1058" t="n">
        <v>29737.9255</v>
      </c>
      <c r="T1058" t="n">
        <v>1252.9433</v>
      </c>
      <c r="U1058" t="n">
        <v>28261.2109</v>
      </c>
      <c r="V1058" t="n">
        <v>0.848467</v>
      </c>
      <c r="W1058" t="n">
        <v>19.137896</v>
      </c>
      <c r="X1058" t="inlineStr">
        <is>
          <t>High</t>
        </is>
      </c>
      <c r="Y1058" t="inlineStr">
        <is>
          <t>None</t>
        </is>
      </c>
      <c r="Z1058" t="inlineStr">
        <is>
          <t>Valid</t>
        </is>
      </c>
      <c r="AA1058" t="n">
        <v>2025</v>
      </c>
      <c r="AB1058" t="inlineStr">
        <is>
          <t>Historical Trend Pathway</t>
        </is>
      </c>
      <c r="AC1058" t="n">
        <v>1204.742</v>
      </c>
      <c r="AD1058" t="n">
        <v>1144.5049</v>
      </c>
      <c r="AE1058" t="n">
        <v>1543.2917</v>
      </c>
      <c r="AF1058" t="n">
        <v>1180.6472</v>
      </c>
      <c r="AG1058" t="n">
        <v>-338.5497</v>
      </c>
      <c r="AH1058" t="n">
        <v>7.297e-05</v>
      </c>
      <c r="AI1058" t="n">
        <v>-0.281014</v>
      </c>
      <c r="AJ1058" t="n">
        <v>398.7868</v>
      </c>
      <c r="AK1058" t="n">
        <v>2.4095</v>
      </c>
      <c r="AL1058" t="n">
        <v>16768.7867</v>
      </c>
      <c r="AM1058" t="n">
        <v>1543.2917</v>
      </c>
      <c r="AN1058" t="n">
        <v>0.88</v>
      </c>
      <c r="AO1058" t="inlineStr">
        <is>
          <t>High</t>
        </is>
      </c>
      <c r="AP1058" t="inlineStr">
        <is>
          <t>Off Track</t>
        </is>
      </c>
    </row>
    <row r="1059">
      <c r="A1059" t="inlineStr">
        <is>
          <t>SUP-0067</t>
        </is>
      </c>
      <c r="B1059" t="inlineStr">
        <is>
          <t>Professional Supplier 067</t>
        </is>
      </c>
      <c r="C1059" t="inlineStr">
        <is>
          <t>Professional Services</t>
        </is>
      </c>
      <c r="D1059" t="n">
        <v>2024</v>
      </c>
      <c r="E1059" t="n">
        <v>2015</v>
      </c>
      <c r="F1059" t="n">
        <v>2040</v>
      </c>
      <c r="G1059" t="n">
        <v>1476.7146</v>
      </c>
      <c r="H1059" t="n">
        <v>295.2488</v>
      </c>
      <c r="I1059" t="n">
        <v>192.0735</v>
      </c>
      <c r="J1059" t="n">
        <v>897.9854</v>
      </c>
      <c r="K1059" t="n">
        <v>21150301.34</v>
      </c>
      <c r="L1059" t="n">
        <v>151276455.11</v>
      </c>
      <c r="M1059" t="n">
        <v>1476.7146</v>
      </c>
      <c r="N1059" t="inlineStr">
        <is>
          <t>Provided Total Emissions</t>
        </is>
      </c>
      <c r="O1059" t="b">
        <v>1</v>
      </c>
      <c r="P1059" t="n">
        <v>0.022875</v>
      </c>
      <c r="Q1059" t="n">
        <v>0.086331</v>
      </c>
      <c r="R1059" t="n">
        <v>2729.6579</v>
      </c>
      <c r="S1059" t="n">
        <v>29737.9255</v>
      </c>
      <c r="T1059" t="n">
        <v>1252.9433</v>
      </c>
      <c r="U1059" t="n">
        <v>28261.2109</v>
      </c>
      <c r="V1059" t="n">
        <v>0.848467</v>
      </c>
      <c r="W1059" t="n">
        <v>19.137896</v>
      </c>
      <c r="X1059" t="inlineStr">
        <is>
          <t>High</t>
        </is>
      </c>
      <c r="Y1059" t="inlineStr">
        <is>
          <t>None</t>
        </is>
      </c>
      <c r="Z1059" t="inlineStr">
        <is>
          <t>Valid</t>
        </is>
      </c>
      <c r="AA1059" t="n">
        <v>2026</v>
      </c>
      <c r="AB1059" t="inlineStr">
        <is>
          <t>Historical Trend Pathway</t>
        </is>
      </c>
      <c r="AC1059" t="n">
        <v>1204.742</v>
      </c>
      <c r="AD1059" t="n">
        <v>1144.5049</v>
      </c>
      <c r="AE1059" t="n">
        <v>1612.8704</v>
      </c>
      <c r="AF1059" t="n">
        <v>1178.2377</v>
      </c>
      <c r="AG1059" t="n">
        <v>-408.1284</v>
      </c>
      <c r="AH1059" t="n">
        <v>7.626000000000001e-05</v>
      </c>
      <c r="AI1059" t="n">
        <v>-0.338768</v>
      </c>
      <c r="AJ1059" t="n">
        <v>468.3655</v>
      </c>
      <c r="AK1059" t="n">
        <v>2.4095</v>
      </c>
      <c r="AL1059" t="n">
        <v>15155.9163</v>
      </c>
      <c r="AM1059" t="n">
        <v>3156.1621</v>
      </c>
      <c r="AN1059" t="n">
        <v>0.88</v>
      </c>
      <c r="AO1059" t="inlineStr">
        <is>
          <t>Critical</t>
        </is>
      </c>
      <c r="AP1059" t="inlineStr">
        <is>
          <t>Off Track</t>
        </is>
      </c>
    </row>
    <row r="1060">
      <c r="A1060" t="inlineStr">
        <is>
          <t>SUP-0067</t>
        </is>
      </c>
      <c r="B1060" t="inlineStr">
        <is>
          <t>Professional Supplier 067</t>
        </is>
      </c>
      <c r="C1060" t="inlineStr">
        <is>
          <t>Professional Services</t>
        </is>
      </c>
      <c r="D1060" t="n">
        <v>2024</v>
      </c>
      <c r="E1060" t="n">
        <v>2015</v>
      </c>
      <c r="F1060" t="n">
        <v>2040</v>
      </c>
      <c r="G1060" t="n">
        <v>1476.7146</v>
      </c>
      <c r="H1060" t="n">
        <v>295.2488</v>
      </c>
      <c r="I1060" t="n">
        <v>192.0735</v>
      </c>
      <c r="J1060" t="n">
        <v>897.9854</v>
      </c>
      <c r="K1060" t="n">
        <v>21150301.34</v>
      </c>
      <c r="L1060" t="n">
        <v>151276455.11</v>
      </c>
      <c r="M1060" t="n">
        <v>1476.7146</v>
      </c>
      <c r="N1060" t="inlineStr">
        <is>
          <t>Provided Total Emissions</t>
        </is>
      </c>
      <c r="O1060" t="b">
        <v>1</v>
      </c>
      <c r="P1060" t="n">
        <v>0.022875</v>
      </c>
      <c r="Q1060" t="n">
        <v>0.086331</v>
      </c>
      <c r="R1060" t="n">
        <v>2729.6579</v>
      </c>
      <c r="S1060" t="n">
        <v>29737.9255</v>
      </c>
      <c r="T1060" t="n">
        <v>1252.9433</v>
      </c>
      <c r="U1060" t="n">
        <v>28261.2109</v>
      </c>
      <c r="V1060" t="n">
        <v>0.848467</v>
      </c>
      <c r="W1060" t="n">
        <v>19.137896</v>
      </c>
      <c r="X1060" t="inlineStr">
        <is>
          <t>High</t>
        </is>
      </c>
      <c r="Y1060" t="inlineStr">
        <is>
          <t>None</t>
        </is>
      </c>
      <c r="Z1060" t="inlineStr">
        <is>
          <t>Valid</t>
        </is>
      </c>
      <c r="AA1060" t="n">
        <v>2027</v>
      </c>
      <c r="AB1060" t="inlineStr">
        <is>
          <t>Historical Trend Pathway</t>
        </is>
      </c>
      <c r="AC1060" t="n">
        <v>1204.742</v>
      </c>
      <c r="AD1060" t="n">
        <v>1144.5049</v>
      </c>
      <c r="AE1060" t="n">
        <v>1685.586</v>
      </c>
      <c r="AF1060" t="n">
        <v>1175.8282</v>
      </c>
      <c r="AG1060" t="n">
        <v>-480.844</v>
      </c>
      <c r="AH1060" t="n">
        <v>7.97e-05</v>
      </c>
      <c r="AI1060" t="n">
        <v>-0.399126</v>
      </c>
      <c r="AJ1060" t="n">
        <v>541.0811</v>
      </c>
      <c r="AK1060" t="n">
        <v>2.4095</v>
      </c>
      <c r="AL1060" t="n">
        <v>13470.3303</v>
      </c>
      <c r="AM1060" t="n">
        <v>4841.7481</v>
      </c>
      <c r="AN1060" t="n">
        <v>0.88</v>
      </c>
      <c r="AO1060" t="inlineStr">
        <is>
          <t>Critical</t>
        </is>
      </c>
      <c r="AP1060" t="inlineStr">
        <is>
          <t>Off Track</t>
        </is>
      </c>
    </row>
    <row r="1061">
      <c r="A1061" t="inlineStr">
        <is>
          <t>SUP-0067</t>
        </is>
      </c>
      <c r="B1061" t="inlineStr">
        <is>
          <t>Professional Supplier 067</t>
        </is>
      </c>
      <c r="C1061" t="inlineStr">
        <is>
          <t>Professional Services</t>
        </is>
      </c>
      <c r="D1061" t="n">
        <v>2024</v>
      </c>
      <c r="E1061" t="n">
        <v>2015</v>
      </c>
      <c r="F1061" t="n">
        <v>2040</v>
      </c>
      <c r="G1061" t="n">
        <v>1476.7146</v>
      </c>
      <c r="H1061" t="n">
        <v>295.2488</v>
      </c>
      <c r="I1061" t="n">
        <v>192.0735</v>
      </c>
      <c r="J1061" t="n">
        <v>897.9854</v>
      </c>
      <c r="K1061" t="n">
        <v>21150301.34</v>
      </c>
      <c r="L1061" t="n">
        <v>151276455.11</v>
      </c>
      <c r="M1061" t="n">
        <v>1476.7146</v>
      </c>
      <c r="N1061" t="inlineStr">
        <is>
          <t>Provided Total Emissions</t>
        </is>
      </c>
      <c r="O1061" t="b">
        <v>1</v>
      </c>
      <c r="P1061" t="n">
        <v>0.022875</v>
      </c>
      <c r="Q1061" t="n">
        <v>0.086331</v>
      </c>
      <c r="R1061" t="n">
        <v>2729.6579</v>
      </c>
      <c r="S1061" t="n">
        <v>29737.9255</v>
      </c>
      <c r="T1061" t="n">
        <v>1252.9433</v>
      </c>
      <c r="U1061" t="n">
        <v>28261.2109</v>
      </c>
      <c r="V1061" t="n">
        <v>0.848467</v>
      </c>
      <c r="W1061" t="n">
        <v>19.137896</v>
      </c>
      <c r="X1061" t="inlineStr">
        <is>
          <t>High</t>
        </is>
      </c>
      <c r="Y1061" t="inlineStr">
        <is>
          <t>None</t>
        </is>
      </c>
      <c r="Z1061" t="inlineStr">
        <is>
          <t>Valid</t>
        </is>
      </c>
      <c r="AA1061" t="n">
        <v>2028</v>
      </c>
      <c r="AB1061" t="inlineStr">
        <is>
          <t>Historical Trend Pathway</t>
        </is>
      </c>
      <c r="AC1061" t="n">
        <v>1204.742</v>
      </c>
      <c r="AD1061" t="n">
        <v>1144.5049</v>
      </c>
      <c r="AE1061" t="n">
        <v>1761.58</v>
      </c>
      <c r="AF1061" t="n">
        <v>1173.4187</v>
      </c>
      <c r="AG1061" t="n">
        <v>-556.838</v>
      </c>
      <c r="AH1061" t="n">
        <v>8.329e-05</v>
      </c>
      <c r="AI1061" t="n">
        <v>-0.462205</v>
      </c>
      <c r="AJ1061" t="n">
        <v>617.0751</v>
      </c>
      <c r="AK1061" t="n">
        <v>2.4095</v>
      </c>
      <c r="AL1061" t="n">
        <v>11708.7503</v>
      </c>
      <c r="AM1061" t="n">
        <v>6603.3281</v>
      </c>
      <c r="AN1061" t="n">
        <v>0.88</v>
      </c>
      <c r="AO1061" t="inlineStr">
        <is>
          <t>Critical</t>
        </is>
      </c>
      <c r="AP1061" t="inlineStr">
        <is>
          <t>Off Track</t>
        </is>
      </c>
    </row>
    <row r="1062">
      <c r="A1062" t="inlineStr">
        <is>
          <t>SUP-0067</t>
        </is>
      </c>
      <c r="B1062" t="inlineStr">
        <is>
          <t>Professional Supplier 067</t>
        </is>
      </c>
      <c r="C1062" t="inlineStr">
        <is>
          <t>Professional Services</t>
        </is>
      </c>
      <c r="D1062" t="n">
        <v>2024</v>
      </c>
      <c r="E1062" t="n">
        <v>2015</v>
      </c>
      <c r="F1062" t="n">
        <v>2040</v>
      </c>
      <c r="G1062" t="n">
        <v>1476.7146</v>
      </c>
      <c r="H1062" t="n">
        <v>295.2488</v>
      </c>
      <c r="I1062" t="n">
        <v>192.0735</v>
      </c>
      <c r="J1062" t="n">
        <v>897.9854</v>
      </c>
      <c r="K1062" t="n">
        <v>21150301.34</v>
      </c>
      <c r="L1062" t="n">
        <v>151276455.11</v>
      </c>
      <c r="M1062" t="n">
        <v>1476.7146</v>
      </c>
      <c r="N1062" t="inlineStr">
        <is>
          <t>Provided Total Emissions</t>
        </is>
      </c>
      <c r="O1062" t="b">
        <v>1</v>
      </c>
      <c r="P1062" t="n">
        <v>0.022875</v>
      </c>
      <c r="Q1062" t="n">
        <v>0.086331</v>
      </c>
      <c r="R1062" t="n">
        <v>2729.6579</v>
      </c>
      <c r="S1062" t="n">
        <v>29737.9255</v>
      </c>
      <c r="T1062" t="n">
        <v>1252.9433</v>
      </c>
      <c r="U1062" t="n">
        <v>28261.2109</v>
      </c>
      <c r="V1062" t="n">
        <v>0.848467</v>
      </c>
      <c r="W1062" t="n">
        <v>19.137896</v>
      </c>
      <c r="X1062" t="inlineStr">
        <is>
          <t>High</t>
        </is>
      </c>
      <c r="Y1062" t="inlineStr">
        <is>
          <t>None</t>
        </is>
      </c>
      <c r="Z1062" t="inlineStr">
        <is>
          <t>Valid</t>
        </is>
      </c>
      <c r="AA1062" t="n">
        <v>2029</v>
      </c>
      <c r="AB1062" t="inlineStr">
        <is>
          <t>Historical Trend Pathway</t>
        </is>
      </c>
      <c r="AC1062" t="n">
        <v>1204.742</v>
      </c>
      <c r="AD1062" t="n">
        <v>1144.5049</v>
      </c>
      <c r="AE1062" t="n">
        <v>1841.0001</v>
      </c>
      <c r="AF1062" t="n">
        <v>1171.0092</v>
      </c>
      <c r="AG1062" t="n">
        <v>-636.2581</v>
      </c>
      <c r="AH1062" t="n">
        <v>8.703999999999999e-05</v>
      </c>
      <c r="AI1062" t="n">
        <v>-0.528128</v>
      </c>
      <c r="AJ1062" t="n">
        <v>696.4952</v>
      </c>
      <c r="AK1062" t="n">
        <v>2.4095</v>
      </c>
      <c r="AL1062" t="n">
        <v>9867.7502</v>
      </c>
      <c r="AM1062" t="n">
        <v>8444.3282</v>
      </c>
      <c r="AN1062" t="n">
        <v>0.88</v>
      </c>
      <c r="AO1062" t="inlineStr">
        <is>
          <t>Critical</t>
        </is>
      </c>
      <c r="AP1062" t="inlineStr">
        <is>
          <t>Off Track</t>
        </is>
      </c>
    </row>
    <row r="1063">
      <c r="A1063" t="inlineStr">
        <is>
          <t>SUP-0067</t>
        </is>
      </c>
      <c r="B1063" t="inlineStr">
        <is>
          <t>Professional Supplier 067</t>
        </is>
      </c>
      <c r="C1063" t="inlineStr">
        <is>
          <t>Professional Services</t>
        </is>
      </c>
      <c r="D1063" t="n">
        <v>2024</v>
      </c>
      <c r="E1063" t="n">
        <v>2015</v>
      </c>
      <c r="F1063" t="n">
        <v>2040</v>
      </c>
      <c r="G1063" t="n">
        <v>1476.7146</v>
      </c>
      <c r="H1063" t="n">
        <v>295.2488</v>
      </c>
      <c r="I1063" t="n">
        <v>192.0735</v>
      </c>
      <c r="J1063" t="n">
        <v>897.9854</v>
      </c>
      <c r="K1063" t="n">
        <v>21150301.34</v>
      </c>
      <c r="L1063" t="n">
        <v>151276455.11</v>
      </c>
      <c r="M1063" t="n">
        <v>1476.7146</v>
      </c>
      <c r="N1063" t="inlineStr">
        <is>
          <t>Provided Total Emissions</t>
        </is>
      </c>
      <c r="O1063" t="b">
        <v>1</v>
      </c>
      <c r="P1063" t="n">
        <v>0.022875</v>
      </c>
      <c r="Q1063" t="n">
        <v>0.086331</v>
      </c>
      <c r="R1063" t="n">
        <v>2729.6579</v>
      </c>
      <c r="S1063" t="n">
        <v>29737.9255</v>
      </c>
      <c r="T1063" t="n">
        <v>1252.9433</v>
      </c>
      <c r="U1063" t="n">
        <v>28261.2109</v>
      </c>
      <c r="V1063" t="n">
        <v>0.848467</v>
      </c>
      <c r="W1063" t="n">
        <v>19.137896</v>
      </c>
      <c r="X1063" t="inlineStr">
        <is>
          <t>High</t>
        </is>
      </c>
      <c r="Y1063" t="inlineStr">
        <is>
          <t>None</t>
        </is>
      </c>
      <c r="Z1063" t="inlineStr">
        <is>
          <t>Valid</t>
        </is>
      </c>
      <c r="AA1063" t="n">
        <v>2030</v>
      </c>
      <c r="AB1063" t="inlineStr">
        <is>
          <t>Historical Trend Pathway</t>
        </is>
      </c>
      <c r="AC1063" t="n">
        <v>1204.742</v>
      </c>
      <c r="AD1063" t="n">
        <v>1144.5049</v>
      </c>
      <c r="AE1063" t="n">
        <v>1924.0008</v>
      </c>
      <c r="AF1063" t="n">
        <v>1168.5997</v>
      </c>
      <c r="AG1063" t="n">
        <v>-719.2588</v>
      </c>
      <c r="AH1063" t="n">
        <v>9.097e-05</v>
      </c>
      <c r="AI1063" t="n">
        <v>-0.597023</v>
      </c>
      <c r="AJ1063" t="n">
        <v>779.4959</v>
      </c>
      <c r="AK1063" t="n">
        <v>2.4095</v>
      </c>
      <c r="AL1063" t="n">
        <v>7943.7494</v>
      </c>
      <c r="AM1063" t="n">
        <v>10368.329</v>
      </c>
      <c r="AN1063" t="n">
        <v>0.88</v>
      </c>
      <c r="AO1063" t="inlineStr">
        <is>
          <t>Critical</t>
        </is>
      </c>
      <c r="AP1063" t="inlineStr">
        <is>
          <t>Off Track</t>
        </is>
      </c>
    </row>
    <row r="1064">
      <c r="A1064" t="inlineStr">
        <is>
          <t>SUP-0067</t>
        </is>
      </c>
      <c r="B1064" t="inlineStr">
        <is>
          <t>Professional Supplier 067</t>
        </is>
      </c>
      <c r="C1064" t="inlineStr">
        <is>
          <t>Professional Services</t>
        </is>
      </c>
      <c r="D1064" t="n">
        <v>2024</v>
      </c>
      <c r="E1064" t="n">
        <v>2015</v>
      </c>
      <c r="F1064" t="n">
        <v>2040</v>
      </c>
      <c r="G1064" t="n">
        <v>1476.7146</v>
      </c>
      <c r="H1064" t="n">
        <v>295.2488</v>
      </c>
      <c r="I1064" t="n">
        <v>192.0735</v>
      </c>
      <c r="J1064" t="n">
        <v>897.9854</v>
      </c>
      <c r="K1064" t="n">
        <v>21150301.34</v>
      </c>
      <c r="L1064" t="n">
        <v>151276455.11</v>
      </c>
      <c r="M1064" t="n">
        <v>1476.7146</v>
      </c>
      <c r="N1064" t="inlineStr">
        <is>
          <t>Provided Total Emissions</t>
        </is>
      </c>
      <c r="O1064" t="b">
        <v>1</v>
      </c>
      <c r="P1064" t="n">
        <v>0.022875</v>
      </c>
      <c r="Q1064" t="n">
        <v>0.086331</v>
      </c>
      <c r="R1064" t="n">
        <v>2729.6579</v>
      </c>
      <c r="S1064" t="n">
        <v>29737.9255</v>
      </c>
      <c r="T1064" t="n">
        <v>1252.9433</v>
      </c>
      <c r="U1064" t="n">
        <v>28261.2109</v>
      </c>
      <c r="V1064" t="n">
        <v>0.848467</v>
      </c>
      <c r="W1064" t="n">
        <v>19.137896</v>
      </c>
      <c r="X1064" t="inlineStr">
        <is>
          <t>High</t>
        </is>
      </c>
      <c r="Y1064" t="inlineStr">
        <is>
          <t>None</t>
        </is>
      </c>
      <c r="Z1064" t="inlineStr">
        <is>
          <t>Valid</t>
        </is>
      </c>
      <c r="AA1064" t="n">
        <v>2031</v>
      </c>
      <c r="AB1064" t="inlineStr">
        <is>
          <t>Historical Trend Pathway</t>
        </is>
      </c>
      <c r="AC1064" t="n">
        <v>1204.742</v>
      </c>
      <c r="AD1064" t="n">
        <v>1144.5049</v>
      </c>
      <c r="AE1064" t="n">
        <v>2010.7437</v>
      </c>
      <c r="AF1064" t="n">
        <v>1166.1903</v>
      </c>
      <c r="AG1064" t="n">
        <v>-806.0017</v>
      </c>
      <c r="AH1064" t="n">
        <v>9.507e-05</v>
      </c>
      <c r="AI1064" t="n">
        <v>-0.669024</v>
      </c>
      <c r="AJ1064" t="n">
        <v>866.2388</v>
      </c>
      <c r="AK1064" t="n">
        <v>2.4095</v>
      </c>
      <c r="AL1064" t="n">
        <v>5933.0057</v>
      </c>
      <c r="AM1064" t="n">
        <v>12379.0727</v>
      </c>
      <c r="AN1064" t="n">
        <v>0.88</v>
      </c>
      <c r="AO1064" t="inlineStr">
        <is>
          <t>Critical</t>
        </is>
      </c>
      <c r="AP1064" t="inlineStr">
        <is>
          <t>Off Track</t>
        </is>
      </c>
    </row>
    <row r="1065">
      <c r="A1065" t="inlineStr">
        <is>
          <t>SUP-0067</t>
        </is>
      </c>
      <c r="B1065" t="inlineStr">
        <is>
          <t>Professional Supplier 067</t>
        </is>
      </c>
      <c r="C1065" t="inlineStr">
        <is>
          <t>Professional Services</t>
        </is>
      </c>
      <c r="D1065" t="n">
        <v>2024</v>
      </c>
      <c r="E1065" t="n">
        <v>2015</v>
      </c>
      <c r="F1065" t="n">
        <v>2040</v>
      </c>
      <c r="G1065" t="n">
        <v>1476.7146</v>
      </c>
      <c r="H1065" t="n">
        <v>295.2488</v>
      </c>
      <c r="I1065" t="n">
        <v>192.0735</v>
      </c>
      <c r="J1065" t="n">
        <v>897.9854</v>
      </c>
      <c r="K1065" t="n">
        <v>21150301.34</v>
      </c>
      <c r="L1065" t="n">
        <v>151276455.11</v>
      </c>
      <c r="M1065" t="n">
        <v>1476.7146</v>
      </c>
      <c r="N1065" t="inlineStr">
        <is>
          <t>Provided Total Emissions</t>
        </is>
      </c>
      <c r="O1065" t="b">
        <v>1</v>
      </c>
      <c r="P1065" t="n">
        <v>0.022875</v>
      </c>
      <c r="Q1065" t="n">
        <v>0.086331</v>
      </c>
      <c r="R1065" t="n">
        <v>2729.6579</v>
      </c>
      <c r="S1065" t="n">
        <v>29737.9255</v>
      </c>
      <c r="T1065" t="n">
        <v>1252.9433</v>
      </c>
      <c r="U1065" t="n">
        <v>28261.2109</v>
      </c>
      <c r="V1065" t="n">
        <v>0.848467</v>
      </c>
      <c r="W1065" t="n">
        <v>19.137896</v>
      </c>
      <c r="X1065" t="inlineStr">
        <is>
          <t>High</t>
        </is>
      </c>
      <c r="Y1065" t="inlineStr">
        <is>
          <t>None</t>
        </is>
      </c>
      <c r="Z1065" t="inlineStr">
        <is>
          <t>Valid</t>
        </is>
      </c>
      <c r="AA1065" t="n">
        <v>2032</v>
      </c>
      <c r="AB1065" t="inlineStr">
        <is>
          <t>Historical Trend Pathway</t>
        </is>
      </c>
      <c r="AC1065" t="n">
        <v>1204.742</v>
      </c>
      <c r="AD1065" t="n">
        <v>1144.5049</v>
      </c>
      <c r="AE1065" t="n">
        <v>2101.3972</v>
      </c>
      <c r="AF1065" t="n">
        <v>1163.7808</v>
      </c>
      <c r="AG1065" t="n">
        <v>-896.6552</v>
      </c>
      <c r="AH1065" t="n">
        <v>9.936e-05</v>
      </c>
      <c r="AI1065" t="n">
        <v>-0.744272</v>
      </c>
      <c r="AJ1065" t="n">
        <v>956.8923</v>
      </c>
      <c r="AK1065" t="n">
        <v>2.4095</v>
      </c>
      <c r="AL1065" t="n">
        <v>3831.6085</v>
      </c>
      <c r="AM1065" t="n">
        <v>14480.4699</v>
      </c>
      <c r="AN1065" t="n">
        <v>0.88</v>
      </c>
      <c r="AO1065" t="inlineStr">
        <is>
          <t>Critical</t>
        </is>
      </c>
      <c r="AP1065" t="inlineStr">
        <is>
          <t>Off Track</t>
        </is>
      </c>
    </row>
    <row r="1066">
      <c r="A1066" t="inlineStr">
        <is>
          <t>SUP-0067</t>
        </is>
      </c>
      <c r="B1066" t="inlineStr">
        <is>
          <t>Professional Supplier 067</t>
        </is>
      </c>
      <c r="C1066" t="inlineStr">
        <is>
          <t>Professional Services</t>
        </is>
      </c>
      <c r="D1066" t="n">
        <v>2024</v>
      </c>
      <c r="E1066" t="n">
        <v>2015</v>
      </c>
      <c r="F1066" t="n">
        <v>2040</v>
      </c>
      <c r="G1066" t="n">
        <v>1476.7146</v>
      </c>
      <c r="H1066" t="n">
        <v>295.2488</v>
      </c>
      <c r="I1066" t="n">
        <v>192.0735</v>
      </c>
      <c r="J1066" t="n">
        <v>897.9854</v>
      </c>
      <c r="K1066" t="n">
        <v>21150301.34</v>
      </c>
      <c r="L1066" t="n">
        <v>151276455.11</v>
      </c>
      <c r="M1066" t="n">
        <v>1476.7146</v>
      </c>
      <c r="N1066" t="inlineStr">
        <is>
          <t>Provided Total Emissions</t>
        </is>
      </c>
      <c r="O1066" t="b">
        <v>1</v>
      </c>
      <c r="P1066" t="n">
        <v>0.022875</v>
      </c>
      <c r="Q1066" t="n">
        <v>0.086331</v>
      </c>
      <c r="R1066" t="n">
        <v>2729.6579</v>
      </c>
      <c r="S1066" t="n">
        <v>29737.9255</v>
      </c>
      <c r="T1066" t="n">
        <v>1252.9433</v>
      </c>
      <c r="U1066" t="n">
        <v>28261.2109</v>
      </c>
      <c r="V1066" t="n">
        <v>0.848467</v>
      </c>
      <c r="W1066" t="n">
        <v>19.137896</v>
      </c>
      <c r="X1066" t="inlineStr">
        <is>
          <t>High</t>
        </is>
      </c>
      <c r="Y1066" t="inlineStr">
        <is>
          <t>None</t>
        </is>
      </c>
      <c r="Z1066" t="inlineStr">
        <is>
          <t>Valid</t>
        </is>
      </c>
      <c r="AA1066" t="n">
        <v>2033</v>
      </c>
      <c r="AB1066" t="inlineStr">
        <is>
          <t>Historical Trend Pathway</t>
        </is>
      </c>
      <c r="AC1066" t="n">
        <v>1204.742</v>
      </c>
      <c r="AD1066" t="n">
        <v>1144.5049</v>
      </c>
      <c r="AE1066" t="n">
        <v>2196.1379</v>
      </c>
      <c r="AF1066" t="n">
        <v>1161.3713</v>
      </c>
      <c r="AG1066" t="n">
        <v>-991.3959</v>
      </c>
      <c r="AH1066" t="n">
        <v>0.00010383</v>
      </c>
      <c r="AI1066" t="n">
        <v>-0.8229109999999999</v>
      </c>
      <c r="AJ1066" t="n">
        <v>1051.633</v>
      </c>
      <c r="AK1066" t="n">
        <v>2.4095</v>
      </c>
      <c r="AL1066" t="n">
        <v>1635.4706</v>
      </c>
      <c r="AM1066" t="n">
        <v>16676.6078</v>
      </c>
      <c r="AN1066" t="n">
        <v>0.88</v>
      </c>
      <c r="AO1066" t="inlineStr">
        <is>
          <t>Critical</t>
        </is>
      </c>
      <c r="AP1066" t="inlineStr">
        <is>
          <t>Off Track</t>
        </is>
      </c>
    </row>
    <row r="1067">
      <c r="A1067" t="inlineStr">
        <is>
          <t>SUP-0067</t>
        </is>
      </c>
      <c r="B1067" t="inlineStr">
        <is>
          <t>Professional Supplier 067</t>
        </is>
      </c>
      <c r="C1067" t="inlineStr">
        <is>
          <t>Professional Services</t>
        </is>
      </c>
      <c r="D1067" t="n">
        <v>2024</v>
      </c>
      <c r="E1067" t="n">
        <v>2015</v>
      </c>
      <c r="F1067" t="n">
        <v>2040</v>
      </c>
      <c r="G1067" t="n">
        <v>1476.7146</v>
      </c>
      <c r="H1067" t="n">
        <v>295.2488</v>
      </c>
      <c r="I1067" t="n">
        <v>192.0735</v>
      </c>
      <c r="J1067" t="n">
        <v>897.9854</v>
      </c>
      <c r="K1067" t="n">
        <v>21150301.34</v>
      </c>
      <c r="L1067" t="n">
        <v>151276455.11</v>
      </c>
      <c r="M1067" t="n">
        <v>1476.7146</v>
      </c>
      <c r="N1067" t="inlineStr">
        <is>
          <t>Provided Total Emissions</t>
        </is>
      </c>
      <c r="O1067" t="b">
        <v>1</v>
      </c>
      <c r="P1067" t="n">
        <v>0.022875</v>
      </c>
      <c r="Q1067" t="n">
        <v>0.086331</v>
      </c>
      <c r="R1067" t="n">
        <v>2729.6579</v>
      </c>
      <c r="S1067" t="n">
        <v>29737.9255</v>
      </c>
      <c r="T1067" t="n">
        <v>1252.9433</v>
      </c>
      <c r="U1067" t="n">
        <v>28261.2109</v>
      </c>
      <c r="V1067" t="n">
        <v>0.848467</v>
      </c>
      <c r="W1067" t="n">
        <v>19.137896</v>
      </c>
      <c r="X1067" t="inlineStr">
        <is>
          <t>High</t>
        </is>
      </c>
      <c r="Y1067" t="inlineStr">
        <is>
          <t>None</t>
        </is>
      </c>
      <c r="Z1067" t="inlineStr">
        <is>
          <t>Valid</t>
        </is>
      </c>
      <c r="AA1067" t="n">
        <v>2034</v>
      </c>
      <c r="AB1067" t="inlineStr">
        <is>
          <t>Historical Trend Pathway</t>
        </is>
      </c>
      <c r="AC1067" t="n">
        <v>1204.742</v>
      </c>
      <c r="AD1067" t="n">
        <v>1144.5049</v>
      </c>
      <c r="AE1067" t="n">
        <v>2295.1499</v>
      </c>
      <c r="AF1067" t="n">
        <v>1158.9618</v>
      </c>
      <c r="AG1067" t="n">
        <v>-1090.4079</v>
      </c>
      <c r="AH1067" t="n">
        <v>0.00010852</v>
      </c>
      <c r="AI1067" t="n">
        <v>-0.905097</v>
      </c>
      <c r="AJ1067" t="n">
        <v>1150.645</v>
      </c>
      <c r="AK1067" t="n">
        <v>2.4095</v>
      </c>
      <c r="AL1067" t="n">
        <v>-659.6793</v>
      </c>
      <c r="AM1067" t="n">
        <v>18971.7577</v>
      </c>
      <c r="AN1067" t="n">
        <v>0.88</v>
      </c>
      <c r="AO1067" t="inlineStr">
        <is>
          <t>Critical</t>
        </is>
      </c>
      <c r="AP1067" t="inlineStr">
        <is>
          <t>Off Track</t>
        </is>
      </c>
    </row>
    <row r="1068">
      <c r="A1068" t="inlineStr">
        <is>
          <t>SUP-0067</t>
        </is>
      </c>
      <c r="B1068" t="inlineStr">
        <is>
          <t>Professional Supplier 067</t>
        </is>
      </c>
      <c r="C1068" t="inlineStr">
        <is>
          <t>Professional Services</t>
        </is>
      </c>
      <c r="D1068" t="n">
        <v>2024</v>
      </c>
      <c r="E1068" t="n">
        <v>2015</v>
      </c>
      <c r="F1068" t="n">
        <v>2040</v>
      </c>
      <c r="G1068" t="n">
        <v>1476.7146</v>
      </c>
      <c r="H1068" t="n">
        <v>295.2488</v>
      </c>
      <c r="I1068" t="n">
        <v>192.0735</v>
      </c>
      <c r="J1068" t="n">
        <v>897.9854</v>
      </c>
      <c r="K1068" t="n">
        <v>21150301.34</v>
      </c>
      <c r="L1068" t="n">
        <v>151276455.11</v>
      </c>
      <c r="M1068" t="n">
        <v>1476.7146</v>
      </c>
      <c r="N1068" t="inlineStr">
        <is>
          <t>Provided Total Emissions</t>
        </is>
      </c>
      <c r="O1068" t="b">
        <v>1</v>
      </c>
      <c r="P1068" t="n">
        <v>0.022875</v>
      </c>
      <c r="Q1068" t="n">
        <v>0.086331</v>
      </c>
      <c r="R1068" t="n">
        <v>2729.6579</v>
      </c>
      <c r="S1068" t="n">
        <v>29737.9255</v>
      </c>
      <c r="T1068" t="n">
        <v>1252.9433</v>
      </c>
      <c r="U1068" t="n">
        <v>28261.2109</v>
      </c>
      <c r="V1068" t="n">
        <v>0.848467</v>
      </c>
      <c r="W1068" t="n">
        <v>19.137896</v>
      </c>
      <c r="X1068" t="inlineStr">
        <is>
          <t>High</t>
        </is>
      </c>
      <c r="Y1068" t="inlineStr">
        <is>
          <t>None</t>
        </is>
      </c>
      <c r="Z1068" t="inlineStr">
        <is>
          <t>Valid</t>
        </is>
      </c>
      <c r="AA1068" t="n">
        <v>2035</v>
      </c>
      <c r="AB1068" t="inlineStr">
        <is>
          <t>Historical Trend Pathway</t>
        </is>
      </c>
      <c r="AC1068" t="n">
        <v>1204.742</v>
      </c>
      <c r="AD1068" t="n">
        <v>1144.5049</v>
      </c>
      <c r="AE1068" t="n">
        <v>2398.6258</v>
      </c>
      <c r="AF1068" t="n">
        <v>1156.5523</v>
      </c>
      <c r="AG1068" t="n">
        <v>-1193.8838</v>
      </c>
      <c r="AH1068" t="n">
        <v>0.00011341</v>
      </c>
      <c r="AI1068" t="n">
        <v>-0.990987</v>
      </c>
      <c r="AJ1068" t="n">
        <v>1254.1209</v>
      </c>
      <c r="AK1068" t="n">
        <v>2.4095</v>
      </c>
      <c r="AL1068" t="n">
        <v>-3058.3051</v>
      </c>
      <c r="AM1068" t="n">
        <v>21370.3835</v>
      </c>
      <c r="AN1068" t="n">
        <v>0.88</v>
      </c>
      <c r="AO1068" t="inlineStr">
        <is>
          <t>Critical</t>
        </is>
      </c>
      <c r="AP1068" t="inlineStr">
        <is>
          <t>Off Track</t>
        </is>
      </c>
    </row>
    <row r="1069">
      <c r="A1069" t="inlineStr">
        <is>
          <t>SUP-0067</t>
        </is>
      </c>
      <c r="B1069" t="inlineStr">
        <is>
          <t>Professional Supplier 067</t>
        </is>
      </c>
      <c r="C1069" t="inlineStr">
        <is>
          <t>Professional Services</t>
        </is>
      </c>
      <c r="D1069" t="n">
        <v>2024</v>
      </c>
      <c r="E1069" t="n">
        <v>2015</v>
      </c>
      <c r="F1069" t="n">
        <v>2040</v>
      </c>
      <c r="G1069" t="n">
        <v>1476.7146</v>
      </c>
      <c r="H1069" t="n">
        <v>295.2488</v>
      </c>
      <c r="I1069" t="n">
        <v>192.0735</v>
      </c>
      <c r="J1069" t="n">
        <v>897.9854</v>
      </c>
      <c r="K1069" t="n">
        <v>21150301.34</v>
      </c>
      <c r="L1069" t="n">
        <v>151276455.11</v>
      </c>
      <c r="M1069" t="n">
        <v>1476.7146</v>
      </c>
      <c r="N1069" t="inlineStr">
        <is>
          <t>Provided Total Emissions</t>
        </is>
      </c>
      <c r="O1069" t="b">
        <v>1</v>
      </c>
      <c r="P1069" t="n">
        <v>0.022875</v>
      </c>
      <c r="Q1069" t="n">
        <v>0.086331</v>
      </c>
      <c r="R1069" t="n">
        <v>2729.6579</v>
      </c>
      <c r="S1069" t="n">
        <v>29737.9255</v>
      </c>
      <c r="T1069" t="n">
        <v>1252.9433</v>
      </c>
      <c r="U1069" t="n">
        <v>28261.2109</v>
      </c>
      <c r="V1069" t="n">
        <v>0.848467</v>
      </c>
      <c r="W1069" t="n">
        <v>19.137896</v>
      </c>
      <c r="X1069" t="inlineStr">
        <is>
          <t>High</t>
        </is>
      </c>
      <c r="Y1069" t="inlineStr">
        <is>
          <t>None</t>
        </is>
      </c>
      <c r="Z1069" t="inlineStr">
        <is>
          <t>Valid</t>
        </is>
      </c>
      <c r="AA1069" t="n">
        <v>2036</v>
      </c>
      <c r="AB1069" t="inlineStr">
        <is>
          <t>Historical Trend Pathway</t>
        </is>
      </c>
      <c r="AC1069" t="n">
        <v>1204.742</v>
      </c>
      <c r="AD1069" t="n">
        <v>1144.5049</v>
      </c>
      <c r="AE1069" t="n">
        <v>2506.7669</v>
      </c>
      <c r="AF1069" t="n">
        <v>1154.1428</v>
      </c>
      <c r="AG1069" t="n">
        <v>-1302.0249</v>
      </c>
      <c r="AH1069" t="n">
        <v>0.00011852</v>
      </c>
      <c r="AI1069" t="n">
        <v>-1.08075</v>
      </c>
      <c r="AJ1069" t="n">
        <v>1362.262</v>
      </c>
      <c r="AK1069" t="n">
        <v>2.4095</v>
      </c>
      <c r="AL1069" t="n">
        <v>-5565.072</v>
      </c>
      <c r="AM1069" t="n">
        <v>23877.1504</v>
      </c>
      <c r="AN1069" t="n">
        <v>0.88</v>
      </c>
      <c r="AO1069" t="inlineStr">
        <is>
          <t>Critical</t>
        </is>
      </c>
      <c r="AP1069" t="inlineStr">
        <is>
          <t>Off Track</t>
        </is>
      </c>
    </row>
    <row r="1070">
      <c r="A1070" t="inlineStr">
        <is>
          <t>SUP-0067</t>
        </is>
      </c>
      <c r="B1070" t="inlineStr">
        <is>
          <t>Professional Supplier 067</t>
        </is>
      </c>
      <c r="C1070" t="inlineStr">
        <is>
          <t>Professional Services</t>
        </is>
      </c>
      <c r="D1070" t="n">
        <v>2024</v>
      </c>
      <c r="E1070" t="n">
        <v>2015</v>
      </c>
      <c r="F1070" t="n">
        <v>2040</v>
      </c>
      <c r="G1070" t="n">
        <v>1476.7146</v>
      </c>
      <c r="H1070" t="n">
        <v>295.2488</v>
      </c>
      <c r="I1070" t="n">
        <v>192.0735</v>
      </c>
      <c r="J1070" t="n">
        <v>897.9854</v>
      </c>
      <c r="K1070" t="n">
        <v>21150301.34</v>
      </c>
      <c r="L1070" t="n">
        <v>151276455.11</v>
      </c>
      <c r="M1070" t="n">
        <v>1476.7146</v>
      </c>
      <c r="N1070" t="inlineStr">
        <is>
          <t>Provided Total Emissions</t>
        </is>
      </c>
      <c r="O1070" t="b">
        <v>1</v>
      </c>
      <c r="P1070" t="n">
        <v>0.022875</v>
      </c>
      <c r="Q1070" t="n">
        <v>0.086331</v>
      </c>
      <c r="R1070" t="n">
        <v>2729.6579</v>
      </c>
      <c r="S1070" t="n">
        <v>29737.9255</v>
      </c>
      <c r="T1070" t="n">
        <v>1252.9433</v>
      </c>
      <c r="U1070" t="n">
        <v>28261.2109</v>
      </c>
      <c r="V1070" t="n">
        <v>0.848467</v>
      </c>
      <c r="W1070" t="n">
        <v>19.137896</v>
      </c>
      <c r="X1070" t="inlineStr">
        <is>
          <t>High</t>
        </is>
      </c>
      <c r="Y1070" t="inlineStr">
        <is>
          <t>None</t>
        </is>
      </c>
      <c r="Z1070" t="inlineStr">
        <is>
          <t>Valid</t>
        </is>
      </c>
      <c r="AA1070" t="n">
        <v>2037</v>
      </c>
      <c r="AB1070" t="inlineStr">
        <is>
          <t>Historical Trend Pathway</t>
        </is>
      </c>
      <c r="AC1070" t="n">
        <v>1204.742</v>
      </c>
      <c r="AD1070" t="n">
        <v>1144.5049</v>
      </c>
      <c r="AE1070" t="n">
        <v>2619.7835</v>
      </c>
      <c r="AF1070" t="n">
        <v>1151.7334</v>
      </c>
      <c r="AG1070" t="n">
        <v>-1415.0415</v>
      </c>
      <c r="AH1070" t="n">
        <v>0.00012387</v>
      </c>
      <c r="AI1070" t="n">
        <v>-1.17456</v>
      </c>
      <c r="AJ1070" t="n">
        <v>1475.2786</v>
      </c>
      <c r="AK1070" t="n">
        <v>2.4095</v>
      </c>
      <c r="AL1070" t="n">
        <v>-8184.8555</v>
      </c>
      <c r="AM1070" t="n">
        <v>26496.9339</v>
      </c>
      <c r="AN1070" t="n">
        <v>0.88</v>
      </c>
      <c r="AO1070" t="inlineStr">
        <is>
          <t>Critical</t>
        </is>
      </c>
      <c r="AP1070" t="inlineStr">
        <is>
          <t>Off Track</t>
        </is>
      </c>
    </row>
    <row r="1071">
      <c r="A1071" t="inlineStr">
        <is>
          <t>SUP-0067</t>
        </is>
      </c>
      <c r="B1071" t="inlineStr">
        <is>
          <t>Professional Supplier 067</t>
        </is>
      </c>
      <c r="C1071" t="inlineStr">
        <is>
          <t>Professional Services</t>
        </is>
      </c>
      <c r="D1071" t="n">
        <v>2024</v>
      </c>
      <c r="E1071" t="n">
        <v>2015</v>
      </c>
      <c r="F1071" t="n">
        <v>2040</v>
      </c>
      <c r="G1071" t="n">
        <v>1476.7146</v>
      </c>
      <c r="H1071" t="n">
        <v>295.2488</v>
      </c>
      <c r="I1071" t="n">
        <v>192.0735</v>
      </c>
      <c r="J1071" t="n">
        <v>897.9854</v>
      </c>
      <c r="K1071" t="n">
        <v>21150301.34</v>
      </c>
      <c r="L1071" t="n">
        <v>151276455.11</v>
      </c>
      <c r="M1071" t="n">
        <v>1476.7146</v>
      </c>
      <c r="N1071" t="inlineStr">
        <is>
          <t>Provided Total Emissions</t>
        </is>
      </c>
      <c r="O1071" t="b">
        <v>1</v>
      </c>
      <c r="P1071" t="n">
        <v>0.022875</v>
      </c>
      <c r="Q1071" t="n">
        <v>0.086331</v>
      </c>
      <c r="R1071" t="n">
        <v>2729.6579</v>
      </c>
      <c r="S1071" t="n">
        <v>29737.9255</v>
      </c>
      <c r="T1071" t="n">
        <v>1252.9433</v>
      </c>
      <c r="U1071" t="n">
        <v>28261.2109</v>
      </c>
      <c r="V1071" t="n">
        <v>0.848467</v>
      </c>
      <c r="W1071" t="n">
        <v>19.137896</v>
      </c>
      <c r="X1071" t="inlineStr">
        <is>
          <t>High</t>
        </is>
      </c>
      <c r="Y1071" t="inlineStr">
        <is>
          <t>None</t>
        </is>
      </c>
      <c r="Z1071" t="inlineStr">
        <is>
          <t>Valid</t>
        </is>
      </c>
      <c r="AA1071" t="n">
        <v>2038</v>
      </c>
      <c r="AB1071" t="inlineStr">
        <is>
          <t>Historical Trend Pathway</t>
        </is>
      </c>
      <c r="AC1071" t="n">
        <v>1204.742</v>
      </c>
      <c r="AD1071" t="n">
        <v>1144.5049</v>
      </c>
      <c r="AE1071" t="n">
        <v>2737.8953</v>
      </c>
      <c r="AF1071" t="n">
        <v>1149.3239</v>
      </c>
      <c r="AG1071" t="n">
        <v>-1533.1533</v>
      </c>
      <c r="AH1071" t="n">
        <v>0.00012945</v>
      </c>
      <c r="AI1071" t="n">
        <v>-1.272599</v>
      </c>
      <c r="AJ1071" t="n">
        <v>1593.3904</v>
      </c>
      <c r="AK1071" t="n">
        <v>2.4095</v>
      </c>
      <c r="AL1071" t="n">
        <v>-10922.7508</v>
      </c>
      <c r="AM1071" t="n">
        <v>29234.8292</v>
      </c>
      <c r="AN1071" t="n">
        <v>0.88</v>
      </c>
      <c r="AO1071" t="inlineStr">
        <is>
          <t>Critical</t>
        </is>
      </c>
      <c r="AP1071" t="inlineStr">
        <is>
          <t>Off Track</t>
        </is>
      </c>
    </row>
    <row r="1072">
      <c r="A1072" t="inlineStr">
        <is>
          <t>SUP-0067</t>
        </is>
      </c>
      <c r="B1072" t="inlineStr">
        <is>
          <t>Professional Supplier 067</t>
        </is>
      </c>
      <c r="C1072" t="inlineStr">
        <is>
          <t>Professional Services</t>
        </is>
      </c>
      <c r="D1072" t="n">
        <v>2024</v>
      </c>
      <c r="E1072" t="n">
        <v>2015</v>
      </c>
      <c r="F1072" t="n">
        <v>2040</v>
      </c>
      <c r="G1072" t="n">
        <v>1476.7146</v>
      </c>
      <c r="H1072" t="n">
        <v>295.2488</v>
      </c>
      <c r="I1072" t="n">
        <v>192.0735</v>
      </c>
      <c r="J1072" t="n">
        <v>897.9854</v>
      </c>
      <c r="K1072" t="n">
        <v>21150301.34</v>
      </c>
      <c r="L1072" t="n">
        <v>151276455.11</v>
      </c>
      <c r="M1072" t="n">
        <v>1476.7146</v>
      </c>
      <c r="N1072" t="inlineStr">
        <is>
          <t>Provided Total Emissions</t>
        </is>
      </c>
      <c r="O1072" t="b">
        <v>1</v>
      </c>
      <c r="P1072" t="n">
        <v>0.022875</v>
      </c>
      <c r="Q1072" t="n">
        <v>0.086331</v>
      </c>
      <c r="R1072" t="n">
        <v>2729.6579</v>
      </c>
      <c r="S1072" t="n">
        <v>29737.9255</v>
      </c>
      <c r="T1072" t="n">
        <v>1252.9433</v>
      </c>
      <c r="U1072" t="n">
        <v>28261.2109</v>
      </c>
      <c r="V1072" t="n">
        <v>0.848467</v>
      </c>
      <c r="W1072" t="n">
        <v>19.137896</v>
      </c>
      <c r="X1072" t="inlineStr">
        <is>
          <t>High</t>
        </is>
      </c>
      <c r="Y1072" t="inlineStr">
        <is>
          <t>None</t>
        </is>
      </c>
      <c r="Z1072" t="inlineStr">
        <is>
          <t>Valid</t>
        </is>
      </c>
      <c r="AA1072" t="n">
        <v>2039</v>
      </c>
      <c r="AB1072" t="inlineStr">
        <is>
          <t>Historical Trend Pathway</t>
        </is>
      </c>
      <c r="AC1072" t="n">
        <v>1204.742</v>
      </c>
      <c r="AD1072" t="n">
        <v>1144.5049</v>
      </c>
      <c r="AE1072" t="n">
        <v>2861.3323</v>
      </c>
      <c r="AF1072" t="n">
        <v>1146.9144</v>
      </c>
      <c r="AG1072" t="n">
        <v>-1656.5903</v>
      </c>
      <c r="AH1072" t="n">
        <v>0.00013529</v>
      </c>
      <c r="AI1072" t="n">
        <v>-1.375058</v>
      </c>
      <c r="AJ1072" t="n">
        <v>1716.8274</v>
      </c>
      <c r="AK1072" t="n">
        <v>2.4095</v>
      </c>
      <c r="AL1072" t="n">
        <v>-13784.0831</v>
      </c>
      <c r="AM1072" t="n">
        <v>32096.1615</v>
      </c>
      <c r="AN1072" t="n">
        <v>0.88</v>
      </c>
      <c r="AO1072" t="inlineStr">
        <is>
          <t>Critical</t>
        </is>
      </c>
      <c r="AP1072" t="inlineStr">
        <is>
          <t>Off Track</t>
        </is>
      </c>
    </row>
    <row r="1073">
      <c r="A1073" t="inlineStr">
        <is>
          <t>SUP-0067</t>
        </is>
      </c>
      <c r="B1073" t="inlineStr">
        <is>
          <t>Professional Supplier 067</t>
        </is>
      </c>
      <c r="C1073" t="inlineStr">
        <is>
          <t>Professional Services</t>
        </is>
      </c>
      <c r="D1073" t="n">
        <v>2024</v>
      </c>
      <c r="E1073" t="n">
        <v>2015</v>
      </c>
      <c r="F1073" t="n">
        <v>2040</v>
      </c>
      <c r="G1073" t="n">
        <v>1476.7146</v>
      </c>
      <c r="H1073" t="n">
        <v>295.2488</v>
      </c>
      <c r="I1073" t="n">
        <v>192.0735</v>
      </c>
      <c r="J1073" t="n">
        <v>897.9854</v>
      </c>
      <c r="K1073" t="n">
        <v>21150301.34</v>
      </c>
      <c r="L1073" t="n">
        <v>151276455.11</v>
      </c>
      <c r="M1073" t="n">
        <v>1476.7146</v>
      </c>
      <c r="N1073" t="inlineStr">
        <is>
          <t>Provided Total Emissions</t>
        </is>
      </c>
      <c r="O1073" t="b">
        <v>1</v>
      </c>
      <c r="P1073" t="n">
        <v>0.022875</v>
      </c>
      <c r="Q1073" t="n">
        <v>0.086331</v>
      </c>
      <c r="R1073" t="n">
        <v>2729.6579</v>
      </c>
      <c r="S1073" t="n">
        <v>29737.9255</v>
      </c>
      <c r="T1073" t="n">
        <v>1252.9433</v>
      </c>
      <c r="U1073" t="n">
        <v>28261.2109</v>
      </c>
      <c r="V1073" t="n">
        <v>0.848467</v>
      </c>
      <c r="W1073" t="n">
        <v>19.137896</v>
      </c>
      <c r="X1073" t="inlineStr">
        <is>
          <t>High</t>
        </is>
      </c>
      <c r="Y1073" t="inlineStr">
        <is>
          <t>None</t>
        </is>
      </c>
      <c r="Z1073" t="inlineStr">
        <is>
          <t>Valid</t>
        </is>
      </c>
      <c r="AA1073" t="n">
        <v>2040</v>
      </c>
      <c r="AB1073" t="inlineStr">
        <is>
          <t>Historical Trend Pathway</t>
        </is>
      </c>
      <c r="AC1073" t="n">
        <v>1204.742</v>
      </c>
      <c r="AD1073" t="n">
        <v>1144.5049</v>
      </c>
      <c r="AE1073" t="n">
        <v>2990.3343</v>
      </c>
      <c r="AF1073" t="n">
        <v>1144.5049</v>
      </c>
      <c r="AG1073" t="n">
        <v>-1785.5923</v>
      </c>
      <c r="AH1073" t="n">
        <v>0.00014138</v>
      </c>
      <c r="AI1073" t="n">
        <v>-1.482137</v>
      </c>
      <c r="AJ1073" t="n">
        <v>1845.8294</v>
      </c>
      <c r="AK1073" t="n">
        <v>2.4095</v>
      </c>
      <c r="AL1073" t="n">
        <v>-16774.4174</v>
      </c>
      <c r="AM1073" t="n">
        <v>35086.4958</v>
      </c>
      <c r="AN1073" t="n">
        <v>0.88</v>
      </c>
      <c r="AO1073" t="inlineStr">
        <is>
          <t>Critical</t>
        </is>
      </c>
      <c r="AP1073" t="inlineStr">
        <is>
          <t>Off Track</t>
        </is>
      </c>
    </row>
    <row r="1074">
      <c r="A1074" t="inlineStr">
        <is>
          <t>SUP-0068</t>
        </is>
      </c>
      <c r="B1074" t="inlineStr">
        <is>
          <t>Agriculture Supplier 068</t>
        </is>
      </c>
      <c r="C1074" t="inlineStr">
        <is>
          <t>Agriculture</t>
        </is>
      </c>
      <c r="D1074" t="n">
        <v>2024</v>
      </c>
      <c r="E1074" t="n">
        <v>2015</v>
      </c>
      <c r="F1074" t="n">
        <v>2040</v>
      </c>
      <c r="G1074" t="n">
        <v>16061.3429</v>
      </c>
      <c r="H1074" t="n">
        <v>1445.2497</v>
      </c>
      <c r="I1074" t="n">
        <v>1900.8892</v>
      </c>
      <c r="J1074" t="n">
        <v>13568.3448</v>
      </c>
      <c r="K1074" t="n">
        <v>18949155.27</v>
      </c>
      <c r="L1074" t="n">
        <v>62164621.18</v>
      </c>
      <c r="M1074" t="n">
        <v>16061.3429</v>
      </c>
      <c r="N1074" t="inlineStr">
        <is>
          <t>Provided Total Emissions</t>
        </is>
      </c>
      <c r="O1074" t="b">
        <v>1</v>
      </c>
      <c r="P1074" t="n">
        <v>-0.014141</v>
      </c>
      <c r="Q1074" t="n">
        <v>0.002586</v>
      </c>
      <c r="R1074" t="n">
        <v>17321.9913</v>
      </c>
      <c r="S1074" t="n">
        <v>60245.5993</v>
      </c>
      <c r="T1074" t="n">
        <v>1260.6484</v>
      </c>
      <c r="U1074" t="n">
        <v>44184.2564</v>
      </c>
      <c r="V1074" t="n">
        <v>0.07849</v>
      </c>
      <c r="W1074" t="n">
        <v>2.750969</v>
      </c>
      <c r="X1074" t="inlineStr">
        <is>
          <t>High</t>
        </is>
      </c>
      <c r="Y1074" t="inlineStr">
        <is>
          <t>None</t>
        </is>
      </c>
      <c r="Z1074" t="inlineStr">
        <is>
          <t>Valid</t>
        </is>
      </c>
      <c r="AA1074" t="n">
        <v>2025</v>
      </c>
      <c r="AB1074" t="inlineStr">
        <is>
          <t>Historical Trend Pathway</t>
        </is>
      </c>
      <c r="AC1074" t="n">
        <v>18257.883</v>
      </c>
      <c r="AD1074" t="n">
        <v>15676.0358</v>
      </c>
      <c r="AE1074" t="n">
        <v>15928.2498</v>
      </c>
      <c r="AF1074" t="n">
        <v>17225.1441</v>
      </c>
      <c r="AG1074" t="n">
        <v>2329.6332</v>
      </c>
      <c r="AH1074" t="n">
        <v>0.00084058</v>
      </c>
      <c r="AI1074" t="n">
        <v>0.127596</v>
      </c>
      <c r="AJ1074" t="n">
        <v>252.214</v>
      </c>
      <c r="AK1074" t="n">
        <v>103.2739</v>
      </c>
      <c r="AL1074" t="n">
        <v>234888.323</v>
      </c>
      <c r="AM1074" t="n">
        <v>15928.2498</v>
      </c>
      <c r="AN1074" t="n">
        <v>0.88</v>
      </c>
      <c r="AO1074" t="inlineStr">
        <is>
          <t>Medium</t>
        </is>
      </c>
      <c r="AP1074" t="inlineStr">
        <is>
          <t>On Track to Glide Path</t>
        </is>
      </c>
    </row>
    <row r="1075">
      <c r="A1075" t="inlineStr">
        <is>
          <t>SUP-0068</t>
        </is>
      </c>
      <c r="B1075" t="inlineStr">
        <is>
          <t>Agriculture Supplier 068</t>
        </is>
      </c>
      <c r="C1075" t="inlineStr">
        <is>
          <t>Agriculture</t>
        </is>
      </c>
      <c r="D1075" t="n">
        <v>2024</v>
      </c>
      <c r="E1075" t="n">
        <v>2015</v>
      </c>
      <c r="F1075" t="n">
        <v>2040</v>
      </c>
      <c r="G1075" t="n">
        <v>16061.3429</v>
      </c>
      <c r="H1075" t="n">
        <v>1445.2497</v>
      </c>
      <c r="I1075" t="n">
        <v>1900.8892</v>
      </c>
      <c r="J1075" t="n">
        <v>13568.3448</v>
      </c>
      <c r="K1075" t="n">
        <v>18949155.27</v>
      </c>
      <c r="L1075" t="n">
        <v>62164621.18</v>
      </c>
      <c r="M1075" t="n">
        <v>16061.3429</v>
      </c>
      <c r="N1075" t="inlineStr">
        <is>
          <t>Provided Total Emissions</t>
        </is>
      </c>
      <c r="O1075" t="b">
        <v>1</v>
      </c>
      <c r="P1075" t="n">
        <v>-0.014141</v>
      </c>
      <c r="Q1075" t="n">
        <v>0.002586</v>
      </c>
      <c r="R1075" t="n">
        <v>17321.9913</v>
      </c>
      <c r="S1075" t="n">
        <v>60245.5993</v>
      </c>
      <c r="T1075" t="n">
        <v>1260.6484</v>
      </c>
      <c r="U1075" t="n">
        <v>44184.2564</v>
      </c>
      <c r="V1075" t="n">
        <v>0.07849</v>
      </c>
      <c r="W1075" t="n">
        <v>2.750969</v>
      </c>
      <c r="X1075" t="inlineStr">
        <is>
          <t>High</t>
        </is>
      </c>
      <c r="Y1075" t="inlineStr">
        <is>
          <t>None</t>
        </is>
      </c>
      <c r="Z1075" t="inlineStr">
        <is>
          <t>Valid</t>
        </is>
      </c>
      <c r="AA1075" t="n">
        <v>2026</v>
      </c>
      <c r="AB1075" t="inlineStr">
        <is>
          <t>Historical Trend Pathway</t>
        </is>
      </c>
      <c r="AC1075" t="n">
        <v>18257.883</v>
      </c>
      <c r="AD1075" t="n">
        <v>15676.0358</v>
      </c>
      <c r="AE1075" t="n">
        <v>15796.2595</v>
      </c>
      <c r="AF1075" t="n">
        <v>17121.8702</v>
      </c>
      <c r="AG1075" t="n">
        <v>2461.6235</v>
      </c>
      <c r="AH1075" t="n">
        <v>0.00083361</v>
      </c>
      <c r="AI1075" t="n">
        <v>0.134825</v>
      </c>
      <c r="AJ1075" t="n">
        <v>120.2238</v>
      </c>
      <c r="AK1075" t="n">
        <v>103.2739</v>
      </c>
      <c r="AL1075" t="n">
        <v>219092.0635</v>
      </c>
      <c r="AM1075" t="n">
        <v>31724.5093</v>
      </c>
      <c r="AN1075" t="n">
        <v>0.88</v>
      </c>
      <c r="AO1075" t="inlineStr">
        <is>
          <t>Medium</t>
        </is>
      </c>
      <c r="AP1075" t="inlineStr">
        <is>
          <t>On Track to Glide Path</t>
        </is>
      </c>
    </row>
    <row r="1076">
      <c r="A1076" t="inlineStr">
        <is>
          <t>SUP-0068</t>
        </is>
      </c>
      <c r="B1076" t="inlineStr">
        <is>
          <t>Agriculture Supplier 068</t>
        </is>
      </c>
      <c r="C1076" t="inlineStr">
        <is>
          <t>Agriculture</t>
        </is>
      </c>
      <c r="D1076" t="n">
        <v>2024</v>
      </c>
      <c r="E1076" t="n">
        <v>2015</v>
      </c>
      <c r="F1076" t="n">
        <v>2040</v>
      </c>
      <c r="G1076" t="n">
        <v>16061.3429</v>
      </c>
      <c r="H1076" t="n">
        <v>1445.2497</v>
      </c>
      <c r="I1076" t="n">
        <v>1900.8892</v>
      </c>
      <c r="J1076" t="n">
        <v>13568.3448</v>
      </c>
      <c r="K1076" t="n">
        <v>18949155.27</v>
      </c>
      <c r="L1076" t="n">
        <v>62164621.18</v>
      </c>
      <c r="M1076" t="n">
        <v>16061.3429</v>
      </c>
      <c r="N1076" t="inlineStr">
        <is>
          <t>Provided Total Emissions</t>
        </is>
      </c>
      <c r="O1076" t="b">
        <v>1</v>
      </c>
      <c r="P1076" t="n">
        <v>-0.014141</v>
      </c>
      <c r="Q1076" t="n">
        <v>0.002586</v>
      </c>
      <c r="R1076" t="n">
        <v>17321.9913</v>
      </c>
      <c r="S1076" t="n">
        <v>60245.5993</v>
      </c>
      <c r="T1076" t="n">
        <v>1260.6484</v>
      </c>
      <c r="U1076" t="n">
        <v>44184.2564</v>
      </c>
      <c r="V1076" t="n">
        <v>0.07849</v>
      </c>
      <c r="W1076" t="n">
        <v>2.750969</v>
      </c>
      <c r="X1076" t="inlineStr">
        <is>
          <t>High</t>
        </is>
      </c>
      <c r="Y1076" t="inlineStr">
        <is>
          <t>None</t>
        </is>
      </c>
      <c r="Z1076" t="inlineStr">
        <is>
          <t>Valid</t>
        </is>
      </c>
      <c r="AA1076" t="n">
        <v>2027</v>
      </c>
      <c r="AB1076" t="inlineStr">
        <is>
          <t>Historical Trend Pathway</t>
        </is>
      </c>
      <c r="AC1076" t="n">
        <v>18257.883</v>
      </c>
      <c r="AD1076" t="n">
        <v>15676.0358</v>
      </c>
      <c r="AE1076" t="n">
        <v>15665.363</v>
      </c>
      <c r="AF1076" t="n">
        <v>17018.5963</v>
      </c>
      <c r="AG1076" t="n">
        <v>2592.52</v>
      </c>
      <c r="AH1076" t="n">
        <v>0.00082671</v>
      </c>
      <c r="AI1076" t="n">
        <v>0.141995</v>
      </c>
      <c r="AJ1076" t="n">
        <v>-10.6727</v>
      </c>
      <c r="AK1076" t="n">
        <v>103.2739</v>
      </c>
      <c r="AL1076" t="n">
        <v>203426.7005</v>
      </c>
      <c r="AM1076" t="n">
        <v>47389.8723</v>
      </c>
      <c r="AN1076" t="n">
        <v>0.88</v>
      </c>
      <c r="AO1076" t="inlineStr">
        <is>
          <t>Low</t>
        </is>
      </c>
      <c r="AP1076" t="inlineStr">
        <is>
          <t>On Track to Glide Path</t>
        </is>
      </c>
    </row>
    <row r="1077">
      <c r="A1077" t="inlineStr">
        <is>
          <t>SUP-0068</t>
        </is>
      </c>
      <c r="B1077" t="inlineStr">
        <is>
          <t>Agriculture Supplier 068</t>
        </is>
      </c>
      <c r="C1077" t="inlineStr">
        <is>
          <t>Agriculture</t>
        </is>
      </c>
      <c r="D1077" t="n">
        <v>2024</v>
      </c>
      <c r="E1077" t="n">
        <v>2015</v>
      </c>
      <c r="F1077" t="n">
        <v>2040</v>
      </c>
      <c r="G1077" t="n">
        <v>16061.3429</v>
      </c>
      <c r="H1077" t="n">
        <v>1445.2497</v>
      </c>
      <c r="I1077" t="n">
        <v>1900.8892</v>
      </c>
      <c r="J1077" t="n">
        <v>13568.3448</v>
      </c>
      <c r="K1077" t="n">
        <v>18949155.27</v>
      </c>
      <c r="L1077" t="n">
        <v>62164621.18</v>
      </c>
      <c r="M1077" t="n">
        <v>16061.3429</v>
      </c>
      <c r="N1077" t="inlineStr">
        <is>
          <t>Provided Total Emissions</t>
        </is>
      </c>
      <c r="O1077" t="b">
        <v>1</v>
      </c>
      <c r="P1077" t="n">
        <v>-0.014141</v>
      </c>
      <c r="Q1077" t="n">
        <v>0.002586</v>
      </c>
      <c r="R1077" t="n">
        <v>17321.9913</v>
      </c>
      <c r="S1077" t="n">
        <v>60245.5993</v>
      </c>
      <c r="T1077" t="n">
        <v>1260.6484</v>
      </c>
      <c r="U1077" t="n">
        <v>44184.2564</v>
      </c>
      <c r="V1077" t="n">
        <v>0.07849</v>
      </c>
      <c r="W1077" t="n">
        <v>2.750969</v>
      </c>
      <c r="X1077" t="inlineStr">
        <is>
          <t>High</t>
        </is>
      </c>
      <c r="Y1077" t="inlineStr">
        <is>
          <t>None</t>
        </is>
      </c>
      <c r="Z1077" t="inlineStr">
        <is>
          <t>Valid</t>
        </is>
      </c>
      <c r="AA1077" t="n">
        <v>2028</v>
      </c>
      <c r="AB1077" t="inlineStr">
        <is>
          <t>Historical Trend Pathway</t>
        </is>
      </c>
      <c r="AC1077" t="n">
        <v>18257.883</v>
      </c>
      <c r="AD1077" t="n">
        <v>15676.0358</v>
      </c>
      <c r="AE1077" t="n">
        <v>15535.5512</v>
      </c>
      <c r="AF1077" t="n">
        <v>16915.3224</v>
      </c>
      <c r="AG1077" t="n">
        <v>2722.3318</v>
      </c>
      <c r="AH1077" t="n">
        <v>0.00081985</v>
      </c>
      <c r="AI1077" t="n">
        <v>0.149104</v>
      </c>
      <c r="AJ1077" t="n">
        <v>-140.4845</v>
      </c>
      <c r="AK1077" t="n">
        <v>103.2739</v>
      </c>
      <c r="AL1077" t="n">
        <v>187891.1493</v>
      </c>
      <c r="AM1077" t="n">
        <v>62925.4235</v>
      </c>
      <c r="AN1077" t="n">
        <v>0.88</v>
      </c>
      <c r="AO1077" t="inlineStr">
        <is>
          <t>Low</t>
        </is>
      </c>
      <c r="AP1077" t="inlineStr">
        <is>
          <t>On Track to Glide Path</t>
        </is>
      </c>
    </row>
    <row r="1078">
      <c r="A1078" t="inlineStr">
        <is>
          <t>SUP-0068</t>
        </is>
      </c>
      <c r="B1078" t="inlineStr">
        <is>
          <t>Agriculture Supplier 068</t>
        </is>
      </c>
      <c r="C1078" t="inlineStr">
        <is>
          <t>Agriculture</t>
        </is>
      </c>
      <c r="D1078" t="n">
        <v>2024</v>
      </c>
      <c r="E1078" t="n">
        <v>2015</v>
      </c>
      <c r="F1078" t="n">
        <v>2040</v>
      </c>
      <c r="G1078" t="n">
        <v>16061.3429</v>
      </c>
      <c r="H1078" t="n">
        <v>1445.2497</v>
      </c>
      <c r="I1078" t="n">
        <v>1900.8892</v>
      </c>
      <c r="J1078" t="n">
        <v>13568.3448</v>
      </c>
      <c r="K1078" t="n">
        <v>18949155.27</v>
      </c>
      <c r="L1078" t="n">
        <v>62164621.18</v>
      </c>
      <c r="M1078" t="n">
        <v>16061.3429</v>
      </c>
      <c r="N1078" t="inlineStr">
        <is>
          <t>Provided Total Emissions</t>
        </is>
      </c>
      <c r="O1078" t="b">
        <v>1</v>
      </c>
      <c r="P1078" t="n">
        <v>-0.014141</v>
      </c>
      <c r="Q1078" t="n">
        <v>0.002586</v>
      </c>
      <c r="R1078" t="n">
        <v>17321.9913</v>
      </c>
      <c r="S1078" t="n">
        <v>60245.5993</v>
      </c>
      <c r="T1078" t="n">
        <v>1260.6484</v>
      </c>
      <c r="U1078" t="n">
        <v>44184.2564</v>
      </c>
      <c r="V1078" t="n">
        <v>0.07849</v>
      </c>
      <c r="W1078" t="n">
        <v>2.750969</v>
      </c>
      <c r="X1078" t="inlineStr">
        <is>
          <t>High</t>
        </is>
      </c>
      <c r="Y1078" t="inlineStr">
        <is>
          <t>None</t>
        </is>
      </c>
      <c r="Z1078" t="inlineStr">
        <is>
          <t>Valid</t>
        </is>
      </c>
      <c r="AA1078" t="n">
        <v>2029</v>
      </c>
      <c r="AB1078" t="inlineStr">
        <is>
          <t>Historical Trend Pathway</t>
        </is>
      </c>
      <c r="AC1078" t="n">
        <v>18257.883</v>
      </c>
      <c r="AD1078" t="n">
        <v>15676.0358</v>
      </c>
      <c r="AE1078" t="n">
        <v>15406.8151</v>
      </c>
      <c r="AF1078" t="n">
        <v>16812.0485</v>
      </c>
      <c r="AG1078" t="n">
        <v>2851.0679</v>
      </c>
      <c r="AH1078" t="n">
        <v>0.00081306</v>
      </c>
      <c r="AI1078" t="n">
        <v>0.156155</v>
      </c>
      <c r="AJ1078" t="n">
        <v>-269.2207</v>
      </c>
      <c r="AK1078" t="n">
        <v>103.2739</v>
      </c>
      <c r="AL1078" t="n">
        <v>172484.3342</v>
      </c>
      <c r="AM1078" t="n">
        <v>78332.2386</v>
      </c>
      <c r="AN1078" t="n">
        <v>0.88</v>
      </c>
      <c r="AO1078" t="inlineStr">
        <is>
          <t>Low</t>
        </is>
      </c>
      <c r="AP1078" t="inlineStr">
        <is>
          <t>On Track to Glide Path</t>
        </is>
      </c>
    </row>
    <row r="1079">
      <c r="A1079" t="inlineStr">
        <is>
          <t>SUP-0068</t>
        </is>
      </c>
      <c r="B1079" t="inlineStr">
        <is>
          <t>Agriculture Supplier 068</t>
        </is>
      </c>
      <c r="C1079" t="inlineStr">
        <is>
          <t>Agriculture</t>
        </is>
      </c>
      <c r="D1079" t="n">
        <v>2024</v>
      </c>
      <c r="E1079" t="n">
        <v>2015</v>
      </c>
      <c r="F1079" t="n">
        <v>2040</v>
      </c>
      <c r="G1079" t="n">
        <v>16061.3429</v>
      </c>
      <c r="H1079" t="n">
        <v>1445.2497</v>
      </c>
      <c r="I1079" t="n">
        <v>1900.8892</v>
      </c>
      <c r="J1079" t="n">
        <v>13568.3448</v>
      </c>
      <c r="K1079" t="n">
        <v>18949155.27</v>
      </c>
      <c r="L1079" t="n">
        <v>62164621.18</v>
      </c>
      <c r="M1079" t="n">
        <v>16061.3429</v>
      </c>
      <c r="N1079" t="inlineStr">
        <is>
          <t>Provided Total Emissions</t>
        </is>
      </c>
      <c r="O1079" t="b">
        <v>1</v>
      </c>
      <c r="P1079" t="n">
        <v>-0.014141</v>
      </c>
      <c r="Q1079" t="n">
        <v>0.002586</v>
      </c>
      <c r="R1079" t="n">
        <v>17321.9913</v>
      </c>
      <c r="S1079" t="n">
        <v>60245.5993</v>
      </c>
      <c r="T1079" t="n">
        <v>1260.6484</v>
      </c>
      <c r="U1079" t="n">
        <v>44184.2564</v>
      </c>
      <c r="V1079" t="n">
        <v>0.07849</v>
      </c>
      <c r="W1079" t="n">
        <v>2.750969</v>
      </c>
      <c r="X1079" t="inlineStr">
        <is>
          <t>High</t>
        </is>
      </c>
      <c r="Y1079" t="inlineStr">
        <is>
          <t>None</t>
        </is>
      </c>
      <c r="Z1079" t="inlineStr">
        <is>
          <t>Valid</t>
        </is>
      </c>
      <c r="AA1079" t="n">
        <v>2030</v>
      </c>
      <c r="AB1079" t="inlineStr">
        <is>
          <t>Historical Trend Pathway</t>
        </is>
      </c>
      <c r="AC1079" t="n">
        <v>18257.883</v>
      </c>
      <c r="AD1079" t="n">
        <v>15676.0358</v>
      </c>
      <c r="AE1079" t="n">
        <v>15279.1458</v>
      </c>
      <c r="AF1079" t="n">
        <v>16708.7747</v>
      </c>
      <c r="AG1079" t="n">
        <v>2978.7372</v>
      </c>
      <c r="AH1079" t="n">
        <v>0.00080632</v>
      </c>
      <c r="AI1079" t="n">
        <v>0.163148</v>
      </c>
      <c r="AJ1079" t="n">
        <v>-396.89</v>
      </c>
      <c r="AK1079" t="n">
        <v>103.2739</v>
      </c>
      <c r="AL1079" t="n">
        <v>157205.1884</v>
      </c>
      <c r="AM1079" t="n">
        <v>93611.3844</v>
      </c>
      <c r="AN1079" t="n">
        <v>0.88</v>
      </c>
      <c r="AO1079" t="inlineStr">
        <is>
          <t>Low</t>
        </is>
      </c>
      <c r="AP1079" t="inlineStr">
        <is>
          <t>On Track to Glide Path</t>
        </is>
      </c>
    </row>
    <row r="1080">
      <c r="A1080" t="inlineStr">
        <is>
          <t>SUP-0068</t>
        </is>
      </c>
      <c r="B1080" t="inlineStr">
        <is>
          <t>Agriculture Supplier 068</t>
        </is>
      </c>
      <c r="C1080" t="inlineStr">
        <is>
          <t>Agriculture</t>
        </is>
      </c>
      <c r="D1080" t="n">
        <v>2024</v>
      </c>
      <c r="E1080" t="n">
        <v>2015</v>
      </c>
      <c r="F1080" t="n">
        <v>2040</v>
      </c>
      <c r="G1080" t="n">
        <v>16061.3429</v>
      </c>
      <c r="H1080" t="n">
        <v>1445.2497</v>
      </c>
      <c r="I1080" t="n">
        <v>1900.8892</v>
      </c>
      <c r="J1080" t="n">
        <v>13568.3448</v>
      </c>
      <c r="K1080" t="n">
        <v>18949155.27</v>
      </c>
      <c r="L1080" t="n">
        <v>62164621.18</v>
      </c>
      <c r="M1080" t="n">
        <v>16061.3429</v>
      </c>
      <c r="N1080" t="inlineStr">
        <is>
          <t>Provided Total Emissions</t>
        </is>
      </c>
      <c r="O1080" t="b">
        <v>1</v>
      </c>
      <c r="P1080" t="n">
        <v>-0.014141</v>
      </c>
      <c r="Q1080" t="n">
        <v>0.002586</v>
      </c>
      <c r="R1080" t="n">
        <v>17321.9913</v>
      </c>
      <c r="S1080" t="n">
        <v>60245.5993</v>
      </c>
      <c r="T1080" t="n">
        <v>1260.6484</v>
      </c>
      <c r="U1080" t="n">
        <v>44184.2564</v>
      </c>
      <c r="V1080" t="n">
        <v>0.07849</v>
      </c>
      <c r="W1080" t="n">
        <v>2.750969</v>
      </c>
      <c r="X1080" t="inlineStr">
        <is>
          <t>High</t>
        </is>
      </c>
      <c r="Y1080" t="inlineStr">
        <is>
          <t>None</t>
        </is>
      </c>
      <c r="Z1080" t="inlineStr">
        <is>
          <t>Valid</t>
        </is>
      </c>
      <c r="AA1080" t="n">
        <v>2031</v>
      </c>
      <c r="AB1080" t="inlineStr">
        <is>
          <t>Historical Trend Pathway</t>
        </is>
      </c>
      <c r="AC1080" t="n">
        <v>18257.883</v>
      </c>
      <c r="AD1080" t="n">
        <v>15676.0358</v>
      </c>
      <c r="AE1080" t="n">
        <v>15152.5344</v>
      </c>
      <c r="AF1080" t="n">
        <v>16605.5008</v>
      </c>
      <c r="AG1080" t="n">
        <v>3105.3486</v>
      </c>
      <c r="AH1080" t="n">
        <v>0.00079964</v>
      </c>
      <c r="AI1080" t="n">
        <v>0.170083</v>
      </c>
      <c r="AJ1080" t="n">
        <v>-523.5014</v>
      </c>
      <c r="AK1080" t="n">
        <v>103.2739</v>
      </c>
      <c r="AL1080" t="n">
        <v>142052.654</v>
      </c>
      <c r="AM1080" t="n">
        <v>108763.9188</v>
      </c>
      <c r="AN1080" t="n">
        <v>0.88</v>
      </c>
      <c r="AO1080" t="inlineStr">
        <is>
          <t>Low</t>
        </is>
      </c>
      <c r="AP1080" t="inlineStr">
        <is>
          <t>On Track to Glide Path</t>
        </is>
      </c>
    </row>
    <row r="1081">
      <c r="A1081" t="inlineStr">
        <is>
          <t>SUP-0068</t>
        </is>
      </c>
      <c r="B1081" t="inlineStr">
        <is>
          <t>Agriculture Supplier 068</t>
        </is>
      </c>
      <c r="C1081" t="inlineStr">
        <is>
          <t>Agriculture</t>
        </is>
      </c>
      <c r="D1081" t="n">
        <v>2024</v>
      </c>
      <c r="E1081" t="n">
        <v>2015</v>
      </c>
      <c r="F1081" t="n">
        <v>2040</v>
      </c>
      <c r="G1081" t="n">
        <v>16061.3429</v>
      </c>
      <c r="H1081" t="n">
        <v>1445.2497</v>
      </c>
      <c r="I1081" t="n">
        <v>1900.8892</v>
      </c>
      <c r="J1081" t="n">
        <v>13568.3448</v>
      </c>
      <c r="K1081" t="n">
        <v>18949155.27</v>
      </c>
      <c r="L1081" t="n">
        <v>62164621.18</v>
      </c>
      <c r="M1081" t="n">
        <v>16061.3429</v>
      </c>
      <c r="N1081" t="inlineStr">
        <is>
          <t>Provided Total Emissions</t>
        </is>
      </c>
      <c r="O1081" t="b">
        <v>1</v>
      </c>
      <c r="P1081" t="n">
        <v>-0.014141</v>
      </c>
      <c r="Q1081" t="n">
        <v>0.002586</v>
      </c>
      <c r="R1081" t="n">
        <v>17321.9913</v>
      </c>
      <c r="S1081" t="n">
        <v>60245.5993</v>
      </c>
      <c r="T1081" t="n">
        <v>1260.6484</v>
      </c>
      <c r="U1081" t="n">
        <v>44184.2564</v>
      </c>
      <c r="V1081" t="n">
        <v>0.07849</v>
      </c>
      <c r="W1081" t="n">
        <v>2.750969</v>
      </c>
      <c r="X1081" t="inlineStr">
        <is>
          <t>High</t>
        </is>
      </c>
      <c r="Y1081" t="inlineStr">
        <is>
          <t>None</t>
        </is>
      </c>
      <c r="Z1081" t="inlineStr">
        <is>
          <t>Valid</t>
        </is>
      </c>
      <c r="AA1081" t="n">
        <v>2032</v>
      </c>
      <c r="AB1081" t="inlineStr">
        <is>
          <t>Historical Trend Pathway</t>
        </is>
      </c>
      <c r="AC1081" t="n">
        <v>18257.883</v>
      </c>
      <c r="AD1081" t="n">
        <v>15676.0358</v>
      </c>
      <c r="AE1081" t="n">
        <v>15026.9721</v>
      </c>
      <c r="AF1081" t="n">
        <v>16502.2269</v>
      </c>
      <c r="AG1081" t="n">
        <v>3230.9109</v>
      </c>
      <c r="AH1081" t="n">
        <v>0.00079302</v>
      </c>
      <c r="AI1081" t="n">
        <v>0.17696</v>
      </c>
      <c r="AJ1081" t="n">
        <v>-649.0636</v>
      </c>
      <c r="AK1081" t="n">
        <v>103.2739</v>
      </c>
      <c r="AL1081" t="n">
        <v>127025.6819</v>
      </c>
      <c r="AM1081" t="n">
        <v>123790.8909</v>
      </c>
      <c r="AN1081" t="n">
        <v>0.88</v>
      </c>
      <c r="AO1081" t="inlineStr">
        <is>
          <t>Low</t>
        </is>
      </c>
      <c r="AP1081" t="inlineStr">
        <is>
          <t>On Track to Glide Path</t>
        </is>
      </c>
    </row>
    <row r="1082">
      <c r="A1082" t="inlineStr">
        <is>
          <t>SUP-0068</t>
        </is>
      </c>
      <c r="B1082" t="inlineStr">
        <is>
          <t>Agriculture Supplier 068</t>
        </is>
      </c>
      <c r="C1082" t="inlineStr">
        <is>
          <t>Agriculture</t>
        </is>
      </c>
      <c r="D1082" t="n">
        <v>2024</v>
      </c>
      <c r="E1082" t="n">
        <v>2015</v>
      </c>
      <c r="F1082" t="n">
        <v>2040</v>
      </c>
      <c r="G1082" t="n">
        <v>16061.3429</v>
      </c>
      <c r="H1082" t="n">
        <v>1445.2497</v>
      </c>
      <c r="I1082" t="n">
        <v>1900.8892</v>
      </c>
      <c r="J1082" t="n">
        <v>13568.3448</v>
      </c>
      <c r="K1082" t="n">
        <v>18949155.27</v>
      </c>
      <c r="L1082" t="n">
        <v>62164621.18</v>
      </c>
      <c r="M1082" t="n">
        <v>16061.3429</v>
      </c>
      <c r="N1082" t="inlineStr">
        <is>
          <t>Provided Total Emissions</t>
        </is>
      </c>
      <c r="O1082" t="b">
        <v>1</v>
      </c>
      <c r="P1082" t="n">
        <v>-0.014141</v>
      </c>
      <c r="Q1082" t="n">
        <v>0.002586</v>
      </c>
      <c r="R1082" t="n">
        <v>17321.9913</v>
      </c>
      <c r="S1082" t="n">
        <v>60245.5993</v>
      </c>
      <c r="T1082" t="n">
        <v>1260.6484</v>
      </c>
      <c r="U1082" t="n">
        <v>44184.2564</v>
      </c>
      <c r="V1082" t="n">
        <v>0.07849</v>
      </c>
      <c r="W1082" t="n">
        <v>2.750969</v>
      </c>
      <c r="X1082" t="inlineStr">
        <is>
          <t>High</t>
        </is>
      </c>
      <c r="Y1082" t="inlineStr">
        <is>
          <t>None</t>
        </is>
      </c>
      <c r="Z1082" t="inlineStr">
        <is>
          <t>Valid</t>
        </is>
      </c>
      <c r="AA1082" t="n">
        <v>2033</v>
      </c>
      <c r="AB1082" t="inlineStr">
        <is>
          <t>Historical Trend Pathway</t>
        </is>
      </c>
      <c r="AC1082" t="n">
        <v>18257.883</v>
      </c>
      <c r="AD1082" t="n">
        <v>15676.0358</v>
      </c>
      <c r="AE1082" t="n">
        <v>14902.4504</v>
      </c>
      <c r="AF1082" t="n">
        <v>16398.953</v>
      </c>
      <c r="AG1082" t="n">
        <v>3355.4326</v>
      </c>
      <c r="AH1082" t="n">
        <v>0.00078644</v>
      </c>
      <c r="AI1082" t="n">
        <v>0.18378</v>
      </c>
      <c r="AJ1082" t="n">
        <v>-773.5854</v>
      </c>
      <c r="AK1082" t="n">
        <v>103.2739</v>
      </c>
      <c r="AL1082" t="n">
        <v>112123.2315</v>
      </c>
      <c r="AM1082" t="n">
        <v>138693.3413</v>
      </c>
      <c r="AN1082" t="n">
        <v>0.88</v>
      </c>
      <c r="AO1082" t="inlineStr">
        <is>
          <t>Low</t>
        </is>
      </c>
      <c r="AP1082" t="inlineStr">
        <is>
          <t>On Track to Glide Path</t>
        </is>
      </c>
    </row>
    <row r="1083">
      <c r="A1083" t="inlineStr">
        <is>
          <t>SUP-0068</t>
        </is>
      </c>
      <c r="B1083" t="inlineStr">
        <is>
          <t>Agriculture Supplier 068</t>
        </is>
      </c>
      <c r="C1083" t="inlineStr">
        <is>
          <t>Agriculture</t>
        </is>
      </c>
      <c r="D1083" t="n">
        <v>2024</v>
      </c>
      <c r="E1083" t="n">
        <v>2015</v>
      </c>
      <c r="F1083" t="n">
        <v>2040</v>
      </c>
      <c r="G1083" t="n">
        <v>16061.3429</v>
      </c>
      <c r="H1083" t="n">
        <v>1445.2497</v>
      </c>
      <c r="I1083" t="n">
        <v>1900.8892</v>
      </c>
      <c r="J1083" t="n">
        <v>13568.3448</v>
      </c>
      <c r="K1083" t="n">
        <v>18949155.27</v>
      </c>
      <c r="L1083" t="n">
        <v>62164621.18</v>
      </c>
      <c r="M1083" t="n">
        <v>16061.3429</v>
      </c>
      <c r="N1083" t="inlineStr">
        <is>
          <t>Provided Total Emissions</t>
        </is>
      </c>
      <c r="O1083" t="b">
        <v>1</v>
      </c>
      <c r="P1083" t="n">
        <v>-0.014141</v>
      </c>
      <c r="Q1083" t="n">
        <v>0.002586</v>
      </c>
      <c r="R1083" t="n">
        <v>17321.9913</v>
      </c>
      <c r="S1083" t="n">
        <v>60245.5993</v>
      </c>
      <c r="T1083" t="n">
        <v>1260.6484</v>
      </c>
      <c r="U1083" t="n">
        <v>44184.2564</v>
      </c>
      <c r="V1083" t="n">
        <v>0.07849</v>
      </c>
      <c r="W1083" t="n">
        <v>2.750969</v>
      </c>
      <c r="X1083" t="inlineStr">
        <is>
          <t>High</t>
        </is>
      </c>
      <c r="Y1083" t="inlineStr">
        <is>
          <t>None</t>
        </is>
      </c>
      <c r="Z1083" t="inlineStr">
        <is>
          <t>Valid</t>
        </is>
      </c>
      <c r="AA1083" t="n">
        <v>2034</v>
      </c>
      <c r="AB1083" t="inlineStr">
        <is>
          <t>Historical Trend Pathway</t>
        </is>
      </c>
      <c r="AC1083" t="n">
        <v>18257.883</v>
      </c>
      <c r="AD1083" t="n">
        <v>15676.0358</v>
      </c>
      <c r="AE1083" t="n">
        <v>14778.9605</v>
      </c>
      <c r="AF1083" t="n">
        <v>16295.6791</v>
      </c>
      <c r="AG1083" t="n">
        <v>3478.9225</v>
      </c>
      <c r="AH1083" t="n">
        <v>0.00077993</v>
      </c>
      <c r="AI1083" t="n">
        <v>0.190544</v>
      </c>
      <c r="AJ1083" t="n">
        <v>-897.0753</v>
      </c>
      <c r="AK1083" t="n">
        <v>103.2739</v>
      </c>
      <c r="AL1083" t="n">
        <v>97344.27099999999</v>
      </c>
      <c r="AM1083" t="n">
        <v>153472.3018</v>
      </c>
      <c r="AN1083" t="n">
        <v>0.88</v>
      </c>
      <c r="AO1083" t="inlineStr">
        <is>
          <t>Low</t>
        </is>
      </c>
      <c r="AP1083" t="inlineStr">
        <is>
          <t>On Track to Glide Path</t>
        </is>
      </c>
    </row>
    <row r="1084">
      <c r="A1084" t="inlineStr">
        <is>
          <t>SUP-0068</t>
        </is>
      </c>
      <c r="B1084" t="inlineStr">
        <is>
          <t>Agriculture Supplier 068</t>
        </is>
      </c>
      <c r="C1084" t="inlineStr">
        <is>
          <t>Agriculture</t>
        </is>
      </c>
      <c r="D1084" t="n">
        <v>2024</v>
      </c>
      <c r="E1084" t="n">
        <v>2015</v>
      </c>
      <c r="F1084" t="n">
        <v>2040</v>
      </c>
      <c r="G1084" t="n">
        <v>16061.3429</v>
      </c>
      <c r="H1084" t="n">
        <v>1445.2497</v>
      </c>
      <c r="I1084" t="n">
        <v>1900.8892</v>
      </c>
      <c r="J1084" t="n">
        <v>13568.3448</v>
      </c>
      <c r="K1084" t="n">
        <v>18949155.27</v>
      </c>
      <c r="L1084" t="n">
        <v>62164621.18</v>
      </c>
      <c r="M1084" t="n">
        <v>16061.3429</v>
      </c>
      <c r="N1084" t="inlineStr">
        <is>
          <t>Provided Total Emissions</t>
        </is>
      </c>
      <c r="O1084" t="b">
        <v>1</v>
      </c>
      <c r="P1084" t="n">
        <v>-0.014141</v>
      </c>
      <c r="Q1084" t="n">
        <v>0.002586</v>
      </c>
      <c r="R1084" t="n">
        <v>17321.9913</v>
      </c>
      <c r="S1084" t="n">
        <v>60245.5993</v>
      </c>
      <c r="T1084" t="n">
        <v>1260.6484</v>
      </c>
      <c r="U1084" t="n">
        <v>44184.2564</v>
      </c>
      <c r="V1084" t="n">
        <v>0.07849</v>
      </c>
      <c r="W1084" t="n">
        <v>2.750969</v>
      </c>
      <c r="X1084" t="inlineStr">
        <is>
          <t>High</t>
        </is>
      </c>
      <c r="Y1084" t="inlineStr">
        <is>
          <t>None</t>
        </is>
      </c>
      <c r="Z1084" t="inlineStr">
        <is>
          <t>Valid</t>
        </is>
      </c>
      <c r="AA1084" t="n">
        <v>2035</v>
      </c>
      <c r="AB1084" t="inlineStr">
        <is>
          <t>Historical Trend Pathway</t>
        </is>
      </c>
      <c r="AC1084" t="n">
        <v>18257.883</v>
      </c>
      <c r="AD1084" t="n">
        <v>15676.0358</v>
      </c>
      <c r="AE1084" t="n">
        <v>14656.4939</v>
      </c>
      <c r="AF1084" t="n">
        <v>16192.4052</v>
      </c>
      <c r="AG1084" t="n">
        <v>3601.3891</v>
      </c>
      <c r="AH1084" t="n">
        <v>0.00077346</v>
      </c>
      <c r="AI1084" t="n">
        <v>0.197251</v>
      </c>
      <c r="AJ1084" t="n">
        <v>-1019.5419</v>
      </c>
      <c r="AK1084" t="n">
        <v>103.2739</v>
      </c>
      <c r="AL1084" t="n">
        <v>82687.77710000001</v>
      </c>
      <c r="AM1084" t="n">
        <v>168128.7957</v>
      </c>
      <c r="AN1084" t="n">
        <v>0.88</v>
      </c>
      <c r="AO1084" t="inlineStr">
        <is>
          <t>Low</t>
        </is>
      </c>
      <c r="AP1084" t="inlineStr">
        <is>
          <t>On Track to Glide Path</t>
        </is>
      </c>
    </row>
    <row r="1085">
      <c r="A1085" t="inlineStr">
        <is>
          <t>SUP-0068</t>
        </is>
      </c>
      <c r="B1085" t="inlineStr">
        <is>
          <t>Agriculture Supplier 068</t>
        </is>
      </c>
      <c r="C1085" t="inlineStr">
        <is>
          <t>Agriculture</t>
        </is>
      </c>
      <c r="D1085" t="n">
        <v>2024</v>
      </c>
      <c r="E1085" t="n">
        <v>2015</v>
      </c>
      <c r="F1085" t="n">
        <v>2040</v>
      </c>
      <c r="G1085" t="n">
        <v>16061.3429</v>
      </c>
      <c r="H1085" t="n">
        <v>1445.2497</v>
      </c>
      <c r="I1085" t="n">
        <v>1900.8892</v>
      </c>
      <c r="J1085" t="n">
        <v>13568.3448</v>
      </c>
      <c r="K1085" t="n">
        <v>18949155.27</v>
      </c>
      <c r="L1085" t="n">
        <v>62164621.18</v>
      </c>
      <c r="M1085" t="n">
        <v>16061.3429</v>
      </c>
      <c r="N1085" t="inlineStr">
        <is>
          <t>Provided Total Emissions</t>
        </is>
      </c>
      <c r="O1085" t="b">
        <v>1</v>
      </c>
      <c r="P1085" t="n">
        <v>-0.014141</v>
      </c>
      <c r="Q1085" t="n">
        <v>0.002586</v>
      </c>
      <c r="R1085" t="n">
        <v>17321.9913</v>
      </c>
      <c r="S1085" t="n">
        <v>60245.5993</v>
      </c>
      <c r="T1085" t="n">
        <v>1260.6484</v>
      </c>
      <c r="U1085" t="n">
        <v>44184.2564</v>
      </c>
      <c r="V1085" t="n">
        <v>0.07849</v>
      </c>
      <c r="W1085" t="n">
        <v>2.750969</v>
      </c>
      <c r="X1085" t="inlineStr">
        <is>
          <t>High</t>
        </is>
      </c>
      <c r="Y1085" t="inlineStr">
        <is>
          <t>None</t>
        </is>
      </c>
      <c r="Z1085" t="inlineStr">
        <is>
          <t>Valid</t>
        </is>
      </c>
      <c r="AA1085" t="n">
        <v>2036</v>
      </c>
      <c r="AB1085" t="inlineStr">
        <is>
          <t>Historical Trend Pathway</t>
        </is>
      </c>
      <c r="AC1085" t="n">
        <v>18257.883</v>
      </c>
      <c r="AD1085" t="n">
        <v>15676.0358</v>
      </c>
      <c r="AE1085" t="n">
        <v>14535.0421</v>
      </c>
      <c r="AF1085" t="n">
        <v>16089.1313</v>
      </c>
      <c r="AG1085" t="n">
        <v>3722.8409</v>
      </c>
      <c r="AH1085" t="n">
        <v>0.00076705</v>
      </c>
      <c r="AI1085" t="n">
        <v>0.203903</v>
      </c>
      <c r="AJ1085" t="n">
        <v>-1140.9937</v>
      </c>
      <c r="AK1085" t="n">
        <v>103.2739</v>
      </c>
      <c r="AL1085" t="n">
        <v>68152.735</v>
      </c>
      <c r="AM1085" t="n">
        <v>182663.8378</v>
      </c>
      <c r="AN1085" t="n">
        <v>0.88</v>
      </c>
      <c r="AO1085" t="inlineStr">
        <is>
          <t>Low</t>
        </is>
      </c>
      <c r="AP1085" t="inlineStr">
        <is>
          <t>On Track to Glide Path</t>
        </is>
      </c>
    </row>
    <row r="1086">
      <c r="A1086" t="inlineStr">
        <is>
          <t>SUP-0068</t>
        </is>
      </c>
      <c r="B1086" t="inlineStr">
        <is>
          <t>Agriculture Supplier 068</t>
        </is>
      </c>
      <c r="C1086" t="inlineStr">
        <is>
          <t>Agriculture</t>
        </is>
      </c>
      <c r="D1086" t="n">
        <v>2024</v>
      </c>
      <c r="E1086" t="n">
        <v>2015</v>
      </c>
      <c r="F1086" t="n">
        <v>2040</v>
      </c>
      <c r="G1086" t="n">
        <v>16061.3429</v>
      </c>
      <c r="H1086" t="n">
        <v>1445.2497</v>
      </c>
      <c r="I1086" t="n">
        <v>1900.8892</v>
      </c>
      <c r="J1086" t="n">
        <v>13568.3448</v>
      </c>
      <c r="K1086" t="n">
        <v>18949155.27</v>
      </c>
      <c r="L1086" t="n">
        <v>62164621.18</v>
      </c>
      <c r="M1086" t="n">
        <v>16061.3429</v>
      </c>
      <c r="N1086" t="inlineStr">
        <is>
          <t>Provided Total Emissions</t>
        </is>
      </c>
      <c r="O1086" t="b">
        <v>1</v>
      </c>
      <c r="P1086" t="n">
        <v>-0.014141</v>
      </c>
      <c r="Q1086" t="n">
        <v>0.002586</v>
      </c>
      <c r="R1086" t="n">
        <v>17321.9913</v>
      </c>
      <c r="S1086" t="n">
        <v>60245.5993</v>
      </c>
      <c r="T1086" t="n">
        <v>1260.6484</v>
      </c>
      <c r="U1086" t="n">
        <v>44184.2564</v>
      </c>
      <c r="V1086" t="n">
        <v>0.07849</v>
      </c>
      <c r="W1086" t="n">
        <v>2.750969</v>
      </c>
      <c r="X1086" t="inlineStr">
        <is>
          <t>High</t>
        </is>
      </c>
      <c r="Y1086" t="inlineStr">
        <is>
          <t>None</t>
        </is>
      </c>
      <c r="Z1086" t="inlineStr">
        <is>
          <t>Valid</t>
        </is>
      </c>
      <c r="AA1086" t="n">
        <v>2037</v>
      </c>
      <c r="AB1086" t="inlineStr">
        <is>
          <t>Historical Trend Pathway</t>
        </is>
      </c>
      <c r="AC1086" t="n">
        <v>18257.883</v>
      </c>
      <c r="AD1086" t="n">
        <v>15676.0358</v>
      </c>
      <c r="AE1086" t="n">
        <v>14414.5968</v>
      </c>
      <c r="AF1086" t="n">
        <v>15985.8574</v>
      </c>
      <c r="AG1086" t="n">
        <v>3843.2862</v>
      </c>
      <c r="AH1086" t="n">
        <v>0.0007607</v>
      </c>
      <c r="AI1086" t="n">
        <v>0.2105</v>
      </c>
      <c r="AJ1086" t="n">
        <v>-1261.439</v>
      </c>
      <c r="AK1086" t="n">
        <v>103.2739</v>
      </c>
      <c r="AL1086" t="n">
        <v>53738.1382</v>
      </c>
      <c r="AM1086" t="n">
        <v>197078.4346</v>
      </c>
      <c r="AN1086" t="n">
        <v>0.88</v>
      </c>
      <c r="AO1086" t="inlineStr">
        <is>
          <t>Low</t>
        </is>
      </c>
      <c r="AP1086" t="inlineStr">
        <is>
          <t>On Track to Glide Path</t>
        </is>
      </c>
    </row>
    <row r="1087">
      <c r="A1087" t="inlineStr">
        <is>
          <t>SUP-0068</t>
        </is>
      </c>
      <c r="B1087" t="inlineStr">
        <is>
          <t>Agriculture Supplier 068</t>
        </is>
      </c>
      <c r="C1087" t="inlineStr">
        <is>
          <t>Agriculture</t>
        </is>
      </c>
      <c r="D1087" t="n">
        <v>2024</v>
      </c>
      <c r="E1087" t="n">
        <v>2015</v>
      </c>
      <c r="F1087" t="n">
        <v>2040</v>
      </c>
      <c r="G1087" t="n">
        <v>16061.3429</v>
      </c>
      <c r="H1087" t="n">
        <v>1445.2497</v>
      </c>
      <c r="I1087" t="n">
        <v>1900.8892</v>
      </c>
      <c r="J1087" t="n">
        <v>13568.3448</v>
      </c>
      <c r="K1087" t="n">
        <v>18949155.27</v>
      </c>
      <c r="L1087" t="n">
        <v>62164621.18</v>
      </c>
      <c r="M1087" t="n">
        <v>16061.3429</v>
      </c>
      <c r="N1087" t="inlineStr">
        <is>
          <t>Provided Total Emissions</t>
        </is>
      </c>
      <c r="O1087" t="b">
        <v>1</v>
      </c>
      <c r="P1087" t="n">
        <v>-0.014141</v>
      </c>
      <c r="Q1087" t="n">
        <v>0.002586</v>
      </c>
      <c r="R1087" t="n">
        <v>17321.9913</v>
      </c>
      <c r="S1087" t="n">
        <v>60245.5993</v>
      </c>
      <c r="T1087" t="n">
        <v>1260.6484</v>
      </c>
      <c r="U1087" t="n">
        <v>44184.2564</v>
      </c>
      <c r="V1087" t="n">
        <v>0.07849</v>
      </c>
      <c r="W1087" t="n">
        <v>2.750969</v>
      </c>
      <c r="X1087" t="inlineStr">
        <is>
          <t>High</t>
        </is>
      </c>
      <c r="Y1087" t="inlineStr">
        <is>
          <t>None</t>
        </is>
      </c>
      <c r="Z1087" t="inlineStr">
        <is>
          <t>Valid</t>
        </is>
      </c>
      <c r="AA1087" t="n">
        <v>2038</v>
      </c>
      <c r="AB1087" t="inlineStr">
        <is>
          <t>Historical Trend Pathway</t>
        </is>
      </c>
      <c r="AC1087" t="n">
        <v>18257.883</v>
      </c>
      <c r="AD1087" t="n">
        <v>15676.0358</v>
      </c>
      <c r="AE1087" t="n">
        <v>14295.1495</v>
      </c>
      <c r="AF1087" t="n">
        <v>15882.5835</v>
      </c>
      <c r="AG1087" t="n">
        <v>3962.7335</v>
      </c>
      <c r="AH1087" t="n">
        <v>0.0007544</v>
      </c>
      <c r="AI1087" t="n">
        <v>0.217042</v>
      </c>
      <c r="AJ1087" t="n">
        <v>-1380.8863</v>
      </c>
      <c r="AK1087" t="n">
        <v>103.2739</v>
      </c>
      <c r="AL1087" t="n">
        <v>39442.9887</v>
      </c>
      <c r="AM1087" t="n">
        <v>211373.5841</v>
      </c>
      <c r="AN1087" t="n">
        <v>0.88</v>
      </c>
      <c r="AO1087" t="inlineStr">
        <is>
          <t>Low</t>
        </is>
      </c>
      <c r="AP1087" t="inlineStr">
        <is>
          <t>On Track to Glide Path</t>
        </is>
      </c>
    </row>
    <row r="1088">
      <c r="A1088" t="inlineStr">
        <is>
          <t>SUP-0068</t>
        </is>
      </c>
      <c r="B1088" t="inlineStr">
        <is>
          <t>Agriculture Supplier 068</t>
        </is>
      </c>
      <c r="C1088" t="inlineStr">
        <is>
          <t>Agriculture</t>
        </is>
      </c>
      <c r="D1088" t="n">
        <v>2024</v>
      </c>
      <c r="E1088" t="n">
        <v>2015</v>
      </c>
      <c r="F1088" t="n">
        <v>2040</v>
      </c>
      <c r="G1088" t="n">
        <v>16061.3429</v>
      </c>
      <c r="H1088" t="n">
        <v>1445.2497</v>
      </c>
      <c r="I1088" t="n">
        <v>1900.8892</v>
      </c>
      <c r="J1088" t="n">
        <v>13568.3448</v>
      </c>
      <c r="K1088" t="n">
        <v>18949155.27</v>
      </c>
      <c r="L1088" t="n">
        <v>62164621.18</v>
      </c>
      <c r="M1088" t="n">
        <v>16061.3429</v>
      </c>
      <c r="N1088" t="inlineStr">
        <is>
          <t>Provided Total Emissions</t>
        </is>
      </c>
      <c r="O1088" t="b">
        <v>1</v>
      </c>
      <c r="P1088" t="n">
        <v>-0.014141</v>
      </c>
      <c r="Q1088" t="n">
        <v>0.002586</v>
      </c>
      <c r="R1088" t="n">
        <v>17321.9913</v>
      </c>
      <c r="S1088" t="n">
        <v>60245.5993</v>
      </c>
      <c r="T1088" t="n">
        <v>1260.6484</v>
      </c>
      <c r="U1088" t="n">
        <v>44184.2564</v>
      </c>
      <c r="V1088" t="n">
        <v>0.07849</v>
      </c>
      <c r="W1088" t="n">
        <v>2.750969</v>
      </c>
      <c r="X1088" t="inlineStr">
        <is>
          <t>High</t>
        </is>
      </c>
      <c r="Y1088" t="inlineStr">
        <is>
          <t>None</t>
        </is>
      </c>
      <c r="Z1088" t="inlineStr">
        <is>
          <t>Valid</t>
        </is>
      </c>
      <c r="AA1088" t="n">
        <v>2039</v>
      </c>
      <c r="AB1088" t="inlineStr">
        <is>
          <t>Historical Trend Pathway</t>
        </is>
      </c>
      <c r="AC1088" t="n">
        <v>18257.883</v>
      </c>
      <c r="AD1088" t="n">
        <v>15676.0358</v>
      </c>
      <c r="AE1088" t="n">
        <v>14176.692</v>
      </c>
      <c r="AF1088" t="n">
        <v>15779.3097</v>
      </c>
      <c r="AG1088" t="n">
        <v>4081.191</v>
      </c>
      <c r="AH1088" t="n">
        <v>0.00074814</v>
      </c>
      <c r="AI1088" t="n">
        <v>0.22353</v>
      </c>
      <c r="AJ1088" t="n">
        <v>-1499.3438</v>
      </c>
      <c r="AK1088" t="n">
        <v>103.2739</v>
      </c>
      <c r="AL1088" t="n">
        <v>25266.2967</v>
      </c>
      <c r="AM1088" t="n">
        <v>225550.2761</v>
      </c>
      <c r="AN1088" t="n">
        <v>0.88</v>
      </c>
      <c r="AO1088" t="inlineStr">
        <is>
          <t>Low</t>
        </is>
      </c>
      <c r="AP1088" t="inlineStr">
        <is>
          <t>On Track to Glide Path</t>
        </is>
      </c>
    </row>
    <row r="1089">
      <c r="A1089" t="inlineStr">
        <is>
          <t>SUP-0068</t>
        </is>
      </c>
      <c r="B1089" t="inlineStr">
        <is>
          <t>Agriculture Supplier 068</t>
        </is>
      </c>
      <c r="C1089" t="inlineStr">
        <is>
          <t>Agriculture</t>
        </is>
      </c>
      <c r="D1089" t="n">
        <v>2024</v>
      </c>
      <c r="E1089" t="n">
        <v>2015</v>
      </c>
      <c r="F1089" t="n">
        <v>2040</v>
      </c>
      <c r="G1089" t="n">
        <v>16061.3429</v>
      </c>
      <c r="H1089" t="n">
        <v>1445.2497</v>
      </c>
      <c r="I1089" t="n">
        <v>1900.8892</v>
      </c>
      <c r="J1089" t="n">
        <v>13568.3448</v>
      </c>
      <c r="K1089" t="n">
        <v>18949155.27</v>
      </c>
      <c r="L1089" t="n">
        <v>62164621.18</v>
      </c>
      <c r="M1089" t="n">
        <v>16061.3429</v>
      </c>
      <c r="N1089" t="inlineStr">
        <is>
          <t>Provided Total Emissions</t>
        </is>
      </c>
      <c r="O1089" t="b">
        <v>1</v>
      </c>
      <c r="P1089" t="n">
        <v>-0.014141</v>
      </c>
      <c r="Q1089" t="n">
        <v>0.002586</v>
      </c>
      <c r="R1089" t="n">
        <v>17321.9913</v>
      </c>
      <c r="S1089" t="n">
        <v>60245.5993</v>
      </c>
      <c r="T1089" t="n">
        <v>1260.6484</v>
      </c>
      <c r="U1089" t="n">
        <v>44184.2564</v>
      </c>
      <c r="V1089" t="n">
        <v>0.07849</v>
      </c>
      <c r="W1089" t="n">
        <v>2.750969</v>
      </c>
      <c r="X1089" t="inlineStr">
        <is>
          <t>High</t>
        </is>
      </c>
      <c r="Y1089" t="inlineStr">
        <is>
          <t>None</t>
        </is>
      </c>
      <c r="Z1089" t="inlineStr">
        <is>
          <t>Valid</t>
        </is>
      </c>
      <c r="AA1089" t="n">
        <v>2040</v>
      </c>
      <c r="AB1089" t="inlineStr">
        <is>
          <t>Historical Trend Pathway</t>
        </is>
      </c>
      <c r="AC1089" t="n">
        <v>18257.883</v>
      </c>
      <c r="AD1089" t="n">
        <v>15676.0358</v>
      </c>
      <c r="AE1089" t="n">
        <v>14059.2161</v>
      </c>
      <c r="AF1089" t="n">
        <v>15676.0358</v>
      </c>
      <c r="AG1089" t="n">
        <v>4198.6669</v>
      </c>
      <c r="AH1089" t="n">
        <v>0.00074194</v>
      </c>
      <c r="AI1089" t="n">
        <v>0.229965</v>
      </c>
      <c r="AJ1089" t="n">
        <v>-1616.8196</v>
      </c>
      <c r="AK1089" t="n">
        <v>103.2739</v>
      </c>
      <c r="AL1089" t="n">
        <v>11207.0806</v>
      </c>
      <c r="AM1089" t="n">
        <v>239609.4922</v>
      </c>
      <c r="AN1089" t="n">
        <v>0.88</v>
      </c>
      <c r="AO1089" t="inlineStr">
        <is>
          <t>Low</t>
        </is>
      </c>
      <c r="AP1089" t="inlineStr">
        <is>
          <t>On Track</t>
        </is>
      </c>
    </row>
    <row r="1090">
      <c r="A1090" t="inlineStr">
        <is>
          <t>SUP-0069</t>
        </is>
      </c>
      <c r="B1090" t="inlineStr">
        <is>
          <t>Chemicals Supplier 069</t>
        </is>
      </c>
      <c r="C1090" t="inlineStr">
        <is>
          <t>Chemicals</t>
        </is>
      </c>
      <c r="D1090" t="n">
        <v>2024</v>
      </c>
      <c r="E1090" t="n">
        <v>2015</v>
      </c>
      <c r="F1090" t="n">
        <v>2035</v>
      </c>
      <c r="G1090" t="n">
        <v>4541.1221</v>
      </c>
      <c r="H1090" t="n">
        <v>1021.9259</v>
      </c>
      <c r="I1090" t="n">
        <v>902.6064</v>
      </c>
      <c r="J1090" t="n">
        <v>2893.9993</v>
      </c>
      <c r="K1090" t="n">
        <v>7337261.26</v>
      </c>
      <c r="L1090" t="n">
        <v>51791399.73</v>
      </c>
      <c r="M1090" t="n">
        <v>4541.1221</v>
      </c>
      <c r="N1090" t="inlineStr">
        <is>
          <t>Provided Total Emissions</t>
        </is>
      </c>
      <c r="O1090" t="b">
        <v>1</v>
      </c>
      <c r="P1090" t="n">
        <v>-0.037067</v>
      </c>
      <c r="Q1090" t="n">
        <v>0.033265</v>
      </c>
      <c r="R1090" t="n">
        <v>7348.1938</v>
      </c>
      <c r="S1090" t="n">
        <v>24406.1792</v>
      </c>
      <c r="T1090" t="n">
        <v>2807.0717</v>
      </c>
      <c r="U1090" t="n">
        <v>19865.0571</v>
      </c>
      <c r="V1090" t="n">
        <v>0.6181449999999999</v>
      </c>
      <c r="W1090" t="n">
        <v>4.374482</v>
      </c>
      <c r="X1090" t="inlineStr">
        <is>
          <t>High</t>
        </is>
      </c>
      <c r="Y1090" t="inlineStr">
        <is>
          <t>None</t>
        </is>
      </c>
      <c r="Z1090" t="inlineStr">
        <is>
          <t>Valid</t>
        </is>
      </c>
      <c r="AA1090" t="n">
        <v>2025</v>
      </c>
      <c r="AB1090" t="inlineStr">
        <is>
          <t>Industry Haircut Pathway</t>
        </is>
      </c>
      <c r="AC1090" t="n">
        <v>6379.6482</v>
      </c>
      <c r="AD1090" t="n">
        <v>3043.7302</v>
      </c>
      <c r="AE1090" t="n">
        <v>4711.6892</v>
      </c>
      <c r="AF1090" t="n">
        <v>4711.6892</v>
      </c>
      <c r="AG1090" t="n">
        <v>1667.959</v>
      </c>
      <c r="AH1090" t="n">
        <v>0.00064216</v>
      </c>
      <c r="AI1090" t="n">
        <v>0.26145</v>
      </c>
      <c r="AJ1090" t="n">
        <v>1667.959</v>
      </c>
      <c r="AK1090" t="n">
        <v>166.7959</v>
      </c>
      <c r="AL1090" t="n">
        <v>28769.343</v>
      </c>
      <c r="AM1090" t="n">
        <v>4711.6892</v>
      </c>
      <c r="AN1090" t="n">
        <v>0.95</v>
      </c>
      <c r="AO1090" t="inlineStr">
        <is>
          <t>Critical</t>
        </is>
      </c>
      <c r="AP1090" t="inlineStr">
        <is>
          <t>On Track to Glide Path</t>
        </is>
      </c>
    </row>
    <row r="1091">
      <c r="A1091" t="inlineStr">
        <is>
          <t>SUP-0069</t>
        </is>
      </c>
      <c r="B1091" t="inlineStr">
        <is>
          <t>Chemicals Supplier 069</t>
        </is>
      </c>
      <c r="C1091" t="inlineStr">
        <is>
          <t>Chemicals</t>
        </is>
      </c>
      <c r="D1091" t="n">
        <v>2024</v>
      </c>
      <c r="E1091" t="n">
        <v>2015</v>
      </c>
      <c r="F1091" t="n">
        <v>2035</v>
      </c>
      <c r="G1091" t="n">
        <v>4541.1221</v>
      </c>
      <c r="H1091" t="n">
        <v>1021.9259</v>
      </c>
      <c r="I1091" t="n">
        <v>902.6064</v>
      </c>
      <c r="J1091" t="n">
        <v>2893.9993</v>
      </c>
      <c r="K1091" t="n">
        <v>7337261.26</v>
      </c>
      <c r="L1091" t="n">
        <v>51791399.73</v>
      </c>
      <c r="M1091" t="n">
        <v>4541.1221</v>
      </c>
      <c r="N1091" t="inlineStr">
        <is>
          <t>Provided Total Emissions</t>
        </is>
      </c>
      <c r="O1091" t="b">
        <v>1</v>
      </c>
      <c r="P1091" t="n">
        <v>-0.037067</v>
      </c>
      <c r="Q1091" t="n">
        <v>0.033265</v>
      </c>
      <c r="R1091" t="n">
        <v>7348.1938</v>
      </c>
      <c r="S1091" t="n">
        <v>24406.1792</v>
      </c>
      <c r="T1091" t="n">
        <v>2807.0717</v>
      </c>
      <c r="U1091" t="n">
        <v>19865.0571</v>
      </c>
      <c r="V1091" t="n">
        <v>0.6181449999999999</v>
      </c>
      <c r="W1091" t="n">
        <v>4.374482</v>
      </c>
      <c r="X1091" t="inlineStr">
        <is>
          <t>High</t>
        </is>
      </c>
      <c r="Y1091" t="inlineStr">
        <is>
          <t>None</t>
        </is>
      </c>
      <c r="Z1091" t="inlineStr">
        <is>
          <t>Valid</t>
        </is>
      </c>
      <c r="AA1091" t="n">
        <v>2026</v>
      </c>
      <c r="AB1091" t="inlineStr">
        <is>
          <t>Industry Haircut Pathway</t>
        </is>
      </c>
      <c r="AC1091" t="n">
        <v>6379.6482</v>
      </c>
      <c r="AD1091" t="n">
        <v>3043.7302</v>
      </c>
      <c r="AE1091" t="n">
        <v>4544.8933</v>
      </c>
      <c r="AF1091" t="n">
        <v>4544.8933</v>
      </c>
      <c r="AG1091" t="n">
        <v>1834.7549</v>
      </c>
      <c r="AH1091" t="n">
        <v>0.00061943</v>
      </c>
      <c r="AI1091" t="n">
        <v>0.287595</v>
      </c>
      <c r="AJ1091" t="n">
        <v>1501.1631</v>
      </c>
      <c r="AK1091" t="n">
        <v>166.7959</v>
      </c>
      <c r="AL1091" t="n">
        <v>24224.4497</v>
      </c>
      <c r="AM1091" t="n">
        <v>9256.5825</v>
      </c>
      <c r="AN1091" t="n">
        <v>0.95</v>
      </c>
      <c r="AO1091" t="inlineStr">
        <is>
          <t>Critical</t>
        </is>
      </c>
      <c r="AP1091" t="inlineStr">
        <is>
          <t>On Track to Glide Path</t>
        </is>
      </c>
    </row>
    <row r="1092">
      <c r="A1092" t="inlineStr">
        <is>
          <t>SUP-0069</t>
        </is>
      </c>
      <c r="B1092" t="inlineStr">
        <is>
          <t>Chemicals Supplier 069</t>
        </is>
      </c>
      <c r="C1092" t="inlineStr">
        <is>
          <t>Chemicals</t>
        </is>
      </c>
      <c r="D1092" t="n">
        <v>2024</v>
      </c>
      <c r="E1092" t="n">
        <v>2015</v>
      </c>
      <c r="F1092" t="n">
        <v>2035</v>
      </c>
      <c r="G1092" t="n">
        <v>4541.1221</v>
      </c>
      <c r="H1092" t="n">
        <v>1021.9259</v>
      </c>
      <c r="I1092" t="n">
        <v>902.6064</v>
      </c>
      <c r="J1092" t="n">
        <v>2893.9993</v>
      </c>
      <c r="K1092" t="n">
        <v>7337261.26</v>
      </c>
      <c r="L1092" t="n">
        <v>51791399.73</v>
      </c>
      <c r="M1092" t="n">
        <v>4541.1221</v>
      </c>
      <c r="N1092" t="inlineStr">
        <is>
          <t>Provided Total Emissions</t>
        </is>
      </c>
      <c r="O1092" t="b">
        <v>1</v>
      </c>
      <c r="P1092" t="n">
        <v>-0.037067</v>
      </c>
      <c r="Q1092" t="n">
        <v>0.033265</v>
      </c>
      <c r="R1092" t="n">
        <v>7348.1938</v>
      </c>
      <c r="S1092" t="n">
        <v>24406.1792</v>
      </c>
      <c r="T1092" t="n">
        <v>2807.0717</v>
      </c>
      <c r="U1092" t="n">
        <v>19865.0571</v>
      </c>
      <c r="V1092" t="n">
        <v>0.6181449999999999</v>
      </c>
      <c r="W1092" t="n">
        <v>4.374482</v>
      </c>
      <c r="X1092" t="inlineStr">
        <is>
          <t>High</t>
        </is>
      </c>
      <c r="Y1092" t="inlineStr">
        <is>
          <t>None</t>
        </is>
      </c>
      <c r="Z1092" t="inlineStr">
        <is>
          <t>Valid</t>
        </is>
      </c>
      <c r="AA1092" t="n">
        <v>2027</v>
      </c>
      <c r="AB1092" t="inlineStr">
        <is>
          <t>Industry Haircut Pathway</t>
        </is>
      </c>
      <c r="AC1092" t="n">
        <v>6379.6482</v>
      </c>
      <c r="AD1092" t="n">
        <v>3043.7302</v>
      </c>
      <c r="AE1092" t="n">
        <v>4378.0974</v>
      </c>
      <c r="AF1092" t="n">
        <v>4378.0974</v>
      </c>
      <c r="AG1092" t="n">
        <v>2001.5508</v>
      </c>
      <c r="AH1092" t="n">
        <v>0.00059669</v>
      </c>
      <c r="AI1092" t="n">
        <v>0.31374</v>
      </c>
      <c r="AJ1092" t="n">
        <v>1334.3672</v>
      </c>
      <c r="AK1092" t="n">
        <v>166.7959</v>
      </c>
      <c r="AL1092" t="n">
        <v>19846.3523</v>
      </c>
      <c r="AM1092" t="n">
        <v>13634.6799</v>
      </c>
      <c r="AN1092" t="n">
        <v>0.95</v>
      </c>
      <c r="AO1092" t="inlineStr">
        <is>
          <t>Critical</t>
        </is>
      </c>
      <c r="AP1092" t="inlineStr">
        <is>
          <t>On Track to Glide Path</t>
        </is>
      </c>
    </row>
    <row r="1093">
      <c r="A1093" t="inlineStr">
        <is>
          <t>SUP-0069</t>
        </is>
      </c>
      <c r="B1093" t="inlineStr">
        <is>
          <t>Chemicals Supplier 069</t>
        </is>
      </c>
      <c r="C1093" t="inlineStr">
        <is>
          <t>Chemicals</t>
        </is>
      </c>
      <c r="D1093" t="n">
        <v>2024</v>
      </c>
      <c r="E1093" t="n">
        <v>2015</v>
      </c>
      <c r="F1093" t="n">
        <v>2035</v>
      </c>
      <c r="G1093" t="n">
        <v>4541.1221</v>
      </c>
      <c r="H1093" t="n">
        <v>1021.9259</v>
      </c>
      <c r="I1093" t="n">
        <v>902.6064</v>
      </c>
      <c r="J1093" t="n">
        <v>2893.9993</v>
      </c>
      <c r="K1093" t="n">
        <v>7337261.26</v>
      </c>
      <c r="L1093" t="n">
        <v>51791399.73</v>
      </c>
      <c r="M1093" t="n">
        <v>4541.1221</v>
      </c>
      <c r="N1093" t="inlineStr">
        <is>
          <t>Provided Total Emissions</t>
        </is>
      </c>
      <c r="O1093" t="b">
        <v>1</v>
      </c>
      <c r="P1093" t="n">
        <v>-0.037067</v>
      </c>
      <c r="Q1093" t="n">
        <v>0.033265</v>
      </c>
      <c r="R1093" t="n">
        <v>7348.1938</v>
      </c>
      <c r="S1093" t="n">
        <v>24406.1792</v>
      </c>
      <c r="T1093" t="n">
        <v>2807.0717</v>
      </c>
      <c r="U1093" t="n">
        <v>19865.0571</v>
      </c>
      <c r="V1093" t="n">
        <v>0.6181449999999999</v>
      </c>
      <c r="W1093" t="n">
        <v>4.374482</v>
      </c>
      <c r="X1093" t="inlineStr">
        <is>
          <t>High</t>
        </is>
      </c>
      <c r="Y1093" t="inlineStr">
        <is>
          <t>None</t>
        </is>
      </c>
      <c r="Z1093" t="inlineStr">
        <is>
          <t>Valid</t>
        </is>
      </c>
      <c r="AA1093" t="n">
        <v>2028</v>
      </c>
      <c r="AB1093" t="inlineStr">
        <is>
          <t>Industry Haircut Pathway</t>
        </is>
      </c>
      <c r="AC1093" t="n">
        <v>6379.6482</v>
      </c>
      <c r="AD1093" t="n">
        <v>3043.7302</v>
      </c>
      <c r="AE1093" t="n">
        <v>4211.3015</v>
      </c>
      <c r="AF1093" t="n">
        <v>4211.3015</v>
      </c>
      <c r="AG1093" t="n">
        <v>2168.3467</v>
      </c>
      <c r="AH1093" t="n">
        <v>0.00057396</v>
      </c>
      <c r="AI1093" t="n">
        <v>0.339885</v>
      </c>
      <c r="AJ1093" t="n">
        <v>1167.5713</v>
      </c>
      <c r="AK1093" t="n">
        <v>166.7959</v>
      </c>
      <c r="AL1093" t="n">
        <v>15635.0508</v>
      </c>
      <c r="AM1093" t="n">
        <v>17845.9814</v>
      </c>
      <c r="AN1093" t="n">
        <v>0.95</v>
      </c>
      <c r="AO1093" t="inlineStr">
        <is>
          <t>Critical</t>
        </is>
      </c>
      <c r="AP1093" t="inlineStr">
        <is>
          <t>On Track to Glide Path</t>
        </is>
      </c>
    </row>
    <row r="1094">
      <c r="A1094" t="inlineStr">
        <is>
          <t>SUP-0069</t>
        </is>
      </c>
      <c r="B1094" t="inlineStr">
        <is>
          <t>Chemicals Supplier 069</t>
        </is>
      </c>
      <c r="C1094" t="inlineStr">
        <is>
          <t>Chemicals</t>
        </is>
      </c>
      <c r="D1094" t="n">
        <v>2024</v>
      </c>
      <c r="E1094" t="n">
        <v>2015</v>
      </c>
      <c r="F1094" t="n">
        <v>2035</v>
      </c>
      <c r="G1094" t="n">
        <v>4541.1221</v>
      </c>
      <c r="H1094" t="n">
        <v>1021.9259</v>
      </c>
      <c r="I1094" t="n">
        <v>902.6064</v>
      </c>
      <c r="J1094" t="n">
        <v>2893.9993</v>
      </c>
      <c r="K1094" t="n">
        <v>7337261.26</v>
      </c>
      <c r="L1094" t="n">
        <v>51791399.73</v>
      </c>
      <c r="M1094" t="n">
        <v>4541.1221</v>
      </c>
      <c r="N1094" t="inlineStr">
        <is>
          <t>Provided Total Emissions</t>
        </is>
      </c>
      <c r="O1094" t="b">
        <v>1</v>
      </c>
      <c r="P1094" t="n">
        <v>-0.037067</v>
      </c>
      <c r="Q1094" t="n">
        <v>0.033265</v>
      </c>
      <c r="R1094" t="n">
        <v>7348.1938</v>
      </c>
      <c r="S1094" t="n">
        <v>24406.1792</v>
      </c>
      <c r="T1094" t="n">
        <v>2807.0717</v>
      </c>
      <c r="U1094" t="n">
        <v>19865.0571</v>
      </c>
      <c r="V1094" t="n">
        <v>0.6181449999999999</v>
      </c>
      <c r="W1094" t="n">
        <v>4.374482</v>
      </c>
      <c r="X1094" t="inlineStr">
        <is>
          <t>High</t>
        </is>
      </c>
      <c r="Y1094" t="inlineStr">
        <is>
          <t>None</t>
        </is>
      </c>
      <c r="Z1094" t="inlineStr">
        <is>
          <t>Valid</t>
        </is>
      </c>
      <c r="AA1094" t="n">
        <v>2029</v>
      </c>
      <c r="AB1094" t="inlineStr">
        <is>
          <t>Industry Haircut Pathway</t>
        </is>
      </c>
      <c r="AC1094" t="n">
        <v>6379.6482</v>
      </c>
      <c r="AD1094" t="n">
        <v>3043.7302</v>
      </c>
      <c r="AE1094" t="n">
        <v>4044.5056</v>
      </c>
      <c r="AF1094" t="n">
        <v>4044.5056</v>
      </c>
      <c r="AG1094" t="n">
        <v>2335.1426</v>
      </c>
      <c r="AH1094" t="n">
        <v>0.00055123</v>
      </c>
      <c r="AI1094" t="n">
        <v>0.36603</v>
      </c>
      <c r="AJ1094" t="n">
        <v>1000.7754</v>
      </c>
      <c r="AK1094" t="n">
        <v>166.7959</v>
      </c>
      <c r="AL1094" t="n">
        <v>11590.5452</v>
      </c>
      <c r="AM1094" t="n">
        <v>21890.487</v>
      </c>
      <c r="AN1094" t="n">
        <v>0.95</v>
      </c>
      <c r="AO1094" t="inlineStr">
        <is>
          <t>High</t>
        </is>
      </c>
      <c r="AP1094" t="inlineStr">
        <is>
          <t>On Track to Glide Path</t>
        </is>
      </c>
    </row>
    <row r="1095">
      <c r="A1095" t="inlineStr">
        <is>
          <t>SUP-0069</t>
        </is>
      </c>
      <c r="B1095" t="inlineStr">
        <is>
          <t>Chemicals Supplier 069</t>
        </is>
      </c>
      <c r="C1095" t="inlineStr">
        <is>
          <t>Chemicals</t>
        </is>
      </c>
      <c r="D1095" t="n">
        <v>2024</v>
      </c>
      <c r="E1095" t="n">
        <v>2015</v>
      </c>
      <c r="F1095" t="n">
        <v>2035</v>
      </c>
      <c r="G1095" t="n">
        <v>4541.1221</v>
      </c>
      <c r="H1095" t="n">
        <v>1021.9259</v>
      </c>
      <c r="I1095" t="n">
        <v>902.6064</v>
      </c>
      <c r="J1095" t="n">
        <v>2893.9993</v>
      </c>
      <c r="K1095" t="n">
        <v>7337261.26</v>
      </c>
      <c r="L1095" t="n">
        <v>51791399.73</v>
      </c>
      <c r="M1095" t="n">
        <v>4541.1221</v>
      </c>
      <c r="N1095" t="inlineStr">
        <is>
          <t>Provided Total Emissions</t>
        </is>
      </c>
      <c r="O1095" t="b">
        <v>1</v>
      </c>
      <c r="P1095" t="n">
        <v>-0.037067</v>
      </c>
      <c r="Q1095" t="n">
        <v>0.033265</v>
      </c>
      <c r="R1095" t="n">
        <v>7348.1938</v>
      </c>
      <c r="S1095" t="n">
        <v>24406.1792</v>
      </c>
      <c r="T1095" t="n">
        <v>2807.0717</v>
      </c>
      <c r="U1095" t="n">
        <v>19865.0571</v>
      </c>
      <c r="V1095" t="n">
        <v>0.6181449999999999</v>
      </c>
      <c r="W1095" t="n">
        <v>4.374482</v>
      </c>
      <c r="X1095" t="inlineStr">
        <is>
          <t>High</t>
        </is>
      </c>
      <c r="Y1095" t="inlineStr">
        <is>
          <t>None</t>
        </is>
      </c>
      <c r="Z1095" t="inlineStr">
        <is>
          <t>Valid</t>
        </is>
      </c>
      <c r="AA1095" t="n">
        <v>2030</v>
      </c>
      <c r="AB1095" t="inlineStr">
        <is>
          <t>Industry Haircut Pathway</t>
        </is>
      </c>
      <c r="AC1095" t="n">
        <v>6379.6482</v>
      </c>
      <c r="AD1095" t="n">
        <v>3043.7302</v>
      </c>
      <c r="AE1095" t="n">
        <v>3877.7097</v>
      </c>
      <c r="AF1095" t="n">
        <v>3877.7097</v>
      </c>
      <c r="AG1095" t="n">
        <v>2501.9385</v>
      </c>
      <c r="AH1095" t="n">
        <v>0.0005285</v>
      </c>
      <c r="AI1095" t="n">
        <v>0.392175</v>
      </c>
      <c r="AJ1095" t="n">
        <v>833.9795</v>
      </c>
      <c r="AK1095" t="n">
        <v>166.7959</v>
      </c>
      <c r="AL1095" t="n">
        <v>7712.8355</v>
      </c>
      <c r="AM1095" t="n">
        <v>25768.1967</v>
      </c>
      <c r="AN1095" t="n">
        <v>0.95</v>
      </c>
      <c r="AO1095" t="inlineStr">
        <is>
          <t>High</t>
        </is>
      </c>
      <c r="AP1095" t="inlineStr">
        <is>
          <t>On Track to Glide Path</t>
        </is>
      </c>
    </row>
    <row r="1096">
      <c r="A1096" t="inlineStr">
        <is>
          <t>SUP-0069</t>
        </is>
      </c>
      <c r="B1096" t="inlineStr">
        <is>
          <t>Chemicals Supplier 069</t>
        </is>
      </c>
      <c r="C1096" t="inlineStr">
        <is>
          <t>Chemicals</t>
        </is>
      </c>
      <c r="D1096" t="n">
        <v>2024</v>
      </c>
      <c r="E1096" t="n">
        <v>2015</v>
      </c>
      <c r="F1096" t="n">
        <v>2035</v>
      </c>
      <c r="G1096" t="n">
        <v>4541.1221</v>
      </c>
      <c r="H1096" t="n">
        <v>1021.9259</v>
      </c>
      <c r="I1096" t="n">
        <v>902.6064</v>
      </c>
      <c r="J1096" t="n">
        <v>2893.9993</v>
      </c>
      <c r="K1096" t="n">
        <v>7337261.26</v>
      </c>
      <c r="L1096" t="n">
        <v>51791399.73</v>
      </c>
      <c r="M1096" t="n">
        <v>4541.1221</v>
      </c>
      <c r="N1096" t="inlineStr">
        <is>
          <t>Provided Total Emissions</t>
        </is>
      </c>
      <c r="O1096" t="b">
        <v>1</v>
      </c>
      <c r="P1096" t="n">
        <v>-0.037067</v>
      </c>
      <c r="Q1096" t="n">
        <v>0.033265</v>
      </c>
      <c r="R1096" t="n">
        <v>7348.1938</v>
      </c>
      <c r="S1096" t="n">
        <v>24406.1792</v>
      </c>
      <c r="T1096" t="n">
        <v>2807.0717</v>
      </c>
      <c r="U1096" t="n">
        <v>19865.0571</v>
      </c>
      <c r="V1096" t="n">
        <v>0.6181449999999999</v>
      </c>
      <c r="W1096" t="n">
        <v>4.374482</v>
      </c>
      <c r="X1096" t="inlineStr">
        <is>
          <t>High</t>
        </is>
      </c>
      <c r="Y1096" t="inlineStr">
        <is>
          <t>None</t>
        </is>
      </c>
      <c r="Z1096" t="inlineStr">
        <is>
          <t>Valid</t>
        </is>
      </c>
      <c r="AA1096" t="n">
        <v>2031</v>
      </c>
      <c r="AB1096" t="inlineStr">
        <is>
          <t>Industry Haircut Pathway</t>
        </is>
      </c>
      <c r="AC1096" t="n">
        <v>6379.6482</v>
      </c>
      <c r="AD1096" t="n">
        <v>3043.7302</v>
      </c>
      <c r="AE1096" t="n">
        <v>3710.9138</v>
      </c>
      <c r="AF1096" t="n">
        <v>3710.9138</v>
      </c>
      <c r="AG1096" t="n">
        <v>2668.7344</v>
      </c>
      <c r="AH1096" t="n">
        <v>0.00050576</v>
      </c>
      <c r="AI1096" t="n">
        <v>0.41832</v>
      </c>
      <c r="AJ1096" t="n">
        <v>667.1836</v>
      </c>
      <c r="AK1096" t="n">
        <v>166.7959</v>
      </c>
      <c r="AL1096" t="n">
        <v>4001.9217</v>
      </c>
      <c r="AM1096" t="n">
        <v>29479.1105</v>
      </c>
      <c r="AN1096" t="n">
        <v>0.95</v>
      </c>
      <c r="AO1096" t="inlineStr">
        <is>
          <t>High</t>
        </is>
      </c>
      <c r="AP1096" t="inlineStr">
        <is>
          <t>On Track to Glide Path</t>
        </is>
      </c>
    </row>
    <row r="1097">
      <c r="A1097" t="inlineStr">
        <is>
          <t>SUP-0069</t>
        </is>
      </c>
      <c r="B1097" t="inlineStr">
        <is>
          <t>Chemicals Supplier 069</t>
        </is>
      </c>
      <c r="C1097" t="inlineStr">
        <is>
          <t>Chemicals</t>
        </is>
      </c>
      <c r="D1097" t="n">
        <v>2024</v>
      </c>
      <c r="E1097" t="n">
        <v>2015</v>
      </c>
      <c r="F1097" t="n">
        <v>2035</v>
      </c>
      <c r="G1097" t="n">
        <v>4541.1221</v>
      </c>
      <c r="H1097" t="n">
        <v>1021.9259</v>
      </c>
      <c r="I1097" t="n">
        <v>902.6064</v>
      </c>
      <c r="J1097" t="n">
        <v>2893.9993</v>
      </c>
      <c r="K1097" t="n">
        <v>7337261.26</v>
      </c>
      <c r="L1097" t="n">
        <v>51791399.73</v>
      </c>
      <c r="M1097" t="n">
        <v>4541.1221</v>
      </c>
      <c r="N1097" t="inlineStr">
        <is>
          <t>Provided Total Emissions</t>
        </is>
      </c>
      <c r="O1097" t="b">
        <v>1</v>
      </c>
      <c r="P1097" t="n">
        <v>-0.037067</v>
      </c>
      <c r="Q1097" t="n">
        <v>0.033265</v>
      </c>
      <c r="R1097" t="n">
        <v>7348.1938</v>
      </c>
      <c r="S1097" t="n">
        <v>24406.1792</v>
      </c>
      <c r="T1097" t="n">
        <v>2807.0717</v>
      </c>
      <c r="U1097" t="n">
        <v>19865.0571</v>
      </c>
      <c r="V1097" t="n">
        <v>0.6181449999999999</v>
      </c>
      <c r="W1097" t="n">
        <v>4.374482</v>
      </c>
      <c r="X1097" t="inlineStr">
        <is>
          <t>High</t>
        </is>
      </c>
      <c r="Y1097" t="inlineStr">
        <is>
          <t>None</t>
        </is>
      </c>
      <c r="Z1097" t="inlineStr">
        <is>
          <t>Valid</t>
        </is>
      </c>
      <c r="AA1097" t="n">
        <v>2032</v>
      </c>
      <c r="AB1097" t="inlineStr">
        <is>
          <t>Industry Haircut Pathway</t>
        </is>
      </c>
      <c r="AC1097" t="n">
        <v>6379.6482</v>
      </c>
      <c r="AD1097" t="n">
        <v>3043.7302</v>
      </c>
      <c r="AE1097" t="n">
        <v>3544.1179</v>
      </c>
      <c r="AF1097" t="n">
        <v>3544.1179</v>
      </c>
      <c r="AG1097" t="n">
        <v>2835.5303</v>
      </c>
      <c r="AH1097" t="n">
        <v>0.00048303</v>
      </c>
      <c r="AI1097" t="n">
        <v>0.444465</v>
      </c>
      <c r="AJ1097" t="n">
        <v>500.3877</v>
      </c>
      <c r="AK1097" t="n">
        <v>166.7959</v>
      </c>
      <c r="AL1097" t="n">
        <v>457.8038</v>
      </c>
      <c r="AM1097" t="n">
        <v>33023.2284</v>
      </c>
      <c r="AN1097" t="n">
        <v>0.95</v>
      </c>
      <c r="AO1097" t="inlineStr">
        <is>
          <t>High</t>
        </is>
      </c>
      <c r="AP1097" t="inlineStr">
        <is>
          <t>On Track to Glide Path</t>
        </is>
      </c>
    </row>
    <row r="1098">
      <c r="A1098" t="inlineStr">
        <is>
          <t>SUP-0069</t>
        </is>
      </c>
      <c r="B1098" t="inlineStr">
        <is>
          <t>Chemicals Supplier 069</t>
        </is>
      </c>
      <c r="C1098" t="inlineStr">
        <is>
          <t>Chemicals</t>
        </is>
      </c>
      <c r="D1098" t="n">
        <v>2024</v>
      </c>
      <c r="E1098" t="n">
        <v>2015</v>
      </c>
      <c r="F1098" t="n">
        <v>2035</v>
      </c>
      <c r="G1098" t="n">
        <v>4541.1221</v>
      </c>
      <c r="H1098" t="n">
        <v>1021.9259</v>
      </c>
      <c r="I1098" t="n">
        <v>902.6064</v>
      </c>
      <c r="J1098" t="n">
        <v>2893.9993</v>
      </c>
      <c r="K1098" t="n">
        <v>7337261.26</v>
      </c>
      <c r="L1098" t="n">
        <v>51791399.73</v>
      </c>
      <c r="M1098" t="n">
        <v>4541.1221</v>
      </c>
      <c r="N1098" t="inlineStr">
        <is>
          <t>Provided Total Emissions</t>
        </is>
      </c>
      <c r="O1098" t="b">
        <v>1</v>
      </c>
      <c r="P1098" t="n">
        <v>-0.037067</v>
      </c>
      <c r="Q1098" t="n">
        <v>0.033265</v>
      </c>
      <c r="R1098" t="n">
        <v>7348.1938</v>
      </c>
      <c r="S1098" t="n">
        <v>24406.1792</v>
      </c>
      <c r="T1098" t="n">
        <v>2807.0717</v>
      </c>
      <c r="U1098" t="n">
        <v>19865.0571</v>
      </c>
      <c r="V1098" t="n">
        <v>0.6181449999999999</v>
      </c>
      <c r="W1098" t="n">
        <v>4.374482</v>
      </c>
      <c r="X1098" t="inlineStr">
        <is>
          <t>High</t>
        </is>
      </c>
      <c r="Y1098" t="inlineStr">
        <is>
          <t>None</t>
        </is>
      </c>
      <c r="Z1098" t="inlineStr">
        <is>
          <t>Valid</t>
        </is>
      </c>
      <c r="AA1098" t="n">
        <v>2033</v>
      </c>
      <c r="AB1098" t="inlineStr">
        <is>
          <t>Industry Haircut Pathway</t>
        </is>
      </c>
      <c r="AC1098" t="n">
        <v>6379.6482</v>
      </c>
      <c r="AD1098" t="n">
        <v>3043.7302</v>
      </c>
      <c r="AE1098" t="n">
        <v>3377.322</v>
      </c>
      <c r="AF1098" t="n">
        <v>3377.322</v>
      </c>
      <c r="AG1098" t="n">
        <v>3002.3262</v>
      </c>
      <c r="AH1098" t="n">
        <v>0.0004603</v>
      </c>
      <c r="AI1098" t="n">
        <v>0.47061</v>
      </c>
      <c r="AJ1098" t="n">
        <v>333.5918</v>
      </c>
      <c r="AK1098" t="n">
        <v>166.7959</v>
      </c>
      <c r="AL1098" t="n">
        <v>-2919.5182</v>
      </c>
      <c r="AM1098" t="n">
        <v>36400.5504</v>
      </c>
      <c r="AN1098" t="n">
        <v>0.95</v>
      </c>
      <c r="AO1098" t="inlineStr">
        <is>
          <t>Medium</t>
        </is>
      </c>
      <c r="AP1098" t="inlineStr">
        <is>
          <t>On Track to Glide Path</t>
        </is>
      </c>
    </row>
    <row r="1099">
      <c r="A1099" t="inlineStr">
        <is>
          <t>SUP-0069</t>
        </is>
      </c>
      <c r="B1099" t="inlineStr">
        <is>
          <t>Chemicals Supplier 069</t>
        </is>
      </c>
      <c r="C1099" t="inlineStr">
        <is>
          <t>Chemicals</t>
        </is>
      </c>
      <c r="D1099" t="n">
        <v>2024</v>
      </c>
      <c r="E1099" t="n">
        <v>2015</v>
      </c>
      <c r="F1099" t="n">
        <v>2035</v>
      </c>
      <c r="G1099" t="n">
        <v>4541.1221</v>
      </c>
      <c r="H1099" t="n">
        <v>1021.9259</v>
      </c>
      <c r="I1099" t="n">
        <v>902.6064</v>
      </c>
      <c r="J1099" t="n">
        <v>2893.9993</v>
      </c>
      <c r="K1099" t="n">
        <v>7337261.26</v>
      </c>
      <c r="L1099" t="n">
        <v>51791399.73</v>
      </c>
      <c r="M1099" t="n">
        <v>4541.1221</v>
      </c>
      <c r="N1099" t="inlineStr">
        <is>
          <t>Provided Total Emissions</t>
        </is>
      </c>
      <c r="O1099" t="b">
        <v>1</v>
      </c>
      <c r="P1099" t="n">
        <v>-0.037067</v>
      </c>
      <c r="Q1099" t="n">
        <v>0.033265</v>
      </c>
      <c r="R1099" t="n">
        <v>7348.1938</v>
      </c>
      <c r="S1099" t="n">
        <v>24406.1792</v>
      </c>
      <c r="T1099" t="n">
        <v>2807.0717</v>
      </c>
      <c r="U1099" t="n">
        <v>19865.0571</v>
      </c>
      <c r="V1099" t="n">
        <v>0.6181449999999999</v>
      </c>
      <c r="W1099" t="n">
        <v>4.374482</v>
      </c>
      <c r="X1099" t="inlineStr">
        <is>
          <t>High</t>
        </is>
      </c>
      <c r="Y1099" t="inlineStr">
        <is>
          <t>None</t>
        </is>
      </c>
      <c r="Z1099" t="inlineStr">
        <is>
          <t>Valid</t>
        </is>
      </c>
      <c r="AA1099" t="n">
        <v>2034</v>
      </c>
      <c r="AB1099" t="inlineStr">
        <is>
          <t>Industry Haircut Pathway</t>
        </is>
      </c>
      <c r="AC1099" t="n">
        <v>6379.6482</v>
      </c>
      <c r="AD1099" t="n">
        <v>3043.7302</v>
      </c>
      <c r="AE1099" t="n">
        <v>3210.5261</v>
      </c>
      <c r="AF1099" t="n">
        <v>3210.5261</v>
      </c>
      <c r="AG1099" t="n">
        <v>3169.1221</v>
      </c>
      <c r="AH1099" t="n">
        <v>0.00043756</v>
      </c>
      <c r="AI1099" t="n">
        <v>0.496755</v>
      </c>
      <c r="AJ1099" t="n">
        <v>166.7959</v>
      </c>
      <c r="AK1099" t="n">
        <v>166.7959</v>
      </c>
      <c r="AL1099" t="n">
        <v>-6130.0443</v>
      </c>
      <c r="AM1099" t="n">
        <v>39611.0765</v>
      </c>
      <c r="AN1099" t="n">
        <v>0.95</v>
      </c>
      <c r="AO1099" t="inlineStr">
        <is>
          <t>Medium</t>
        </is>
      </c>
      <c r="AP1099" t="inlineStr">
        <is>
          <t>On Track to Glide Path</t>
        </is>
      </c>
    </row>
    <row r="1100">
      <c r="A1100" t="inlineStr">
        <is>
          <t>SUP-0069</t>
        </is>
      </c>
      <c r="B1100" t="inlineStr">
        <is>
          <t>Chemicals Supplier 069</t>
        </is>
      </c>
      <c r="C1100" t="inlineStr">
        <is>
          <t>Chemicals</t>
        </is>
      </c>
      <c r="D1100" t="n">
        <v>2024</v>
      </c>
      <c r="E1100" t="n">
        <v>2015</v>
      </c>
      <c r="F1100" t="n">
        <v>2035</v>
      </c>
      <c r="G1100" t="n">
        <v>4541.1221</v>
      </c>
      <c r="H1100" t="n">
        <v>1021.9259</v>
      </c>
      <c r="I1100" t="n">
        <v>902.6064</v>
      </c>
      <c r="J1100" t="n">
        <v>2893.9993</v>
      </c>
      <c r="K1100" t="n">
        <v>7337261.26</v>
      </c>
      <c r="L1100" t="n">
        <v>51791399.73</v>
      </c>
      <c r="M1100" t="n">
        <v>4541.1221</v>
      </c>
      <c r="N1100" t="inlineStr">
        <is>
          <t>Provided Total Emissions</t>
        </is>
      </c>
      <c r="O1100" t="b">
        <v>1</v>
      </c>
      <c r="P1100" t="n">
        <v>-0.037067</v>
      </c>
      <c r="Q1100" t="n">
        <v>0.033265</v>
      </c>
      <c r="R1100" t="n">
        <v>7348.1938</v>
      </c>
      <c r="S1100" t="n">
        <v>24406.1792</v>
      </c>
      <c r="T1100" t="n">
        <v>2807.0717</v>
      </c>
      <c r="U1100" t="n">
        <v>19865.0571</v>
      </c>
      <c r="V1100" t="n">
        <v>0.6181449999999999</v>
      </c>
      <c r="W1100" t="n">
        <v>4.374482</v>
      </c>
      <c r="X1100" t="inlineStr">
        <is>
          <t>High</t>
        </is>
      </c>
      <c r="Y1100" t="inlineStr">
        <is>
          <t>None</t>
        </is>
      </c>
      <c r="Z1100" t="inlineStr">
        <is>
          <t>Valid</t>
        </is>
      </c>
      <c r="AA1100" t="n">
        <v>2035</v>
      </c>
      <c r="AB1100" t="inlineStr">
        <is>
          <t>Industry Haircut Pathway</t>
        </is>
      </c>
      <c r="AC1100" t="n">
        <v>6379.6482</v>
      </c>
      <c r="AD1100" t="n">
        <v>3043.7302</v>
      </c>
      <c r="AE1100" t="n">
        <v>3043.7302</v>
      </c>
      <c r="AF1100" t="n">
        <v>3043.7302</v>
      </c>
      <c r="AG1100" t="n">
        <v>3335.918</v>
      </c>
      <c r="AH1100" t="n">
        <v>0.00041483</v>
      </c>
      <c r="AI1100" t="n">
        <v>0.5229</v>
      </c>
      <c r="AJ1100" t="n">
        <v>0</v>
      </c>
      <c r="AK1100" t="n">
        <v>166.7959</v>
      </c>
      <c r="AL1100" t="n">
        <v>-9173.7745</v>
      </c>
      <c r="AM1100" t="n">
        <v>42654.8067</v>
      </c>
      <c r="AN1100" t="n">
        <v>0.95</v>
      </c>
      <c r="AO1100" t="inlineStr">
        <is>
          <t>Low</t>
        </is>
      </c>
      <c r="AP1100" t="inlineStr">
        <is>
          <t>On Track</t>
        </is>
      </c>
    </row>
    <row r="1101">
      <c r="A1101" t="inlineStr">
        <is>
          <t>SUP-0069</t>
        </is>
      </c>
      <c r="B1101" t="inlineStr">
        <is>
          <t>Chemicals Supplier 069</t>
        </is>
      </c>
      <c r="C1101" t="inlineStr">
        <is>
          <t>Chemicals</t>
        </is>
      </c>
      <c r="D1101" t="n">
        <v>2024</v>
      </c>
      <c r="E1101" t="n">
        <v>2015</v>
      </c>
      <c r="F1101" t="n">
        <v>2035</v>
      </c>
      <c r="G1101" t="n">
        <v>4541.1221</v>
      </c>
      <c r="H1101" t="n">
        <v>1021.9259</v>
      </c>
      <c r="I1101" t="n">
        <v>902.6064</v>
      </c>
      <c r="J1101" t="n">
        <v>2893.9993</v>
      </c>
      <c r="K1101" t="n">
        <v>7337261.26</v>
      </c>
      <c r="L1101" t="n">
        <v>51791399.73</v>
      </c>
      <c r="M1101" t="n">
        <v>4541.1221</v>
      </c>
      <c r="N1101" t="inlineStr">
        <is>
          <t>Provided Total Emissions</t>
        </is>
      </c>
      <c r="O1101" t="b">
        <v>1</v>
      </c>
      <c r="P1101" t="n">
        <v>-0.037067</v>
      </c>
      <c r="Q1101" t="n">
        <v>0.033265</v>
      </c>
      <c r="R1101" t="n">
        <v>7348.1938</v>
      </c>
      <c r="S1101" t="n">
        <v>24406.1792</v>
      </c>
      <c r="T1101" t="n">
        <v>2807.0717</v>
      </c>
      <c r="U1101" t="n">
        <v>19865.0571</v>
      </c>
      <c r="V1101" t="n">
        <v>0.6181449999999999</v>
      </c>
      <c r="W1101" t="n">
        <v>4.374482</v>
      </c>
      <c r="X1101" t="inlineStr">
        <is>
          <t>High</t>
        </is>
      </c>
      <c r="Y1101" t="inlineStr">
        <is>
          <t>None</t>
        </is>
      </c>
      <c r="Z1101" t="inlineStr">
        <is>
          <t>Valid</t>
        </is>
      </c>
      <c r="AA1101" t="n">
        <v>2036</v>
      </c>
      <c r="AB1101" t="inlineStr">
        <is>
          <t>Industry Haircut Pathway</t>
        </is>
      </c>
      <c r="AC1101" t="n">
        <v>6379.6482</v>
      </c>
      <c r="AD1101" t="n">
        <v>3043.7302</v>
      </c>
      <c r="AE1101" t="n">
        <v>3043.7302</v>
      </c>
      <c r="AF1101" t="n">
        <v>3043.7302</v>
      </c>
      <c r="AG1101" t="n">
        <v>3335.918</v>
      </c>
      <c r="AH1101" t="n">
        <v>0.00041483</v>
      </c>
      <c r="AI1101" t="n">
        <v>0.5229</v>
      </c>
      <c r="AJ1101" t="n">
        <v>0</v>
      </c>
      <c r="AK1101" t="n">
        <v>166.7959</v>
      </c>
      <c r="AL1101" t="n">
        <v>-12217.5047</v>
      </c>
      <c r="AM1101" t="n">
        <v>45698.5369</v>
      </c>
      <c r="AN1101" t="n">
        <v>0.95</v>
      </c>
      <c r="AO1101" t="inlineStr">
        <is>
          <t>Low</t>
        </is>
      </c>
      <c r="AP1101" t="inlineStr">
        <is>
          <t>On Track</t>
        </is>
      </c>
    </row>
    <row r="1102">
      <c r="A1102" t="inlineStr">
        <is>
          <t>SUP-0069</t>
        </is>
      </c>
      <c r="B1102" t="inlineStr">
        <is>
          <t>Chemicals Supplier 069</t>
        </is>
      </c>
      <c r="C1102" t="inlineStr">
        <is>
          <t>Chemicals</t>
        </is>
      </c>
      <c r="D1102" t="n">
        <v>2024</v>
      </c>
      <c r="E1102" t="n">
        <v>2015</v>
      </c>
      <c r="F1102" t="n">
        <v>2035</v>
      </c>
      <c r="G1102" t="n">
        <v>4541.1221</v>
      </c>
      <c r="H1102" t="n">
        <v>1021.9259</v>
      </c>
      <c r="I1102" t="n">
        <v>902.6064</v>
      </c>
      <c r="J1102" t="n">
        <v>2893.9993</v>
      </c>
      <c r="K1102" t="n">
        <v>7337261.26</v>
      </c>
      <c r="L1102" t="n">
        <v>51791399.73</v>
      </c>
      <c r="M1102" t="n">
        <v>4541.1221</v>
      </c>
      <c r="N1102" t="inlineStr">
        <is>
          <t>Provided Total Emissions</t>
        </is>
      </c>
      <c r="O1102" t="b">
        <v>1</v>
      </c>
      <c r="P1102" t="n">
        <v>-0.037067</v>
      </c>
      <c r="Q1102" t="n">
        <v>0.033265</v>
      </c>
      <c r="R1102" t="n">
        <v>7348.1938</v>
      </c>
      <c r="S1102" t="n">
        <v>24406.1792</v>
      </c>
      <c r="T1102" t="n">
        <v>2807.0717</v>
      </c>
      <c r="U1102" t="n">
        <v>19865.0571</v>
      </c>
      <c r="V1102" t="n">
        <v>0.6181449999999999</v>
      </c>
      <c r="W1102" t="n">
        <v>4.374482</v>
      </c>
      <c r="X1102" t="inlineStr">
        <is>
          <t>High</t>
        </is>
      </c>
      <c r="Y1102" t="inlineStr">
        <is>
          <t>None</t>
        </is>
      </c>
      <c r="Z1102" t="inlineStr">
        <is>
          <t>Valid</t>
        </is>
      </c>
      <c r="AA1102" t="n">
        <v>2037</v>
      </c>
      <c r="AB1102" t="inlineStr">
        <is>
          <t>Industry Haircut Pathway</t>
        </is>
      </c>
      <c r="AC1102" t="n">
        <v>6379.6482</v>
      </c>
      <c r="AD1102" t="n">
        <v>3043.7302</v>
      </c>
      <c r="AE1102" t="n">
        <v>3043.7302</v>
      </c>
      <c r="AF1102" t="n">
        <v>3043.7302</v>
      </c>
      <c r="AG1102" t="n">
        <v>3335.918</v>
      </c>
      <c r="AH1102" t="n">
        <v>0.00041483</v>
      </c>
      <c r="AI1102" t="n">
        <v>0.5229</v>
      </c>
      <c r="AJ1102" t="n">
        <v>0</v>
      </c>
      <c r="AK1102" t="n">
        <v>166.7959</v>
      </c>
      <c r="AL1102" t="n">
        <v>-15261.2349</v>
      </c>
      <c r="AM1102" t="n">
        <v>48742.2671</v>
      </c>
      <c r="AN1102" t="n">
        <v>0.95</v>
      </c>
      <c r="AO1102" t="inlineStr">
        <is>
          <t>Low</t>
        </is>
      </c>
      <c r="AP1102" t="inlineStr">
        <is>
          <t>On Track</t>
        </is>
      </c>
    </row>
    <row r="1103">
      <c r="A1103" t="inlineStr">
        <is>
          <t>SUP-0069</t>
        </is>
      </c>
      <c r="B1103" t="inlineStr">
        <is>
          <t>Chemicals Supplier 069</t>
        </is>
      </c>
      <c r="C1103" t="inlineStr">
        <is>
          <t>Chemicals</t>
        </is>
      </c>
      <c r="D1103" t="n">
        <v>2024</v>
      </c>
      <c r="E1103" t="n">
        <v>2015</v>
      </c>
      <c r="F1103" t="n">
        <v>2035</v>
      </c>
      <c r="G1103" t="n">
        <v>4541.1221</v>
      </c>
      <c r="H1103" t="n">
        <v>1021.9259</v>
      </c>
      <c r="I1103" t="n">
        <v>902.6064</v>
      </c>
      <c r="J1103" t="n">
        <v>2893.9993</v>
      </c>
      <c r="K1103" t="n">
        <v>7337261.26</v>
      </c>
      <c r="L1103" t="n">
        <v>51791399.73</v>
      </c>
      <c r="M1103" t="n">
        <v>4541.1221</v>
      </c>
      <c r="N1103" t="inlineStr">
        <is>
          <t>Provided Total Emissions</t>
        </is>
      </c>
      <c r="O1103" t="b">
        <v>1</v>
      </c>
      <c r="P1103" t="n">
        <v>-0.037067</v>
      </c>
      <c r="Q1103" t="n">
        <v>0.033265</v>
      </c>
      <c r="R1103" t="n">
        <v>7348.1938</v>
      </c>
      <c r="S1103" t="n">
        <v>24406.1792</v>
      </c>
      <c r="T1103" t="n">
        <v>2807.0717</v>
      </c>
      <c r="U1103" t="n">
        <v>19865.0571</v>
      </c>
      <c r="V1103" t="n">
        <v>0.6181449999999999</v>
      </c>
      <c r="W1103" t="n">
        <v>4.374482</v>
      </c>
      <c r="X1103" t="inlineStr">
        <is>
          <t>High</t>
        </is>
      </c>
      <c r="Y1103" t="inlineStr">
        <is>
          <t>None</t>
        </is>
      </c>
      <c r="Z1103" t="inlineStr">
        <is>
          <t>Valid</t>
        </is>
      </c>
      <c r="AA1103" t="n">
        <v>2038</v>
      </c>
      <c r="AB1103" t="inlineStr">
        <is>
          <t>Industry Haircut Pathway</t>
        </is>
      </c>
      <c r="AC1103" t="n">
        <v>6379.6482</v>
      </c>
      <c r="AD1103" t="n">
        <v>3043.7302</v>
      </c>
      <c r="AE1103" t="n">
        <v>3043.7302</v>
      </c>
      <c r="AF1103" t="n">
        <v>3043.7302</v>
      </c>
      <c r="AG1103" t="n">
        <v>3335.918</v>
      </c>
      <c r="AH1103" t="n">
        <v>0.00041483</v>
      </c>
      <c r="AI1103" t="n">
        <v>0.5229</v>
      </c>
      <c r="AJ1103" t="n">
        <v>0</v>
      </c>
      <c r="AK1103" t="n">
        <v>166.7959</v>
      </c>
      <c r="AL1103" t="n">
        <v>-18304.9651</v>
      </c>
      <c r="AM1103" t="n">
        <v>51785.9973</v>
      </c>
      <c r="AN1103" t="n">
        <v>0.95</v>
      </c>
      <c r="AO1103" t="inlineStr">
        <is>
          <t>Low</t>
        </is>
      </c>
      <c r="AP1103" t="inlineStr">
        <is>
          <t>On Track</t>
        </is>
      </c>
    </row>
    <row r="1104">
      <c r="A1104" t="inlineStr">
        <is>
          <t>SUP-0069</t>
        </is>
      </c>
      <c r="B1104" t="inlineStr">
        <is>
          <t>Chemicals Supplier 069</t>
        </is>
      </c>
      <c r="C1104" t="inlineStr">
        <is>
          <t>Chemicals</t>
        </is>
      </c>
      <c r="D1104" t="n">
        <v>2024</v>
      </c>
      <c r="E1104" t="n">
        <v>2015</v>
      </c>
      <c r="F1104" t="n">
        <v>2035</v>
      </c>
      <c r="G1104" t="n">
        <v>4541.1221</v>
      </c>
      <c r="H1104" t="n">
        <v>1021.9259</v>
      </c>
      <c r="I1104" t="n">
        <v>902.6064</v>
      </c>
      <c r="J1104" t="n">
        <v>2893.9993</v>
      </c>
      <c r="K1104" t="n">
        <v>7337261.26</v>
      </c>
      <c r="L1104" t="n">
        <v>51791399.73</v>
      </c>
      <c r="M1104" t="n">
        <v>4541.1221</v>
      </c>
      <c r="N1104" t="inlineStr">
        <is>
          <t>Provided Total Emissions</t>
        </is>
      </c>
      <c r="O1104" t="b">
        <v>1</v>
      </c>
      <c r="P1104" t="n">
        <v>-0.037067</v>
      </c>
      <c r="Q1104" t="n">
        <v>0.033265</v>
      </c>
      <c r="R1104" t="n">
        <v>7348.1938</v>
      </c>
      <c r="S1104" t="n">
        <v>24406.1792</v>
      </c>
      <c r="T1104" t="n">
        <v>2807.0717</v>
      </c>
      <c r="U1104" t="n">
        <v>19865.0571</v>
      </c>
      <c r="V1104" t="n">
        <v>0.6181449999999999</v>
      </c>
      <c r="W1104" t="n">
        <v>4.374482</v>
      </c>
      <c r="X1104" t="inlineStr">
        <is>
          <t>High</t>
        </is>
      </c>
      <c r="Y1104" t="inlineStr">
        <is>
          <t>None</t>
        </is>
      </c>
      <c r="Z1104" t="inlineStr">
        <is>
          <t>Valid</t>
        </is>
      </c>
      <c r="AA1104" t="n">
        <v>2039</v>
      </c>
      <c r="AB1104" t="inlineStr">
        <is>
          <t>Industry Haircut Pathway</t>
        </is>
      </c>
      <c r="AC1104" t="n">
        <v>6379.6482</v>
      </c>
      <c r="AD1104" t="n">
        <v>3043.7302</v>
      </c>
      <c r="AE1104" t="n">
        <v>3043.7302</v>
      </c>
      <c r="AF1104" t="n">
        <v>3043.7302</v>
      </c>
      <c r="AG1104" t="n">
        <v>3335.918</v>
      </c>
      <c r="AH1104" t="n">
        <v>0.00041483</v>
      </c>
      <c r="AI1104" t="n">
        <v>0.5229</v>
      </c>
      <c r="AJ1104" t="n">
        <v>0</v>
      </c>
      <c r="AK1104" t="n">
        <v>166.7959</v>
      </c>
      <c r="AL1104" t="n">
        <v>-21348.6953</v>
      </c>
      <c r="AM1104" t="n">
        <v>54829.7275</v>
      </c>
      <c r="AN1104" t="n">
        <v>0.95</v>
      </c>
      <c r="AO1104" t="inlineStr">
        <is>
          <t>Low</t>
        </is>
      </c>
      <c r="AP1104" t="inlineStr">
        <is>
          <t>On Track</t>
        </is>
      </c>
    </row>
    <row r="1105">
      <c r="A1105" t="inlineStr">
        <is>
          <t>SUP-0069</t>
        </is>
      </c>
      <c r="B1105" t="inlineStr">
        <is>
          <t>Chemicals Supplier 069</t>
        </is>
      </c>
      <c r="C1105" t="inlineStr">
        <is>
          <t>Chemicals</t>
        </is>
      </c>
      <c r="D1105" t="n">
        <v>2024</v>
      </c>
      <c r="E1105" t="n">
        <v>2015</v>
      </c>
      <c r="F1105" t="n">
        <v>2035</v>
      </c>
      <c r="G1105" t="n">
        <v>4541.1221</v>
      </c>
      <c r="H1105" t="n">
        <v>1021.9259</v>
      </c>
      <c r="I1105" t="n">
        <v>902.6064</v>
      </c>
      <c r="J1105" t="n">
        <v>2893.9993</v>
      </c>
      <c r="K1105" t="n">
        <v>7337261.26</v>
      </c>
      <c r="L1105" t="n">
        <v>51791399.73</v>
      </c>
      <c r="M1105" t="n">
        <v>4541.1221</v>
      </c>
      <c r="N1105" t="inlineStr">
        <is>
          <t>Provided Total Emissions</t>
        </is>
      </c>
      <c r="O1105" t="b">
        <v>1</v>
      </c>
      <c r="P1105" t="n">
        <v>-0.037067</v>
      </c>
      <c r="Q1105" t="n">
        <v>0.033265</v>
      </c>
      <c r="R1105" t="n">
        <v>7348.1938</v>
      </c>
      <c r="S1105" t="n">
        <v>24406.1792</v>
      </c>
      <c r="T1105" t="n">
        <v>2807.0717</v>
      </c>
      <c r="U1105" t="n">
        <v>19865.0571</v>
      </c>
      <c r="V1105" t="n">
        <v>0.6181449999999999</v>
      </c>
      <c r="W1105" t="n">
        <v>4.374482</v>
      </c>
      <c r="X1105" t="inlineStr">
        <is>
          <t>High</t>
        </is>
      </c>
      <c r="Y1105" t="inlineStr">
        <is>
          <t>None</t>
        </is>
      </c>
      <c r="Z1105" t="inlineStr">
        <is>
          <t>Valid</t>
        </is>
      </c>
      <c r="AA1105" t="n">
        <v>2040</v>
      </c>
      <c r="AB1105" t="inlineStr">
        <is>
          <t>Industry Haircut Pathway</t>
        </is>
      </c>
      <c r="AC1105" t="n">
        <v>6379.6482</v>
      </c>
      <c r="AD1105" t="n">
        <v>3043.7302</v>
      </c>
      <c r="AE1105" t="n">
        <v>3043.7302</v>
      </c>
      <c r="AF1105" t="n">
        <v>3043.7302</v>
      </c>
      <c r="AG1105" t="n">
        <v>3335.918</v>
      </c>
      <c r="AH1105" t="n">
        <v>0.00041483</v>
      </c>
      <c r="AI1105" t="n">
        <v>0.5229</v>
      </c>
      <c r="AJ1105" t="n">
        <v>0</v>
      </c>
      <c r="AK1105" t="n">
        <v>166.7959</v>
      </c>
      <c r="AL1105" t="n">
        <v>-24392.4255</v>
      </c>
      <c r="AM1105" t="n">
        <v>57873.4577</v>
      </c>
      <c r="AN1105" t="n">
        <v>0.95</v>
      </c>
      <c r="AO1105" t="inlineStr">
        <is>
          <t>Low</t>
        </is>
      </c>
      <c r="AP1105" t="inlineStr">
        <is>
          <t>On Track</t>
        </is>
      </c>
    </row>
    <row r="1106">
      <c r="A1106" t="inlineStr">
        <is>
          <t>SUP-0070</t>
        </is>
      </c>
      <c r="B1106" t="inlineStr">
        <is>
          <t>Agriculture Supplier 070</t>
        </is>
      </c>
      <c r="C1106" t="inlineStr">
        <is>
          <t>Agriculture</t>
        </is>
      </c>
      <c r="D1106" t="n">
        <v>2024</v>
      </c>
      <c r="E1106" t="n">
        <v>2020</v>
      </c>
      <c r="F1106" t="n">
        <v>2035</v>
      </c>
      <c r="G1106" t="n">
        <v>1092.2372</v>
      </c>
      <c r="H1106" t="n">
        <v>320.9355</v>
      </c>
      <c r="I1106" t="n">
        <v>78.02849999999999</v>
      </c>
      <c r="J1106" t="n">
        <v>725.5937</v>
      </c>
      <c r="K1106" t="n">
        <v>1745636.25</v>
      </c>
      <c r="L1106" t="n">
        <v>6872336.88</v>
      </c>
      <c r="M1106" t="n">
        <v>1092.2372</v>
      </c>
      <c r="N1106" t="inlineStr">
        <is>
          <t>Provided Total Emissions</t>
        </is>
      </c>
      <c r="O1106" t="b">
        <v>1</v>
      </c>
      <c r="P1106" t="n">
        <v>0.016594</v>
      </c>
      <c r="Q1106" t="n">
        <v>0.02687</v>
      </c>
      <c r="R1106" t="n">
        <v>1595.7385</v>
      </c>
      <c r="S1106" t="n">
        <v>6660.1878</v>
      </c>
      <c r="T1106" t="n">
        <v>503.5013</v>
      </c>
      <c r="U1106" t="n">
        <v>5567.9506</v>
      </c>
      <c r="V1106" t="n">
        <v>0.460982</v>
      </c>
      <c r="W1106" t="n">
        <v>5.097749</v>
      </c>
      <c r="X1106" t="inlineStr">
        <is>
          <t>High</t>
        </is>
      </c>
      <c r="Y1106" t="inlineStr">
        <is>
          <t>None</t>
        </is>
      </c>
      <c r="Z1106" t="inlineStr">
        <is>
          <t>Valid</t>
        </is>
      </c>
      <c r="AA1106" t="n">
        <v>2025</v>
      </c>
      <c r="AB1106" t="inlineStr">
        <is>
          <t>Supplier Target Pathway</t>
        </is>
      </c>
      <c r="AC1106" t="n">
        <v>1108.6892</v>
      </c>
      <c r="AD1106" t="n">
        <v>525.2969000000001</v>
      </c>
      <c r="AE1106" t="n">
        <v>914.2251</v>
      </c>
      <c r="AF1106" t="n">
        <v>914.2251</v>
      </c>
      <c r="AG1106" t="n">
        <v>194.4641</v>
      </c>
      <c r="AH1106" t="n">
        <v>0.00052372</v>
      </c>
      <c r="AI1106" t="n">
        <v>0.1754</v>
      </c>
      <c r="AJ1106" t="n">
        <v>388.9282</v>
      </c>
      <c r="AK1106" t="n">
        <v>38.8928</v>
      </c>
      <c r="AL1106" t="n">
        <v>4864.0408</v>
      </c>
      <c r="AM1106" t="n">
        <v>914.2251</v>
      </c>
      <c r="AN1106" t="n">
        <v>0.99</v>
      </c>
      <c r="AO1106" t="inlineStr">
        <is>
          <t>Critical</t>
        </is>
      </c>
      <c r="AP1106" t="inlineStr">
        <is>
          <t>On Track to Glide Path</t>
        </is>
      </c>
    </row>
    <row r="1107">
      <c r="A1107" t="inlineStr">
        <is>
          <t>SUP-0070</t>
        </is>
      </c>
      <c r="B1107" t="inlineStr">
        <is>
          <t>Agriculture Supplier 070</t>
        </is>
      </c>
      <c r="C1107" t="inlineStr">
        <is>
          <t>Agriculture</t>
        </is>
      </c>
      <c r="D1107" t="n">
        <v>2024</v>
      </c>
      <c r="E1107" t="n">
        <v>2020</v>
      </c>
      <c r="F1107" t="n">
        <v>2035</v>
      </c>
      <c r="G1107" t="n">
        <v>1092.2372</v>
      </c>
      <c r="H1107" t="n">
        <v>320.9355</v>
      </c>
      <c r="I1107" t="n">
        <v>78.02849999999999</v>
      </c>
      <c r="J1107" t="n">
        <v>725.5937</v>
      </c>
      <c r="K1107" t="n">
        <v>1745636.25</v>
      </c>
      <c r="L1107" t="n">
        <v>6872336.88</v>
      </c>
      <c r="M1107" t="n">
        <v>1092.2372</v>
      </c>
      <c r="N1107" t="inlineStr">
        <is>
          <t>Provided Total Emissions</t>
        </is>
      </c>
      <c r="O1107" t="b">
        <v>1</v>
      </c>
      <c r="P1107" t="n">
        <v>0.016594</v>
      </c>
      <c r="Q1107" t="n">
        <v>0.02687</v>
      </c>
      <c r="R1107" t="n">
        <v>1595.7385</v>
      </c>
      <c r="S1107" t="n">
        <v>6660.1878</v>
      </c>
      <c r="T1107" t="n">
        <v>503.5013</v>
      </c>
      <c r="U1107" t="n">
        <v>5567.9506</v>
      </c>
      <c r="V1107" t="n">
        <v>0.460982</v>
      </c>
      <c r="W1107" t="n">
        <v>5.097749</v>
      </c>
      <c r="X1107" t="inlineStr">
        <is>
          <t>High</t>
        </is>
      </c>
      <c r="Y1107" t="inlineStr">
        <is>
          <t>None</t>
        </is>
      </c>
      <c r="Z1107" t="inlineStr">
        <is>
          <t>Valid</t>
        </is>
      </c>
      <c r="AA1107" t="n">
        <v>2026</v>
      </c>
      <c r="AB1107" t="inlineStr">
        <is>
          <t>Supplier Target Pathway</t>
        </is>
      </c>
      <c r="AC1107" t="n">
        <v>1108.6892</v>
      </c>
      <c r="AD1107" t="n">
        <v>525.2969000000001</v>
      </c>
      <c r="AE1107" t="n">
        <v>875.3323</v>
      </c>
      <c r="AF1107" t="n">
        <v>875.3323</v>
      </c>
      <c r="AG1107" t="n">
        <v>233.3569</v>
      </c>
      <c r="AH1107" t="n">
        <v>0.00050144</v>
      </c>
      <c r="AI1107" t="n">
        <v>0.21048</v>
      </c>
      <c r="AJ1107" t="n">
        <v>350.0354</v>
      </c>
      <c r="AK1107" t="n">
        <v>38.8928</v>
      </c>
      <c r="AL1107" t="n">
        <v>3988.7085</v>
      </c>
      <c r="AM1107" t="n">
        <v>1789.5574</v>
      </c>
      <c r="AN1107" t="n">
        <v>0.99</v>
      </c>
      <c r="AO1107" t="inlineStr">
        <is>
          <t>Critical</t>
        </is>
      </c>
      <c r="AP1107" t="inlineStr">
        <is>
          <t>On Track to Glide Path</t>
        </is>
      </c>
    </row>
    <row r="1108">
      <c r="A1108" t="inlineStr">
        <is>
          <t>SUP-0070</t>
        </is>
      </c>
      <c r="B1108" t="inlineStr">
        <is>
          <t>Agriculture Supplier 070</t>
        </is>
      </c>
      <c r="C1108" t="inlineStr">
        <is>
          <t>Agriculture</t>
        </is>
      </c>
      <c r="D1108" t="n">
        <v>2024</v>
      </c>
      <c r="E1108" t="n">
        <v>2020</v>
      </c>
      <c r="F1108" t="n">
        <v>2035</v>
      </c>
      <c r="G1108" t="n">
        <v>1092.2372</v>
      </c>
      <c r="H1108" t="n">
        <v>320.9355</v>
      </c>
      <c r="I1108" t="n">
        <v>78.02849999999999</v>
      </c>
      <c r="J1108" t="n">
        <v>725.5937</v>
      </c>
      <c r="K1108" t="n">
        <v>1745636.25</v>
      </c>
      <c r="L1108" t="n">
        <v>6872336.88</v>
      </c>
      <c r="M1108" t="n">
        <v>1092.2372</v>
      </c>
      <c r="N1108" t="inlineStr">
        <is>
          <t>Provided Total Emissions</t>
        </is>
      </c>
      <c r="O1108" t="b">
        <v>1</v>
      </c>
      <c r="P1108" t="n">
        <v>0.016594</v>
      </c>
      <c r="Q1108" t="n">
        <v>0.02687</v>
      </c>
      <c r="R1108" t="n">
        <v>1595.7385</v>
      </c>
      <c r="S1108" t="n">
        <v>6660.1878</v>
      </c>
      <c r="T1108" t="n">
        <v>503.5013</v>
      </c>
      <c r="U1108" t="n">
        <v>5567.9506</v>
      </c>
      <c r="V1108" t="n">
        <v>0.460982</v>
      </c>
      <c r="W1108" t="n">
        <v>5.097749</v>
      </c>
      <c r="X1108" t="inlineStr">
        <is>
          <t>High</t>
        </is>
      </c>
      <c r="Y1108" t="inlineStr">
        <is>
          <t>None</t>
        </is>
      </c>
      <c r="Z1108" t="inlineStr">
        <is>
          <t>Valid</t>
        </is>
      </c>
      <c r="AA1108" t="n">
        <v>2027</v>
      </c>
      <c r="AB1108" t="inlineStr">
        <is>
          <t>Supplier Target Pathway</t>
        </is>
      </c>
      <c r="AC1108" t="n">
        <v>1108.6892</v>
      </c>
      <c r="AD1108" t="n">
        <v>525.2969000000001</v>
      </c>
      <c r="AE1108" t="n">
        <v>836.4395</v>
      </c>
      <c r="AF1108" t="n">
        <v>836.4395</v>
      </c>
      <c r="AG1108" t="n">
        <v>272.2497</v>
      </c>
      <c r="AH1108" t="n">
        <v>0.00047916</v>
      </c>
      <c r="AI1108" t="n">
        <v>0.24556</v>
      </c>
      <c r="AJ1108" t="n">
        <v>311.1425</v>
      </c>
      <c r="AK1108" t="n">
        <v>38.8928</v>
      </c>
      <c r="AL1108" t="n">
        <v>3152.269</v>
      </c>
      <c r="AM1108" t="n">
        <v>2625.9969</v>
      </c>
      <c r="AN1108" t="n">
        <v>0.99</v>
      </c>
      <c r="AO1108" t="inlineStr">
        <is>
          <t>Critical</t>
        </is>
      </c>
      <c r="AP1108" t="inlineStr">
        <is>
          <t>On Track to Glide Path</t>
        </is>
      </c>
    </row>
    <row r="1109">
      <c r="A1109" t="inlineStr">
        <is>
          <t>SUP-0070</t>
        </is>
      </c>
      <c r="B1109" t="inlineStr">
        <is>
          <t>Agriculture Supplier 070</t>
        </is>
      </c>
      <c r="C1109" t="inlineStr">
        <is>
          <t>Agriculture</t>
        </is>
      </c>
      <c r="D1109" t="n">
        <v>2024</v>
      </c>
      <c r="E1109" t="n">
        <v>2020</v>
      </c>
      <c r="F1109" t="n">
        <v>2035</v>
      </c>
      <c r="G1109" t="n">
        <v>1092.2372</v>
      </c>
      <c r="H1109" t="n">
        <v>320.9355</v>
      </c>
      <c r="I1109" t="n">
        <v>78.02849999999999</v>
      </c>
      <c r="J1109" t="n">
        <v>725.5937</v>
      </c>
      <c r="K1109" t="n">
        <v>1745636.25</v>
      </c>
      <c r="L1109" t="n">
        <v>6872336.88</v>
      </c>
      <c r="M1109" t="n">
        <v>1092.2372</v>
      </c>
      <c r="N1109" t="inlineStr">
        <is>
          <t>Provided Total Emissions</t>
        </is>
      </c>
      <c r="O1109" t="b">
        <v>1</v>
      </c>
      <c r="P1109" t="n">
        <v>0.016594</v>
      </c>
      <c r="Q1109" t="n">
        <v>0.02687</v>
      </c>
      <c r="R1109" t="n">
        <v>1595.7385</v>
      </c>
      <c r="S1109" t="n">
        <v>6660.1878</v>
      </c>
      <c r="T1109" t="n">
        <v>503.5013</v>
      </c>
      <c r="U1109" t="n">
        <v>5567.9506</v>
      </c>
      <c r="V1109" t="n">
        <v>0.460982</v>
      </c>
      <c r="W1109" t="n">
        <v>5.097749</v>
      </c>
      <c r="X1109" t="inlineStr">
        <is>
          <t>High</t>
        </is>
      </c>
      <c r="Y1109" t="inlineStr">
        <is>
          <t>None</t>
        </is>
      </c>
      <c r="Z1109" t="inlineStr">
        <is>
          <t>Valid</t>
        </is>
      </c>
      <c r="AA1109" t="n">
        <v>2028</v>
      </c>
      <c r="AB1109" t="inlineStr">
        <is>
          <t>Supplier Target Pathway</t>
        </is>
      </c>
      <c r="AC1109" t="n">
        <v>1108.6892</v>
      </c>
      <c r="AD1109" t="n">
        <v>525.2969000000001</v>
      </c>
      <c r="AE1109" t="n">
        <v>797.5467</v>
      </c>
      <c r="AF1109" t="n">
        <v>797.5467</v>
      </c>
      <c r="AG1109" t="n">
        <v>311.1425</v>
      </c>
      <c r="AH1109" t="n">
        <v>0.00045688</v>
      </c>
      <c r="AI1109" t="n">
        <v>0.28064</v>
      </c>
      <c r="AJ1109" t="n">
        <v>272.2497</v>
      </c>
      <c r="AK1109" t="n">
        <v>38.8928</v>
      </c>
      <c r="AL1109" t="n">
        <v>2354.7223</v>
      </c>
      <c r="AM1109" t="n">
        <v>3423.5436</v>
      </c>
      <c r="AN1109" t="n">
        <v>0.99</v>
      </c>
      <c r="AO1109" t="inlineStr">
        <is>
          <t>Critical</t>
        </is>
      </c>
      <c r="AP1109" t="inlineStr">
        <is>
          <t>On Track to Glide Path</t>
        </is>
      </c>
    </row>
    <row r="1110">
      <c r="A1110" t="inlineStr">
        <is>
          <t>SUP-0070</t>
        </is>
      </c>
      <c r="B1110" t="inlineStr">
        <is>
          <t>Agriculture Supplier 070</t>
        </is>
      </c>
      <c r="C1110" t="inlineStr">
        <is>
          <t>Agriculture</t>
        </is>
      </c>
      <c r="D1110" t="n">
        <v>2024</v>
      </c>
      <c r="E1110" t="n">
        <v>2020</v>
      </c>
      <c r="F1110" t="n">
        <v>2035</v>
      </c>
      <c r="G1110" t="n">
        <v>1092.2372</v>
      </c>
      <c r="H1110" t="n">
        <v>320.9355</v>
      </c>
      <c r="I1110" t="n">
        <v>78.02849999999999</v>
      </c>
      <c r="J1110" t="n">
        <v>725.5937</v>
      </c>
      <c r="K1110" t="n">
        <v>1745636.25</v>
      </c>
      <c r="L1110" t="n">
        <v>6872336.88</v>
      </c>
      <c r="M1110" t="n">
        <v>1092.2372</v>
      </c>
      <c r="N1110" t="inlineStr">
        <is>
          <t>Provided Total Emissions</t>
        </is>
      </c>
      <c r="O1110" t="b">
        <v>1</v>
      </c>
      <c r="P1110" t="n">
        <v>0.016594</v>
      </c>
      <c r="Q1110" t="n">
        <v>0.02687</v>
      </c>
      <c r="R1110" t="n">
        <v>1595.7385</v>
      </c>
      <c r="S1110" t="n">
        <v>6660.1878</v>
      </c>
      <c r="T1110" t="n">
        <v>503.5013</v>
      </c>
      <c r="U1110" t="n">
        <v>5567.9506</v>
      </c>
      <c r="V1110" t="n">
        <v>0.460982</v>
      </c>
      <c r="W1110" t="n">
        <v>5.097749</v>
      </c>
      <c r="X1110" t="inlineStr">
        <is>
          <t>High</t>
        </is>
      </c>
      <c r="Y1110" t="inlineStr">
        <is>
          <t>None</t>
        </is>
      </c>
      <c r="Z1110" t="inlineStr">
        <is>
          <t>Valid</t>
        </is>
      </c>
      <c r="AA1110" t="n">
        <v>2029</v>
      </c>
      <c r="AB1110" t="inlineStr">
        <is>
          <t>Supplier Target Pathway</t>
        </is>
      </c>
      <c r="AC1110" t="n">
        <v>1108.6892</v>
      </c>
      <c r="AD1110" t="n">
        <v>525.2969000000001</v>
      </c>
      <c r="AE1110" t="n">
        <v>758.6538</v>
      </c>
      <c r="AF1110" t="n">
        <v>758.6538</v>
      </c>
      <c r="AG1110" t="n">
        <v>350.0354</v>
      </c>
      <c r="AH1110" t="n">
        <v>0.0004346</v>
      </c>
      <c r="AI1110" t="n">
        <v>0.31572</v>
      </c>
      <c r="AJ1110" t="n">
        <v>233.3569</v>
      </c>
      <c r="AK1110" t="n">
        <v>38.8928</v>
      </c>
      <c r="AL1110" t="n">
        <v>1596.0685</v>
      </c>
      <c r="AM1110" t="n">
        <v>4182.1974</v>
      </c>
      <c r="AN1110" t="n">
        <v>0.99</v>
      </c>
      <c r="AO1110" t="inlineStr">
        <is>
          <t>Critical</t>
        </is>
      </c>
      <c r="AP1110" t="inlineStr">
        <is>
          <t>On Track to Glide Path</t>
        </is>
      </c>
    </row>
    <row r="1111">
      <c r="A1111" t="inlineStr">
        <is>
          <t>SUP-0070</t>
        </is>
      </c>
      <c r="B1111" t="inlineStr">
        <is>
          <t>Agriculture Supplier 070</t>
        </is>
      </c>
      <c r="C1111" t="inlineStr">
        <is>
          <t>Agriculture</t>
        </is>
      </c>
      <c r="D1111" t="n">
        <v>2024</v>
      </c>
      <c r="E1111" t="n">
        <v>2020</v>
      </c>
      <c r="F1111" t="n">
        <v>2035</v>
      </c>
      <c r="G1111" t="n">
        <v>1092.2372</v>
      </c>
      <c r="H1111" t="n">
        <v>320.9355</v>
      </c>
      <c r="I1111" t="n">
        <v>78.02849999999999</v>
      </c>
      <c r="J1111" t="n">
        <v>725.5937</v>
      </c>
      <c r="K1111" t="n">
        <v>1745636.25</v>
      </c>
      <c r="L1111" t="n">
        <v>6872336.88</v>
      </c>
      <c r="M1111" t="n">
        <v>1092.2372</v>
      </c>
      <c r="N1111" t="inlineStr">
        <is>
          <t>Provided Total Emissions</t>
        </is>
      </c>
      <c r="O1111" t="b">
        <v>1</v>
      </c>
      <c r="P1111" t="n">
        <v>0.016594</v>
      </c>
      <c r="Q1111" t="n">
        <v>0.02687</v>
      </c>
      <c r="R1111" t="n">
        <v>1595.7385</v>
      </c>
      <c r="S1111" t="n">
        <v>6660.1878</v>
      </c>
      <c r="T1111" t="n">
        <v>503.5013</v>
      </c>
      <c r="U1111" t="n">
        <v>5567.9506</v>
      </c>
      <c r="V1111" t="n">
        <v>0.460982</v>
      </c>
      <c r="W1111" t="n">
        <v>5.097749</v>
      </c>
      <c r="X1111" t="inlineStr">
        <is>
          <t>High</t>
        </is>
      </c>
      <c r="Y1111" t="inlineStr">
        <is>
          <t>None</t>
        </is>
      </c>
      <c r="Z1111" t="inlineStr">
        <is>
          <t>Valid</t>
        </is>
      </c>
      <c r="AA1111" t="n">
        <v>2030</v>
      </c>
      <c r="AB1111" t="inlineStr">
        <is>
          <t>Supplier Target Pathway</t>
        </is>
      </c>
      <c r="AC1111" t="n">
        <v>1108.6892</v>
      </c>
      <c r="AD1111" t="n">
        <v>525.2969000000001</v>
      </c>
      <c r="AE1111" t="n">
        <v>719.761</v>
      </c>
      <c r="AF1111" t="n">
        <v>719.761</v>
      </c>
      <c r="AG1111" t="n">
        <v>388.9282</v>
      </c>
      <c r="AH1111" t="n">
        <v>0.00041232</v>
      </c>
      <c r="AI1111" t="n">
        <v>0.3508</v>
      </c>
      <c r="AJ1111" t="n">
        <v>194.4641</v>
      </c>
      <c r="AK1111" t="n">
        <v>38.8928</v>
      </c>
      <c r="AL1111" t="n">
        <v>876.3075</v>
      </c>
      <c r="AM1111" t="n">
        <v>4901.9584</v>
      </c>
      <c r="AN1111" t="n">
        <v>0.99</v>
      </c>
      <c r="AO1111" t="inlineStr">
        <is>
          <t>Critical</t>
        </is>
      </c>
      <c r="AP1111" t="inlineStr">
        <is>
          <t>On Track to Glide Path</t>
        </is>
      </c>
    </row>
    <row r="1112">
      <c r="A1112" t="inlineStr">
        <is>
          <t>SUP-0070</t>
        </is>
      </c>
      <c r="B1112" t="inlineStr">
        <is>
          <t>Agriculture Supplier 070</t>
        </is>
      </c>
      <c r="C1112" t="inlineStr">
        <is>
          <t>Agriculture</t>
        </is>
      </c>
      <c r="D1112" t="n">
        <v>2024</v>
      </c>
      <c r="E1112" t="n">
        <v>2020</v>
      </c>
      <c r="F1112" t="n">
        <v>2035</v>
      </c>
      <c r="G1112" t="n">
        <v>1092.2372</v>
      </c>
      <c r="H1112" t="n">
        <v>320.9355</v>
      </c>
      <c r="I1112" t="n">
        <v>78.02849999999999</v>
      </c>
      <c r="J1112" t="n">
        <v>725.5937</v>
      </c>
      <c r="K1112" t="n">
        <v>1745636.25</v>
      </c>
      <c r="L1112" t="n">
        <v>6872336.88</v>
      </c>
      <c r="M1112" t="n">
        <v>1092.2372</v>
      </c>
      <c r="N1112" t="inlineStr">
        <is>
          <t>Provided Total Emissions</t>
        </is>
      </c>
      <c r="O1112" t="b">
        <v>1</v>
      </c>
      <c r="P1112" t="n">
        <v>0.016594</v>
      </c>
      <c r="Q1112" t="n">
        <v>0.02687</v>
      </c>
      <c r="R1112" t="n">
        <v>1595.7385</v>
      </c>
      <c r="S1112" t="n">
        <v>6660.1878</v>
      </c>
      <c r="T1112" t="n">
        <v>503.5013</v>
      </c>
      <c r="U1112" t="n">
        <v>5567.9506</v>
      </c>
      <c r="V1112" t="n">
        <v>0.460982</v>
      </c>
      <c r="W1112" t="n">
        <v>5.097749</v>
      </c>
      <c r="X1112" t="inlineStr">
        <is>
          <t>High</t>
        </is>
      </c>
      <c r="Y1112" t="inlineStr">
        <is>
          <t>None</t>
        </is>
      </c>
      <c r="Z1112" t="inlineStr">
        <is>
          <t>Valid</t>
        </is>
      </c>
      <c r="AA1112" t="n">
        <v>2031</v>
      </c>
      <c r="AB1112" t="inlineStr">
        <is>
          <t>Supplier Target Pathway</t>
        </is>
      </c>
      <c r="AC1112" t="n">
        <v>1108.6892</v>
      </c>
      <c r="AD1112" t="n">
        <v>525.2969000000001</v>
      </c>
      <c r="AE1112" t="n">
        <v>680.8682</v>
      </c>
      <c r="AF1112" t="n">
        <v>680.8682</v>
      </c>
      <c r="AG1112" t="n">
        <v>427.821</v>
      </c>
      <c r="AH1112" t="n">
        <v>0.00039004</v>
      </c>
      <c r="AI1112" t="n">
        <v>0.38588</v>
      </c>
      <c r="AJ1112" t="n">
        <v>155.5713</v>
      </c>
      <c r="AK1112" t="n">
        <v>38.8928</v>
      </c>
      <c r="AL1112" t="n">
        <v>195.4393</v>
      </c>
      <c r="AM1112" t="n">
        <v>5582.8266</v>
      </c>
      <c r="AN1112" t="n">
        <v>0.99</v>
      </c>
      <c r="AO1112" t="inlineStr">
        <is>
          <t>High</t>
        </is>
      </c>
      <c r="AP1112" t="inlineStr">
        <is>
          <t>On Track to Glide Path</t>
        </is>
      </c>
    </row>
    <row r="1113">
      <c r="A1113" t="inlineStr">
        <is>
          <t>SUP-0070</t>
        </is>
      </c>
      <c r="B1113" t="inlineStr">
        <is>
          <t>Agriculture Supplier 070</t>
        </is>
      </c>
      <c r="C1113" t="inlineStr">
        <is>
          <t>Agriculture</t>
        </is>
      </c>
      <c r="D1113" t="n">
        <v>2024</v>
      </c>
      <c r="E1113" t="n">
        <v>2020</v>
      </c>
      <c r="F1113" t="n">
        <v>2035</v>
      </c>
      <c r="G1113" t="n">
        <v>1092.2372</v>
      </c>
      <c r="H1113" t="n">
        <v>320.9355</v>
      </c>
      <c r="I1113" t="n">
        <v>78.02849999999999</v>
      </c>
      <c r="J1113" t="n">
        <v>725.5937</v>
      </c>
      <c r="K1113" t="n">
        <v>1745636.25</v>
      </c>
      <c r="L1113" t="n">
        <v>6872336.88</v>
      </c>
      <c r="M1113" t="n">
        <v>1092.2372</v>
      </c>
      <c r="N1113" t="inlineStr">
        <is>
          <t>Provided Total Emissions</t>
        </is>
      </c>
      <c r="O1113" t="b">
        <v>1</v>
      </c>
      <c r="P1113" t="n">
        <v>0.016594</v>
      </c>
      <c r="Q1113" t="n">
        <v>0.02687</v>
      </c>
      <c r="R1113" t="n">
        <v>1595.7385</v>
      </c>
      <c r="S1113" t="n">
        <v>6660.1878</v>
      </c>
      <c r="T1113" t="n">
        <v>503.5013</v>
      </c>
      <c r="U1113" t="n">
        <v>5567.9506</v>
      </c>
      <c r="V1113" t="n">
        <v>0.460982</v>
      </c>
      <c r="W1113" t="n">
        <v>5.097749</v>
      </c>
      <c r="X1113" t="inlineStr">
        <is>
          <t>High</t>
        </is>
      </c>
      <c r="Y1113" t="inlineStr">
        <is>
          <t>None</t>
        </is>
      </c>
      <c r="Z1113" t="inlineStr">
        <is>
          <t>Valid</t>
        </is>
      </c>
      <c r="AA1113" t="n">
        <v>2032</v>
      </c>
      <c r="AB1113" t="inlineStr">
        <is>
          <t>Supplier Target Pathway</t>
        </is>
      </c>
      <c r="AC1113" t="n">
        <v>1108.6892</v>
      </c>
      <c r="AD1113" t="n">
        <v>525.2969000000001</v>
      </c>
      <c r="AE1113" t="n">
        <v>641.9754</v>
      </c>
      <c r="AF1113" t="n">
        <v>641.9754</v>
      </c>
      <c r="AG1113" t="n">
        <v>466.7138</v>
      </c>
      <c r="AH1113" t="n">
        <v>0.00036776</v>
      </c>
      <c r="AI1113" t="n">
        <v>0.42096</v>
      </c>
      <c r="AJ1113" t="n">
        <v>116.6785</v>
      </c>
      <c r="AK1113" t="n">
        <v>38.8928</v>
      </c>
      <c r="AL1113" t="n">
        <v>-446.5361</v>
      </c>
      <c r="AM1113" t="n">
        <v>6224.802</v>
      </c>
      <c r="AN1113" t="n">
        <v>0.99</v>
      </c>
      <c r="AO1113" t="inlineStr">
        <is>
          <t>High</t>
        </is>
      </c>
      <c r="AP1113" t="inlineStr">
        <is>
          <t>On Track to Glide Path</t>
        </is>
      </c>
    </row>
    <row r="1114">
      <c r="A1114" t="inlineStr">
        <is>
          <t>SUP-0070</t>
        </is>
      </c>
      <c r="B1114" t="inlineStr">
        <is>
          <t>Agriculture Supplier 070</t>
        </is>
      </c>
      <c r="C1114" t="inlineStr">
        <is>
          <t>Agriculture</t>
        </is>
      </c>
      <c r="D1114" t="n">
        <v>2024</v>
      </c>
      <c r="E1114" t="n">
        <v>2020</v>
      </c>
      <c r="F1114" t="n">
        <v>2035</v>
      </c>
      <c r="G1114" t="n">
        <v>1092.2372</v>
      </c>
      <c r="H1114" t="n">
        <v>320.9355</v>
      </c>
      <c r="I1114" t="n">
        <v>78.02849999999999</v>
      </c>
      <c r="J1114" t="n">
        <v>725.5937</v>
      </c>
      <c r="K1114" t="n">
        <v>1745636.25</v>
      </c>
      <c r="L1114" t="n">
        <v>6872336.88</v>
      </c>
      <c r="M1114" t="n">
        <v>1092.2372</v>
      </c>
      <c r="N1114" t="inlineStr">
        <is>
          <t>Provided Total Emissions</t>
        </is>
      </c>
      <c r="O1114" t="b">
        <v>1</v>
      </c>
      <c r="P1114" t="n">
        <v>0.016594</v>
      </c>
      <c r="Q1114" t="n">
        <v>0.02687</v>
      </c>
      <c r="R1114" t="n">
        <v>1595.7385</v>
      </c>
      <c r="S1114" t="n">
        <v>6660.1878</v>
      </c>
      <c r="T1114" t="n">
        <v>503.5013</v>
      </c>
      <c r="U1114" t="n">
        <v>5567.9506</v>
      </c>
      <c r="V1114" t="n">
        <v>0.460982</v>
      </c>
      <c r="W1114" t="n">
        <v>5.097749</v>
      </c>
      <c r="X1114" t="inlineStr">
        <is>
          <t>High</t>
        </is>
      </c>
      <c r="Y1114" t="inlineStr">
        <is>
          <t>None</t>
        </is>
      </c>
      <c r="Z1114" t="inlineStr">
        <is>
          <t>Valid</t>
        </is>
      </c>
      <c r="AA1114" t="n">
        <v>2033</v>
      </c>
      <c r="AB1114" t="inlineStr">
        <is>
          <t>Supplier Target Pathway</t>
        </is>
      </c>
      <c r="AC1114" t="n">
        <v>1108.6892</v>
      </c>
      <c r="AD1114" t="n">
        <v>525.2969000000001</v>
      </c>
      <c r="AE1114" t="n">
        <v>603.0826</v>
      </c>
      <c r="AF1114" t="n">
        <v>603.0826</v>
      </c>
      <c r="AG1114" t="n">
        <v>505.6066</v>
      </c>
      <c r="AH1114" t="n">
        <v>0.00034548</v>
      </c>
      <c r="AI1114" t="n">
        <v>0.45604</v>
      </c>
      <c r="AJ1114" t="n">
        <v>77.7856</v>
      </c>
      <c r="AK1114" t="n">
        <v>38.8928</v>
      </c>
      <c r="AL1114" t="n">
        <v>-1049.6187</v>
      </c>
      <c r="AM1114" t="n">
        <v>6827.8846</v>
      </c>
      <c r="AN1114" t="n">
        <v>0.99</v>
      </c>
      <c r="AO1114" t="inlineStr">
        <is>
          <t>Medium</t>
        </is>
      </c>
      <c r="AP1114" t="inlineStr">
        <is>
          <t>On Track to Glide Path</t>
        </is>
      </c>
    </row>
    <row r="1115">
      <c r="A1115" t="inlineStr">
        <is>
          <t>SUP-0070</t>
        </is>
      </c>
      <c r="B1115" t="inlineStr">
        <is>
          <t>Agriculture Supplier 070</t>
        </is>
      </c>
      <c r="C1115" t="inlineStr">
        <is>
          <t>Agriculture</t>
        </is>
      </c>
      <c r="D1115" t="n">
        <v>2024</v>
      </c>
      <c r="E1115" t="n">
        <v>2020</v>
      </c>
      <c r="F1115" t="n">
        <v>2035</v>
      </c>
      <c r="G1115" t="n">
        <v>1092.2372</v>
      </c>
      <c r="H1115" t="n">
        <v>320.9355</v>
      </c>
      <c r="I1115" t="n">
        <v>78.02849999999999</v>
      </c>
      <c r="J1115" t="n">
        <v>725.5937</v>
      </c>
      <c r="K1115" t="n">
        <v>1745636.25</v>
      </c>
      <c r="L1115" t="n">
        <v>6872336.88</v>
      </c>
      <c r="M1115" t="n">
        <v>1092.2372</v>
      </c>
      <c r="N1115" t="inlineStr">
        <is>
          <t>Provided Total Emissions</t>
        </is>
      </c>
      <c r="O1115" t="b">
        <v>1</v>
      </c>
      <c r="P1115" t="n">
        <v>0.016594</v>
      </c>
      <c r="Q1115" t="n">
        <v>0.02687</v>
      </c>
      <c r="R1115" t="n">
        <v>1595.7385</v>
      </c>
      <c r="S1115" t="n">
        <v>6660.1878</v>
      </c>
      <c r="T1115" t="n">
        <v>503.5013</v>
      </c>
      <c r="U1115" t="n">
        <v>5567.9506</v>
      </c>
      <c r="V1115" t="n">
        <v>0.460982</v>
      </c>
      <c r="W1115" t="n">
        <v>5.097749</v>
      </c>
      <c r="X1115" t="inlineStr">
        <is>
          <t>High</t>
        </is>
      </c>
      <c r="Y1115" t="inlineStr">
        <is>
          <t>None</t>
        </is>
      </c>
      <c r="Z1115" t="inlineStr">
        <is>
          <t>Valid</t>
        </is>
      </c>
      <c r="AA1115" t="n">
        <v>2034</v>
      </c>
      <c r="AB1115" t="inlineStr">
        <is>
          <t>Supplier Target Pathway</t>
        </is>
      </c>
      <c r="AC1115" t="n">
        <v>1108.6892</v>
      </c>
      <c r="AD1115" t="n">
        <v>525.2969000000001</v>
      </c>
      <c r="AE1115" t="n">
        <v>564.1898</v>
      </c>
      <c r="AF1115" t="n">
        <v>564.1898</v>
      </c>
      <c r="AG1115" t="n">
        <v>544.4994</v>
      </c>
      <c r="AH1115" t="n">
        <v>0.0003232</v>
      </c>
      <c r="AI1115" t="n">
        <v>0.49112</v>
      </c>
      <c r="AJ1115" t="n">
        <v>38.8928</v>
      </c>
      <c r="AK1115" t="n">
        <v>38.8928</v>
      </c>
      <c r="AL1115" t="n">
        <v>-1613.8085</v>
      </c>
      <c r="AM1115" t="n">
        <v>7392.0744</v>
      </c>
      <c r="AN1115" t="n">
        <v>0.99</v>
      </c>
      <c r="AO1115" t="inlineStr">
        <is>
          <t>Medium</t>
        </is>
      </c>
      <c r="AP1115" t="inlineStr">
        <is>
          <t>On Track to Glide Path</t>
        </is>
      </c>
    </row>
    <row r="1116">
      <c r="A1116" t="inlineStr">
        <is>
          <t>SUP-0070</t>
        </is>
      </c>
      <c r="B1116" t="inlineStr">
        <is>
          <t>Agriculture Supplier 070</t>
        </is>
      </c>
      <c r="C1116" t="inlineStr">
        <is>
          <t>Agriculture</t>
        </is>
      </c>
      <c r="D1116" t="n">
        <v>2024</v>
      </c>
      <c r="E1116" t="n">
        <v>2020</v>
      </c>
      <c r="F1116" t="n">
        <v>2035</v>
      </c>
      <c r="G1116" t="n">
        <v>1092.2372</v>
      </c>
      <c r="H1116" t="n">
        <v>320.9355</v>
      </c>
      <c r="I1116" t="n">
        <v>78.02849999999999</v>
      </c>
      <c r="J1116" t="n">
        <v>725.5937</v>
      </c>
      <c r="K1116" t="n">
        <v>1745636.25</v>
      </c>
      <c r="L1116" t="n">
        <v>6872336.88</v>
      </c>
      <c r="M1116" t="n">
        <v>1092.2372</v>
      </c>
      <c r="N1116" t="inlineStr">
        <is>
          <t>Provided Total Emissions</t>
        </is>
      </c>
      <c r="O1116" t="b">
        <v>1</v>
      </c>
      <c r="P1116" t="n">
        <v>0.016594</v>
      </c>
      <c r="Q1116" t="n">
        <v>0.02687</v>
      </c>
      <c r="R1116" t="n">
        <v>1595.7385</v>
      </c>
      <c r="S1116" t="n">
        <v>6660.1878</v>
      </c>
      <c r="T1116" t="n">
        <v>503.5013</v>
      </c>
      <c r="U1116" t="n">
        <v>5567.9506</v>
      </c>
      <c r="V1116" t="n">
        <v>0.460982</v>
      </c>
      <c r="W1116" t="n">
        <v>5.097749</v>
      </c>
      <c r="X1116" t="inlineStr">
        <is>
          <t>High</t>
        </is>
      </c>
      <c r="Y1116" t="inlineStr">
        <is>
          <t>None</t>
        </is>
      </c>
      <c r="Z1116" t="inlineStr">
        <is>
          <t>Valid</t>
        </is>
      </c>
      <c r="AA1116" t="n">
        <v>2035</v>
      </c>
      <c r="AB1116" t="inlineStr">
        <is>
          <t>Supplier Target Pathway</t>
        </is>
      </c>
      <c r="AC1116" t="n">
        <v>1108.6892</v>
      </c>
      <c r="AD1116" t="n">
        <v>525.2969000000001</v>
      </c>
      <c r="AE1116" t="n">
        <v>525.2969000000001</v>
      </c>
      <c r="AF1116" t="n">
        <v>525.2969000000001</v>
      </c>
      <c r="AG1116" t="n">
        <v>583.3923</v>
      </c>
      <c r="AH1116" t="n">
        <v>0.00030092</v>
      </c>
      <c r="AI1116" t="n">
        <v>0.5262</v>
      </c>
      <c r="AJ1116" t="n">
        <v>0</v>
      </c>
      <c r="AK1116" t="n">
        <v>38.8928</v>
      </c>
      <c r="AL1116" t="n">
        <v>-2139.1054</v>
      </c>
      <c r="AM1116" t="n">
        <v>7917.3713</v>
      </c>
      <c r="AN1116" t="n">
        <v>0.99</v>
      </c>
      <c r="AO1116" t="inlineStr">
        <is>
          <t>Low</t>
        </is>
      </c>
      <c r="AP1116" t="inlineStr">
        <is>
          <t>On Track</t>
        </is>
      </c>
    </row>
    <row r="1117">
      <c r="A1117" t="inlineStr">
        <is>
          <t>SUP-0070</t>
        </is>
      </c>
      <c r="B1117" t="inlineStr">
        <is>
          <t>Agriculture Supplier 070</t>
        </is>
      </c>
      <c r="C1117" t="inlineStr">
        <is>
          <t>Agriculture</t>
        </is>
      </c>
      <c r="D1117" t="n">
        <v>2024</v>
      </c>
      <c r="E1117" t="n">
        <v>2020</v>
      </c>
      <c r="F1117" t="n">
        <v>2035</v>
      </c>
      <c r="G1117" t="n">
        <v>1092.2372</v>
      </c>
      <c r="H1117" t="n">
        <v>320.9355</v>
      </c>
      <c r="I1117" t="n">
        <v>78.02849999999999</v>
      </c>
      <c r="J1117" t="n">
        <v>725.5937</v>
      </c>
      <c r="K1117" t="n">
        <v>1745636.25</v>
      </c>
      <c r="L1117" t="n">
        <v>6872336.88</v>
      </c>
      <c r="M1117" t="n">
        <v>1092.2372</v>
      </c>
      <c r="N1117" t="inlineStr">
        <is>
          <t>Provided Total Emissions</t>
        </is>
      </c>
      <c r="O1117" t="b">
        <v>1</v>
      </c>
      <c r="P1117" t="n">
        <v>0.016594</v>
      </c>
      <c r="Q1117" t="n">
        <v>0.02687</v>
      </c>
      <c r="R1117" t="n">
        <v>1595.7385</v>
      </c>
      <c r="S1117" t="n">
        <v>6660.1878</v>
      </c>
      <c r="T1117" t="n">
        <v>503.5013</v>
      </c>
      <c r="U1117" t="n">
        <v>5567.9506</v>
      </c>
      <c r="V1117" t="n">
        <v>0.460982</v>
      </c>
      <c r="W1117" t="n">
        <v>5.097749</v>
      </c>
      <c r="X1117" t="inlineStr">
        <is>
          <t>High</t>
        </is>
      </c>
      <c r="Y1117" t="inlineStr">
        <is>
          <t>None</t>
        </is>
      </c>
      <c r="Z1117" t="inlineStr">
        <is>
          <t>Valid</t>
        </is>
      </c>
      <c r="AA1117" t="n">
        <v>2036</v>
      </c>
      <c r="AB1117" t="inlineStr">
        <is>
          <t>Supplier Target Pathway</t>
        </is>
      </c>
      <c r="AC1117" t="n">
        <v>1108.6892</v>
      </c>
      <c r="AD1117" t="n">
        <v>525.2969000000001</v>
      </c>
      <c r="AE1117" t="n">
        <v>525.2969000000001</v>
      </c>
      <c r="AF1117" t="n">
        <v>525.2969000000001</v>
      </c>
      <c r="AG1117" t="n">
        <v>583.3923</v>
      </c>
      <c r="AH1117" t="n">
        <v>0.00030092</v>
      </c>
      <c r="AI1117" t="n">
        <v>0.5262</v>
      </c>
      <c r="AJ1117" t="n">
        <v>0</v>
      </c>
      <c r="AK1117" t="n">
        <v>38.8928</v>
      </c>
      <c r="AL1117" t="n">
        <v>-2664.4023</v>
      </c>
      <c r="AM1117" t="n">
        <v>8442.6682</v>
      </c>
      <c r="AN1117" t="n">
        <v>0.99</v>
      </c>
      <c r="AO1117" t="inlineStr">
        <is>
          <t>Low</t>
        </is>
      </c>
      <c r="AP1117" t="inlineStr">
        <is>
          <t>On Track</t>
        </is>
      </c>
    </row>
    <row r="1118">
      <c r="A1118" t="inlineStr">
        <is>
          <t>SUP-0070</t>
        </is>
      </c>
      <c r="B1118" t="inlineStr">
        <is>
          <t>Agriculture Supplier 070</t>
        </is>
      </c>
      <c r="C1118" t="inlineStr">
        <is>
          <t>Agriculture</t>
        </is>
      </c>
      <c r="D1118" t="n">
        <v>2024</v>
      </c>
      <c r="E1118" t="n">
        <v>2020</v>
      </c>
      <c r="F1118" t="n">
        <v>2035</v>
      </c>
      <c r="G1118" t="n">
        <v>1092.2372</v>
      </c>
      <c r="H1118" t="n">
        <v>320.9355</v>
      </c>
      <c r="I1118" t="n">
        <v>78.02849999999999</v>
      </c>
      <c r="J1118" t="n">
        <v>725.5937</v>
      </c>
      <c r="K1118" t="n">
        <v>1745636.25</v>
      </c>
      <c r="L1118" t="n">
        <v>6872336.88</v>
      </c>
      <c r="M1118" t="n">
        <v>1092.2372</v>
      </c>
      <c r="N1118" t="inlineStr">
        <is>
          <t>Provided Total Emissions</t>
        </is>
      </c>
      <c r="O1118" t="b">
        <v>1</v>
      </c>
      <c r="P1118" t="n">
        <v>0.016594</v>
      </c>
      <c r="Q1118" t="n">
        <v>0.02687</v>
      </c>
      <c r="R1118" t="n">
        <v>1595.7385</v>
      </c>
      <c r="S1118" t="n">
        <v>6660.1878</v>
      </c>
      <c r="T1118" t="n">
        <v>503.5013</v>
      </c>
      <c r="U1118" t="n">
        <v>5567.9506</v>
      </c>
      <c r="V1118" t="n">
        <v>0.460982</v>
      </c>
      <c r="W1118" t="n">
        <v>5.097749</v>
      </c>
      <c r="X1118" t="inlineStr">
        <is>
          <t>High</t>
        </is>
      </c>
      <c r="Y1118" t="inlineStr">
        <is>
          <t>None</t>
        </is>
      </c>
      <c r="Z1118" t="inlineStr">
        <is>
          <t>Valid</t>
        </is>
      </c>
      <c r="AA1118" t="n">
        <v>2037</v>
      </c>
      <c r="AB1118" t="inlineStr">
        <is>
          <t>Supplier Target Pathway</t>
        </is>
      </c>
      <c r="AC1118" t="n">
        <v>1108.6892</v>
      </c>
      <c r="AD1118" t="n">
        <v>525.2969000000001</v>
      </c>
      <c r="AE1118" t="n">
        <v>525.2969000000001</v>
      </c>
      <c r="AF1118" t="n">
        <v>525.2969000000001</v>
      </c>
      <c r="AG1118" t="n">
        <v>583.3923</v>
      </c>
      <c r="AH1118" t="n">
        <v>0.00030092</v>
      </c>
      <c r="AI1118" t="n">
        <v>0.5262</v>
      </c>
      <c r="AJ1118" t="n">
        <v>0</v>
      </c>
      <c r="AK1118" t="n">
        <v>38.8928</v>
      </c>
      <c r="AL1118" t="n">
        <v>-3189.6992</v>
      </c>
      <c r="AM1118" t="n">
        <v>8967.965099999999</v>
      </c>
      <c r="AN1118" t="n">
        <v>0.99</v>
      </c>
      <c r="AO1118" t="inlineStr">
        <is>
          <t>Low</t>
        </is>
      </c>
      <c r="AP1118" t="inlineStr">
        <is>
          <t>On Track</t>
        </is>
      </c>
    </row>
    <row r="1119">
      <c r="A1119" t="inlineStr">
        <is>
          <t>SUP-0070</t>
        </is>
      </c>
      <c r="B1119" t="inlineStr">
        <is>
          <t>Agriculture Supplier 070</t>
        </is>
      </c>
      <c r="C1119" t="inlineStr">
        <is>
          <t>Agriculture</t>
        </is>
      </c>
      <c r="D1119" t="n">
        <v>2024</v>
      </c>
      <c r="E1119" t="n">
        <v>2020</v>
      </c>
      <c r="F1119" t="n">
        <v>2035</v>
      </c>
      <c r="G1119" t="n">
        <v>1092.2372</v>
      </c>
      <c r="H1119" t="n">
        <v>320.9355</v>
      </c>
      <c r="I1119" t="n">
        <v>78.02849999999999</v>
      </c>
      <c r="J1119" t="n">
        <v>725.5937</v>
      </c>
      <c r="K1119" t="n">
        <v>1745636.25</v>
      </c>
      <c r="L1119" t="n">
        <v>6872336.88</v>
      </c>
      <c r="M1119" t="n">
        <v>1092.2372</v>
      </c>
      <c r="N1119" t="inlineStr">
        <is>
          <t>Provided Total Emissions</t>
        </is>
      </c>
      <c r="O1119" t="b">
        <v>1</v>
      </c>
      <c r="P1119" t="n">
        <v>0.016594</v>
      </c>
      <c r="Q1119" t="n">
        <v>0.02687</v>
      </c>
      <c r="R1119" t="n">
        <v>1595.7385</v>
      </c>
      <c r="S1119" t="n">
        <v>6660.1878</v>
      </c>
      <c r="T1119" t="n">
        <v>503.5013</v>
      </c>
      <c r="U1119" t="n">
        <v>5567.9506</v>
      </c>
      <c r="V1119" t="n">
        <v>0.460982</v>
      </c>
      <c r="W1119" t="n">
        <v>5.097749</v>
      </c>
      <c r="X1119" t="inlineStr">
        <is>
          <t>High</t>
        </is>
      </c>
      <c r="Y1119" t="inlineStr">
        <is>
          <t>None</t>
        </is>
      </c>
      <c r="Z1119" t="inlineStr">
        <is>
          <t>Valid</t>
        </is>
      </c>
      <c r="AA1119" t="n">
        <v>2038</v>
      </c>
      <c r="AB1119" t="inlineStr">
        <is>
          <t>Supplier Target Pathway</t>
        </is>
      </c>
      <c r="AC1119" t="n">
        <v>1108.6892</v>
      </c>
      <c r="AD1119" t="n">
        <v>525.2969000000001</v>
      </c>
      <c r="AE1119" t="n">
        <v>525.2969000000001</v>
      </c>
      <c r="AF1119" t="n">
        <v>525.2969000000001</v>
      </c>
      <c r="AG1119" t="n">
        <v>583.3923</v>
      </c>
      <c r="AH1119" t="n">
        <v>0.00030092</v>
      </c>
      <c r="AI1119" t="n">
        <v>0.5262</v>
      </c>
      <c r="AJ1119" t="n">
        <v>0</v>
      </c>
      <c r="AK1119" t="n">
        <v>38.8928</v>
      </c>
      <c r="AL1119" t="n">
        <v>-3714.9961</v>
      </c>
      <c r="AM1119" t="n">
        <v>9493.262000000001</v>
      </c>
      <c r="AN1119" t="n">
        <v>0.99</v>
      </c>
      <c r="AO1119" t="inlineStr">
        <is>
          <t>Low</t>
        </is>
      </c>
      <c r="AP1119" t="inlineStr">
        <is>
          <t>On Track</t>
        </is>
      </c>
    </row>
    <row r="1120">
      <c r="A1120" t="inlineStr">
        <is>
          <t>SUP-0070</t>
        </is>
      </c>
      <c r="B1120" t="inlineStr">
        <is>
          <t>Agriculture Supplier 070</t>
        </is>
      </c>
      <c r="C1120" t="inlineStr">
        <is>
          <t>Agriculture</t>
        </is>
      </c>
      <c r="D1120" t="n">
        <v>2024</v>
      </c>
      <c r="E1120" t="n">
        <v>2020</v>
      </c>
      <c r="F1120" t="n">
        <v>2035</v>
      </c>
      <c r="G1120" t="n">
        <v>1092.2372</v>
      </c>
      <c r="H1120" t="n">
        <v>320.9355</v>
      </c>
      <c r="I1120" t="n">
        <v>78.02849999999999</v>
      </c>
      <c r="J1120" t="n">
        <v>725.5937</v>
      </c>
      <c r="K1120" t="n">
        <v>1745636.25</v>
      </c>
      <c r="L1120" t="n">
        <v>6872336.88</v>
      </c>
      <c r="M1120" t="n">
        <v>1092.2372</v>
      </c>
      <c r="N1120" t="inlineStr">
        <is>
          <t>Provided Total Emissions</t>
        </is>
      </c>
      <c r="O1120" t="b">
        <v>1</v>
      </c>
      <c r="P1120" t="n">
        <v>0.016594</v>
      </c>
      <c r="Q1120" t="n">
        <v>0.02687</v>
      </c>
      <c r="R1120" t="n">
        <v>1595.7385</v>
      </c>
      <c r="S1120" t="n">
        <v>6660.1878</v>
      </c>
      <c r="T1120" t="n">
        <v>503.5013</v>
      </c>
      <c r="U1120" t="n">
        <v>5567.9506</v>
      </c>
      <c r="V1120" t="n">
        <v>0.460982</v>
      </c>
      <c r="W1120" t="n">
        <v>5.097749</v>
      </c>
      <c r="X1120" t="inlineStr">
        <is>
          <t>High</t>
        </is>
      </c>
      <c r="Y1120" t="inlineStr">
        <is>
          <t>None</t>
        </is>
      </c>
      <c r="Z1120" t="inlineStr">
        <is>
          <t>Valid</t>
        </is>
      </c>
      <c r="AA1120" t="n">
        <v>2039</v>
      </c>
      <c r="AB1120" t="inlineStr">
        <is>
          <t>Supplier Target Pathway</t>
        </is>
      </c>
      <c r="AC1120" t="n">
        <v>1108.6892</v>
      </c>
      <c r="AD1120" t="n">
        <v>525.2969000000001</v>
      </c>
      <c r="AE1120" t="n">
        <v>525.2969000000001</v>
      </c>
      <c r="AF1120" t="n">
        <v>525.2969000000001</v>
      </c>
      <c r="AG1120" t="n">
        <v>583.3923</v>
      </c>
      <c r="AH1120" t="n">
        <v>0.00030092</v>
      </c>
      <c r="AI1120" t="n">
        <v>0.5262</v>
      </c>
      <c r="AJ1120" t="n">
        <v>0</v>
      </c>
      <c r="AK1120" t="n">
        <v>38.8928</v>
      </c>
      <c r="AL1120" t="n">
        <v>-4240.293</v>
      </c>
      <c r="AM1120" t="n">
        <v>10018.5589</v>
      </c>
      <c r="AN1120" t="n">
        <v>0.99</v>
      </c>
      <c r="AO1120" t="inlineStr">
        <is>
          <t>Low</t>
        </is>
      </c>
      <c r="AP1120" t="inlineStr">
        <is>
          <t>On Track</t>
        </is>
      </c>
    </row>
    <row r="1121">
      <c r="A1121" t="inlineStr">
        <is>
          <t>SUP-0070</t>
        </is>
      </c>
      <c r="B1121" t="inlineStr">
        <is>
          <t>Agriculture Supplier 070</t>
        </is>
      </c>
      <c r="C1121" t="inlineStr">
        <is>
          <t>Agriculture</t>
        </is>
      </c>
      <c r="D1121" t="n">
        <v>2024</v>
      </c>
      <c r="E1121" t="n">
        <v>2020</v>
      </c>
      <c r="F1121" t="n">
        <v>2035</v>
      </c>
      <c r="G1121" t="n">
        <v>1092.2372</v>
      </c>
      <c r="H1121" t="n">
        <v>320.9355</v>
      </c>
      <c r="I1121" t="n">
        <v>78.02849999999999</v>
      </c>
      <c r="J1121" t="n">
        <v>725.5937</v>
      </c>
      <c r="K1121" t="n">
        <v>1745636.25</v>
      </c>
      <c r="L1121" t="n">
        <v>6872336.88</v>
      </c>
      <c r="M1121" t="n">
        <v>1092.2372</v>
      </c>
      <c r="N1121" t="inlineStr">
        <is>
          <t>Provided Total Emissions</t>
        </is>
      </c>
      <c r="O1121" t="b">
        <v>1</v>
      </c>
      <c r="P1121" t="n">
        <v>0.016594</v>
      </c>
      <c r="Q1121" t="n">
        <v>0.02687</v>
      </c>
      <c r="R1121" t="n">
        <v>1595.7385</v>
      </c>
      <c r="S1121" t="n">
        <v>6660.1878</v>
      </c>
      <c r="T1121" t="n">
        <v>503.5013</v>
      </c>
      <c r="U1121" t="n">
        <v>5567.9506</v>
      </c>
      <c r="V1121" t="n">
        <v>0.460982</v>
      </c>
      <c r="W1121" t="n">
        <v>5.097749</v>
      </c>
      <c r="X1121" t="inlineStr">
        <is>
          <t>High</t>
        </is>
      </c>
      <c r="Y1121" t="inlineStr">
        <is>
          <t>None</t>
        </is>
      </c>
      <c r="Z1121" t="inlineStr">
        <is>
          <t>Valid</t>
        </is>
      </c>
      <c r="AA1121" t="n">
        <v>2040</v>
      </c>
      <c r="AB1121" t="inlineStr">
        <is>
          <t>Supplier Target Pathway</t>
        </is>
      </c>
      <c r="AC1121" t="n">
        <v>1108.6892</v>
      </c>
      <c r="AD1121" t="n">
        <v>525.2969000000001</v>
      </c>
      <c r="AE1121" t="n">
        <v>525.2969000000001</v>
      </c>
      <c r="AF1121" t="n">
        <v>525.2969000000001</v>
      </c>
      <c r="AG1121" t="n">
        <v>583.3923</v>
      </c>
      <c r="AH1121" t="n">
        <v>0.00030092</v>
      </c>
      <c r="AI1121" t="n">
        <v>0.5262</v>
      </c>
      <c r="AJ1121" t="n">
        <v>0</v>
      </c>
      <c r="AK1121" t="n">
        <v>38.8928</v>
      </c>
      <c r="AL1121" t="n">
        <v>-4765.5899</v>
      </c>
      <c r="AM1121" t="n">
        <v>10543.8558</v>
      </c>
      <c r="AN1121" t="n">
        <v>0.99</v>
      </c>
      <c r="AO1121" t="inlineStr">
        <is>
          <t>Low</t>
        </is>
      </c>
      <c r="AP1121" t="inlineStr">
        <is>
          <t>On Track</t>
        </is>
      </c>
    </row>
    <row r="1122">
      <c r="A1122" t="inlineStr">
        <is>
          <t>SUP-0071</t>
        </is>
      </c>
      <c r="B1122" t="inlineStr">
        <is>
          <t>Chemicals Supplier 071</t>
        </is>
      </c>
      <c r="C1122" t="inlineStr">
        <is>
          <t>Chemicals</t>
        </is>
      </c>
      <c r="D1122" t="n">
        <v>2024</v>
      </c>
      <c r="E1122" t="n">
        <v>2021</v>
      </c>
      <c r="F1122" t="n">
        <v>2040</v>
      </c>
      <c r="G1122" t="n">
        <v>21541.644</v>
      </c>
      <c r="H1122" t="n">
        <v>1955.2305</v>
      </c>
      <c r="I1122" t="n">
        <v>4891.8038</v>
      </c>
      <c r="J1122" t="n">
        <v>16048.01</v>
      </c>
      <c r="K1122" t="n">
        <v>43200087.82</v>
      </c>
      <c r="L1122" t="n">
        <v>123558713.2</v>
      </c>
      <c r="M1122" t="n">
        <v>21541.644</v>
      </c>
      <c r="N1122" t="inlineStr">
        <is>
          <t>Provided Total Emissions</t>
        </is>
      </c>
      <c r="O1122" t="b">
        <v>1</v>
      </c>
      <c r="P1122" t="n">
        <v>0.035299</v>
      </c>
      <c r="Q1122" t="n">
        <v>0.073533</v>
      </c>
      <c r="R1122" t="n">
        <v>43264.456</v>
      </c>
      <c r="S1122" t="n">
        <v>58225.808</v>
      </c>
      <c r="T1122" t="n">
        <v>21722.812</v>
      </c>
      <c r="U1122" t="n">
        <v>36684.164</v>
      </c>
      <c r="V1122" t="n">
        <v>1.00841</v>
      </c>
      <c r="W1122" t="n">
        <v>1.702942</v>
      </c>
      <c r="X1122" t="inlineStr">
        <is>
          <t>High</t>
        </is>
      </c>
      <c r="Y1122" t="inlineStr">
        <is>
          <t>None</t>
        </is>
      </c>
      <c r="Z1122" t="inlineStr">
        <is>
          <t>Valid</t>
        </is>
      </c>
      <c r="AA1122" t="n">
        <v>2025</v>
      </c>
      <c r="AB1122" t="inlineStr">
        <is>
          <t>Supplier Target Pathway</t>
        </is>
      </c>
      <c r="AC1122" t="n">
        <v>23855.8461</v>
      </c>
      <c r="AD1122" t="n">
        <v>11341.0692</v>
      </c>
      <c r="AE1122" t="n">
        <v>21221.1562</v>
      </c>
      <c r="AF1122" t="n">
        <v>21221.1562</v>
      </c>
      <c r="AG1122" t="n">
        <v>2634.6899</v>
      </c>
      <c r="AH1122" t="n">
        <v>0.0004912300000000001</v>
      </c>
      <c r="AI1122" t="n">
        <v>0.110442</v>
      </c>
      <c r="AJ1122" t="n">
        <v>9880.087</v>
      </c>
      <c r="AK1122" t="n">
        <v>658.6725</v>
      </c>
      <c r="AL1122" t="n">
        <v>160235.951</v>
      </c>
      <c r="AM1122" t="n">
        <v>21221.1562</v>
      </c>
      <c r="AN1122" t="n">
        <v>0.99</v>
      </c>
      <c r="AO1122" t="inlineStr">
        <is>
          <t>Critical</t>
        </is>
      </c>
      <c r="AP1122" t="inlineStr">
        <is>
          <t>On Track to Glide Path</t>
        </is>
      </c>
    </row>
    <row r="1123">
      <c r="A1123" t="inlineStr">
        <is>
          <t>SUP-0071</t>
        </is>
      </c>
      <c r="B1123" t="inlineStr">
        <is>
          <t>Chemicals Supplier 071</t>
        </is>
      </c>
      <c r="C1123" t="inlineStr">
        <is>
          <t>Chemicals</t>
        </is>
      </c>
      <c r="D1123" t="n">
        <v>2024</v>
      </c>
      <c r="E1123" t="n">
        <v>2021</v>
      </c>
      <c r="F1123" t="n">
        <v>2040</v>
      </c>
      <c r="G1123" t="n">
        <v>21541.644</v>
      </c>
      <c r="H1123" t="n">
        <v>1955.2305</v>
      </c>
      <c r="I1123" t="n">
        <v>4891.8038</v>
      </c>
      <c r="J1123" t="n">
        <v>16048.01</v>
      </c>
      <c r="K1123" t="n">
        <v>43200087.82</v>
      </c>
      <c r="L1123" t="n">
        <v>123558713.2</v>
      </c>
      <c r="M1123" t="n">
        <v>21541.644</v>
      </c>
      <c r="N1123" t="inlineStr">
        <is>
          <t>Provided Total Emissions</t>
        </is>
      </c>
      <c r="O1123" t="b">
        <v>1</v>
      </c>
      <c r="P1123" t="n">
        <v>0.035299</v>
      </c>
      <c r="Q1123" t="n">
        <v>0.073533</v>
      </c>
      <c r="R1123" t="n">
        <v>43264.456</v>
      </c>
      <c r="S1123" t="n">
        <v>58225.808</v>
      </c>
      <c r="T1123" t="n">
        <v>21722.812</v>
      </c>
      <c r="U1123" t="n">
        <v>36684.164</v>
      </c>
      <c r="V1123" t="n">
        <v>1.00841</v>
      </c>
      <c r="W1123" t="n">
        <v>1.702942</v>
      </c>
      <c r="X1123" t="inlineStr">
        <is>
          <t>High</t>
        </is>
      </c>
      <c r="Y1123" t="inlineStr">
        <is>
          <t>None</t>
        </is>
      </c>
      <c r="Z1123" t="inlineStr">
        <is>
          <t>Valid</t>
        </is>
      </c>
      <c r="AA1123" t="n">
        <v>2026</v>
      </c>
      <c r="AB1123" t="inlineStr">
        <is>
          <t>Supplier Target Pathway</t>
        </is>
      </c>
      <c r="AC1123" t="n">
        <v>23855.8461</v>
      </c>
      <c r="AD1123" t="n">
        <v>11341.0692</v>
      </c>
      <c r="AE1123" t="n">
        <v>20562.4838</v>
      </c>
      <c r="AF1123" t="n">
        <v>20562.4838</v>
      </c>
      <c r="AG1123" t="n">
        <v>3293.3623</v>
      </c>
      <c r="AH1123" t="n">
        <v>0.00047598</v>
      </c>
      <c r="AI1123" t="n">
        <v>0.138053</v>
      </c>
      <c r="AJ1123" t="n">
        <v>9221.414500000001</v>
      </c>
      <c r="AK1123" t="n">
        <v>658.6725</v>
      </c>
      <c r="AL1123" t="n">
        <v>139673.4672</v>
      </c>
      <c r="AM1123" t="n">
        <v>41783.64</v>
      </c>
      <c r="AN1123" t="n">
        <v>0.99</v>
      </c>
      <c r="AO1123" t="inlineStr">
        <is>
          <t>Critical</t>
        </is>
      </c>
      <c r="AP1123" t="inlineStr">
        <is>
          <t>On Track to Glide Path</t>
        </is>
      </c>
    </row>
    <row r="1124">
      <c r="A1124" t="inlineStr">
        <is>
          <t>SUP-0071</t>
        </is>
      </c>
      <c r="B1124" t="inlineStr">
        <is>
          <t>Chemicals Supplier 071</t>
        </is>
      </c>
      <c r="C1124" t="inlineStr">
        <is>
          <t>Chemicals</t>
        </is>
      </c>
      <c r="D1124" t="n">
        <v>2024</v>
      </c>
      <c r="E1124" t="n">
        <v>2021</v>
      </c>
      <c r="F1124" t="n">
        <v>2040</v>
      </c>
      <c r="G1124" t="n">
        <v>21541.644</v>
      </c>
      <c r="H1124" t="n">
        <v>1955.2305</v>
      </c>
      <c r="I1124" t="n">
        <v>4891.8038</v>
      </c>
      <c r="J1124" t="n">
        <v>16048.01</v>
      </c>
      <c r="K1124" t="n">
        <v>43200087.82</v>
      </c>
      <c r="L1124" t="n">
        <v>123558713.2</v>
      </c>
      <c r="M1124" t="n">
        <v>21541.644</v>
      </c>
      <c r="N1124" t="inlineStr">
        <is>
          <t>Provided Total Emissions</t>
        </is>
      </c>
      <c r="O1124" t="b">
        <v>1</v>
      </c>
      <c r="P1124" t="n">
        <v>0.035299</v>
      </c>
      <c r="Q1124" t="n">
        <v>0.073533</v>
      </c>
      <c r="R1124" t="n">
        <v>43264.456</v>
      </c>
      <c r="S1124" t="n">
        <v>58225.808</v>
      </c>
      <c r="T1124" t="n">
        <v>21722.812</v>
      </c>
      <c r="U1124" t="n">
        <v>36684.164</v>
      </c>
      <c r="V1124" t="n">
        <v>1.00841</v>
      </c>
      <c r="W1124" t="n">
        <v>1.702942</v>
      </c>
      <c r="X1124" t="inlineStr">
        <is>
          <t>High</t>
        </is>
      </c>
      <c r="Y1124" t="inlineStr">
        <is>
          <t>None</t>
        </is>
      </c>
      <c r="Z1124" t="inlineStr">
        <is>
          <t>Valid</t>
        </is>
      </c>
      <c r="AA1124" t="n">
        <v>2027</v>
      </c>
      <c r="AB1124" t="inlineStr">
        <is>
          <t>Supplier Target Pathway</t>
        </is>
      </c>
      <c r="AC1124" t="n">
        <v>23855.8461</v>
      </c>
      <c r="AD1124" t="n">
        <v>11341.0692</v>
      </c>
      <c r="AE1124" t="n">
        <v>19903.8113</v>
      </c>
      <c r="AF1124" t="n">
        <v>19903.8113</v>
      </c>
      <c r="AG1124" t="n">
        <v>3952.0348</v>
      </c>
      <c r="AH1124" t="n">
        <v>0.00046074</v>
      </c>
      <c r="AI1124" t="n">
        <v>0.165663</v>
      </c>
      <c r="AJ1124" t="n">
        <v>8562.742099999999</v>
      </c>
      <c r="AK1124" t="n">
        <v>658.6725</v>
      </c>
      <c r="AL1124" t="n">
        <v>119769.6559</v>
      </c>
      <c r="AM1124" t="n">
        <v>61687.4513</v>
      </c>
      <c r="AN1124" t="n">
        <v>0.99</v>
      </c>
      <c r="AO1124" t="inlineStr">
        <is>
          <t>Critical</t>
        </is>
      </c>
      <c r="AP1124" t="inlineStr">
        <is>
          <t>On Track to Glide Path</t>
        </is>
      </c>
    </row>
    <row r="1125">
      <c r="A1125" t="inlineStr">
        <is>
          <t>SUP-0071</t>
        </is>
      </c>
      <c r="B1125" t="inlineStr">
        <is>
          <t>Chemicals Supplier 071</t>
        </is>
      </c>
      <c r="C1125" t="inlineStr">
        <is>
          <t>Chemicals</t>
        </is>
      </c>
      <c r="D1125" t="n">
        <v>2024</v>
      </c>
      <c r="E1125" t="n">
        <v>2021</v>
      </c>
      <c r="F1125" t="n">
        <v>2040</v>
      </c>
      <c r="G1125" t="n">
        <v>21541.644</v>
      </c>
      <c r="H1125" t="n">
        <v>1955.2305</v>
      </c>
      <c r="I1125" t="n">
        <v>4891.8038</v>
      </c>
      <c r="J1125" t="n">
        <v>16048.01</v>
      </c>
      <c r="K1125" t="n">
        <v>43200087.82</v>
      </c>
      <c r="L1125" t="n">
        <v>123558713.2</v>
      </c>
      <c r="M1125" t="n">
        <v>21541.644</v>
      </c>
      <c r="N1125" t="inlineStr">
        <is>
          <t>Provided Total Emissions</t>
        </is>
      </c>
      <c r="O1125" t="b">
        <v>1</v>
      </c>
      <c r="P1125" t="n">
        <v>0.035299</v>
      </c>
      <c r="Q1125" t="n">
        <v>0.073533</v>
      </c>
      <c r="R1125" t="n">
        <v>43264.456</v>
      </c>
      <c r="S1125" t="n">
        <v>58225.808</v>
      </c>
      <c r="T1125" t="n">
        <v>21722.812</v>
      </c>
      <c r="U1125" t="n">
        <v>36684.164</v>
      </c>
      <c r="V1125" t="n">
        <v>1.00841</v>
      </c>
      <c r="W1125" t="n">
        <v>1.702942</v>
      </c>
      <c r="X1125" t="inlineStr">
        <is>
          <t>High</t>
        </is>
      </c>
      <c r="Y1125" t="inlineStr">
        <is>
          <t>None</t>
        </is>
      </c>
      <c r="Z1125" t="inlineStr">
        <is>
          <t>Valid</t>
        </is>
      </c>
      <c r="AA1125" t="n">
        <v>2028</v>
      </c>
      <c r="AB1125" t="inlineStr">
        <is>
          <t>Supplier Target Pathway</t>
        </is>
      </c>
      <c r="AC1125" t="n">
        <v>23855.8461</v>
      </c>
      <c r="AD1125" t="n">
        <v>11341.0692</v>
      </c>
      <c r="AE1125" t="n">
        <v>19245.1388</v>
      </c>
      <c r="AF1125" t="n">
        <v>19245.1388</v>
      </c>
      <c r="AG1125" t="n">
        <v>4610.7073</v>
      </c>
      <c r="AH1125" t="n">
        <v>0.00044549</v>
      </c>
      <c r="AI1125" t="n">
        <v>0.193274</v>
      </c>
      <c r="AJ1125" t="n">
        <v>7904.0696</v>
      </c>
      <c r="AK1125" t="n">
        <v>658.6725</v>
      </c>
      <c r="AL1125" t="n">
        <v>100524.5171</v>
      </c>
      <c r="AM1125" t="n">
        <v>80932.5901</v>
      </c>
      <c r="AN1125" t="n">
        <v>0.99</v>
      </c>
      <c r="AO1125" t="inlineStr">
        <is>
          <t>Critical</t>
        </is>
      </c>
      <c r="AP1125" t="inlineStr">
        <is>
          <t>On Track to Glide Path</t>
        </is>
      </c>
    </row>
    <row r="1126">
      <c r="A1126" t="inlineStr">
        <is>
          <t>SUP-0071</t>
        </is>
      </c>
      <c r="B1126" t="inlineStr">
        <is>
          <t>Chemicals Supplier 071</t>
        </is>
      </c>
      <c r="C1126" t="inlineStr">
        <is>
          <t>Chemicals</t>
        </is>
      </c>
      <c r="D1126" t="n">
        <v>2024</v>
      </c>
      <c r="E1126" t="n">
        <v>2021</v>
      </c>
      <c r="F1126" t="n">
        <v>2040</v>
      </c>
      <c r="G1126" t="n">
        <v>21541.644</v>
      </c>
      <c r="H1126" t="n">
        <v>1955.2305</v>
      </c>
      <c r="I1126" t="n">
        <v>4891.8038</v>
      </c>
      <c r="J1126" t="n">
        <v>16048.01</v>
      </c>
      <c r="K1126" t="n">
        <v>43200087.82</v>
      </c>
      <c r="L1126" t="n">
        <v>123558713.2</v>
      </c>
      <c r="M1126" t="n">
        <v>21541.644</v>
      </c>
      <c r="N1126" t="inlineStr">
        <is>
          <t>Provided Total Emissions</t>
        </is>
      </c>
      <c r="O1126" t="b">
        <v>1</v>
      </c>
      <c r="P1126" t="n">
        <v>0.035299</v>
      </c>
      <c r="Q1126" t="n">
        <v>0.073533</v>
      </c>
      <c r="R1126" t="n">
        <v>43264.456</v>
      </c>
      <c r="S1126" t="n">
        <v>58225.808</v>
      </c>
      <c r="T1126" t="n">
        <v>21722.812</v>
      </c>
      <c r="U1126" t="n">
        <v>36684.164</v>
      </c>
      <c r="V1126" t="n">
        <v>1.00841</v>
      </c>
      <c r="W1126" t="n">
        <v>1.702942</v>
      </c>
      <c r="X1126" t="inlineStr">
        <is>
          <t>High</t>
        </is>
      </c>
      <c r="Y1126" t="inlineStr">
        <is>
          <t>None</t>
        </is>
      </c>
      <c r="Z1126" t="inlineStr">
        <is>
          <t>Valid</t>
        </is>
      </c>
      <c r="AA1126" t="n">
        <v>2029</v>
      </c>
      <c r="AB1126" t="inlineStr">
        <is>
          <t>Supplier Target Pathway</t>
        </is>
      </c>
      <c r="AC1126" t="n">
        <v>23855.8461</v>
      </c>
      <c r="AD1126" t="n">
        <v>11341.0692</v>
      </c>
      <c r="AE1126" t="n">
        <v>18586.4664</v>
      </c>
      <c r="AF1126" t="n">
        <v>18586.4664</v>
      </c>
      <c r="AG1126" t="n">
        <v>5269.3797</v>
      </c>
      <c r="AH1126" t="n">
        <v>0.00043024</v>
      </c>
      <c r="AI1126" t="n">
        <v>0.220884</v>
      </c>
      <c r="AJ1126" t="n">
        <v>7245.3971</v>
      </c>
      <c r="AK1126" t="n">
        <v>658.6725</v>
      </c>
      <c r="AL1126" t="n">
        <v>81938.05070000001</v>
      </c>
      <c r="AM1126" t="n">
        <v>99519.05650000001</v>
      </c>
      <c r="AN1126" t="n">
        <v>0.99</v>
      </c>
      <c r="AO1126" t="inlineStr">
        <is>
          <t>Critical</t>
        </is>
      </c>
      <c r="AP1126" t="inlineStr">
        <is>
          <t>On Track to Glide Path</t>
        </is>
      </c>
    </row>
    <row r="1127">
      <c r="A1127" t="inlineStr">
        <is>
          <t>SUP-0071</t>
        </is>
      </c>
      <c r="B1127" t="inlineStr">
        <is>
          <t>Chemicals Supplier 071</t>
        </is>
      </c>
      <c r="C1127" t="inlineStr">
        <is>
          <t>Chemicals</t>
        </is>
      </c>
      <c r="D1127" t="n">
        <v>2024</v>
      </c>
      <c r="E1127" t="n">
        <v>2021</v>
      </c>
      <c r="F1127" t="n">
        <v>2040</v>
      </c>
      <c r="G1127" t="n">
        <v>21541.644</v>
      </c>
      <c r="H1127" t="n">
        <v>1955.2305</v>
      </c>
      <c r="I1127" t="n">
        <v>4891.8038</v>
      </c>
      <c r="J1127" t="n">
        <v>16048.01</v>
      </c>
      <c r="K1127" t="n">
        <v>43200087.82</v>
      </c>
      <c r="L1127" t="n">
        <v>123558713.2</v>
      </c>
      <c r="M1127" t="n">
        <v>21541.644</v>
      </c>
      <c r="N1127" t="inlineStr">
        <is>
          <t>Provided Total Emissions</t>
        </is>
      </c>
      <c r="O1127" t="b">
        <v>1</v>
      </c>
      <c r="P1127" t="n">
        <v>0.035299</v>
      </c>
      <c r="Q1127" t="n">
        <v>0.073533</v>
      </c>
      <c r="R1127" t="n">
        <v>43264.456</v>
      </c>
      <c r="S1127" t="n">
        <v>58225.808</v>
      </c>
      <c r="T1127" t="n">
        <v>21722.812</v>
      </c>
      <c r="U1127" t="n">
        <v>36684.164</v>
      </c>
      <c r="V1127" t="n">
        <v>1.00841</v>
      </c>
      <c r="W1127" t="n">
        <v>1.702942</v>
      </c>
      <c r="X1127" t="inlineStr">
        <is>
          <t>High</t>
        </is>
      </c>
      <c r="Y1127" t="inlineStr">
        <is>
          <t>None</t>
        </is>
      </c>
      <c r="Z1127" t="inlineStr">
        <is>
          <t>Valid</t>
        </is>
      </c>
      <c r="AA1127" t="n">
        <v>2030</v>
      </c>
      <c r="AB1127" t="inlineStr">
        <is>
          <t>Supplier Target Pathway</t>
        </is>
      </c>
      <c r="AC1127" t="n">
        <v>23855.8461</v>
      </c>
      <c r="AD1127" t="n">
        <v>11341.0692</v>
      </c>
      <c r="AE1127" t="n">
        <v>17927.7939</v>
      </c>
      <c r="AF1127" t="n">
        <v>17927.7939</v>
      </c>
      <c r="AG1127" t="n">
        <v>5928.0522</v>
      </c>
      <c r="AH1127" t="n">
        <v>0.00041499</v>
      </c>
      <c r="AI1127" t="n">
        <v>0.248495</v>
      </c>
      <c r="AJ1127" t="n">
        <v>6586.7247</v>
      </c>
      <c r="AK1127" t="n">
        <v>658.6725</v>
      </c>
      <c r="AL1127" t="n">
        <v>64010.2568</v>
      </c>
      <c r="AM1127" t="n">
        <v>117446.8504</v>
      </c>
      <c r="AN1127" t="n">
        <v>0.99</v>
      </c>
      <c r="AO1127" t="inlineStr">
        <is>
          <t>Critical</t>
        </is>
      </c>
      <c r="AP1127" t="inlineStr">
        <is>
          <t>On Track to Glide Path</t>
        </is>
      </c>
    </row>
    <row r="1128">
      <c r="A1128" t="inlineStr">
        <is>
          <t>SUP-0071</t>
        </is>
      </c>
      <c r="B1128" t="inlineStr">
        <is>
          <t>Chemicals Supplier 071</t>
        </is>
      </c>
      <c r="C1128" t="inlineStr">
        <is>
          <t>Chemicals</t>
        </is>
      </c>
      <c r="D1128" t="n">
        <v>2024</v>
      </c>
      <c r="E1128" t="n">
        <v>2021</v>
      </c>
      <c r="F1128" t="n">
        <v>2040</v>
      </c>
      <c r="G1128" t="n">
        <v>21541.644</v>
      </c>
      <c r="H1128" t="n">
        <v>1955.2305</v>
      </c>
      <c r="I1128" t="n">
        <v>4891.8038</v>
      </c>
      <c r="J1128" t="n">
        <v>16048.01</v>
      </c>
      <c r="K1128" t="n">
        <v>43200087.82</v>
      </c>
      <c r="L1128" t="n">
        <v>123558713.2</v>
      </c>
      <c r="M1128" t="n">
        <v>21541.644</v>
      </c>
      <c r="N1128" t="inlineStr">
        <is>
          <t>Provided Total Emissions</t>
        </is>
      </c>
      <c r="O1128" t="b">
        <v>1</v>
      </c>
      <c r="P1128" t="n">
        <v>0.035299</v>
      </c>
      <c r="Q1128" t="n">
        <v>0.073533</v>
      </c>
      <c r="R1128" t="n">
        <v>43264.456</v>
      </c>
      <c r="S1128" t="n">
        <v>58225.808</v>
      </c>
      <c r="T1128" t="n">
        <v>21722.812</v>
      </c>
      <c r="U1128" t="n">
        <v>36684.164</v>
      </c>
      <c r="V1128" t="n">
        <v>1.00841</v>
      </c>
      <c r="W1128" t="n">
        <v>1.702942</v>
      </c>
      <c r="X1128" t="inlineStr">
        <is>
          <t>High</t>
        </is>
      </c>
      <c r="Y1128" t="inlineStr">
        <is>
          <t>None</t>
        </is>
      </c>
      <c r="Z1128" t="inlineStr">
        <is>
          <t>Valid</t>
        </is>
      </c>
      <c r="AA1128" t="n">
        <v>2031</v>
      </c>
      <c r="AB1128" t="inlineStr">
        <is>
          <t>Supplier Target Pathway</t>
        </is>
      </c>
      <c r="AC1128" t="n">
        <v>23855.8461</v>
      </c>
      <c r="AD1128" t="n">
        <v>11341.0692</v>
      </c>
      <c r="AE1128" t="n">
        <v>17269.1214</v>
      </c>
      <c r="AF1128" t="n">
        <v>17269.1214</v>
      </c>
      <c r="AG1128" t="n">
        <v>6586.7247</v>
      </c>
      <c r="AH1128" t="n">
        <v>0.00039975</v>
      </c>
      <c r="AI1128" t="n">
        <v>0.276105</v>
      </c>
      <c r="AJ1128" t="n">
        <v>5928.0522</v>
      </c>
      <c r="AK1128" t="n">
        <v>658.6725</v>
      </c>
      <c r="AL1128" t="n">
        <v>46741.1354</v>
      </c>
      <c r="AM1128" t="n">
        <v>134715.9718</v>
      </c>
      <c r="AN1128" t="n">
        <v>0.99</v>
      </c>
      <c r="AO1128" t="inlineStr">
        <is>
          <t>Critical</t>
        </is>
      </c>
      <c r="AP1128" t="inlineStr">
        <is>
          <t>On Track to Glide Path</t>
        </is>
      </c>
    </row>
    <row r="1129">
      <c r="A1129" t="inlineStr">
        <is>
          <t>SUP-0071</t>
        </is>
      </c>
      <c r="B1129" t="inlineStr">
        <is>
          <t>Chemicals Supplier 071</t>
        </is>
      </c>
      <c r="C1129" t="inlineStr">
        <is>
          <t>Chemicals</t>
        </is>
      </c>
      <c r="D1129" t="n">
        <v>2024</v>
      </c>
      <c r="E1129" t="n">
        <v>2021</v>
      </c>
      <c r="F1129" t="n">
        <v>2040</v>
      </c>
      <c r="G1129" t="n">
        <v>21541.644</v>
      </c>
      <c r="H1129" t="n">
        <v>1955.2305</v>
      </c>
      <c r="I1129" t="n">
        <v>4891.8038</v>
      </c>
      <c r="J1129" t="n">
        <v>16048.01</v>
      </c>
      <c r="K1129" t="n">
        <v>43200087.82</v>
      </c>
      <c r="L1129" t="n">
        <v>123558713.2</v>
      </c>
      <c r="M1129" t="n">
        <v>21541.644</v>
      </c>
      <c r="N1129" t="inlineStr">
        <is>
          <t>Provided Total Emissions</t>
        </is>
      </c>
      <c r="O1129" t="b">
        <v>1</v>
      </c>
      <c r="P1129" t="n">
        <v>0.035299</v>
      </c>
      <c r="Q1129" t="n">
        <v>0.073533</v>
      </c>
      <c r="R1129" t="n">
        <v>43264.456</v>
      </c>
      <c r="S1129" t="n">
        <v>58225.808</v>
      </c>
      <c r="T1129" t="n">
        <v>21722.812</v>
      </c>
      <c r="U1129" t="n">
        <v>36684.164</v>
      </c>
      <c r="V1129" t="n">
        <v>1.00841</v>
      </c>
      <c r="W1129" t="n">
        <v>1.702942</v>
      </c>
      <c r="X1129" t="inlineStr">
        <is>
          <t>High</t>
        </is>
      </c>
      <c r="Y1129" t="inlineStr">
        <is>
          <t>None</t>
        </is>
      </c>
      <c r="Z1129" t="inlineStr">
        <is>
          <t>Valid</t>
        </is>
      </c>
      <c r="AA1129" t="n">
        <v>2032</v>
      </c>
      <c r="AB1129" t="inlineStr">
        <is>
          <t>Supplier Target Pathway</t>
        </is>
      </c>
      <c r="AC1129" t="n">
        <v>23855.8461</v>
      </c>
      <c r="AD1129" t="n">
        <v>11341.0692</v>
      </c>
      <c r="AE1129" t="n">
        <v>16610.449</v>
      </c>
      <c r="AF1129" t="n">
        <v>16610.449</v>
      </c>
      <c r="AG1129" t="n">
        <v>7245.3971</v>
      </c>
      <c r="AH1129" t="n">
        <v>0.0003845</v>
      </c>
      <c r="AI1129" t="n">
        <v>0.303716</v>
      </c>
      <c r="AJ1129" t="n">
        <v>5269.3797</v>
      </c>
      <c r="AK1129" t="n">
        <v>658.6725</v>
      </c>
      <c r="AL1129" t="n">
        <v>30130.6864</v>
      </c>
      <c r="AM1129" t="n">
        <v>151326.4208</v>
      </c>
      <c r="AN1129" t="n">
        <v>0.99</v>
      </c>
      <c r="AO1129" t="inlineStr">
        <is>
          <t>Critical</t>
        </is>
      </c>
      <c r="AP1129" t="inlineStr">
        <is>
          <t>On Track to Glide Path</t>
        </is>
      </c>
    </row>
    <row r="1130">
      <c r="A1130" t="inlineStr">
        <is>
          <t>SUP-0071</t>
        </is>
      </c>
      <c r="B1130" t="inlineStr">
        <is>
          <t>Chemicals Supplier 071</t>
        </is>
      </c>
      <c r="C1130" t="inlineStr">
        <is>
          <t>Chemicals</t>
        </is>
      </c>
      <c r="D1130" t="n">
        <v>2024</v>
      </c>
      <c r="E1130" t="n">
        <v>2021</v>
      </c>
      <c r="F1130" t="n">
        <v>2040</v>
      </c>
      <c r="G1130" t="n">
        <v>21541.644</v>
      </c>
      <c r="H1130" t="n">
        <v>1955.2305</v>
      </c>
      <c r="I1130" t="n">
        <v>4891.8038</v>
      </c>
      <c r="J1130" t="n">
        <v>16048.01</v>
      </c>
      <c r="K1130" t="n">
        <v>43200087.82</v>
      </c>
      <c r="L1130" t="n">
        <v>123558713.2</v>
      </c>
      <c r="M1130" t="n">
        <v>21541.644</v>
      </c>
      <c r="N1130" t="inlineStr">
        <is>
          <t>Provided Total Emissions</t>
        </is>
      </c>
      <c r="O1130" t="b">
        <v>1</v>
      </c>
      <c r="P1130" t="n">
        <v>0.035299</v>
      </c>
      <c r="Q1130" t="n">
        <v>0.073533</v>
      </c>
      <c r="R1130" t="n">
        <v>43264.456</v>
      </c>
      <c r="S1130" t="n">
        <v>58225.808</v>
      </c>
      <c r="T1130" t="n">
        <v>21722.812</v>
      </c>
      <c r="U1130" t="n">
        <v>36684.164</v>
      </c>
      <c r="V1130" t="n">
        <v>1.00841</v>
      </c>
      <c r="W1130" t="n">
        <v>1.702942</v>
      </c>
      <c r="X1130" t="inlineStr">
        <is>
          <t>High</t>
        </is>
      </c>
      <c r="Y1130" t="inlineStr">
        <is>
          <t>None</t>
        </is>
      </c>
      <c r="Z1130" t="inlineStr">
        <is>
          <t>Valid</t>
        </is>
      </c>
      <c r="AA1130" t="n">
        <v>2033</v>
      </c>
      <c r="AB1130" t="inlineStr">
        <is>
          <t>Supplier Target Pathway</t>
        </is>
      </c>
      <c r="AC1130" t="n">
        <v>23855.8461</v>
      </c>
      <c r="AD1130" t="n">
        <v>11341.0692</v>
      </c>
      <c r="AE1130" t="n">
        <v>15951.7765</v>
      </c>
      <c r="AF1130" t="n">
        <v>15951.7765</v>
      </c>
      <c r="AG1130" t="n">
        <v>7904.0696</v>
      </c>
      <c r="AH1130" t="n">
        <v>0.00036925</v>
      </c>
      <c r="AI1130" t="n">
        <v>0.331326</v>
      </c>
      <c r="AJ1130" t="n">
        <v>4610.7073</v>
      </c>
      <c r="AK1130" t="n">
        <v>658.6725</v>
      </c>
      <c r="AL1130" t="n">
        <v>14178.9099</v>
      </c>
      <c r="AM1130" t="n">
        <v>167278.1973</v>
      </c>
      <c r="AN1130" t="n">
        <v>0.99</v>
      </c>
      <c r="AO1130" t="inlineStr">
        <is>
          <t>Critical</t>
        </is>
      </c>
      <c r="AP1130" t="inlineStr">
        <is>
          <t>On Track to Glide Path</t>
        </is>
      </c>
    </row>
    <row r="1131">
      <c r="A1131" t="inlineStr">
        <is>
          <t>SUP-0071</t>
        </is>
      </c>
      <c r="B1131" t="inlineStr">
        <is>
          <t>Chemicals Supplier 071</t>
        </is>
      </c>
      <c r="C1131" t="inlineStr">
        <is>
          <t>Chemicals</t>
        </is>
      </c>
      <c r="D1131" t="n">
        <v>2024</v>
      </c>
      <c r="E1131" t="n">
        <v>2021</v>
      </c>
      <c r="F1131" t="n">
        <v>2040</v>
      </c>
      <c r="G1131" t="n">
        <v>21541.644</v>
      </c>
      <c r="H1131" t="n">
        <v>1955.2305</v>
      </c>
      <c r="I1131" t="n">
        <v>4891.8038</v>
      </c>
      <c r="J1131" t="n">
        <v>16048.01</v>
      </c>
      <c r="K1131" t="n">
        <v>43200087.82</v>
      </c>
      <c r="L1131" t="n">
        <v>123558713.2</v>
      </c>
      <c r="M1131" t="n">
        <v>21541.644</v>
      </c>
      <c r="N1131" t="inlineStr">
        <is>
          <t>Provided Total Emissions</t>
        </is>
      </c>
      <c r="O1131" t="b">
        <v>1</v>
      </c>
      <c r="P1131" t="n">
        <v>0.035299</v>
      </c>
      <c r="Q1131" t="n">
        <v>0.073533</v>
      </c>
      <c r="R1131" t="n">
        <v>43264.456</v>
      </c>
      <c r="S1131" t="n">
        <v>58225.808</v>
      </c>
      <c r="T1131" t="n">
        <v>21722.812</v>
      </c>
      <c r="U1131" t="n">
        <v>36684.164</v>
      </c>
      <c r="V1131" t="n">
        <v>1.00841</v>
      </c>
      <c r="W1131" t="n">
        <v>1.702942</v>
      </c>
      <c r="X1131" t="inlineStr">
        <is>
          <t>High</t>
        </is>
      </c>
      <c r="Y1131" t="inlineStr">
        <is>
          <t>None</t>
        </is>
      </c>
      <c r="Z1131" t="inlineStr">
        <is>
          <t>Valid</t>
        </is>
      </c>
      <c r="AA1131" t="n">
        <v>2034</v>
      </c>
      <c r="AB1131" t="inlineStr">
        <is>
          <t>Supplier Target Pathway</t>
        </is>
      </c>
      <c r="AC1131" t="n">
        <v>23855.8461</v>
      </c>
      <c r="AD1131" t="n">
        <v>11341.0692</v>
      </c>
      <c r="AE1131" t="n">
        <v>15293.104</v>
      </c>
      <c r="AF1131" t="n">
        <v>15293.104</v>
      </c>
      <c r="AG1131" t="n">
        <v>8562.742099999999</v>
      </c>
      <c r="AH1131" t="n">
        <v>0.00035401</v>
      </c>
      <c r="AI1131" t="n">
        <v>0.358937</v>
      </c>
      <c r="AJ1131" t="n">
        <v>3952.0348</v>
      </c>
      <c r="AK1131" t="n">
        <v>658.6725</v>
      </c>
      <c r="AL1131" t="n">
        <v>-1114.1941</v>
      </c>
      <c r="AM1131" t="n">
        <v>182571.3013</v>
      </c>
      <c r="AN1131" t="n">
        <v>0.99</v>
      </c>
      <c r="AO1131" t="inlineStr">
        <is>
          <t>High</t>
        </is>
      </c>
      <c r="AP1131" t="inlineStr">
        <is>
          <t>On Track to Glide Path</t>
        </is>
      </c>
    </row>
    <row r="1132">
      <c r="A1132" t="inlineStr">
        <is>
          <t>SUP-0071</t>
        </is>
      </c>
      <c r="B1132" t="inlineStr">
        <is>
          <t>Chemicals Supplier 071</t>
        </is>
      </c>
      <c r="C1132" t="inlineStr">
        <is>
          <t>Chemicals</t>
        </is>
      </c>
      <c r="D1132" t="n">
        <v>2024</v>
      </c>
      <c r="E1132" t="n">
        <v>2021</v>
      </c>
      <c r="F1132" t="n">
        <v>2040</v>
      </c>
      <c r="G1132" t="n">
        <v>21541.644</v>
      </c>
      <c r="H1132" t="n">
        <v>1955.2305</v>
      </c>
      <c r="I1132" t="n">
        <v>4891.8038</v>
      </c>
      <c r="J1132" t="n">
        <v>16048.01</v>
      </c>
      <c r="K1132" t="n">
        <v>43200087.82</v>
      </c>
      <c r="L1132" t="n">
        <v>123558713.2</v>
      </c>
      <c r="M1132" t="n">
        <v>21541.644</v>
      </c>
      <c r="N1132" t="inlineStr">
        <is>
          <t>Provided Total Emissions</t>
        </is>
      </c>
      <c r="O1132" t="b">
        <v>1</v>
      </c>
      <c r="P1132" t="n">
        <v>0.035299</v>
      </c>
      <c r="Q1132" t="n">
        <v>0.073533</v>
      </c>
      <c r="R1132" t="n">
        <v>43264.456</v>
      </c>
      <c r="S1132" t="n">
        <v>58225.808</v>
      </c>
      <c r="T1132" t="n">
        <v>21722.812</v>
      </c>
      <c r="U1132" t="n">
        <v>36684.164</v>
      </c>
      <c r="V1132" t="n">
        <v>1.00841</v>
      </c>
      <c r="W1132" t="n">
        <v>1.702942</v>
      </c>
      <c r="X1132" t="inlineStr">
        <is>
          <t>High</t>
        </is>
      </c>
      <c r="Y1132" t="inlineStr">
        <is>
          <t>None</t>
        </is>
      </c>
      <c r="Z1132" t="inlineStr">
        <is>
          <t>Valid</t>
        </is>
      </c>
      <c r="AA1132" t="n">
        <v>2035</v>
      </c>
      <c r="AB1132" t="inlineStr">
        <is>
          <t>Supplier Target Pathway</t>
        </is>
      </c>
      <c r="AC1132" t="n">
        <v>23855.8461</v>
      </c>
      <c r="AD1132" t="n">
        <v>11341.0692</v>
      </c>
      <c r="AE1132" t="n">
        <v>14634.4316</v>
      </c>
      <c r="AF1132" t="n">
        <v>14634.4316</v>
      </c>
      <c r="AG1132" t="n">
        <v>9221.414500000001</v>
      </c>
      <c r="AH1132" t="n">
        <v>0.00033876</v>
      </c>
      <c r="AI1132" t="n">
        <v>0.386547</v>
      </c>
      <c r="AJ1132" t="n">
        <v>3293.3623</v>
      </c>
      <c r="AK1132" t="n">
        <v>658.6725</v>
      </c>
      <c r="AL1132" t="n">
        <v>-15748.6257</v>
      </c>
      <c r="AM1132" t="n">
        <v>197205.7329</v>
      </c>
      <c r="AN1132" t="n">
        <v>0.99</v>
      </c>
      <c r="AO1132" t="inlineStr">
        <is>
          <t>High</t>
        </is>
      </c>
      <c r="AP1132" t="inlineStr">
        <is>
          <t>On Track to Glide Path</t>
        </is>
      </c>
    </row>
    <row r="1133">
      <c r="A1133" t="inlineStr">
        <is>
          <t>SUP-0071</t>
        </is>
      </c>
      <c r="B1133" t="inlineStr">
        <is>
          <t>Chemicals Supplier 071</t>
        </is>
      </c>
      <c r="C1133" t="inlineStr">
        <is>
          <t>Chemicals</t>
        </is>
      </c>
      <c r="D1133" t="n">
        <v>2024</v>
      </c>
      <c r="E1133" t="n">
        <v>2021</v>
      </c>
      <c r="F1133" t="n">
        <v>2040</v>
      </c>
      <c r="G1133" t="n">
        <v>21541.644</v>
      </c>
      <c r="H1133" t="n">
        <v>1955.2305</v>
      </c>
      <c r="I1133" t="n">
        <v>4891.8038</v>
      </c>
      <c r="J1133" t="n">
        <v>16048.01</v>
      </c>
      <c r="K1133" t="n">
        <v>43200087.82</v>
      </c>
      <c r="L1133" t="n">
        <v>123558713.2</v>
      </c>
      <c r="M1133" t="n">
        <v>21541.644</v>
      </c>
      <c r="N1133" t="inlineStr">
        <is>
          <t>Provided Total Emissions</t>
        </is>
      </c>
      <c r="O1133" t="b">
        <v>1</v>
      </c>
      <c r="P1133" t="n">
        <v>0.035299</v>
      </c>
      <c r="Q1133" t="n">
        <v>0.073533</v>
      </c>
      <c r="R1133" t="n">
        <v>43264.456</v>
      </c>
      <c r="S1133" t="n">
        <v>58225.808</v>
      </c>
      <c r="T1133" t="n">
        <v>21722.812</v>
      </c>
      <c r="U1133" t="n">
        <v>36684.164</v>
      </c>
      <c r="V1133" t="n">
        <v>1.00841</v>
      </c>
      <c r="W1133" t="n">
        <v>1.702942</v>
      </c>
      <c r="X1133" t="inlineStr">
        <is>
          <t>High</t>
        </is>
      </c>
      <c r="Y1133" t="inlineStr">
        <is>
          <t>None</t>
        </is>
      </c>
      <c r="Z1133" t="inlineStr">
        <is>
          <t>Valid</t>
        </is>
      </c>
      <c r="AA1133" t="n">
        <v>2036</v>
      </c>
      <c r="AB1133" t="inlineStr">
        <is>
          <t>Supplier Target Pathway</t>
        </is>
      </c>
      <c r="AC1133" t="n">
        <v>23855.8461</v>
      </c>
      <c r="AD1133" t="n">
        <v>11341.0692</v>
      </c>
      <c r="AE1133" t="n">
        <v>13975.7591</v>
      </c>
      <c r="AF1133" t="n">
        <v>13975.7591</v>
      </c>
      <c r="AG1133" t="n">
        <v>9880.087</v>
      </c>
      <c r="AH1133" t="n">
        <v>0.00032351</v>
      </c>
      <c r="AI1133" t="n">
        <v>0.414158</v>
      </c>
      <c r="AJ1133" t="n">
        <v>2634.6899</v>
      </c>
      <c r="AK1133" t="n">
        <v>658.6725</v>
      </c>
      <c r="AL1133" t="n">
        <v>-29724.3848</v>
      </c>
      <c r="AM1133" t="n">
        <v>211181.492</v>
      </c>
      <c r="AN1133" t="n">
        <v>0.99</v>
      </c>
      <c r="AO1133" t="inlineStr">
        <is>
          <t>High</t>
        </is>
      </c>
      <c r="AP1133" t="inlineStr">
        <is>
          <t>On Track to Glide Path</t>
        </is>
      </c>
    </row>
    <row r="1134">
      <c r="A1134" t="inlineStr">
        <is>
          <t>SUP-0071</t>
        </is>
      </c>
      <c r="B1134" t="inlineStr">
        <is>
          <t>Chemicals Supplier 071</t>
        </is>
      </c>
      <c r="C1134" t="inlineStr">
        <is>
          <t>Chemicals</t>
        </is>
      </c>
      <c r="D1134" t="n">
        <v>2024</v>
      </c>
      <c r="E1134" t="n">
        <v>2021</v>
      </c>
      <c r="F1134" t="n">
        <v>2040</v>
      </c>
      <c r="G1134" t="n">
        <v>21541.644</v>
      </c>
      <c r="H1134" t="n">
        <v>1955.2305</v>
      </c>
      <c r="I1134" t="n">
        <v>4891.8038</v>
      </c>
      <c r="J1134" t="n">
        <v>16048.01</v>
      </c>
      <c r="K1134" t="n">
        <v>43200087.82</v>
      </c>
      <c r="L1134" t="n">
        <v>123558713.2</v>
      </c>
      <c r="M1134" t="n">
        <v>21541.644</v>
      </c>
      <c r="N1134" t="inlineStr">
        <is>
          <t>Provided Total Emissions</t>
        </is>
      </c>
      <c r="O1134" t="b">
        <v>1</v>
      </c>
      <c r="P1134" t="n">
        <v>0.035299</v>
      </c>
      <c r="Q1134" t="n">
        <v>0.073533</v>
      </c>
      <c r="R1134" t="n">
        <v>43264.456</v>
      </c>
      <c r="S1134" t="n">
        <v>58225.808</v>
      </c>
      <c r="T1134" t="n">
        <v>21722.812</v>
      </c>
      <c r="U1134" t="n">
        <v>36684.164</v>
      </c>
      <c r="V1134" t="n">
        <v>1.00841</v>
      </c>
      <c r="W1134" t="n">
        <v>1.702942</v>
      </c>
      <c r="X1134" t="inlineStr">
        <is>
          <t>High</t>
        </is>
      </c>
      <c r="Y1134" t="inlineStr">
        <is>
          <t>None</t>
        </is>
      </c>
      <c r="Z1134" t="inlineStr">
        <is>
          <t>Valid</t>
        </is>
      </c>
      <c r="AA1134" t="n">
        <v>2037</v>
      </c>
      <c r="AB1134" t="inlineStr">
        <is>
          <t>Supplier Target Pathway</t>
        </is>
      </c>
      <c r="AC1134" t="n">
        <v>23855.8461</v>
      </c>
      <c r="AD1134" t="n">
        <v>11341.0692</v>
      </c>
      <c r="AE1134" t="n">
        <v>13317.0866</v>
      </c>
      <c r="AF1134" t="n">
        <v>13317.0866</v>
      </c>
      <c r="AG1134" t="n">
        <v>10538.7595</v>
      </c>
      <c r="AH1134" t="n">
        <v>0.00030827</v>
      </c>
      <c r="AI1134" t="n">
        <v>0.441768</v>
      </c>
      <c r="AJ1134" t="n">
        <v>1976.0174</v>
      </c>
      <c r="AK1134" t="n">
        <v>658.6725</v>
      </c>
      <c r="AL1134" t="n">
        <v>-43041.4714</v>
      </c>
      <c r="AM1134" t="n">
        <v>224498.5786</v>
      </c>
      <c r="AN1134" t="n">
        <v>0.99</v>
      </c>
      <c r="AO1134" t="inlineStr">
        <is>
          <t>High</t>
        </is>
      </c>
      <c r="AP1134" t="inlineStr">
        <is>
          <t>On Track to Glide Path</t>
        </is>
      </c>
    </row>
    <row r="1135">
      <c r="A1135" t="inlineStr">
        <is>
          <t>SUP-0071</t>
        </is>
      </c>
      <c r="B1135" t="inlineStr">
        <is>
          <t>Chemicals Supplier 071</t>
        </is>
      </c>
      <c r="C1135" t="inlineStr">
        <is>
          <t>Chemicals</t>
        </is>
      </c>
      <c r="D1135" t="n">
        <v>2024</v>
      </c>
      <c r="E1135" t="n">
        <v>2021</v>
      </c>
      <c r="F1135" t="n">
        <v>2040</v>
      </c>
      <c r="G1135" t="n">
        <v>21541.644</v>
      </c>
      <c r="H1135" t="n">
        <v>1955.2305</v>
      </c>
      <c r="I1135" t="n">
        <v>4891.8038</v>
      </c>
      <c r="J1135" t="n">
        <v>16048.01</v>
      </c>
      <c r="K1135" t="n">
        <v>43200087.82</v>
      </c>
      <c r="L1135" t="n">
        <v>123558713.2</v>
      </c>
      <c r="M1135" t="n">
        <v>21541.644</v>
      </c>
      <c r="N1135" t="inlineStr">
        <is>
          <t>Provided Total Emissions</t>
        </is>
      </c>
      <c r="O1135" t="b">
        <v>1</v>
      </c>
      <c r="P1135" t="n">
        <v>0.035299</v>
      </c>
      <c r="Q1135" t="n">
        <v>0.073533</v>
      </c>
      <c r="R1135" t="n">
        <v>43264.456</v>
      </c>
      <c r="S1135" t="n">
        <v>58225.808</v>
      </c>
      <c r="T1135" t="n">
        <v>21722.812</v>
      </c>
      <c r="U1135" t="n">
        <v>36684.164</v>
      </c>
      <c r="V1135" t="n">
        <v>1.00841</v>
      </c>
      <c r="W1135" t="n">
        <v>1.702942</v>
      </c>
      <c r="X1135" t="inlineStr">
        <is>
          <t>High</t>
        </is>
      </c>
      <c r="Y1135" t="inlineStr">
        <is>
          <t>None</t>
        </is>
      </c>
      <c r="Z1135" t="inlineStr">
        <is>
          <t>Valid</t>
        </is>
      </c>
      <c r="AA1135" t="n">
        <v>2038</v>
      </c>
      <c r="AB1135" t="inlineStr">
        <is>
          <t>Supplier Target Pathway</t>
        </is>
      </c>
      <c r="AC1135" t="n">
        <v>23855.8461</v>
      </c>
      <c r="AD1135" t="n">
        <v>11341.0692</v>
      </c>
      <c r="AE1135" t="n">
        <v>12658.4142</v>
      </c>
      <c r="AF1135" t="n">
        <v>12658.4142</v>
      </c>
      <c r="AG1135" t="n">
        <v>11197.4319</v>
      </c>
      <c r="AH1135" t="n">
        <v>0.00029302</v>
      </c>
      <c r="AI1135" t="n">
        <v>0.469379</v>
      </c>
      <c r="AJ1135" t="n">
        <v>1317.3449</v>
      </c>
      <c r="AK1135" t="n">
        <v>658.6725</v>
      </c>
      <c r="AL1135" t="n">
        <v>-55699.8856</v>
      </c>
      <c r="AM1135" t="n">
        <v>237156.9928</v>
      </c>
      <c r="AN1135" t="n">
        <v>0.99</v>
      </c>
      <c r="AO1135" t="inlineStr">
        <is>
          <t>Medium</t>
        </is>
      </c>
      <c r="AP1135" t="inlineStr">
        <is>
          <t>On Track to Glide Path</t>
        </is>
      </c>
    </row>
    <row r="1136">
      <c r="A1136" t="inlineStr">
        <is>
          <t>SUP-0071</t>
        </is>
      </c>
      <c r="B1136" t="inlineStr">
        <is>
          <t>Chemicals Supplier 071</t>
        </is>
      </c>
      <c r="C1136" t="inlineStr">
        <is>
          <t>Chemicals</t>
        </is>
      </c>
      <c r="D1136" t="n">
        <v>2024</v>
      </c>
      <c r="E1136" t="n">
        <v>2021</v>
      </c>
      <c r="F1136" t="n">
        <v>2040</v>
      </c>
      <c r="G1136" t="n">
        <v>21541.644</v>
      </c>
      <c r="H1136" t="n">
        <v>1955.2305</v>
      </c>
      <c r="I1136" t="n">
        <v>4891.8038</v>
      </c>
      <c r="J1136" t="n">
        <v>16048.01</v>
      </c>
      <c r="K1136" t="n">
        <v>43200087.82</v>
      </c>
      <c r="L1136" t="n">
        <v>123558713.2</v>
      </c>
      <c r="M1136" t="n">
        <v>21541.644</v>
      </c>
      <c r="N1136" t="inlineStr">
        <is>
          <t>Provided Total Emissions</t>
        </is>
      </c>
      <c r="O1136" t="b">
        <v>1</v>
      </c>
      <c r="P1136" t="n">
        <v>0.035299</v>
      </c>
      <c r="Q1136" t="n">
        <v>0.073533</v>
      </c>
      <c r="R1136" t="n">
        <v>43264.456</v>
      </c>
      <c r="S1136" t="n">
        <v>58225.808</v>
      </c>
      <c r="T1136" t="n">
        <v>21722.812</v>
      </c>
      <c r="U1136" t="n">
        <v>36684.164</v>
      </c>
      <c r="V1136" t="n">
        <v>1.00841</v>
      </c>
      <c r="W1136" t="n">
        <v>1.702942</v>
      </c>
      <c r="X1136" t="inlineStr">
        <is>
          <t>High</t>
        </is>
      </c>
      <c r="Y1136" t="inlineStr">
        <is>
          <t>None</t>
        </is>
      </c>
      <c r="Z1136" t="inlineStr">
        <is>
          <t>Valid</t>
        </is>
      </c>
      <c r="AA1136" t="n">
        <v>2039</v>
      </c>
      <c r="AB1136" t="inlineStr">
        <is>
          <t>Supplier Target Pathway</t>
        </is>
      </c>
      <c r="AC1136" t="n">
        <v>23855.8461</v>
      </c>
      <c r="AD1136" t="n">
        <v>11341.0692</v>
      </c>
      <c r="AE1136" t="n">
        <v>11999.7417</v>
      </c>
      <c r="AF1136" t="n">
        <v>11999.7417</v>
      </c>
      <c r="AG1136" t="n">
        <v>11856.1044</v>
      </c>
      <c r="AH1136" t="n">
        <v>0.00027777</v>
      </c>
      <c r="AI1136" t="n">
        <v>0.496989</v>
      </c>
      <c r="AJ1136" t="n">
        <v>658.6725</v>
      </c>
      <c r="AK1136" t="n">
        <v>658.6725</v>
      </c>
      <c r="AL1136" t="n">
        <v>-67699.62729999999</v>
      </c>
      <c r="AM1136" t="n">
        <v>249156.7345</v>
      </c>
      <c r="AN1136" t="n">
        <v>0.99</v>
      </c>
      <c r="AO1136" t="inlineStr">
        <is>
          <t>Medium</t>
        </is>
      </c>
      <c r="AP1136" t="inlineStr">
        <is>
          <t>On Track to Glide Path</t>
        </is>
      </c>
    </row>
    <row r="1137">
      <c r="A1137" t="inlineStr">
        <is>
          <t>SUP-0071</t>
        </is>
      </c>
      <c r="B1137" t="inlineStr">
        <is>
          <t>Chemicals Supplier 071</t>
        </is>
      </c>
      <c r="C1137" t="inlineStr">
        <is>
          <t>Chemicals</t>
        </is>
      </c>
      <c r="D1137" t="n">
        <v>2024</v>
      </c>
      <c r="E1137" t="n">
        <v>2021</v>
      </c>
      <c r="F1137" t="n">
        <v>2040</v>
      </c>
      <c r="G1137" t="n">
        <v>21541.644</v>
      </c>
      <c r="H1137" t="n">
        <v>1955.2305</v>
      </c>
      <c r="I1137" t="n">
        <v>4891.8038</v>
      </c>
      <c r="J1137" t="n">
        <v>16048.01</v>
      </c>
      <c r="K1137" t="n">
        <v>43200087.82</v>
      </c>
      <c r="L1137" t="n">
        <v>123558713.2</v>
      </c>
      <c r="M1137" t="n">
        <v>21541.644</v>
      </c>
      <c r="N1137" t="inlineStr">
        <is>
          <t>Provided Total Emissions</t>
        </is>
      </c>
      <c r="O1137" t="b">
        <v>1</v>
      </c>
      <c r="P1137" t="n">
        <v>0.035299</v>
      </c>
      <c r="Q1137" t="n">
        <v>0.073533</v>
      </c>
      <c r="R1137" t="n">
        <v>43264.456</v>
      </c>
      <c r="S1137" t="n">
        <v>58225.808</v>
      </c>
      <c r="T1137" t="n">
        <v>21722.812</v>
      </c>
      <c r="U1137" t="n">
        <v>36684.164</v>
      </c>
      <c r="V1137" t="n">
        <v>1.00841</v>
      </c>
      <c r="W1137" t="n">
        <v>1.702942</v>
      </c>
      <c r="X1137" t="inlineStr">
        <is>
          <t>High</t>
        </is>
      </c>
      <c r="Y1137" t="inlineStr">
        <is>
          <t>None</t>
        </is>
      </c>
      <c r="Z1137" t="inlineStr">
        <is>
          <t>Valid</t>
        </is>
      </c>
      <c r="AA1137" t="n">
        <v>2040</v>
      </c>
      <c r="AB1137" t="inlineStr">
        <is>
          <t>Supplier Target Pathway</t>
        </is>
      </c>
      <c r="AC1137" t="n">
        <v>23855.8461</v>
      </c>
      <c r="AD1137" t="n">
        <v>11341.0692</v>
      </c>
      <c r="AE1137" t="n">
        <v>11341.0692</v>
      </c>
      <c r="AF1137" t="n">
        <v>11341.0692</v>
      </c>
      <c r="AG1137" t="n">
        <v>12514.7769</v>
      </c>
      <c r="AH1137" t="n">
        <v>0.00026252</v>
      </c>
      <c r="AI1137" t="n">
        <v>0.5246</v>
      </c>
      <c r="AJ1137" t="n">
        <v>0</v>
      </c>
      <c r="AK1137" t="n">
        <v>658.6725</v>
      </c>
      <c r="AL1137" t="n">
        <v>-79040.69650000001</v>
      </c>
      <c r="AM1137" t="n">
        <v>260497.8037</v>
      </c>
      <c r="AN1137" t="n">
        <v>0.99</v>
      </c>
      <c r="AO1137" t="inlineStr">
        <is>
          <t>Low</t>
        </is>
      </c>
      <c r="AP1137" t="inlineStr">
        <is>
          <t>On Track</t>
        </is>
      </c>
    </row>
    <row r="1138">
      <c r="A1138" t="inlineStr">
        <is>
          <t>SUP-0072</t>
        </is>
      </c>
      <c r="B1138" t="inlineStr">
        <is>
          <t>Electronics Supplier 072</t>
        </is>
      </c>
      <c r="C1138" t="inlineStr">
        <is>
          <t>Electronics</t>
        </is>
      </c>
      <c r="D1138" t="n">
        <v>2024</v>
      </c>
      <c r="E1138" t="n">
        <v>2018</v>
      </c>
      <c r="F1138" t="n">
        <v>2040</v>
      </c>
      <c r="G1138" t="n">
        <v>13727.7422</v>
      </c>
      <c r="H1138" t="n">
        <v>3736.5444</v>
      </c>
      <c r="I1138" t="n">
        <v>2668.0744</v>
      </c>
      <c r="J1138" t="n">
        <v>6799.6499</v>
      </c>
      <c r="K1138" t="n">
        <v>22159283.79</v>
      </c>
      <c r="L1138" t="n">
        <v>64594775.65</v>
      </c>
      <c r="M1138" t="n">
        <v>13727.7422</v>
      </c>
      <c r="N1138" t="inlineStr">
        <is>
          <t>Provided Total Emissions</t>
        </is>
      </c>
      <c r="O1138" t="b">
        <v>1</v>
      </c>
      <c r="P1138" t="n">
        <v>0.015118</v>
      </c>
      <c r="Q1138" t="n">
        <v>0.086455</v>
      </c>
      <c r="R1138" t="n">
        <v>19080.2513</v>
      </c>
      <c r="S1138" t="n">
        <v>9009.0334</v>
      </c>
      <c r="T1138" t="n">
        <v>5352.5091</v>
      </c>
      <c r="U1138" t="n">
        <v>-4718.7088</v>
      </c>
      <c r="V1138" t="n">
        <v>0.389905</v>
      </c>
      <c r="W1138" t="n">
        <v>-0.343735</v>
      </c>
      <c r="X1138" t="inlineStr">
        <is>
          <t>High</t>
        </is>
      </c>
      <c r="Y1138" t="inlineStr">
        <is>
          <t>None</t>
        </is>
      </c>
      <c r="Z1138" t="inlineStr">
        <is>
          <t>Valid</t>
        </is>
      </c>
      <c r="AA1138" t="n">
        <v>2025</v>
      </c>
      <c r="AB1138" t="inlineStr">
        <is>
          <t>Supplier Target Pathway</t>
        </is>
      </c>
      <c r="AC1138" t="n">
        <v>10423.0333</v>
      </c>
      <c r="AD1138" t="n">
        <v>4454.8044</v>
      </c>
      <c r="AE1138" t="n">
        <v>8524.0514</v>
      </c>
      <c r="AF1138" t="n">
        <v>8524.0514</v>
      </c>
      <c r="AG1138" t="n">
        <v>1898.9819</v>
      </c>
      <c r="AH1138" t="n">
        <v>0.00038467</v>
      </c>
      <c r="AI1138" t="n">
        <v>0.182191</v>
      </c>
      <c r="AJ1138" t="n">
        <v>4069.247</v>
      </c>
      <c r="AK1138" t="n">
        <v>271.2831</v>
      </c>
      <c r="AL1138" t="n">
        <v>62752.819</v>
      </c>
      <c r="AM1138" t="n">
        <v>8524.0514</v>
      </c>
      <c r="AN1138" t="n">
        <v>0.99</v>
      </c>
      <c r="AO1138" t="inlineStr">
        <is>
          <t>Critical</t>
        </is>
      </c>
      <c r="AP1138" t="inlineStr">
        <is>
          <t>On Track to Glide Path</t>
        </is>
      </c>
    </row>
    <row r="1139">
      <c r="A1139" t="inlineStr">
        <is>
          <t>SUP-0072</t>
        </is>
      </c>
      <c r="B1139" t="inlineStr">
        <is>
          <t>Electronics Supplier 072</t>
        </is>
      </c>
      <c r="C1139" t="inlineStr">
        <is>
          <t>Electronics</t>
        </is>
      </c>
      <c r="D1139" t="n">
        <v>2024</v>
      </c>
      <c r="E1139" t="n">
        <v>2018</v>
      </c>
      <c r="F1139" t="n">
        <v>2040</v>
      </c>
      <c r="G1139" t="n">
        <v>13727.7422</v>
      </c>
      <c r="H1139" t="n">
        <v>3736.5444</v>
      </c>
      <c r="I1139" t="n">
        <v>2668.0744</v>
      </c>
      <c r="J1139" t="n">
        <v>6799.6499</v>
      </c>
      <c r="K1139" t="n">
        <v>22159283.79</v>
      </c>
      <c r="L1139" t="n">
        <v>64594775.65</v>
      </c>
      <c r="M1139" t="n">
        <v>13727.7422</v>
      </c>
      <c r="N1139" t="inlineStr">
        <is>
          <t>Provided Total Emissions</t>
        </is>
      </c>
      <c r="O1139" t="b">
        <v>1</v>
      </c>
      <c r="P1139" t="n">
        <v>0.015118</v>
      </c>
      <c r="Q1139" t="n">
        <v>0.086455</v>
      </c>
      <c r="R1139" t="n">
        <v>19080.2513</v>
      </c>
      <c r="S1139" t="n">
        <v>9009.0334</v>
      </c>
      <c r="T1139" t="n">
        <v>5352.5091</v>
      </c>
      <c r="U1139" t="n">
        <v>-4718.7088</v>
      </c>
      <c r="V1139" t="n">
        <v>0.389905</v>
      </c>
      <c r="W1139" t="n">
        <v>-0.343735</v>
      </c>
      <c r="X1139" t="inlineStr">
        <is>
          <t>High</t>
        </is>
      </c>
      <c r="Y1139" t="inlineStr">
        <is>
          <t>None</t>
        </is>
      </c>
      <c r="Z1139" t="inlineStr">
        <is>
          <t>Valid</t>
        </is>
      </c>
      <c r="AA1139" t="n">
        <v>2026</v>
      </c>
      <c r="AB1139" t="inlineStr">
        <is>
          <t>Supplier Target Pathway</t>
        </is>
      </c>
      <c r="AC1139" t="n">
        <v>10423.0333</v>
      </c>
      <c r="AD1139" t="n">
        <v>4454.8044</v>
      </c>
      <c r="AE1139" t="n">
        <v>8252.7683</v>
      </c>
      <c r="AF1139" t="n">
        <v>8252.7683</v>
      </c>
      <c r="AG1139" t="n">
        <v>2170.265</v>
      </c>
      <c r="AH1139" t="n">
        <v>0.00037243</v>
      </c>
      <c r="AI1139" t="n">
        <v>0.208218</v>
      </c>
      <c r="AJ1139" t="n">
        <v>3797.9638</v>
      </c>
      <c r="AK1139" t="n">
        <v>271.2831</v>
      </c>
      <c r="AL1139" t="n">
        <v>54500.0507</v>
      </c>
      <c r="AM1139" t="n">
        <v>16776.8197</v>
      </c>
      <c r="AN1139" t="n">
        <v>0.99</v>
      </c>
      <c r="AO1139" t="inlineStr">
        <is>
          <t>Critical</t>
        </is>
      </c>
      <c r="AP1139" t="inlineStr">
        <is>
          <t>On Track to Glide Path</t>
        </is>
      </c>
    </row>
    <row r="1140">
      <c r="A1140" t="inlineStr">
        <is>
          <t>SUP-0072</t>
        </is>
      </c>
      <c r="B1140" t="inlineStr">
        <is>
          <t>Electronics Supplier 072</t>
        </is>
      </c>
      <c r="C1140" t="inlineStr">
        <is>
          <t>Electronics</t>
        </is>
      </c>
      <c r="D1140" t="n">
        <v>2024</v>
      </c>
      <c r="E1140" t="n">
        <v>2018</v>
      </c>
      <c r="F1140" t="n">
        <v>2040</v>
      </c>
      <c r="G1140" t="n">
        <v>13727.7422</v>
      </c>
      <c r="H1140" t="n">
        <v>3736.5444</v>
      </c>
      <c r="I1140" t="n">
        <v>2668.0744</v>
      </c>
      <c r="J1140" t="n">
        <v>6799.6499</v>
      </c>
      <c r="K1140" t="n">
        <v>22159283.79</v>
      </c>
      <c r="L1140" t="n">
        <v>64594775.65</v>
      </c>
      <c r="M1140" t="n">
        <v>13727.7422</v>
      </c>
      <c r="N1140" t="inlineStr">
        <is>
          <t>Provided Total Emissions</t>
        </is>
      </c>
      <c r="O1140" t="b">
        <v>1</v>
      </c>
      <c r="P1140" t="n">
        <v>0.015118</v>
      </c>
      <c r="Q1140" t="n">
        <v>0.086455</v>
      </c>
      <c r="R1140" t="n">
        <v>19080.2513</v>
      </c>
      <c r="S1140" t="n">
        <v>9009.0334</v>
      </c>
      <c r="T1140" t="n">
        <v>5352.5091</v>
      </c>
      <c r="U1140" t="n">
        <v>-4718.7088</v>
      </c>
      <c r="V1140" t="n">
        <v>0.389905</v>
      </c>
      <c r="W1140" t="n">
        <v>-0.343735</v>
      </c>
      <c r="X1140" t="inlineStr">
        <is>
          <t>High</t>
        </is>
      </c>
      <c r="Y1140" t="inlineStr">
        <is>
          <t>None</t>
        </is>
      </c>
      <c r="Z1140" t="inlineStr">
        <is>
          <t>Valid</t>
        </is>
      </c>
      <c r="AA1140" t="n">
        <v>2027</v>
      </c>
      <c r="AB1140" t="inlineStr">
        <is>
          <t>Supplier Target Pathway</t>
        </is>
      </c>
      <c r="AC1140" t="n">
        <v>10423.0333</v>
      </c>
      <c r="AD1140" t="n">
        <v>4454.8044</v>
      </c>
      <c r="AE1140" t="n">
        <v>7981.4851</v>
      </c>
      <c r="AF1140" t="n">
        <v>7981.4851</v>
      </c>
      <c r="AG1140" t="n">
        <v>2441.5482</v>
      </c>
      <c r="AH1140" t="n">
        <v>0.00036019</v>
      </c>
      <c r="AI1140" t="n">
        <v>0.234245</v>
      </c>
      <c r="AJ1140" t="n">
        <v>3526.6807</v>
      </c>
      <c r="AK1140" t="n">
        <v>271.2831</v>
      </c>
      <c r="AL1140" t="n">
        <v>46518.5656</v>
      </c>
      <c r="AM1140" t="n">
        <v>24758.3048</v>
      </c>
      <c r="AN1140" t="n">
        <v>0.99</v>
      </c>
      <c r="AO1140" t="inlineStr">
        <is>
          <t>Critical</t>
        </is>
      </c>
      <c r="AP1140" t="inlineStr">
        <is>
          <t>On Track to Glide Path</t>
        </is>
      </c>
    </row>
    <row r="1141">
      <c r="A1141" t="inlineStr">
        <is>
          <t>SUP-0072</t>
        </is>
      </c>
      <c r="B1141" t="inlineStr">
        <is>
          <t>Electronics Supplier 072</t>
        </is>
      </c>
      <c r="C1141" t="inlineStr">
        <is>
          <t>Electronics</t>
        </is>
      </c>
      <c r="D1141" t="n">
        <v>2024</v>
      </c>
      <c r="E1141" t="n">
        <v>2018</v>
      </c>
      <c r="F1141" t="n">
        <v>2040</v>
      </c>
      <c r="G1141" t="n">
        <v>13727.7422</v>
      </c>
      <c r="H1141" t="n">
        <v>3736.5444</v>
      </c>
      <c r="I1141" t="n">
        <v>2668.0744</v>
      </c>
      <c r="J1141" t="n">
        <v>6799.6499</v>
      </c>
      <c r="K1141" t="n">
        <v>22159283.79</v>
      </c>
      <c r="L1141" t="n">
        <v>64594775.65</v>
      </c>
      <c r="M1141" t="n">
        <v>13727.7422</v>
      </c>
      <c r="N1141" t="inlineStr">
        <is>
          <t>Provided Total Emissions</t>
        </is>
      </c>
      <c r="O1141" t="b">
        <v>1</v>
      </c>
      <c r="P1141" t="n">
        <v>0.015118</v>
      </c>
      <c r="Q1141" t="n">
        <v>0.086455</v>
      </c>
      <c r="R1141" t="n">
        <v>19080.2513</v>
      </c>
      <c r="S1141" t="n">
        <v>9009.0334</v>
      </c>
      <c r="T1141" t="n">
        <v>5352.5091</v>
      </c>
      <c r="U1141" t="n">
        <v>-4718.7088</v>
      </c>
      <c r="V1141" t="n">
        <v>0.389905</v>
      </c>
      <c r="W1141" t="n">
        <v>-0.343735</v>
      </c>
      <c r="X1141" t="inlineStr">
        <is>
          <t>High</t>
        </is>
      </c>
      <c r="Y1141" t="inlineStr">
        <is>
          <t>None</t>
        </is>
      </c>
      <c r="Z1141" t="inlineStr">
        <is>
          <t>Valid</t>
        </is>
      </c>
      <c r="AA1141" t="n">
        <v>2028</v>
      </c>
      <c r="AB1141" t="inlineStr">
        <is>
          <t>Supplier Target Pathway</t>
        </is>
      </c>
      <c r="AC1141" t="n">
        <v>10423.0333</v>
      </c>
      <c r="AD1141" t="n">
        <v>4454.8044</v>
      </c>
      <c r="AE1141" t="n">
        <v>7710.202</v>
      </c>
      <c r="AF1141" t="n">
        <v>7710.202</v>
      </c>
      <c r="AG1141" t="n">
        <v>2712.8313</v>
      </c>
      <c r="AH1141" t="n">
        <v>0.00034794</v>
      </c>
      <c r="AI1141" t="n">
        <v>0.260273</v>
      </c>
      <c r="AJ1141" t="n">
        <v>3255.3976</v>
      </c>
      <c r="AK1141" t="n">
        <v>271.2831</v>
      </c>
      <c r="AL1141" t="n">
        <v>38808.3636</v>
      </c>
      <c r="AM1141" t="n">
        <v>32468.5068</v>
      </c>
      <c r="AN1141" t="n">
        <v>0.99</v>
      </c>
      <c r="AO1141" t="inlineStr">
        <is>
          <t>Critical</t>
        </is>
      </c>
      <c r="AP1141" t="inlineStr">
        <is>
          <t>On Track to Glide Path</t>
        </is>
      </c>
    </row>
    <row r="1142">
      <c r="A1142" t="inlineStr">
        <is>
          <t>SUP-0072</t>
        </is>
      </c>
      <c r="B1142" t="inlineStr">
        <is>
          <t>Electronics Supplier 072</t>
        </is>
      </c>
      <c r="C1142" t="inlineStr">
        <is>
          <t>Electronics</t>
        </is>
      </c>
      <c r="D1142" t="n">
        <v>2024</v>
      </c>
      <c r="E1142" t="n">
        <v>2018</v>
      </c>
      <c r="F1142" t="n">
        <v>2040</v>
      </c>
      <c r="G1142" t="n">
        <v>13727.7422</v>
      </c>
      <c r="H1142" t="n">
        <v>3736.5444</v>
      </c>
      <c r="I1142" t="n">
        <v>2668.0744</v>
      </c>
      <c r="J1142" t="n">
        <v>6799.6499</v>
      </c>
      <c r="K1142" t="n">
        <v>22159283.79</v>
      </c>
      <c r="L1142" t="n">
        <v>64594775.65</v>
      </c>
      <c r="M1142" t="n">
        <v>13727.7422</v>
      </c>
      <c r="N1142" t="inlineStr">
        <is>
          <t>Provided Total Emissions</t>
        </is>
      </c>
      <c r="O1142" t="b">
        <v>1</v>
      </c>
      <c r="P1142" t="n">
        <v>0.015118</v>
      </c>
      <c r="Q1142" t="n">
        <v>0.086455</v>
      </c>
      <c r="R1142" t="n">
        <v>19080.2513</v>
      </c>
      <c r="S1142" t="n">
        <v>9009.0334</v>
      </c>
      <c r="T1142" t="n">
        <v>5352.5091</v>
      </c>
      <c r="U1142" t="n">
        <v>-4718.7088</v>
      </c>
      <c r="V1142" t="n">
        <v>0.389905</v>
      </c>
      <c r="W1142" t="n">
        <v>-0.343735</v>
      </c>
      <c r="X1142" t="inlineStr">
        <is>
          <t>High</t>
        </is>
      </c>
      <c r="Y1142" t="inlineStr">
        <is>
          <t>None</t>
        </is>
      </c>
      <c r="Z1142" t="inlineStr">
        <is>
          <t>Valid</t>
        </is>
      </c>
      <c r="AA1142" t="n">
        <v>2029</v>
      </c>
      <c r="AB1142" t="inlineStr">
        <is>
          <t>Supplier Target Pathway</t>
        </is>
      </c>
      <c r="AC1142" t="n">
        <v>10423.0333</v>
      </c>
      <c r="AD1142" t="n">
        <v>4454.8044</v>
      </c>
      <c r="AE1142" t="n">
        <v>7438.9189</v>
      </c>
      <c r="AF1142" t="n">
        <v>7438.9189</v>
      </c>
      <c r="AG1142" t="n">
        <v>2984.1144</v>
      </c>
      <c r="AH1142" t="n">
        <v>0.0003357</v>
      </c>
      <c r="AI1142" t="n">
        <v>0.2863</v>
      </c>
      <c r="AJ1142" t="n">
        <v>2984.1144</v>
      </c>
      <c r="AK1142" t="n">
        <v>271.2831</v>
      </c>
      <c r="AL1142" t="n">
        <v>31369.4447</v>
      </c>
      <c r="AM1142" t="n">
        <v>39907.4257</v>
      </c>
      <c r="AN1142" t="n">
        <v>0.99</v>
      </c>
      <c r="AO1142" t="inlineStr">
        <is>
          <t>Critical</t>
        </is>
      </c>
      <c r="AP1142" t="inlineStr">
        <is>
          <t>On Track to Glide Path</t>
        </is>
      </c>
    </row>
    <row r="1143">
      <c r="A1143" t="inlineStr">
        <is>
          <t>SUP-0072</t>
        </is>
      </c>
      <c r="B1143" t="inlineStr">
        <is>
          <t>Electronics Supplier 072</t>
        </is>
      </c>
      <c r="C1143" t="inlineStr">
        <is>
          <t>Electronics</t>
        </is>
      </c>
      <c r="D1143" t="n">
        <v>2024</v>
      </c>
      <c r="E1143" t="n">
        <v>2018</v>
      </c>
      <c r="F1143" t="n">
        <v>2040</v>
      </c>
      <c r="G1143" t="n">
        <v>13727.7422</v>
      </c>
      <c r="H1143" t="n">
        <v>3736.5444</v>
      </c>
      <c r="I1143" t="n">
        <v>2668.0744</v>
      </c>
      <c r="J1143" t="n">
        <v>6799.6499</v>
      </c>
      <c r="K1143" t="n">
        <v>22159283.79</v>
      </c>
      <c r="L1143" t="n">
        <v>64594775.65</v>
      </c>
      <c r="M1143" t="n">
        <v>13727.7422</v>
      </c>
      <c r="N1143" t="inlineStr">
        <is>
          <t>Provided Total Emissions</t>
        </is>
      </c>
      <c r="O1143" t="b">
        <v>1</v>
      </c>
      <c r="P1143" t="n">
        <v>0.015118</v>
      </c>
      <c r="Q1143" t="n">
        <v>0.086455</v>
      </c>
      <c r="R1143" t="n">
        <v>19080.2513</v>
      </c>
      <c r="S1143" t="n">
        <v>9009.0334</v>
      </c>
      <c r="T1143" t="n">
        <v>5352.5091</v>
      </c>
      <c r="U1143" t="n">
        <v>-4718.7088</v>
      </c>
      <c r="V1143" t="n">
        <v>0.389905</v>
      </c>
      <c r="W1143" t="n">
        <v>-0.343735</v>
      </c>
      <c r="X1143" t="inlineStr">
        <is>
          <t>High</t>
        </is>
      </c>
      <c r="Y1143" t="inlineStr">
        <is>
          <t>None</t>
        </is>
      </c>
      <c r="Z1143" t="inlineStr">
        <is>
          <t>Valid</t>
        </is>
      </c>
      <c r="AA1143" t="n">
        <v>2030</v>
      </c>
      <c r="AB1143" t="inlineStr">
        <is>
          <t>Supplier Target Pathway</t>
        </is>
      </c>
      <c r="AC1143" t="n">
        <v>10423.0333</v>
      </c>
      <c r="AD1143" t="n">
        <v>4454.8044</v>
      </c>
      <c r="AE1143" t="n">
        <v>7167.6357</v>
      </c>
      <c r="AF1143" t="n">
        <v>7167.6357</v>
      </c>
      <c r="AG1143" t="n">
        <v>3255.3976</v>
      </c>
      <c r="AH1143" t="n">
        <v>0.00032346</v>
      </c>
      <c r="AI1143" t="n">
        <v>0.312327</v>
      </c>
      <c r="AJ1143" t="n">
        <v>2712.8313</v>
      </c>
      <c r="AK1143" t="n">
        <v>271.2831</v>
      </c>
      <c r="AL1143" t="n">
        <v>24201.809</v>
      </c>
      <c r="AM1143" t="n">
        <v>47075.0614</v>
      </c>
      <c r="AN1143" t="n">
        <v>0.99</v>
      </c>
      <c r="AO1143" t="inlineStr">
        <is>
          <t>Critical</t>
        </is>
      </c>
      <c r="AP1143" t="inlineStr">
        <is>
          <t>On Track to Glide Path</t>
        </is>
      </c>
    </row>
    <row r="1144">
      <c r="A1144" t="inlineStr">
        <is>
          <t>SUP-0072</t>
        </is>
      </c>
      <c r="B1144" t="inlineStr">
        <is>
          <t>Electronics Supplier 072</t>
        </is>
      </c>
      <c r="C1144" t="inlineStr">
        <is>
          <t>Electronics</t>
        </is>
      </c>
      <c r="D1144" t="n">
        <v>2024</v>
      </c>
      <c r="E1144" t="n">
        <v>2018</v>
      </c>
      <c r="F1144" t="n">
        <v>2040</v>
      </c>
      <c r="G1144" t="n">
        <v>13727.7422</v>
      </c>
      <c r="H1144" t="n">
        <v>3736.5444</v>
      </c>
      <c r="I1144" t="n">
        <v>2668.0744</v>
      </c>
      <c r="J1144" t="n">
        <v>6799.6499</v>
      </c>
      <c r="K1144" t="n">
        <v>22159283.79</v>
      </c>
      <c r="L1144" t="n">
        <v>64594775.65</v>
      </c>
      <c r="M1144" t="n">
        <v>13727.7422</v>
      </c>
      <c r="N1144" t="inlineStr">
        <is>
          <t>Provided Total Emissions</t>
        </is>
      </c>
      <c r="O1144" t="b">
        <v>1</v>
      </c>
      <c r="P1144" t="n">
        <v>0.015118</v>
      </c>
      <c r="Q1144" t="n">
        <v>0.086455</v>
      </c>
      <c r="R1144" t="n">
        <v>19080.2513</v>
      </c>
      <c r="S1144" t="n">
        <v>9009.0334</v>
      </c>
      <c r="T1144" t="n">
        <v>5352.5091</v>
      </c>
      <c r="U1144" t="n">
        <v>-4718.7088</v>
      </c>
      <c r="V1144" t="n">
        <v>0.389905</v>
      </c>
      <c r="W1144" t="n">
        <v>-0.343735</v>
      </c>
      <c r="X1144" t="inlineStr">
        <is>
          <t>High</t>
        </is>
      </c>
      <c r="Y1144" t="inlineStr">
        <is>
          <t>None</t>
        </is>
      </c>
      <c r="Z1144" t="inlineStr">
        <is>
          <t>Valid</t>
        </is>
      </c>
      <c r="AA1144" t="n">
        <v>2031</v>
      </c>
      <c r="AB1144" t="inlineStr">
        <is>
          <t>Supplier Target Pathway</t>
        </is>
      </c>
      <c r="AC1144" t="n">
        <v>10423.0333</v>
      </c>
      <c r="AD1144" t="n">
        <v>4454.8044</v>
      </c>
      <c r="AE1144" t="n">
        <v>6896.3526</v>
      </c>
      <c r="AF1144" t="n">
        <v>6896.3526</v>
      </c>
      <c r="AG1144" t="n">
        <v>3526.6807</v>
      </c>
      <c r="AH1144" t="n">
        <v>0.00031122</v>
      </c>
      <c r="AI1144" t="n">
        <v>0.338355</v>
      </c>
      <c r="AJ1144" t="n">
        <v>2441.5482</v>
      </c>
      <c r="AK1144" t="n">
        <v>271.2831</v>
      </c>
      <c r="AL1144" t="n">
        <v>17305.4564</v>
      </c>
      <c r="AM1144" t="n">
        <v>53971.414</v>
      </c>
      <c r="AN1144" t="n">
        <v>0.99</v>
      </c>
      <c r="AO1144" t="inlineStr">
        <is>
          <t>Critical</t>
        </is>
      </c>
      <c r="AP1144" t="inlineStr">
        <is>
          <t>On Track to Glide Path</t>
        </is>
      </c>
    </row>
    <row r="1145">
      <c r="A1145" t="inlineStr">
        <is>
          <t>SUP-0072</t>
        </is>
      </c>
      <c r="B1145" t="inlineStr">
        <is>
          <t>Electronics Supplier 072</t>
        </is>
      </c>
      <c r="C1145" t="inlineStr">
        <is>
          <t>Electronics</t>
        </is>
      </c>
      <c r="D1145" t="n">
        <v>2024</v>
      </c>
      <c r="E1145" t="n">
        <v>2018</v>
      </c>
      <c r="F1145" t="n">
        <v>2040</v>
      </c>
      <c r="G1145" t="n">
        <v>13727.7422</v>
      </c>
      <c r="H1145" t="n">
        <v>3736.5444</v>
      </c>
      <c r="I1145" t="n">
        <v>2668.0744</v>
      </c>
      <c r="J1145" t="n">
        <v>6799.6499</v>
      </c>
      <c r="K1145" t="n">
        <v>22159283.79</v>
      </c>
      <c r="L1145" t="n">
        <v>64594775.65</v>
      </c>
      <c r="M1145" t="n">
        <v>13727.7422</v>
      </c>
      <c r="N1145" t="inlineStr">
        <is>
          <t>Provided Total Emissions</t>
        </is>
      </c>
      <c r="O1145" t="b">
        <v>1</v>
      </c>
      <c r="P1145" t="n">
        <v>0.015118</v>
      </c>
      <c r="Q1145" t="n">
        <v>0.086455</v>
      </c>
      <c r="R1145" t="n">
        <v>19080.2513</v>
      </c>
      <c r="S1145" t="n">
        <v>9009.0334</v>
      </c>
      <c r="T1145" t="n">
        <v>5352.5091</v>
      </c>
      <c r="U1145" t="n">
        <v>-4718.7088</v>
      </c>
      <c r="V1145" t="n">
        <v>0.389905</v>
      </c>
      <c r="W1145" t="n">
        <v>-0.343735</v>
      </c>
      <c r="X1145" t="inlineStr">
        <is>
          <t>High</t>
        </is>
      </c>
      <c r="Y1145" t="inlineStr">
        <is>
          <t>None</t>
        </is>
      </c>
      <c r="Z1145" t="inlineStr">
        <is>
          <t>Valid</t>
        </is>
      </c>
      <c r="AA1145" t="n">
        <v>2032</v>
      </c>
      <c r="AB1145" t="inlineStr">
        <is>
          <t>Supplier Target Pathway</t>
        </is>
      </c>
      <c r="AC1145" t="n">
        <v>10423.0333</v>
      </c>
      <c r="AD1145" t="n">
        <v>4454.8044</v>
      </c>
      <c r="AE1145" t="n">
        <v>6625.0695</v>
      </c>
      <c r="AF1145" t="n">
        <v>6625.0695</v>
      </c>
      <c r="AG1145" t="n">
        <v>3797.9638</v>
      </c>
      <c r="AH1145" t="n">
        <v>0.00029897</v>
      </c>
      <c r="AI1145" t="n">
        <v>0.364382</v>
      </c>
      <c r="AJ1145" t="n">
        <v>2170.265</v>
      </c>
      <c r="AK1145" t="n">
        <v>271.2831</v>
      </c>
      <c r="AL1145" t="n">
        <v>10680.3869</v>
      </c>
      <c r="AM1145" t="n">
        <v>60596.4835</v>
      </c>
      <c r="AN1145" t="n">
        <v>0.99</v>
      </c>
      <c r="AO1145" t="inlineStr">
        <is>
          <t>Critical</t>
        </is>
      </c>
      <c r="AP1145" t="inlineStr">
        <is>
          <t>On Track to Glide Path</t>
        </is>
      </c>
    </row>
    <row r="1146">
      <c r="A1146" t="inlineStr">
        <is>
          <t>SUP-0072</t>
        </is>
      </c>
      <c r="B1146" t="inlineStr">
        <is>
          <t>Electronics Supplier 072</t>
        </is>
      </c>
      <c r="C1146" t="inlineStr">
        <is>
          <t>Electronics</t>
        </is>
      </c>
      <c r="D1146" t="n">
        <v>2024</v>
      </c>
      <c r="E1146" t="n">
        <v>2018</v>
      </c>
      <c r="F1146" t="n">
        <v>2040</v>
      </c>
      <c r="G1146" t="n">
        <v>13727.7422</v>
      </c>
      <c r="H1146" t="n">
        <v>3736.5444</v>
      </c>
      <c r="I1146" t="n">
        <v>2668.0744</v>
      </c>
      <c r="J1146" t="n">
        <v>6799.6499</v>
      </c>
      <c r="K1146" t="n">
        <v>22159283.79</v>
      </c>
      <c r="L1146" t="n">
        <v>64594775.65</v>
      </c>
      <c r="M1146" t="n">
        <v>13727.7422</v>
      </c>
      <c r="N1146" t="inlineStr">
        <is>
          <t>Provided Total Emissions</t>
        </is>
      </c>
      <c r="O1146" t="b">
        <v>1</v>
      </c>
      <c r="P1146" t="n">
        <v>0.015118</v>
      </c>
      <c r="Q1146" t="n">
        <v>0.086455</v>
      </c>
      <c r="R1146" t="n">
        <v>19080.2513</v>
      </c>
      <c r="S1146" t="n">
        <v>9009.0334</v>
      </c>
      <c r="T1146" t="n">
        <v>5352.5091</v>
      </c>
      <c r="U1146" t="n">
        <v>-4718.7088</v>
      </c>
      <c r="V1146" t="n">
        <v>0.389905</v>
      </c>
      <c r="W1146" t="n">
        <v>-0.343735</v>
      </c>
      <c r="X1146" t="inlineStr">
        <is>
          <t>High</t>
        </is>
      </c>
      <c r="Y1146" t="inlineStr">
        <is>
          <t>None</t>
        </is>
      </c>
      <c r="Z1146" t="inlineStr">
        <is>
          <t>Valid</t>
        </is>
      </c>
      <c r="AA1146" t="n">
        <v>2033</v>
      </c>
      <c r="AB1146" t="inlineStr">
        <is>
          <t>Supplier Target Pathway</t>
        </is>
      </c>
      <c r="AC1146" t="n">
        <v>10423.0333</v>
      </c>
      <c r="AD1146" t="n">
        <v>4454.8044</v>
      </c>
      <c r="AE1146" t="n">
        <v>6353.7863</v>
      </c>
      <c r="AF1146" t="n">
        <v>6353.7863</v>
      </c>
      <c r="AG1146" t="n">
        <v>4069.247</v>
      </c>
      <c r="AH1146" t="n">
        <v>0.00028673</v>
      </c>
      <c r="AI1146" t="n">
        <v>0.390409</v>
      </c>
      <c r="AJ1146" t="n">
        <v>1898.9819</v>
      </c>
      <c r="AK1146" t="n">
        <v>271.2831</v>
      </c>
      <c r="AL1146" t="n">
        <v>4326.6006</v>
      </c>
      <c r="AM1146" t="n">
        <v>66950.26979999999</v>
      </c>
      <c r="AN1146" t="n">
        <v>0.99</v>
      </c>
      <c r="AO1146" t="inlineStr">
        <is>
          <t>Critical</t>
        </is>
      </c>
      <c r="AP1146" t="inlineStr">
        <is>
          <t>On Track to Glide Path</t>
        </is>
      </c>
    </row>
    <row r="1147">
      <c r="A1147" t="inlineStr">
        <is>
          <t>SUP-0072</t>
        </is>
      </c>
      <c r="B1147" t="inlineStr">
        <is>
          <t>Electronics Supplier 072</t>
        </is>
      </c>
      <c r="C1147" t="inlineStr">
        <is>
          <t>Electronics</t>
        </is>
      </c>
      <c r="D1147" t="n">
        <v>2024</v>
      </c>
      <c r="E1147" t="n">
        <v>2018</v>
      </c>
      <c r="F1147" t="n">
        <v>2040</v>
      </c>
      <c r="G1147" t="n">
        <v>13727.7422</v>
      </c>
      <c r="H1147" t="n">
        <v>3736.5444</v>
      </c>
      <c r="I1147" t="n">
        <v>2668.0744</v>
      </c>
      <c r="J1147" t="n">
        <v>6799.6499</v>
      </c>
      <c r="K1147" t="n">
        <v>22159283.79</v>
      </c>
      <c r="L1147" t="n">
        <v>64594775.65</v>
      </c>
      <c r="M1147" t="n">
        <v>13727.7422</v>
      </c>
      <c r="N1147" t="inlineStr">
        <is>
          <t>Provided Total Emissions</t>
        </is>
      </c>
      <c r="O1147" t="b">
        <v>1</v>
      </c>
      <c r="P1147" t="n">
        <v>0.015118</v>
      </c>
      <c r="Q1147" t="n">
        <v>0.086455</v>
      </c>
      <c r="R1147" t="n">
        <v>19080.2513</v>
      </c>
      <c r="S1147" t="n">
        <v>9009.0334</v>
      </c>
      <c r="T1147" t="n">
        <v>5352.5091</v>
      </c>
      <c r="U1147" t="n">
        <v>-4718.7088</v>
      </c>
      <c r="V1147" t="n">
        <v>0.389905</v>
      </c>
      <c r="W1147" t="n">
        <v>-0.343735</v>
      </c>
      <c r="X1147" t="inlineStr">
        <is>
          <t>High</t>
        </is>
      </c>
      <c r="Y1147" t="inlineStr">
        <is>
          <t>None</t>
        </is>
      </c>
      <c r="Z1147" t="inlineStr">
        <is>
          <t>Valid</t>
        </is>
      </c>
      <c r="AA1147" t="n">
        <v>2034</v>
      </c>
      <c r="AB1147" t="inlineStr">
        <is>
          <t>Supplier Target Pathway</t>
        </is>
      </c>
      <c r="AC1147" t="n">
        <v>10423.0333</v>
      </c>
      <c r="AD1147" t="n">
        <v>4454.8044</v>
      </c>
      <c r="AE1147" t="n">
        <v>6082.5032</v>
      </c>
      <c r="AF1147" t="n">
        <v>6082.5032</v>
      </c>
      <c r="AG1147" t="n">
        <v>4340.5301</v>
      </c>
      <c r="AH1147" t="n">
        <v>0.00027449</v>
      </c>
      <c r="AI1147" t="n">
        <v>0.416436</v>
      </c>
      <c r="AJ1147" t="n">
        <v>1627.6988</v>
      </c>
      <c r="AK1147" t="n">
        <v>271.2831</v>
      </c>
      <c r="AL1147" t="n">
        <v>-1755.9026</v>
      </c>
      <c r="AM1147" t="n">
        <v>73032.773</v>
      </c>
      <c r="AN1147" t="n">
        <v>0.99</v>
      </c>
      <c r="AO1147" t="inlineStr">
        <is>
          <t>Critical</t>
        </is>
      </c>
      <c r="AP1147" t="inlineStr">
        <is>
          <t>On Track to Glide Path</t>
        </is>
      </c>
    </row>
    <row r="1148">
      <c r="A1148" t="inlineStr">
        <is>
          <t>SUP-0072</t>
        </is>
      </c>
      <c r="B1148" t="inlineStr">
        <is>
          <t>Electronics Supplier 072</t>
        </is>
      </c>
      <c r="C1148" t="inlineStr">
        <is>
          <t>Electronics</t>
        </is>
      </c>
      <c r="D1148" t="n">
        <v>2024</v>
      </c>
      <c r="E1148" t="n">
        <v>2018</v>
      </c>
      <c r="F1148" t="n">
        <v>2040</v>
      </c>
      <c r="G1148" t="n">
        <v>13727.7422</v>
      </c>
      <c r="H1148" t="n">
        <v>3736.5444</v>
      </c>
      <c r="I1148" t="n">
        <v>2668.0744</v>
      </c>
      <c r="J1148" t="n">
        <v>6799.6499</v>
      </c>
      <c r="K1148" t="n">
        <v>22159283.79</v>
      </c>
      <c r="L1148" t="n">
        <v>64594775.65</v>
      </c>
      <c r="M1148" t="n">
        <v>13727.7422</v>
      </c>
      <c r="N1148" t="inlineStr">
        <is>
          <t>Provided Total Emissions</t>
        </is>
      </c>
      <c r="O1148" t="b">
        <v>1</v>
      </c>
      <c r="P1148" t="n">
        <v>0.015118</v>
      </c>
      <c r="Q1148" t="n">
        <v>0.086455</v>
      </c>
      <c r="R1148" t="n">
        <v>19080.2513</v>
      </c>
      <c r="S1148" t="n">
        <v>9009.0334</v>
      </c>
      <c r="T1148" t="n">
        <v>5352.5091</v>
      </c>
      <c r="U1148" t="n">
        <v>-4718.7088</v>
      </c>
      <c r="V1148" t="n">
        <v>0.389905</v>
      </c>
      <c r="W1148" t="n">
        <v>-0.343735</v>
      </c>
      <c r="X1148" t="inlineStr">
        <is>
          <t>High</t>
        </is>
      </c>
      <c r="Y1148" t="inlineStr">
        <is>
          <t>None</t>
        </is>
      </c>
      <c r="Z1148" t="inlineStr">
        <is>
          <t>Valid</t>
        </is>
      </c>
      <c r="AA1148" t="n">
        <v>2035</v>
      </c>
      <c r="AB1148" t="inlineStr">
        <is>
          <t>Supplier Target Pathway</t>
        </is>
      </c>
      <c r="AC1148" t="n">
        <v>10423.0333</v>
      </c>
      <c r="AD1148" t="n">
        <v>4454.8044</v>
      </c>
      <c r="AE1148" t="n">
        <v>5811.2201</v>
      </c>
      <c r="AF1148" t="n">
        <v>5811.2201</v>
      </c>
      <c r="AG1148" t="n">
        <v>4611.8132</v>
      </c>
      <c r="AH1148" t="n">
        <v>0.00026225</v>
      </c>
      <c r="AI1148" t="n">
        <v>0.442464</v>
      </c>
      <c r="AJ1148" t="n">
        <v>1356.4157</v>
      </c>
      <c r="AK1148" t="n">
        <v>271.2831</v>
      </c>
      <c r="AL1148" t="n">
        <v>-7567.1227</v>
      </c>
      <c r="AM1148" t="n">
        <v>78843.99310000001</v>
      </c>
      <c r="AN1148" t="n">
        <v>0.99</v>
      </c>
      <c r="AO1148" t="inlineStr">
        <is>
          <t>High</t>
        </is>
      </c>
      <c r="AP1148" t="inlineStr">
        <is>
          <t>On Track to Glide Path</t>
        </is>
      </c>
    </row>
    <row r="1149">
      <c r="A1149" t="inlineStr">
        <is>
          <t>SUP-0072</t>
        </is>
      </c>
      <c r="B1149" t="inlineStr">
        <is>
          <t>Electronics Supplier 072</t>
        </is>
      </c>
      <c r="C1149" t="inlineStr">
        <is>
          <t>Electronics</t>
        </is>
      </c>
      <c r="D1149" t="n">
        <v>2024</v>
      </c>
      <c r="E1149" t="n">
        <v>2018</v>
      </c>
      <c r="F1149" t="n">
        <v>2040</v>
      </c>
      <c r="G1149" t="n">
        <v>13727.7422</v>
      </c>
      <c r="H1149" t="n">
        <v>3736.5444</v>
      </c>
      <c r="I1149" t="n">
        <v>2668.0744</v>
      </c>
      <c r="J1149" t="n">
        <v>6799.6499</v>
      </c>
      <c r="K1149" t="n">
        <v>22159283.79</v>
      </c>
      <c r="L1149" t="n">
        <v>64594775.65</v>
      </c>
      <c r="M1149" t="n">
        <v>13727.7422</v>
      </c>
      <c r="N1149" t="inlineStr">
        <is>
          <t>Provided Total Emissions</t>
        </is>
      </c>
      <c r="O1149" t="b">
        <v>1</v>
      </c>
      <c r="P1149" t="n">
        <v>0.015118</v>
      </c>
      <c r="Q1149" t="n">
        <v>0.086455</v>
      </c>
      <c r="R1149" t="n">
        <v>19080.2513</v>
      </c>
      <c r="S1149" t="n">
        <v>9009.0334</v>
      </c>
      <c r="T1149" t="n">
        <v>5352.5091</v>
      </c>
      <c r="U1149" t="n">
        <v>-4718.7088</v>
      </c>
      <c r="V1149" t="n">
        <v>0.389905</v>
      </c>
      <c r="W1149" t="n">
        <v>-0.343735</v>
      </c>
      <c r="X1149" t="inlineStr">
        <is>
          <t>High</t>
        </is>
      </c>
      <c r="Y1149" t="inlineStr">
        <is>
          <t>None</t>
        </is>
      </c>
      <c r="Z1149" t="inlineStr">
        <is>
          <t>Valid</t>
        </is>
      </c>
      <c r="AA1149" t="n">
        <v>2036</v>
      </c>
      <c r="AB1149" t="inlineStr">
        <is>
          <t>Supplier Target Pathway</t>
        </is>
      </c>
      <c r="AC1149" t="n">
        <v>10423.0333</v>
      </c>
      <c r="AD1149" t="n">
        <v>4454.8044</v>
      </c>
      <c r="AE1149" t="n">
        <v>5539.937</v>
      </c>
      <c r="AF1149" t="n">
        <v>5539.937</v>
      </c>
      <c r="AG1149" t="n">
        <v>4883.0963</v>
      </c>
      <c r="AH1149" t="n">
        <v>0.00025001</v>
      </c>
      <c r="AI1149" t="n">
        <v>0.468491</v>
      </c>
      <c r="AJ1149" t="n">
        <v>1085.1325</v>
      </c>
      <c r="AK1149" t="n">
        <v>271.2831</v>
      </c>
      <c r="AL1149" t="n">
        <v>-13107.0597</v>
      </c>
      <c r="AM1149" t="n">
        <v>84383.9301</v>
      </c>
      <c r="AN1149" t="n">
        <v>0.99</v>
      </c>
      <c r="AO1149" t="inlineStr">
        <is>
          <t>High</t>
        </is>
      </c>
      <c r="AP1149" t="inlineStr">
        <is>
          <t>On Track to Glide Path</t>
        </is>
      </c>
    </row>
    <row r="1150">
      <c r="A1150" t="inlineStr">
        <is>
          <t>SUP-0072</t>
        </is>
      </c>
      <c r="B1150" t="inlineStr">
        <is>
          <t>Electronics Supplier 072</t>
        </is>
      </c>
      <c r="C1150" t="inlineStr">
        <is>
          <t>Electronics</t>
        </is>
      </c>
      <c r="D1150" t="n">
        <v>2024</v>
      </c>
      <c r="E1150" t="n">
        <v>2018</v>
      </c>
      <c r="F1150" t="n">
        <v>2040</v>
      </c>
      <c r="G1150" t="n">
        <v>13727.7422</v>
      </c>
      <c r="H1150" t="n">
        <v>3736.5444</v>
      </c>
      <c r="I1150" t="n">
        <v>2668.0744</v>
      </c>
      <c r="J1150" t="n">
        <v>6799.6499</v>
      </c>
      <c r="K1150" t="n">
        <v>22159283.79</v>
      </c>
      <c r="L1150" t="n">
        <v>64594775.65</v>
      </c>
      <c r="M1150" t="n">
        <v>13727.7422</v>
      </c>
      <c r="N1150" t="inlineStr">
        <is>
          <t>Provided Total Emissions</t>
        </is>
      </c>
      <c r="O1150" t="b">
        <v>1</v>
      </c>
      <c r="P1150" t="n">
        <v>0.015118</v>
      </c>
      <c r="Q1150" t="n">
        <v>0.086455</v>
      </c>
      <c r="R1150" t="n">
        <v>19080.2513</v>
      </c>
      <c r="S1150" t="n">
        <v>9009.0334</v>
      </c>
      <c r="T1150" t="n">
        <v>5352.5091</v>
      </c>
      <c r="U1150" t="n">
        <v>-4718.7088</v>
      </c>
      <c r="V1150" t="n">
        <v>0.389905</v>
      </c>
      <c r="W1150" t="n">
        <v>-0.343735</v>
      </c>
      <c r="X1150" t="inlineStr">
        <is>
          <t>High</t>
        </is>
      </c>
      <c r="Y1150" t="inlineStr">
        <is>
          <t>None</t>
        </is>
      </c>
      <c r="Z1150" t="inlineStr">
        <is>
          <t>Valid</t>
        </is>
      </c>
      <c r="AA1150" t="n">
        <v>2037</v>
      </c>
      <c r="AB1150" t="inlineStr">
        <is>
          <t>Supplier Target Pathway</t>
        </is>
      </c>
      <c r="AC1150" t="n">
        <v>10423.0333</v>
      </c>
      <c r="AD1150" t="n">
        <v>4454.8044</v>
      </c>
      <c r="AE1150" t="n">
        <v>5268.6538</v>
      </c>
      <c r="AF1150" t="n">
        <v>5268.6538</v>
      </c>
      <c r="AG1150" t="n">
        <v>5154.3795</v>
      </c>
      <c r="AH1150" t="n">
        <v>0.00023776</v>
      </c>
      <c r="AI1150" t="n">
        <v>0.494518</v>
      </c>
      <c r="AJ1150" t="n">
        <v>813.8493999999999</v>
      </c>
      <c r="AK1150" t="n">
        <v>271.2831</v>
      </c>
      <c r="AL1150" t="n">
        <v>-18375.7135</v>
      </c>
      <c r="AM1150" t="n">
        <v>89652.5839</v>
      </c>
      <c r="AN1150" t="n">
        <v>0.99</v>
      </c>
      <c r="AO1150" t="inlineStr">
        <is>
          <t>High</t>
        </is>
      </c>
      <c r="AP1150" t="inlineStr">
        <is>
          <t>On Track to Glide Path</t>
        </is>
      </c>
    </row>
    <row r="1151">
      <c r="A1151" t="inlineStr">
        <is>
          <t>SUP-0072</t>
        </is>
      </c>
      <c r="B1151" t="inlineStr">
        <is>
          <t>Electronics Supplier 072</t>
        </is>
      </c>
      <c r="C1151" t="inlineStr">
        <is>
          <t>Electronics</t>
        </is>
      </c>
      <c r="D1151" t="n">
        <v>2024</v>
      </c>
      <c r="E1151" t="n">
        <v>2018</v>
      </c>
      <c r="F1151" t="n">
        <v>2040</v>
      </c>
      <c r="G1151" t="n">
        <v>13727.7422</v>
      </c>
      <c r="H1151" t="n">
        <v>3736.5444</v>
      </c>
      <c r="I1151" t="n">
        <v>2668.0744</v>
      </c>
      <c r="J1151" t="n">
        <v>6799.6499</v>
      </c>
      <c r="K1151" t="n">
        <v>22159283.79</v>
      </c>
      <c r="L1151" t="n">
        <v>64594775.65</v>
      </c>
      <c r="M1151" t="n">
        <v>13727.7422</v>
      </c>
      <c r="N1151" t="inlineStr">
        <is>
          <t>Provided Total Emissions</t>
        </is>
      </c>
      <c r="O1151" t="b">
        <v>1</v>
      </c>
      <c r="P1151" t="n">
        <v>0.015118</v>
      </c>
      <c r="Q1151" t="n">
        <v>0.086455</v>
      </c>
      <c r="R1151" t="n">
        <v>19080.2513</v>
      </c>
      <c r="S1151" t="n">
        <v>9009.0334</v>
      </c>
      <c r="T1151" t="n">
        <v>5352.5091</v>
      </c>
      <c r="U1151" t="n">
        <v>-4718.7088</v>
      </c>
      <c r="V1151" t="n">
        <v>0.389905</v>
      </c>
      <c r="W1151" t="n">
        <v>-0.343735</v>
      </c>
      <c r="X1151" t="inlineStr">
        <is>
          <t>High</t>
        </is>
      </c>
      <c r="Y1151" t="inlineStr">
        <is>
          <t>None</t>
        </is>
      </c>
      <c r="Z1151" t="inlineStr">
        <is>
          <t>Valid</t>
        </is>
      </c>
      <c r="AA1151" t="n">
        <v>2038</v>
      </c>
      <c r="AB1151" t="inlineStr">
        <is>
          <t>Supplier Target Pathway</t>
        </is>
      </c>
      <c r="AC1151" t="n">
        <v>10423.0333</v>
      </c>
      <c r="AD1151" t="n">
        <v>4454.8044</v>
      </c>
      <c r="AE1151" t="n">
        <v>4997.3707</v>
      </c>
      <c r="AF1151" t="n">
        <v>4997.3707</v>
      </c>
      <c r="AG1151" t="n">
        <v>5425.6626</v>
      </c>
      <c r="AH1151" t="n">
        <v>0.00022552</v>
      </c>
      <c r="AI1151" t="n">
        <v>0.520545</v>
      </c>
      <c r="AJ1151" t="n">
        <v>542.5663</v>
      </c>
      <c r="AK1151" t="n">
        <v>271.2831</v>
      </c>
      <c r="AL1151" t="n">
        <v>-23373.0842</v>
      </c>
      <c r="AM1151" t="n">
        <v>94649.9546</v>
      </c>
      <c r="AN1151" t="n">
        <v>0.99</v>
      </c>
      <c r="AO1151" t="inlineStr">
        <is>
          <t>Medium</t>
        </is>
      </c>
      <c r="AP1151" t="inlineStr">
        <is>
          <t>On Track to Glide Path</t>
        </is>
      </c>
    </row>
    <row r="1152">
      <c r="A1152" t="inlineStr">
        <is>
          <t>SUP-0072</t>
        </is>
      </c>
      <c r="B1152" t="inlineStr">
        <is>
          <t>Electronics Supplier 072</t>
        </is>
      </c>
      <c r="C1152" t="inlineStr">
        <is>
          <t>Electronics</t>
        </is>
      </c>
      <c r="D1152" t="n">
        <v>2024</v>
      </c>
      <c r="E1152" t="n">
        <v>2018</v>
      </c>
      <c r="F1152" t="n">
        <v>2040</v>
      </c>
      <c r="G1152" t="n">
        <v>13727.7422</v>
      </c>
      <c r="H1152" t="n">
        <v>3736.5444</v>
      </c>
      <c r="I1152" t="n">
        <v>2668.0744</v>
      </c>
      <c r="J1152" t="n">
        <v>6799.6499</v>
      </c>
      <c r="K1152" t="n">
        <v>22159283.79</v>
      </c>
      <c r="L1152" t="n">
        <v>64594775.65</v>
      </c>
      <c r="M1152" t="n">
        <v>13727.7422</v>
      </c>
      <c r="N1152" t="inlineStr">
        <is>
          <t>Provided Total Emissions</t>
        </is>
      </c>
      <c r="O1152" t="b">
        <v>1</v>
      </c>
      <c r="P1152" t="n">
        <v>0.015118</v>
      </c>
      <c r="Q1152" t="n">
        <v>0.086455</v>
      </c>
      <c r="R1152" t="n">
        <v>19080.2513</v>
      </c>
      <c r="S1152" t="n">
        <v>9009.0334</v>
      </c>
      <c r="T1152" t="n">
        <v>5352.5091</v>
      </c>
      <c r="U1152" t="n">
        <v>-4718.7088</v>
      </c>
      <c r="V1152" t="n">
        <v>0.389905</v>
      </c>
      <c r="W1152" t="n">
        <v>-0.343735</v>
      </c>
      <c r="X1152" t="inlineStr">
        <is>
          <t>High</t>
        </is>
      </c>
      <c r="Y1152" t="inlineStr">
        <is>
          <t>None</t>
        </is>
      </c>
      <c r="Z1152" t="inlineStr">
        <is>
          <t>Valid</t>
        </is>
      </c>
      <c r="AA1152" t="n">
        <v>2039</v>
      </c>
      <c r="AB1152" t="inlineStr">
        <is>
          <t>Supplier Target Pathway</t>
        </is>
      </c>
      <c r="AC1152" t="n">
        <v>10423.0333</v>
      </c>
      <c r="AD1152" t="n">
        <v>4454.8044</v>
      </c>
      <c r="AE1152" t="n">
        <v>4726.0876</v>
      </c>
      <c r="AF1152" t="n">
        <v>4726.0876</v>
      </c>
      <c r="AG1152" t="n">
        <v>5696.9457</v>
      </c>
      <c r="AH1152" t="n">
        <v>0.00021328</v>
      </c>
      <c r="AI1152" t="n">
        <v>0.546573</v>
      </c>
      <c r="AJ1152" t="n">
        <v>271.2831</v>
      </c>
      <c r="AK1152" t="n">
        <v>271.2831</v>
      </c>
      <c r="AL1152" t="n">
        <v>-28099.1718</v>
      </c>
      <c r="AM1152" t="n">
        <v>99376.0422</v>
      </c>
      <c r="AN1152" t="n">
        <v>0.99</v>
      </c>
      <c r="AO1152" t="inlineStr">
        <is>
          <t>Medium</t>
        </is>
      </c>
      <c r="AP1152" t="inlineStr">
        <is>
          <t>On Track to Glide Path</t>
        </is>
      </c>
    </row>
    <row r="1153">
      <c r="A1153" t="inlineStr">
        <is>
          <t>SUP-0072</t>
        </is>
      </c>
      <c r="B1153" t="inlineStr">
        <is>
          <t>Electronics Supplier 072</t>
        </is>
      </c>
      <c r="C1153" t="inlineStr">
        <is>
          <t>Electronics</t>
        </is>
      </c>
      <c r="D1153" t="n">
        <v>2024</v>
      </c>
      <c r="E1153" t="n">
        <v>2018</v>
      </c>
      <c r="F1153" t="n">
        <v>2040</v>
      </c>
      <c r="G1153" t="n">
        <v>13727.7422</v>
      </c>
      <c r="H1153" t="n">
        <v>3736.5444</v>
      </c>
      <c r="I1153" t="n">
        <v>2668.0744</v>
      </c>
      <c r="J1153" t="n">
        <v>6799.6499</v>
      </c>
      <c r="K1153" t="n">
        <v>22159283.79</v>
      </c>
      <c r="L1153" t="n">
        <v>64594775.65</v>
      </c>
      <c r="M1153" t="n">
        <v>13727.7422</v>
      </c>
      <c r="N1153" t="inlineStr">
        <is>
          <t>Provided Total Emissions</t>
        </is>
      </c>
      <c r="O1153" t="b">
        <v>1</v>
      </c>
      <c r="P1153" t="n">
        <v>0.015118</v>
      </c>
      <c r="Q1153" t="n">
        <v>0.086455</v>
      </c>
      <c r="R1153" t="n">
        <v>19080.2513</v>
      </c>
      <c r="S1153" t="n">
        <v>9009.0334</v>
      </c>
      <c r="T1153" t="n">
        <v>5352.5091</v>
      </c>
      <c r="U1153" t="n">
        <v>-4718.7088</v>
      </c>
      <c r="V1153" t="n">
        <v>0.389905</v>
      </c>
      <c r="W1153" t="n">
        <v>-0.343735</v>
      </c>
      <c r="X1153" t="inlineStr">
        <is>
          <t>High</t>
        </is>
      </c>
      <c r="Y1153" t="inlineStr">
        <is>
          <t>None</t>
        </is>
      </c>
      <c r="Z1153" t="inlineStr">
        <is>
          <t>Valid</t>
        </is>
      </c>
      <c r="AA1153" t="n">
        <v>2040</v>
      </c>
      <c r="AB1153" t="inlineStr">
        <is>
          <t>Supplier Target Pathway</t>
        </is>
      </c>
      <c r="AC1153" t="n">
        <v>10423.0333</v>
      </c>
      <c r="AD1153" t="n">
        <v>4454.8044</v>
      </c>
      <c r="AE1153" t="n">
        <v>4454.8044</v>
      </c>
      <c r="AF1153" t="n">
        <v>4454.8044</v>
      </c>
      <c r="AG1153" t="n">
        <v>5968.2289</v>
      </c>
      <c r="AH1153" t="n">
        <v>0.00020104</v>
      </c>
      <c r="AI1153" t="n">
        <v>0.5726</v>
      </c>
      <c r="AJ1153" t="n">
        <v>0</v>
      </c>
      <c r="AK1153" t="n">
        <v>271.2831</v>
      </c>
      <c r="AL1153" t="n">
        <v>-32553.9762</v>
      </c>
      <c r="AM1153" t="n">
        <v>103830.8466</v>
      </c>
      <c r="AN1153" t="n">
        <v>0.99</v>
      </c>
      <c r="AO1153" t="inlineStr">
        <is>
          <t>Low</t>
        </is>
      </c>
      <c r="AP1153" t="inlineStr">
        <is>
          <t>On Track</t>
        </is>
      </c>
    </row>
    <row r="1154">
      <c r="A1154" t="inlineStr">
        <is>
          <t>SUP-0073</t>
        </is>
      </c>
      <c r="B1154" t="inlineStr">
        <is>
          <t>Packaging Supplier 073</t>
        </is>
      </c>
      <c r="C1154" t="inlineStr">
        <is>
          <t>Packaging</t>
        </is>
      </c>
      <c r="D1154" t="n">
        <v>2024</v>
      </c>
      <c r="E1154" t="n">
        <v>2021</v>
      </c>
      <c r="F1154" t="n">
        <v>2030</v>
      </c>
      <c r="G1154" t="n">
        <v>16015.2073</v>
      </c>
      <c r="H1154" t="n">
        <v>3724.4673</v>
      </c>
      <c r="I1154" t="n">
        <v>3199.0057</v>
      </c>
      <c r="J1154" t="n">
        <v>8740.0867</v>
      </c>
      <c r="K1154" t="n">
        <v>14423624.23</v>
      </c>
      <c r="L1154" t="n">
        <v>120436061.57</v>
      </c>
      <c r="M1154" t="n">
        <v>16015.2073</v>
      </c>
      <c r="N1154" t="inlineStr">
        <is>
          <t>Provided Total Emissions</t>
        </is>
      </c>
      <c r="O1154" t="b">
        <v>1</v>
      </c>
      <c r="P1154" t="n">
        <v>-0.018171</v>
      </c>
      <c r="Q1154" t="n">
        <v>-0.002587</v>
      </c>
      <c r="R1154" t="n">
        <v>15581.8413</v>
      </c>
      <c r="S1154" t="n">
        <v>95079.4532</v>
      </c>
      <c r="T1154" t="n">
        <v>-433.366</v>
      </c>
      <c r="U1154" t="n">
        <v>79064.24589999999</v>
      </c>
      <c r="V1154" t="n">
        <v>-0.02706</v>
      </c>
      <c r="W1154" t="n">
        <v>4.936823</v>
      </c>
      <c r="X1154" t="inlineStr">
        <is>
          <t>High</t>
        </is>
      </c>
      <c r="Y1154" t="inlineStr">
        <is>
          <t>None</t>
        </is>
      </c>
      <c r="Z1154" t="inlineStr">
        <is>
          <t>Valid</t>
        </is>
      </c>
      <c r="AA1154" t="n">
        <v>2025</v>
      </c>
      <c r="AB1154" t="inlineStr">
        <is>
          <t>Supplier Target Pathway</t>
        </is>
      </c>
      <c r="AC1154" t="n">
        <v>17473.4283</v>
      </c>
      <c r="AD1154" t="n">
        <v>6980.6346</v>
      </c>
      <c r="AE1154" t="n">
        <v>12809.9644</v>
      </c>
      <c r="AF1154" t="n">
        <v>12809.9644</v>
      </c>
      <c r="AG1154" t="n">
        <v>4663.4639</v>
      </c>
      <c r="AH1154" t="n">
        <v>0.0008881199999999999</v>
      </c>
      <c r="AI1154" t="n">
        <v>0.266889</v>
      </c>
      <c r="AJ1154" t="n">
        <v>5829.3298</v>
      </c>
      <c r="AK1154" t="n">
        <v>1165.866</v>
      </c>
      <c r="AL1154" t="n">
        <v>29073.8432</v>
      </c>
      <c r="AM1154" t="n">
        <v>12809.9644</v>
      </c>
      <c r="AN1154" t="n">
        <v>0.99</v>
      </c>
      <c r="AO1154" t="inlineStr">
        <is>
          <t>Critical</t>
        </is>
      </c>
      <c r="AP1154" t="inlineStr">
        <is>
          <t>On Track to Glide Path</t>
        </is>
      </c>
    </row>
    <row r="1155">
      <c r="A1155" t="inlineStr">
        <is>
          <t>SUP-0073</t>
        </is>
      </c>
      <c r="B1155" t="inlineStr">
        <is>
          <t>Packaging Supplier 073</t>
        </is>
      </c>
      <c r="C1155" t="inlineStr">
        <is>
          <t>Packaging</t>
        </is>
      </c>
      <c r="D1155" t="n">
        <v>2024</v>
      </c>
      <c r="E1155" t="n">
        <v>2021</v>
      </c>
      <c r="F1155" t="n">
        <v>2030</v>
      </c>
      <c r="G1155" t="n">
        <v>16015.2073</v>
      </c>
      <c r="H1155" t="n">
        <v>3724.4673</v>
      </c>
      <c r="I1155" t="n">
        <v>3199.0057</v>
      </c>
      <c r="J1155" t="n">
        <v>8740.0867</v>
      </c>
      <c r="K1155" t="n">
        <v>14423624.23</v>
      </c>
      <c r="L1155" t="n">
        <v>120436061.57</v>
      </c>
      <c r="M1155" t="n">
        <v>16015.2073</v>
      </c>
      <c r="N1155" t="inlineStr">
        <is>
          <t>Provided Total Emissions</t>
        </is>
      </c>
      <c r="O1155" t="b">
        <v>1</v>
      </c>
      <c r="P1155" t="n">
        <v>-0.018171</v>
      </c>
      <c r="Q1155" t="n">
        <v>-0.002587</v>
      </c>
      <c r="R1155" t="n">
        <v>15581.8413</v>
      </c>
      <c r="S1155" t="n">
        <v>95079.4532</v>
      </c>
      <c r="T1155" t="n">
        <v>-433.366</v>
      </c>
      <c r="U1155" t="n">
        <v>79064.24589999999</v>
      </c>
      <c r="V1155" t="n">
        <v>-0.02706</v>
      </c>
      <c r="W1155" t="n">
        <v>4.936823</v>
      </c>
      <c r="X1155" t="inlineStr">
        <is>
          <t>High</t>
        </is>
      </c>
      <c r="Y1155" t="inlineStr">
        <is>
          <t>None</t>
        </is>
      </c>
      <c r="Z1155" t="inlineStr">
        <is>
          <t>Valid</t>
        </is>
      </c>
      <c r="AA1155" t="n">
        <v>2026</v>
      </c>
      <c r="AB1155" t="inlineStr">
        <is>
          <t>Supplier Target Pathway</t>
        </is>
      </c>
      <c r="AC1155" t="n">
        <v>17473.4283</v>
      </c>
      <c r="AD1155" t="n">
        <v>6980.6346</v>
      </c>
      <c r="AE1155" t="n">
        <v>11644.0985</v>
      </c>
      <c r="AF1155" t="n">
        <v>11644.0985</v>
      </c>
      <c r="AG1155" t="n">
        <v>5829.3298</v>
      </c>
      <c r="AH1155" t="n">
        <v>0.00080729</v>
      </c>
      <c r="AI1155" t="n">
        <v>0.333611</v>
      </c>
      <c r="AJ1155" t="n">
        <v>4663.4639</v>
      </c>
      <c r="AK1155" t="n">
        <v>1165.866</v>
      </c>
      <c r="AL1155" t="n">
        <v>17429.7447</v>
      </c>
      <c r="AM1155" t="n">
        <v>24454.0629</v>
      </c>
      <c r="AN1155" t="n">
        <v>0.99</v>
      </c>
      <c r="AO1155" t="inlineStr">
        <is>
          <t>Critical</t>
        </is>
      </c>
      <c r="AP1155" t="inlineStr">
        <is>
          <t>On Track to Glide Path</t>
        </is>
      </c>
    </row>
    <row r="1156">
      <c r="A1156" t="inlineStr">
        <is>
          <t>SUP-0073</t>
        </is>
      </c>
      <c r="B1156" t="inlineStr">
        <is>
          <t>Packaging Supplier 073</t>
        </is>
      </c>
      <c r="C1156" t="inlineStr">
        <is>
          <t>Packaging</t>
        </is>
      </c>
      <c r="D1156" t="n">
        <v>2024</v>
      </c>
      <c r="E1156" t="n">
        <v>2021</v>
      </c>
      <c r="F1156" t="n">
        <v>2030</v>
      </c>
      <c r="G1156" t="n">
        <v>16015.2073</v>
      </c>
      <c r="H1156" t="n">
        <v>3724.4673</v>
      </c>
      <c r="I1156" t="n">
        <v>3199.0057</v>
      </c>
      <c r="J1156" t="n">
        <v>8740.0867</v>
      </c>
      <c r="K1156" t="n">
        <v>14423624.23</v>
      </c>
      <c r="L1156" t="n">
        <v>120436061.57</v>
      </c>
      <c r="M1156" t="n">
        <v>16015.2073</v>
      </c>
      <c r="N1156" t="inlineStr">
        <is>
          <t>Provided Total Emissions</t>
        </is>
      </c>
      <c r="O1156" t="b">
        <v>1</v>
      </c>
      <c r="P1156" t="n">
        <v>-0.018171</v>
      </c>
      <c r="Q1156" t="n">
        <v>-0.002587</v>
      </c>
      <c r="R1156" t="n">
        <v>15581.8413</v>
      </c>
      <c r="S1156" t="n">
        <v>95079.4532</v>
      </c>
      <c r="T1156" t="n">
        <v>-433.366</v>
      </c>
      <c r="U1156" t="n">
        <v>79064.24589999999</v>
      </c>
      <c r="V1156" t="n">
        <v>-0.02706</v>
      </c>
      <c r="W1156" t="n">
        <v>4.936823</v>
      </c>
      <c r="X1156" t="inlineStr">
        <is>
          <t>High</t>
        </is>
      </c>
      <c r="Y1156" t="inlineStr">
        <is>
          <t>None</t>
        </is>
      </c>
      <c r="Z1156" t="inlineStr">
        <is>
          <t>Valid</t>
        </is>
      </c>
      <c r="AA1156" t="n">
        <v>2027</v>
      </c>
      <c r="AB1156" t="inlineStr">
        <is>
          <t>Supplier Target Pathway</t>
        </is>
      </c>
      <c r="AC1156" t="n">
        <v>17473.4283</v>
      </c>
      <c r="AD1156" t="n">
        <v>6980.6346</v>
      </c>
      <c r="AE1156" t="n">
        <v>10478.2325</v>
      </c>
      <c r="AF1156" t="n">
        <v>10478.2325</v>
      </c>
      <c r="AG1156" t="n">
        <v>6995.1958</v>
      </c>
      <c r="AH1156" t="n">
        <v>0.00072646</v>
      </c>
      <c r="AI1156" t="n">
        <v>0.400333</v>
      </c>
      <c r="AJ1156" t="n">
        <v>3497.5979</v>
      </c>
      <c r="AK1156" t="n">
        <v>1165.866</v>
      </c>
      <c r="AL1156" t="n">
        <v>6951.5122</v>
      </c>
      <c r="AM1156" t="n">
        <v>34932.2954</v>
      </c>
      <c r="AN1156" t="n">
        <v>0.99</v>
      </c>
      <c r="AO1156" t="inlineStr">
        <is>
          <t>Critical</t>
        </is>
      </c>
      <c r="AP1156" t="inlineStr">
        <is>
          <t>On Track to Glide Path</t>
        </is>
      </c>
    </row>
    <row r="1157">
      <c r="A1157" t="inlineStr">
        <is>
          <t>SUP-0073</t>
        </is>
      </c>
      <c r="B1157" t="inlineStr">
        <is>
          <t>Packaging Supplier 073</t>
        </is>
      </c>
      <c r="C1157" t="inlineStr">
        <is>
          <t>Packaging</t>
        </is>
      </c>
      <c r="D1157" t="n">
        <v>2024</v>
      </c>
      <c r="E1157" t="n">
        <v>2021</v>
      </c>
      <c r="F1157" t="n">
        <v>2030</v>
      </c>
      <c r="G1157" t="n">
        <v>16015.2073</v>
      </c>
      <c r="H1157" t="n">
        <v>3724.4673</v>
      </c>
      <c r="I1157" t="n">
        <v>3199.0057</v>
      </c>
      <c r="J1157" t="n">
        <v>8740.0867</v>
      </c>
      <c r="K1157" t="n">
        <v>14423624.23</v>
      </c>
      <c r="L1157" t="n">
        <v>120436061.57</v>
      </c>
      <c r="M1157" t="n">
        <v>16015.2073</v>
      </c>
      <c r="N1157" t="inlineStr">
        <is>
          <t>Provided Total Emissions</t>
        </is>
      </c>
      <c r="O1157" t="b">
        <v>1</v>
      </c>
      <c r="P1157" t="n">
        <v>-0.018171</v>
      </c>
      <c r="Q1157" t="n">
        <v>-0.002587</v>
      </c>
      <c r="R1157" t="n">
        <v>15581.8413</v>
      </c>
      <c r="S1157" t="n">
        <v>95079.4532</v>
      </c>
      <c r="T1157" t="n">
        <v>-433.366</v>
      </c>
      <c r="U1157" t="n">
        <v>79064.24589999999</v>
      </c>
      <c r="V1157" t="n">
        <v>-0.02706</v>
      </c>
      <c r="W1157" t="n">
        <v>4.936823</v>
      </c>
      <c r="X1157" t="inlineStr">
        <is>
          <t>High</t>
        </is>
      </c>
      <c r="Y1157" t="inlineStr">
        <is>
          <t>None</t>
        </is>
      </c>
      <c r="Z1157" t="inlineStr">
        <is>
          <t>Valid</t>
        </is>
      </c>
      <c r="AA1157" t="n">
        <v>2028</v>
      </c>
      <c r="AB1157" t="inlineStr">
        <is>
          <t>Supplier Target Pathway</t>
        </is>
      </c>
      <c r="AC1157" t="n">
        <v>17473.4283</v>
      </c>
      <c r="AD1157" t="n">
        <v>6980.6346</v>
      </c>
      <c r="AE1157" t="n">
        <v>9312.3665</v>
      </c>
      <c r="AF1157" t="n">
        <v>9312.3665</v>
      </c>
      <c r="AG1157" t="n">
        <v>8161.0618</v>
      </c>
      <c r="AH1157" t="n">
        <v>0.00064563</v>
      </c>
      <c r="AI1157" t="n">
        <v>0.467056</v>
      </c>
      <c r="AJ1157" t="n">
        <v>2331.7319</v>
      </c>
      <c r="AK1157" t="n">
        <v>1165.866</v>
      </c>
      <c r="AL1157" t="n">
        <v>-2360.8543</v>
      </c>
      <c r="AM1157" t="n">
        <v>44244.6619</v>
      </c>
      <c r="AN1157" t="n">
        <v>0.99</v>
      </c>
      <c r="AO1157" t="inlineStr">
        <is>
          <t>High</t>
        </is>
      </c>
      <c r="AP1157" t="inlineStr">
        <is>
          <t>On Track to Glide Path</t>
        </is>
      </c>
    </row>
    <row r="1158">
      <c r="A1158" t="inlineStr">
        <is>
          <t>SUP-0073</t>
        </is>
      </c>
      <c r="B1158" t="inlineStr">
        <is>
          <t>Packaging Supplier 073</t>
        </is>
      </c>
      <c r="C1158" t="inlineStr">
        <is>
          <t>Packaging</t>
        </is>
      </c>
      <c r="D1158" t="n">
        <v>2024</v>
      </c>
      <c r="E1158" t="n">
        <v>2021</v>
      </c>
      <c r="F1158" t="n">
        <v>2030</v>
      </c>
      <c r="G1158" t="n">
        <v>16015.2073</v>
      </c>
      <c r="H1158" t="n">
        <v>3724.4673</v>
      </c>
      <c r="I1158" t="n">
        <v>3199.0057</v>
      </c>
      <c r="J1158" t="n">
        <v>8740.0867</v>
      </c>
      <c r="K1158" t="n">
        <v>14423624.23</v>
      </c>
      <c r="L1158" t="n">
        <v>120436061.57</v>
      </c>
      <c r="M1158" t="n">
        <v>16015.2073</v>
      </c>
      <c r="N1158" t="inlineStr">
        <is>
          <t>Provided Total Emissions</t>
        </is>
      </c>
      <c r="O1158" t="b">
        <v>1</v>
      </c>
      <c r="P1158" t="n">
        <v>-0.018171</v>
      </c>
      <c r="Q1158" t="n">
        <v>-0.002587</v>
      </c>
      <c r="R1158" t="n">
        <v>15581.8413</v>
      </c>
      <c r="S1158" t="n">
        <v>95079.4532</v>
      </c>
      <c r="T1158" t="n">
        <v>-433.366</v>
      </c>
      <c r="U1158" t="n">
        <v>79064.24589999999</v>
      </c>
      <c r="V1158" t="n">
        <v>-0.02706</v>
      </c>
      <c r="W1158" t="n">
        <v>4.936823</v>
      </c>
      <c r="X1158" t="inlineStr">
        <is>
          <t>High</t>
        </is>
      </c>
      <c r="Y1158" t="inlineStr">
        <is>
          <t>None</t>
        </is>
      </c>
      <c r="Z1158" t="inlineStr">
        <is>
          <t>Valid</t>
        </is>
      </c>
      <c r="AA1158" t="n">
        <v>2029</v>
      </c>
      <c r="AB1158" t="inlineStr">
        <is>
          <t>Supplier Target Pathway</t>
        </is>
      </c>
      <c r="AC1158" t="n">
        <v>17473.4283</v>
      </c>
      <c r="AD1158" t="n">
        <v>6980.6346</v>
      </c>
      <c r="AE1158" t="n">
        <v>8146.5006</v>
      </c>
      <c r="AF1158" t="n">
        <v>8146.5006</v>
      </c>
      <c r="AG1158" t="n">
        <v>9326.9277</v>
      </c>
      <c r="AH1158" t="n">
        <v>0.0005648</v>
      </c>
      <c r="AI1158" t="n">
        <v>0.533778</v>
      </c>
      <c r="AJ1158" t="n">
        <v>1165.866</v>
      </c>
      <c r="AK1158" t="n">
        <v>1165.866</v>
      </c>
      <c r="AL1158" t="n">
        <v>-10507.3549</v>
      </c>
      <c r="AM1158" t="n">
        <v>52391.1625</v>
      </c>
      <c r="AN1158" t="n">
        <v>0.99</v>
      </c>
      <c r="AO1158" t="inlineStr">
        <is>
          <t>High</t>
        </is>
      </c>
      <c r="AP1158" t="inlineStr">
        <is>
          <t>On Track to Glide Path</t>
        </is>
      </c>
    </row>
    <row r="1159">
      <c r="A1159" t="inlineStr">
        <is>
          <t>SUP-0073</t>
        </is>
      </c>
      <c r="B1159" t="inlineStr">
        <is>
          <t>Packaging Supplier 073</t>
        </is>
      </c>
      <c r="C1159" t="inlineStr">
        <is>
          <t>Packaging</t>
        </is>
      </c>
      <c r="D1159" t="n">
        <v>2024</v>
      </c>
      <c r="E1159" t="n">
        <v>2021</v>
      </c>
      <c r="F1159" t="n">
        <v>2030</v>
      </c>
      <c r="G1159" t="n">
        <v>16015.2073</v>
      </c>
      <c r="H1159" t="n">
        <v>3724.4673</v>
      </c>
      <c r="I1159" t="n">
        <v>3199.0057</v>
      </c>
      <c r="J1159" t="n">
        <v>8740.0867</v>
      </c>
      <c r="K1159" t="n">
        <v>14423624.23</v>
      </c>
      <c r="L1159" t="n">
        <v>120436061.57</v>
      </c>
      <c r="M1159" t="n">
        <v>16015.2073</v>
      </c>
      <c r="N1159" t="inlineStr">
        <is>
          <t>Provided Total Emissions</t>
        </is>
      </c>
      <c r="O1159" t="b">
        <v>1</v>
      </c>
      <c r="P1159" t="n">
        <v>-0.018171</v>
      </c>
      <c r="Q1159" t="n">
        <v>-0.002587</v>
      </c>
      <c r="R1159" t="n">
        <v>15581.8413</v>
      </c>
      <c r="S1159" t="n">
        <v>95079.4532</v>
      </c>
      <c r="T1159" t="n">
        <v>-433.366</v>
      </c>
      <c r="U1159" t="n">
        <v>79064.24589999999</v>
      </c>
      <c r="V1159" t="n">
        <v>-0.02706</v>
      </c>
      <c r="W1159" t="n">
        <v>4.936823</v>
      </c>
      <c r="X1159" t="inlineStr">
        <is>
          <t>High</t>
        </is>
      </c>
      <c r="Y1159" t="inlineStr">
        <is>
          <t>None</t>
        </is>
      </c>
      <c r="Z1159" t="inlineStr">
        <is>
          <t>Valid</t>
        </is>
      </c>
      <c r="AA1159" t="n">
        <v>2030</v>
      </c>
      <c r="AB1159" t="inlineStr">
        <is>
          <t>Supplier Target Pathway</t>
        </is>
      </c>
      <c r="AC1159" t="n">
        <v>17473.4283</v>
      </c>
      <c r="AD1159" t="n">
        <v>6980.6346</v>
      </c>
      <c r="AE1159" t="n">
        <v>6980.6346</v>
      </c>
      <c r="AF1159" t="n">
        <v>6980.6346</v>
      </c>
      <c r="AG1159" t="n">
        <v>10492.7937</v>
      </c>
      <c r="AH1159" t="n">
        <v>0.00048397</v>
      </c>
      <c r="AI1159" t="n">
        <v>0.6005</v>
      </c>
      <c r="AJ1159" t="n">
        <v>0</v>
      </c>
      <c r="AK1159" t="n">
        <v>1165.866</v>
      </c>
      <c r="AL1159" t="n">
        <v>-17487.9895</v>
      </c>
      <c r="AM1159" t="n">
        <v>59371.7971</v>
      </c>
      <c r="AN1159" t="n">
        <v>0.99</v>
      </c>
      <c r="AO1159" t="inlineStr">
        <is>
          <t>Low</t>
        </is>
      </c>
      <c r="AP1159" t="inlineStr">
        <is>
          <t>On Track</t>
        </is>
      </c>
    </row>
    <row r="1160">
      <c r="A1160" t="inlineStr">
        <is>
          <t>SUP-0073</t>
        </is>
      </c>
      <c r="B1160" t="inlineStr">
        <is>
          <t>Packaging Supplier 073</t>
        </is>
      </c>
      <c r="C1160" t="inlineStr">
        <is>
          <t>Packaging</t>
        </is>
      </c>
      <c r="D1160" t="n">
        <v>2024</v>
      </c>
      <c r="E1160" t="n">
        <v>2021</v>
      </c>
      <c r="F1160" t="n">
        <v>2030</v>
      </c>
      <c r="G1160" t="n">
        <v>16015.2073</v>
      </c>
      <c r="H1160" t="n">
        <v>3724.4673</v>
      </c>
      <c r="I1160" t="n">
        <v>3199.0057</v>
      </c>
      <c r="J1160" t="n">
        <v>8740.0867</v>
      </c>
      <c r="K1160" t="n">
        <v>14423624.23</v>
      </c>
      <c r="L1160" t="n">
        <v>120436061.57</v>
      </c>
      <c r="M1160" t="n">
        <v>16015.2073</v>
      </c>
      <c r="N1160" t="inlineStr">
        <is>
          <t>Provided Total Emissions</t>
        </is>
      </c>
      <c r="O1160" t="b">
        <v>1</v>
      </c>
      <c r="P1160" t="n">
        <v>-0.018171</v>
      </c>
      <c r="Q1160" t="n">
        <v>-0.002587</v>
      </c>
      <c r="R1160" t="n">
        <v>15581.8413</v>
      </c>
      <c r="S1160" t="n">
        <v>95079.4532</v>
      </c>
      <c r="T1160" t="n">
        <v>-433.366</v>
      </c>
      <c r="U1160" t="n">
        <v>79064.24589999999</v>
      </c>
      <c r="V1160" t="n">
        <v>-0.02706</v>
      </c>
      <c r="W1160" t="n">
        <v>4.936823</v>
      </c>
      <c r="X1160" t="inlineStr">
        <is>
          <t>High</t>
        </is>
      </c>
      <c r="Y1160" t="inlineStr">
        <is>
          <t>None</t>
        </is>
      </c>
      <c r="Z1160" t="inlineStr">
        <is>
          <t>Valid</t>
        </is>
      </c>
      <c r="AA1160" t="n">
        <v>2031</v>
      </c>
      <c r="AB1160" t="inlineStr">
        <is>
          <t>Supplier Target Pathway</t>
        </is>
      </c>
      <c r="AC1160" t="n">
        <v>17473.4283</v>
      </c>
      <c r="AD1160" t="n">
        <v>6980.6346</v>
      </c>
      <c r="AE1160" t="n">
        <v>6980.6346</v>
      </c>
      <c r="AF1160" t="n">
        <v>6980.6346</v>
      </c>
      <c r="AG1160" t="n">
        <v>10492.7937</v>
      </c>
      <c r="AH1160" t="n">
        <v>0.00048397</v>
      </c>
      <c r="AI1160" t="n">
        <v>0.6005</v>
      </c>
      <c r="AJ1160" t="n">
        <v>0</v>
      </c>
      <c r="AK1160" t="n">
        <v>1165.866</v>
      </c>
      <c r="AL1160" t="n">
        <v>-24468.6241</v>
      </c>
      <c r="AM1160" t="n">
        <v>66352.4317</v>
      </c>
      <c r="AN1160" t="n">
        <v>0.99</v>
      </c>
      <c r="AO1160" t="inlineStr">
        <is>
          <t>Low</t>
        </is>
      </c>
      <c r="AP1160" t="inlineStr">
        <is>
          <t>On Track</t>
        </is>
      </c>
    </row>
    <row r="1161">
      <c r="A1161" t="inlineStr">
        <is>
          <t>SUP-0073</t>
        </is>
      </c>
      <c r="B1161" t="inlineStr">
        <is>
          <t>Packaging Supplier 073</t>
        </is>
      </c>
      <c r="C1161" t="inlineStr">
        <is>
          <t>Packaging</t>
        </is>
      </c>
      <c r="D1161" t="n">
        <v>2024</v>
      </c>
      <c r="E1161" t="n">
        <v>2021</v>
      </c>
      <c r="F1161" t="n">
        <v>2030</v>
      </c>
      <c r="G1161" t="n">
        <v>16015.2073</v>
      </c>
      <c r="H1161" t="n">
        <v>3724.4673</v>
      </c>
      <c r="I1161" t="n">
        <v>3199.0057</v>
      </c>
      <c r="J1161" t="n">
        <v>8740.0867</v>
      </c>
      <c r="K1161" t="n">
        <v>14423624.23</v>
      </c>
      <c r="L1161" t="n">
        <v>120436061.57</v>
      </c>
      <c r="M1161" t="n">
        <v>16015.2073</v>
      </c>
      <c r="N1161" t="inlineStr">
        <is>
          <t>Provided Total Emissions</t>
        </is>
      </c>
      <c r="O1161" t="b">
        <v>1</v>
      </c>
      <c r="P1161" t="n">
        <v>-0.018171</v>
      </c>
      <c r="Q1161" t="n">
        <v>-0.002587</v>
      </c>
      <c r="R1161" t="n">
        <v>15581.8413</v>
      </c>
      <c r="S1161" t="n">
        <v>95079.4532</v>
      </c>
      <c r="T1161" t="n">
        <v>-433.366</v>
      </c>
      <c r="U1161" t="n">
        <v>79064.24589999999</v>
      </c>
      <c r="V1161" t="n">
        <v>-0.02706</v>
      </c>
      <c r="W1161" t="n">
        <v>4.936823</v>
      </c>
      <c r="X1161" t="inlineStr">
        <is>
          <t>High</t>
        </is>
      </c>
      <c r="Y1161" t="inlineStr">
        <is>
          <t>None</t>
        </is>
      </c>
      <c r="Z1161" t="inlineStr">
        <is>
          <t>Valid</t>
        </is>
      </c>
      <c r="AA1161" t="n">
        <v>2032</v>
      </c>
      <c r="AB1161" t="inlineStr">
        <is>
          <t>Supplier Target Pathway</t>
        </is>
      </c>
      <c r="AC1161" t="n">
        <v>17473.4283</v>
      </c>
      <c r="AD1161" t="n">
        <v>6980.6346</v>
      </c>
      <c r="AE1161" t="n">
        <v>6980.6346</v>
      </c>
      <c r="AF1161" t="n">
        <v>6980.6346</v>
      </c>
      <c r="AG1161" t="n">
        <v>10492.7937</v>
      </c>
      <c r="AH1161" t="n">
        <v>0.00048397</v>
      </c>
      <c r="AI1161" t="n">
        <v>0.6005</v>
      </c>
      <c r="AJ1161" t="n">
        <v>0</v>
      </c>
      <c r="AK1161" t="n">
        <v>1165.866</v>
      </c>
      <c r="AL1161" t="n">
        <v>-31449.2587</v>
      </c>
      <c r="AM1161" t="n">
        <v>73333.06630000001</v>
      </c>
      <c r="AN1161" t="n">
        <v>0.99</v>
      </c>
      <c r="AO1161" t="inlineStr">
        <is>
          <t>Low</t>
        </is>
      </c>
      <c r="AP1161" t="inlineStr">
        <is>
          <t>On Track</t>
        </is>
      </c>
    </row>
    <row r="1162">
      <c r="A1162" t="inlineStr">
        <is>
          <t>SUP-0073</t>
        </is>
      </c>
      <c r="B1162" t="inlineStr">
        <is>
          <t>Packaging Supplier 073</t>
        </is>
      </c>
      <c r="C1162" t="inlineStr">
        <is>
          <t>Packaging</t>
        </is>
      </c>
      <c r="D1162" t="n">
        <v>2024</v>
      </c>
      <c r="E1162" t="n">
        <v>2021</v>
      </c>
      <c r="F1162" t="n">
        <v>2030</v>
      </c>
      <c r="G1162" t="n">
        <v>16015.2073</v>
      </c>
      <c r="H1162" t="n">
        <v>3724.4673</v>
      </c>
      <c r="I1162" t="n">
        <v>3199.0057</v>
      </c>
      <c r="J1162" t="n">
        <v>8740.0867</v>
      </c>
      <c r="K1162" t="n">
        <v>14423624.23</v>
      </c>
      <c r="L1162" t="n">
        <v>120436061.57</v>
      </c>
      <c r="M1162" t="n">
        <v>16015.2073</v>
      </c>
      <c r="N1162" t="inlineStr">
        <is>
          <t>Provided Total Emissions</t>
        </is>
      </c>
      <c r="O1162" t="b">
        <v>1</v>
      </c>
      <c r="P1162" t="n">
        <v>-0.018171</v>
      </c>
      <c r="Q1162" t="n">
        <v>-0.002587</v>
      </c>
      <c r="R1162" t="n">
        <v>15581.8413</v>
      </c>
      <c r="S1162" t="n">
        <v>95079.4532</v>
      </c>
      <c r="T1162" t="n">
        <v>-433.366</v>
      </c>
      <c r="U1162" t="n">
        <v>79064.24589999999</v>
      </c>
      <c r="V1162" t="n">
        <v>-0.02706</v>
      </c>
      <c r="W1162" t="n">
        <v>4.936823</v>
      </c>
      <c r="X1162" t="inlineStr">
        <is>
          <t>High</t>
        </is>
      </c>
      <c r="Y1162" t="inlineStr">
        <is>
          <t>None</t>
        </is>
      </c>
      <c r="Z1162" t="inlineStr">
        <is>
          <t>Valid</t>
        </is>
      </c>
      <c r="AA1162" t="n">
        <v>2033</v>
      </c>
      <c r="AB1162" t="inlineStr">
        <is>
          <t>Supplier Target Pathway</t>
        </is>
      </c>
      <c r="AC1162" t="n">
        <v>17473.4283</v>
      </c>
      <c r="AD1162" t="n">
        <v>6980.6346</v>
      </c>
      <c r="AE1162" t="n">
        <v>6980.6346</v>
      </c>
      <c r="AF1162" t="n">
        <v>6980.6346</v>
      </c>
      <c r="AG1162" t="n">
        <v>10492.7937</v>
      </c>
      <c r="AH1162" t="n">
        <v>0.00048397</v>
      </c>
      <c r="AI1162" t="n">
        <v>0.6005</v>
      </c>
      <c r="AJ1162" t="n">
        <v>0</v>
      </c>
      <c r="AK1162" t="n">
        <v>1165.866</v>
      </c>
      <c r="AL1162" t="n">
        <v>-38429.8933</v>
      </c>
      <c r="AM1162" t="n">
        <v>80313.7009</v>
      </c>
      <c r="AN1162" t="n">
        <v>0.99</v>
      </c>
      <c r="AO1162" t="inlineStr">
        <is>
          <t>Low</t>
        </is>
      </c>
      <c r="AP1162" t="inlineStr">
        <is>
          <t>On Track</t>
        </is>
      </c>
    </row>
    <row r="1163">
      <c r="A1163" t="inlineStr">
        <is>
          <t>SUP-0073</t>
        </is>
      </c>
      <c r="B1163" t="inlineStr">
        <is>
          <t>Packaging Supplier 073</t>
        </is>
      </c>
      <c r="C1163" t="inlineStr">
        <is>
          <t>Packaging</t>
        </is>
      </c>
      <c r="D1163" t="n">
        <v>2024</v>
      </c>
      <c r="E1163" t="n">
        <v>2021</v>
      </c>
      <c r="F1163" t="n">
        <v>2030</v>
      </c>
      <c r="G1163" t="n">
        <v>16015.2073</v>
      </c>
      <c r="H1163" t="n">
        <v>3724.4673</v>
      </c>
      <c r="I1163" t="n">
        <v>3199.0057</v>
      </c>
      <c r="J1163" t="n">
        <v>8740.0867</v>
      </c>
      <c r="K1163" t="n">
        <v>14423624.23</v>
      </c>
      <c r="L1163" t="n">
        <v>120436061.57</v>
      </c>
      <c r="M1163" t="n">
        <v>16015.2073</v>
      </c>
      <c r="N1163" t="inlineStr">
        <is>
          <t>Provided Total Emissions</t>
        </is>
      </c>
      <c r="O1163" t="b">
        <v>1</v>
      </c>
      <c r="P1163" t="n">
        <v>-0.018171</v>
      </c>
      <c r="Q1163" t="n">
        <v>-0.002587</v>
      </c>
      <c r="R1163" t="n">
        <v>15581.8413</v>
      </c>
      <c r="S1163" t="n">
        <v>95079.4532</v>
      </c>
      <c r="T1163" t="n">
        <v>-433.366</v>
      </c>
      <c r="U1163" t="n">
        <v>79064.24589999999</v>
      </c>
      <c r="V1163" t="n">
        <v>-0.02706</v>
      </c>
      <c r="W1163" t="n">
        <v>4.936823</v>
      </c>
      <c r="X1163" t="inlineStr">
        <is>
          <t>High</t>
        </is>
      </c>
      <c r="Y1163" t="inlineStr">
        <is>
          <t>None</t>
        </is>
      </c>
      <c r="Z1163" t="inlineStr">
        <is>
          <t>Valid</t>
        </is>
      </c>
      <c r="AA1163" t="n">
        <v>2034</v>
      </c>
      <c r="AB1163" t="inlineStr">
        <is>
          <t>Supplier Target Pathway</t>
        </is>
      </c>
      <c r="AC1163" t="n">
        <v>17473.4283</v>
      </c>
      <c r="AD1163" t="n">
        <v>6980.6346</v>
      </c>
      <c r="AE1163" t="n">
        <v>6980.6346</v>
      </c>
      <c r="AF1163" t="n">
        <v>6980.6346</v>
      </c>
      <c r="AG1163" t="n">
        <v>10492.7937</v>
      </c>
      <c r="AH1163" t="n">
        <v>0.00048397</v>
      </c>
      <c r="AI1163" t="n">
        <v>0.6005</v>
      </c>
      <c r="AJ1163" t="n">
        <v>0</v>
      </c>
      <c r="AK1163" t="n">
        <v>1165.866</v>
      </c>
      <c r="AL1163" t="n">
        <v>-45410.5279</v>
      </c>
      <c r="AM1163" t="n">
        <v>87294.3355</v>
      </c>
      <c r="AN1163" t="n">
        <v>0.99</v>
      </c>
      <c r="AO1163" t="inlineStr">
        <is>
          <t>Low</t>
        </is>
      </c>
      <c r="AP1163" t="inlineStr">
        <is>
          <t>On Track</t>
        </is>
      </c>
    </row>
    <row r="1164">
      <c r="A1164" t="inlineStr">
        <is>
          <t>SUP-0073</t>
        </is>
      </c>
      <c r="B1164" t="inlineStr">
        <is>
          <t>Packaging Supplier 073</t>
        </is>
      </c>
      <c r="C1164" t="inlineStr">
        <is>
          <t>Packaging</t>
        </is>
      </c>
      <c r="D1164" t="n">
        <v>2024</v>
      </c>
      <c r="E1164" t="n">
        <v>2021</v>
      </c>
      <c r="F1164" t="n">
        <v>2030</v>
      </c>
      <c r="G1164" t="n">
        <v>16015.2073</v>
      </c>
      <c r="H1164" t="n">
        <v>3724.4673</v>
      </c>
      <c r="I1164" t="n">
        <v>3199.0057</v>
      </c>
      <c r="J1164" t="n">
        <v>8740.0867</v>
      </c>
      <c r="K1164" t="n">
        <v>14423624.23</v>
      </c>
      <c r="L1164" t="n">
        <v>120436061.57</v>
      </c>
      <c r="M1164" t="n">
        <v>16015.2073</v>
      </c>
      <c r="N1164" t="inlineStr">
        <is>
          <t>Provided Total Emissions</t>
        </is>
      </c>
      <c r="O1164" t="b">
        <v>1</v>
      </c>
      <c r="P1164" t="n">
        <v>-0.018171</v>
      </c>
      <c r="Q1164" t="n">
        <v>-0.002587</v>
      </c>
      <c r="R1164" t="n">
        <v>15581.8413</v>
      </c>
      <c r="S1164" t="n">
        <v>95079.4532</v>
      </c>
      <c r="T1164" t="n">
        <v>-433.366</v>
      </c>
      <c r="U1164" t="n">
        <v>79064.24589999999</v>
      </c>
      <c r="V1164" t="n">
        <v>-0.02706</v>
      </c>
      <c r="W1164" t="n">
        <v>4.936823</v>
      </c>
      <c r="X1164" t="inlineStr">
        <is>
          <t>High</t>
        </is>
      </c>
      <c r="Y1164" t="inlineStr">
        <is>
          <t>None</t>
        </is>
      </c>
      <c r="Z1164" t="inlineStr">
        <is>
          <t>Valid</t>
        </is>
      </c>
      <c r="AA1164" t="n">
        <v>2035</v>
      </c>
      <c r="AB1164" t="inlineStr">
        <is>
          <t>Supplier Target Pathway</t>
        </is>
      </c>
      <c r="AC1164" t="n">
        <v>17473.4283</v>
      </c>
      <c r="AD1164" t="n">
        <v>6980.6346</v>
      </c>
      <c r="AE1164" t="n">
        <v>6980.6346</v>
      </c>
      <c r="AF1164" t="n">
        <v>6980.6346</v>
      </c>
      <c r="AG1164" t="n">
        <v>10492.7937</v>
      </c>
      <c r="AH1164" t="n">
        <v>0.00048397</v>
      </c>
      <c r="AI1164" t="n">
        <v>0.6005</v>
      </c>
      <c r="AJ1164" t="n">
        <v>0</v>
      </c>
      <c r="AK1164" t="n">
        <v>1165.866</v>
      </c>
      <c r="AL1164" t="n">
        <v>-52391.1625</v>
      </c>
      <c r="AM1164" t="n">
        <v>94274.97010000001</v>
      </c>
      <c r="AN1164" t="n">
        <v>0.99</v>
      </c>
      <c r="AO1164" t="inlineStr">
        <is>
          <t>Low</t>
        </is>
      </c>
      <c r="AP1164" t="inlineStr">
        <is>
          <t>On Track</t>
        </is>
      </c>
    </row>
    <row r="1165">
      <c r="A1165" t="inlineStr">
        <is>
          <t>SUP-0073</t>
        </is>
      </c>
      <c r="B1165" t="inlineStr">
        <is>
          <t>Packaging Supplier 073</t>
        </is>
      </c>
      <c r="C1165" t="inlineStr">
        <is>
          <t>Packaging</t>
        </is>
      </c>
      <c r="D1165" t="n">
        <v>2024</v>
      </c>
      <c r="E1165" t="n">
        <v>2021</v>
      </c>
      <c r="F1165" t="n">
        <v>2030</v>
      </c>
      <c r="G1165" t="n">
        <v>16015.2073</v>
      </c>
      <c r="H1165" t="n">
        <v>3724.4673</v>
      </c>
      <c r="I1165" t="n">
        <v>3199.0057</v>
      </c>
      <c r="J1165" t="n">
        <v>8740.0867</v>
      </c>
      <c r="K1165" t="n">
        <v>14423624.23</v>
      </c>
      <c r="L1165" t="n">
        <v>120436061.57</v>
      </c>
      <c r="M1165" t="n">
        <v>16015.2073</v>
      </c>
      <c r="N1165" t="inlineStr">
        <is>
          <t>Provided Total Emissions</t>
        </is>
      </c>
      <c r="O1165" t="b">
        <v>1</v>
      </c>
      <c r="P1165" t="n">
        <v>-0.018171</v>
      </c>
      <c r="Q1165" t="n">
        <v>-0.002587</v>
      </c>
      <c r="R1165" t="n">
        <v>15581.8413</v>
      </c>
      <c r="S1165" t="n">
        <v>95079.4532</v>
      </c>
      <c r="T1165" t="n">
        <v>-433.366</v>
      </c>
      <c r="U1165" t="n">
        <v>79064.24589999999</v>
      </c>
      <c r="V1165" t="n">
        <v>-0.02706</v>
      </c>
      <c r="W1165" t="n">
        <v>4.936823</v>
      </c>
      <c r="X1165" t="inlineStr">
        <is>
          <t>High</t>
        </is>
      </c>
      <c r="Y1165" t="inlineStr">
        <is>
          <t>None</t>
        </is>
      </c>
      <c r="Z1165" t="inlineStr">
        <is>
          <t>Valid</t>
        </is>
      </c>
      <c r="AA1165" t="n">
        <v>2036</v>
      </c>
      <c r="AB1165" t="inlineStr">
        <is>
          <t>Supplier Target Pathway</t>
        </is>
      </c>
      <c r="AC1165" t="n">
        <v>17473.4283</v>
      </c>
      <c r="AD1165" t="n">
        <v>6980.6346</v>
      </c>
      <c r="AE1165" t="n">
        <v>6980.6346</v>
      </c>
      <c r="AF1165" t="n">
        <v>6980.6346</v>
      </c>
      <c r="AG1165" t="n">
        <v>10492.7937</v>
      </c>
      <c r="AH1165" t="n">
        <v>0.00048397</v>
      </c>
      <c r="AI1165" t="n">
        <v>0.6005</v>
      </c>
      <c r="AJ1165" t="n">
        <v>0</v>
      </c>
      <c r="AK1165" t="n">
        <v>1165.866</v>
      </c>
      <c r="AL1165" t="n">
        <v>-59371.7971</v>
      </c>
      <c r="AM1165" t="n">
        <v>101255.6047</v>
      </c>
      <c r="AN1165" t="n">
        <v>0.99</v>
      </c>
      <c r="AO1165" t="inlineStr">
        <is>
          <t>Low</t>
        </is>
      </c>
      <c r="AP1165" t="inlineStr">
        <is>
          <t>On Track</t>
        </is>
      </c>
    </row>
    <row r="1166">
      <c r="A1166" t="inlineStr">
        <is>
          <t>SUP-0073</t>
        </is>
      </c>
      <c r="B1166" t="inlineStr">
        <is>
          <t>Packaging Supplier 073</t>
        </is>
      </c>
      <c r="C1166" t="inlineStr">
        <is>
          <t>Packaging</t>
        </is>
      </c>
      <c r="D1166" t="n">
        <v>2024</v>
      </c>
      <c r="E1166" t="n">
        <v>2021</v>
      </c>
      <c r="F1166" t="n">
        <v>2030</v>
      </c>
      <c r="G1166" t="n">
        <v>16015.2073</v>
      </c>
      <c r="H1166" t="n">
        <v>3724.4673</v>
      </c>
      <c r="I1166" t="n">
        <v>3199.0057</v>
      </c>
      <c r="J1166" t="n">
        <v>8740.0867</v>
      </c>
      <c r="K1166" t="n">
        <v>14423624.23</v>
      </c>
      <c r="L1166" t="n">
        <v>120436061.57</v>
      </c>
      <c r="M1166" t="n">
        <v>16015.2073</v>
      </c>
      <c r="N1166" t="inlineStr">
        <is>
          <t>Provided Total Emissions</t>
        </is>
      </c>
      <c r="O1166" t="b">
        <v>1</v>
      </c>
      <c r="P1166" t="n">
        <v>-0.018171</v>
      </c>
      <c r="Q1166" t="n">
        <v>-0.002587</v>
      </c>
      <c r="R1166" t="n">
        <v>15581.8413</v>
      </c>
      <c r="S1166" t="n">
        <v>95079.4532</v>
      </c>
      <c r="T1166" t="n">
        <v>-433.366</v>
      </c>
      <c r="U1166" t="n">
        <v>79064.24589999999</v>
      </c>
      <c r="V1166" t="n">
        <v>-0.02706</v>
      </c>
      <c r="W1166" t="n">
        <v>4.936823</v>
      </c>
      <c r="X1166" t="inlineStr">
        <is>
          <t>High</t>
        </is>
      </c>
      <c r="Y1166" t="inlineStr">
        <is>
          <t>None</t>
        </is>
      </c>
      <c r="Z1166" t="inlineStr">
        <is>
          <t>Valid</t>
        </is>
      </c>
      <c r="AA1166" t="n">
        <v>2037</v>
      </c>
      <c r="AB1166" t="inlineStr">
        <is>
          <t>Supplier Target Pathway</t>
        </is>
      </c>
      <c r="AC1166" t="n">
        <v>17473.4283</v>
      </c>
      <c r="AD1166" t="n">
        <v>6980.6346</v>
      </c>
      <c r="AE1166" t="n">
        <v>6980.6346</v>
      </c>
      <c r="AF1166" t="n">
        <v>6980.6346</v>
      </c>
      <c r="AG1166" t="n">
        <v>10492.7937</v>
      </c>
      <c r="AH1166" t="n">
        <v>0.00048397</v>
      </c>
      <c r="AI1166" t="n">
        <v>0.6005</v>
      </c>
      <c r="AJ1166" t="n">
        <v>0</v>
      </c>
      <c r="AK1166" t="n">
        <v>1165.866</v>
      </c>
      <c r="AL1166" t="n">
        <v>-66352.4317</v>
      </c>
      <c r="AM1166" t="n">
        <v>108236.2393</v>
      </c>
      <c r="AN1166" t="n">
        <v>0.99</v>
      </c>
      <c r="AO1166" t="inlineStr">
        <is>
          <t>Low</t>
        </is>
      </c>
      <c r="AP1166" t="inlineStr">
        <is>
          <t>On Track</t>
        </is>
      </c>
    </row>
    <row r="1167">
      <c r="A1167" t="inlineStr">
        <is>
          <t>SUP-0073</t>
        </is>
      </c>
      <c r="B1167" t="inlineStr">
        <is>
          <t>Packaging Supplier 073</t>
        </is>
      </c>
      <c r="C1167" t="inlineStr">
        <is>
          <t>Packaging</t>
        </is>
      </c>
      <c r="D1167" t="n">
        <v>2024</v>
      </c>
      <c r="E1167" t="n">
        <v>2021</v>
      </c>
      <c r="F1167" t="n">
        <v>2030</v>
      </c>
      <c r="G1167" t="n">
        <v>16015.2073</v>
      </c>
      <c r="H1167" t="n">
        <v>3724.4673</v>
      </c>
      <c r="I1167" t="n">
        <v>3199.0057</v>
      </c>
      <c r="J1167" t="n">
        <v>8740.0867</v>
      </c>
      <c r="K1167" t="n">
        <v>14423624.23</v>
      </c>
      <c r="L1167" t="n">
        <v>120436061.57</v>
      </c>
      <c r="M1167" t="n">
        <v>16015.2073</v>
      </c>
      <c r="N1167" t="inlineStr">
        <is>
          <t>Provided Total Emissions</t>
        </is>
      </c>
      <c r="O1167" t="b">
        <v>1</v>
      </c>
      <c r="P1167" t="n">
        <v>-0.018171</v>
      </c>
      <c r="Q1167" t="n">
        <v>-0.002587</v>
      </c>
      <c r="R1167" t="n">
        <v>15581.8413</v>
      </c>
      <c r="S1167" t="n">
        <v>95079.4532</v>
      </c>
      <c r="T1167" t="n">
        <v>-433.366</v>
      </c>
      <c r="U1167" t="n">
        <v>79064.24589999999</v>
      </c>
      <c r="V1167" t="n">
        <v>-0.02706</v>
      </c>
      <c r="W1167" t="n">
        <v>4.936823</v>
      </c>
      <c r="X1167" t="inlineStr">
        <is>
          <t>High</t>
        </is>
      </c>
      <c r="Y1167" t="inlineStr">
        <is>
          <t>None</t>
        </is>
      </c>
      <c r="Z1167" t="inlineStr">
        <is>
          <t>Valid</t>
        </is>
      </c>
      <c r="AA1167" t="n">
        <v>2038</v>
      </c>
      <c r="AB1167" t="inlineStr">
        <is>
          <t>Supplier Target Pathway</t>
        </is>
      </c>
      <c r="AC1167" t="n">
        <v>17473.4283</v>
      </c>
      <c r="AD1167" t="n">
        <v>6980.6346</v>
      </c>
      <c r="AE1167" t="n">
        <v>6980.6346</v>
      </c>
      <c r="AF1167" t="n">
        <v>6980.6346</v>
      </c>
      <c r="AG1167" t="n">
        <v>10492.7937</v>
      </c>
      <c r="AH1167" t="n">
        <v>0.00048397</v>
      </c>
      <c r="AI1167" t="n">
        <v>0.6005</v>
      </c>
      <c r="AJ1167" t="n">
        <v>0</v>
      </c>
      <c r="AK1167" t="n">
        <v>1165.866</v>
      </c>
      <c r="AL1167" t="n">
        <v>-73333.06630000001</v>
      </c>
      <c r="AM1167" t="n">
        <v>115216.8739</v>
      </c>
      <c r="AN1167" t="n">
        <v>0.99</v>
      </c>
      <c r="AO1167" t="inlineStr">
        <is>
          <t>Low</t>
        </is>
      </c>
      <c r="AP1167" t="inlineStr">
        <is>
          <t>On Track</t>
        </is>
      </c>
    </row>
    <row r="1168">
      <c r="A1168" t="inlineStr">
        <is>
          <t>SUP-0073</t>
        </is>
      </c>
      <c r="B1168" t="inlineStr">
        <is>
          <t>Packaging Supplier 073</t>
        </is>
      </c>
      <c r="C1168" t="inlineStr">
        <is>
          <t>Packaging</t>
        </is>
      </c>
      <c r="D1168" t="n">
        <v>2024</v>
      </c>
      <c r="E1168" t="n">
        <v>2021</v>
      </c>
      <c r="F1168" t="n">
        <v>2030</v>
      </c>
      <c r="G1168" t="n">
        <v>16015.2073</v>
      </c>
      <c r="H1168" t="n">
        <v>3724.4673</v>
      </c>
      <c r="I1168" t="n">
        <v>3199.0057</v>
      </c>
      <c r="J1168" t="n">
        <v>8740.0867</v>
      </c>
      <c r="K1168" t="n">
        <v>14423624.23</v>
      </c>
      <c r="L1168" t="n">
        <v>120436061.57</v>
      </c>
      <c r="M1168" t="n">
        <v>16015.2073</v>
      </c>
      <c r="N1168" t="inlineStr">
        <is>
          <t>Provided Total Emissions</t>
        </is>
      </c>
      <c r="O1168" t="b">
        <v>1</v>
      </c>
      <c r="P1168" t="n">
        <v>-0.018171</v>
      </c>
      <c r="Q1168" t="n">
        <v>-0.002587</v>
      </c>
      <c r="R1168" t="n">
        <v>15581.8413</v>
      </c>
      <c r="S1168" t="n">
        <v>95079.4532</v>
      </c>
      <c r="T1168" t="n">
        <v>-433.366</v>
      </c>
      <c r="U1168" t="n">
        <v>79064.24589999999</v>
      </c>
      <c r="V1168" t="n">
        <v>-0.02706</v>
      </c>
      <c r="W1168" t="n">
        <v>4.936823</v>
      </c>
      <c r="X1168" t="inlineStr">
        <is>
          <t>High</t>
        </is>
      </c>
      <c r="Y1168" t="inlineStr">
        <is>
          <t>None</t>
        </is>
      </c>
      <c r="Z1168" t="inlineStr">
        <is>
          <t>Valid</t>
        </is>
      </c>
      <c r="AA1168" t="n">
        <v>2039</v>
      </c>
      <c r="AB1168" t="inlineStr">
        <is>
          <t>Supplier Target Pathway</t>
        </is>
      </c>
      <c r="AC1168" t="n">
        <v>17473.4283</v>
      </c>
      <c r="AD1168" t="n">
        <v>6980.6346</v>
      </c>
      <c r="AE1168" t="n">
        <v>6980.6346</v>
      </c>
      <c r="AF1168" t="n">
        <v>6980.6346</v>
      </c>
      <c r="AG1168" t="n">
        <v>10492.7937</v>
      </c>
      <c r="AH1168" t="n">
        <v>0.00048397</v>
      </c>
      <c r="AI1168" t="n">
        <v>0.6005</v>
      </c>
      <c r="AJ1168" t="n">
        <v>0</v>
      </c>
      <c r="AK1168" t="n">
        <v>1165.866</v>
      </c>
      <c r="AL1168" t="n">
        <v>-80313.7009</v>
      </c>
      <c r="AM1168" t="n">
        <v>122197.5085</v>
      </c>
      <c r="AN1168" t="n">
        <v>0.99</v>
      </c>
      <c r="AO1168" t="inlineStr">
        <is>
          <t>Low</t>
        </is>
      </c>
      <c r="AP1168" t="inlineStr">
        <is>
          <t>On Track</t>
        </is>
      </c>
    </row>
    <row r="1169">
      <c r="A1169" t="inlineStr">
        <is>
          <t>SUP-0073</t>
        </is>
      </c>
      <c r="B1169" t="inlineStr">
        <is>
          <t>Packaging Supplier 073</t>
        </is>
      </c>
      <c r="C1169" t="inlineStr">
        <is>
          <t>Packaging</t>
        </is>
      </c>
      <c r="D1169" t="n">
        <v>2024</v>
      </c>
      <c r="E1169" t="n">
        <v>2021</v>
      </c>
      <c r="F1169" t="n">
        <v>2030</v>
      </c>
      <c r="G1169" t="n">
        <v>16015.2073</v>
      </c>
      <c r="H1169" t="n">
        <v>3724.4673</v>
      </c>
      <c r="I1169" t="n">
        <v>3199.0057</v>
      </c>
      <c r="J1169" t="n">
        <v>8740.0867</v>
      </c>
      <c r="K1169" t="n">
        <v>14423624.23</v>
      </c>
      <c r="L1169" t="n">
        <v>120436061.57</v>
      </c>
      <c r="M1169" t="n">
        <v>16015.2073</v>
      </c>
      <c r="N1169" t="inlineStr">
        <is>
          <t>Provided Total Emissions</t>
        </is>
      </c>
      <c r="O1169" t="b">
        <v>1</v>
      </c>
      <c r="P1169" t="n">
        <v>-0.018171</v>
      </c>
      <c r="Q1169" t="n">
        <v>-0.002587</v>
      </c>
      <c r="R1169" t="n">
        <v>15581.8413</v>
      </c>
      <c r="S1169" t="n">
        <v>95079.4532</v>
      </c>
      <c r="T1169" t="n">
        <v>-433.366</v>
      </c>
      <c r="U1169" t="n">
        <v>79064.24589999999</v>
      </c>
      <c r="V1169" t="n">
        <v>-0.02706</v>
      </c>
      <c r="W1169" t="n">
        <v>4.936823</v>
      </c>
      <c r="X1169" t="inlineStr">
        <is>
          <t>High</t>
        </is>
      </c>
      <c r="Y1169" t="inlineStr">
        <is>
          <t>None</t>
        </is>
      </c>
      <c r="Z1169" t="inlineStr">
        <is>
          <t>Valid</t>
        </is>
      </c>
      <c r="AA1169" t="n">
        <v>2040</v>
      </c>
      <c r="AB1169" t="inlineStr">
        <is>
          <t>Supplier Target Pathway</t>
        </is>
      </c>
      <c r="AC1169" t="n">
        <v>17473.4283</v>
      </c>
      <c r="AD1169" t="n">
        <v>6980.6346</v>
      </c>
      <c r="AE1169" t="n">
        <v>6980.6346</v>
      </c>
      <c r="AF1169" t="n">
        <v>6980.6346</v>
      </c>
      <c r="AG1169" t="n">
        <v>10492.7937</v>
      </c>
      <c r="AH1169" t="n">
        <v>0.00048397</v>
      </c>
      <c r="AI1169" t="n">
        <v>0.6005</v>
      </c>
      <c r="AJ1169" t="n">
        <v>0</v>
      </c>
      <c r="AK1169" t="n">
        <v>1165.866</v>
      </c>
      <c r="AL1169" t="n">
        <v>-87294.3355</v>
      </c>
      <c r="AM1169" t="n">
        <v>129178.1431</v>
      </c>
      <c r="AN1169" t="n">
        <v>0.99</v>
      </c>
      <c r="AO1169" t="inlineStr">
        <is>
          <t>Low</t>
        </is>
      </c>
      <c r="AP1169" t="inlineStr">
        <is>
          <t>On Track</t>
        </is>
      </c>
    </row>
    <row r="1170">
      <c r="A1170" t="inlineStr">
        <is>
          <t>SUP-0074</t>
        </is>
      </c>
      <c r="B1170" t="inlineStr">
        <is>
          <t>Agriculture Supplier 074</t>
        </is>
      </c>
      <c r="C1170" t="inlineStr">
        <is>
          <t>Agriculture</t>
        </is>
      </c>
      <c r="D1170" t="n">
        <v>2024</v>
      </c>
      <c r="E1170" t="n">
        <v>2020</v>
      </c>
      <c r="F1170" t="n">
        <v>2040</v>
      </c>
      <c r="G1170" t="n">
        <v>30189.7905</v>
      </c>
      <c r="H1170" t="n">
        <v>8412.352199999999</v>
      </c>
      <c r="I1170" t="n">
        <v>3688.8515</v>
      </c>
      <c r="J1170" t="n">
        <v>18908.2226</v>
      </c>
      <c r="K1170" t="n">
        <v>24196428.53</v>
      </c>
      <c r="L1170" t="n">
        <v>112116291.4</v>
      </c>
      <c r="M1170" t="n">
        <v>30189.7905</v>
      </c>
      <c r="N1170" t="inlineStr">
        <is>
          <t>Provided Total Emissions</t>
        </is>
      </c>
      <c r="O1170" t="b">
        <v>1</v>
      </c>
      <c r="P1170" t="n">
        <v>0.015781</v>
      </c>
      <c r="Q1170" t="n">
        <v>0.010289</v>
      </c>
      <c r="R1170" t="n">
        <v>22118.6812</v>
      </c>
      <c r="S1170" t="n">
        <v>108655.2615</v>
      </c>
      <c r="T1170" t="n">
        <v>-8071.1093</v>
      </c>
      <c r="U1170" t="n">
        <v>78465.47100000001</v>
      </c>
      <c r="V1170" t="n">
        <v>-0.267346</v>
      </c>
      <c r="W1170" t="n">
        <v>2.599073</v>
      </c>
      <c r="X1170" t="inlineStr">
        <is>
          <t>High</t>
        </is>
      </c>
      <c r="Y1170" t="inlineStr">
        <is>
          <t>None</t>
        </is>
      </c>
      <c r="Z1170" t="inlineStr">
        <is>
          <t>Valid</t>
        </is>
      </c>
      <c r="AA1170" t="n">
        <v>2025</v>
      </c>
      <c r="AB1170" t="inlineStr">
        <is>
          <t>Supplier Target Pathway</t>
        </is>
      </c>
      <c r="AC1170" t="n">
        <v>26164.4453</v>
      </c>
      <c r="AD1170" t="n">
        <v>10955.0532</v>
      </c>
      <c r="AE1170" t="n">
        <v>22362.0973</v>
      </c>
      <c r="AF1170" t="n">
        <v>22362.0973</v>
      </c>
      <c r="AG1170" t="n">
        <v>3802.348</v>
      </c>
      <c r="AH1170" t="n">
        <v>0.00092419</v>
      </c>
      <c r="AI1170" t="n">
        <v>0.145325</v>
      </c>
      <c r="AJ1170" t="n">
        <v>11407.044</v>
      </c>
      <c r="AK1170" t="n">
        <v>760.4696</v>
      </c>
      <c r="AL1170" t="n">
        <v>152918.7539</v>
      </c>
      <c r="AM1170" t="n">
        <v>22362.0973</v>
      </c>
      <c r="AN1170" t="n">
        <v>0.99</v>
      </c>
      <c r="AO1170" t="inlineStr">
        <is>
          <t>Critical</t>
        </is>
      </c>
      <c r="AP1170" t="inlineStr">
        <is>
          <t>On Track to Glide Path</t>
        </is>
      </c>
    </row>
    <row r="1171">
      <c r="A1171" t="inlineStr">
        <is>
          <t>SUP-0074</t>
        </is>
      </c>
      <c r="B1171" t="inlineStr">
        <is>
          <t>Agriculture Supplier 074</t>
        </is>
      </c>
      <c r="C1171" t="inlineStr">
        <is>
          <t>Agriculture</t>
        </is>
      </c>
      <c r="D1171" t="n">
        <v>2024</v>
      </c>
      <c r="E1171" t="n">
        <v>2020</v>
      </c>
      <c r="F1171" t="n">
        <v>2040</v>
      </c>
      <c r="G1171" t="n">
        <v>30189.7905</v>
      </c>
      <c r="H1171" t="n">
        <v>8412.352199999999</v>
      </c>
      <c r="I1171" t="n">
        <v>3688.8515</v>
      </c>
      <c r="J1171" t="n">
        <v>18908.2226</v>
      </c>
      <c r="K1171" t="n">
        <v>24196428.53</v>
      </c>
      <c r="L1171" t="n">
        <v>112116291.4</v>
      </c>
      <c r="M1171" t="n">
        <v>30189.7905</v>
      </c>
      <c r="N1171" t="inlineStr">
        <is>
          <t>Provided Total Emissions</t>
        </is>
      </c>
      <c r="O1171" t="b">
        <v>1</v>
      </c>
      <c r="P1171" t="n">
        <v>0.015781</v>
      </c>
      <c r="Q1171" t="n">
        <v>0.010289</v>
      </c>
      <c r="R1171" t="n">
        <v>22118.6812</v>
      </c>
      <c r="S1171" t="n">
        <v>108655.2615</v>
      </c>
      <c r="T1171" t="n">
        <v>-8071.1093</v>
      </c>
      <c r="U1171" t="n">
        <v>78465.47100000001</v>
      </c>
      <c r="V1171" t="n">
        <v>-0.267346</v>
      </c>
      <c r="W1171" t="n">
        <v>2.599073</v>
      </c>
      <c r="X1171" t="inlineStr">
        <is>
          <t>High</t>
        </is>
      </c>
      <c r="Y1171" t="inlineStr">
        <is>
          <t>None</t>
        </is>
      </c>
      <c r="Z1171" t="inlineStr">
        <is>
          <t>Valid</t>
        </is>
      </c>
      <c r="AA1171" t="n">
        <v>2026</v>
      </c>
      <c r="AB1171" t="inlineStr">
        <is>
          <t>Supplier Target Pathway</t>
        </is>
      </c>
      <c r="AC1171" t="n">
        <v>26164.4453</v>
      </c>
      <c r="AD1171" t="n">
        <v>10955.0532</v>
      </c>
      <c r="AE1171" t="n">
        <v>21601.6277</v>
      </c>
      <c r="AF1171" t="n">
        <v>21601.6277</v>
      </c>
      <c r="AG1171" t="n">
        <v>4562.8176</v>
      </c>
      <c r="AH1171" t="n">
        <v>0.00089276</v>
      </c>
      <c r="AI1171" t="n">
        <v>0.17439</v>
      </c>
      <c r="AJ1171" t="n">
        <v>10646.5744</v>
      </c>
      <c r="AK1171" t="n">
        <v>760.4696</v>
      </c>
      <c r="AL1171" t="n">
        <v>131317.1262</v>
      </c>
      <c r="AM1171" t="n">
        <v>43963.725</v>
      </c>
      <c r="AN1171" t="n">
        <v>0.99</v>
      </c>
      <c r="AO1171" t="inlineStr">
        <is>
          <t>Critical</t>
        </is>
      </c>
      <c r="AP1171" t="inlineStr">
        <is>
          <t>On Track to Glide Path</t>
        </is>
      </c>
    </row>
    <row r="1172">
      <c r="A1172" t="inlineStr">
        <is>
          <t>SUP-0074</t>
        </is>
      </c>
      <c r="B1172" t="inlineStr">
        <is>
          <t>Agriculture Supplier 074</t>
        </is>
      </c>
      <c r="C1172" t="inlineStr">
        <is>
          <t>Agriculture</t>
        </is>
      </c>
      <c r="D1172" t="n">
        <v>2024</v>
      </c>
      <c r="E1172" t="n">
        <v>2020</v>
      </c>
      <c r="F1172" t="n">
        <v>2040</v>
      </c>
      <c r="G1172" t="n">
        <v>30189.7905</v>
      </c>
      <c r="H1172" t="n">
        <v>8412.352199999999</v>
      </c>
      <c r="I1172" t="n">
        <v>3688.8515</v>
      </c>
      <c r="J1172" t="n">
        <v>18908.2226</v>
      </c>
      <c r="K1172" t="n">
        <v>24196428.53</v>
      </c>
      <c r="L1172" t="n">
        <v>112116291.4</v>
      </c>
      <c r="M1172" t="n">
        <v>30189.7905</v>
      </c>
      <c r="N1172" t="inlineStr">
        <is>
          <t>Provided Total Emissions</t>
        </is>
      </c>
      <c r="O1172" t="b">
        <v>1</v>
      </c>
      <c r="P1172" t="n">
        <v>0.015781</v>
      </c>
      <c r="Q1172" t="n">
        <v>0.010289</v>
      </c>
      <c r="R1172" t="n">
        <v>22118.6812</v>
      </c>
      <c r="S1172" t="n">
        <v>108655.2615</v>
      </c>
      <c r="T1172" t="n">
        <v>-8071.1093</v>
      </c>
      <c r="U1172" t="n">
        <v>78465.47100000001</v>
      </c>
      <c r="V1172" t="n">
        <v>-0.267346</v>
      </c>
      <c r="W1172" t="n">
        <v>2.599073</v>
      </c>
      <c r="X1172" t="inlineStr">
        <is>
          <t>High</t>
        </is>
      </c>
      <c r="Y1172" t="inlineStr">
        <is>
          <t>None</t>
        </is>
      </c>
      <c r="Z1172" t="inlineStr">
        <is>
          <t>Valid</t>
        </is>
      </c>
      <c r="AA1172" t="n">
        <v>2027</v>
      </c>
      <c r="AB1172" t="inlineStr">
        <is>
          <t>Supplier Target Pathway</t>
        </is>
      </c>
      <c r="AC1172" t="n">
        <v>26164.4453</v>
      </c>
      <c r="AD1172" t="n">
        <v>10955.0532</v>
      </c>
      <c r="AE1172" t="n">
        <v>20841.1581</v>
      </c>
      <c r="AF1172" t="n">
        <v>20841.1581</v>
      </c>
      <c r="AG1172" t="n">
        <v>5323.2872</v>
      </c>
      <c r="AH1172" t="n">
        <v>0.00086133</v>
      </c>
      <c r="AI1172" t="n">
        <v>0.203455</v>
      </c>
      <c r="AJ1172" t="n">
        <v>9886.104799999999</v>
      </c>
      <c r="AK1172" t="n">
        <v>760.4696</v>
      </c>
      <c r="AL1172" t="n">
        <v>110475.9681</v>
      </c>
      <c r="AM1172" t="n">
        <v>64804.8831</v>
      </c>
      <c r="AN1172" t="n">
        <v>0.99</v>
      </c>
      <c r="AO1172" t="inlineStr">
        <is>
          <t>Critical</t>
        </is>
      </c>
      <c r="AP1172" t="inlineStr">
        <is>
          <t>On Track to Glide Path</t>
        </is>
      </c>
    </row>
    <row r="1173">
      <c r="A1173" t="inlineStr">
        <is>
          <t>SUP-0074</t>
        </is>
      </c>
      <c r="B1173" t="inlineStr">
        <is>
          <t>Agriculture Supplier 074</t>
        </is>
      </c>
      <c r="C1173" t="inlineStr">
        <is>
          <t>Agriculture</t>
        </is>
      </c>
      <c r="D1173" t="n">
        <v>2024</v>
      </c>
      <c r="E1173" t="n">
        <v>2020</v>
      </c>
      <c r="F1173" t="n">
        <v>2040</v>
      </c>
      <c r="G1173" t="n">
        <v>30189.7905</v>
      </c>
      <c r="H1173" t="n">
        <v>8412.352199999999</v>
      </c>
      <c r="I1173" t="n">
        <v>3688.8515</v>
      </c>
      <c r="J1173" t="n">
        <v>18908.2226</v>
      </c>
      <c r="K1173" t="n">
        <v>24196428.53</v>
      </c>
      <c r="L1173" t="n">
        <v>112116291.4</v>
      </c>
      <c r="M1173" t="n">
        <v>30189.7905</v>
      </c>
      <c r="N1173" t="inlineStr">
        <is>
          <t>Provided Total Emissions</t>
        </is>
      </c>
      <c r="O1173" t="b">
        <v>1</v>
      </c>
      <c r="P1173" t="n">
        <v>0.015781</v>
      </c>
      <c r="Q1173" t="n">
        <v>0.010289</v>
      </c>
      <c r="R1173" t="n">
        <v>22118.6812</v>
      </c>
      <c r="S1173" t="n">
        <v>108655.2615</v>
      </c>
      <c r="T1173" t="n">
        <v>-8071.1093</v>
      </c>
      <c r="U1173" t="n">
        <v>78465.47100000001</v>
      </c>
      <c r="V1173" t="n">
        <v>-0.267346</v>
      </c>
      <c r="W1173" t="n">
        <v>2.599073</v>
      </c>
      <c r="X1173" t="inlineStr">
        <is>
          <t>High</t>
        </is>
      </c>
      <c r="Y1173" t="inlineStr">
        <is>
          <t>None</t>
        </is>
      </c>
      <c r="Z1173" t="inlineStr">
        <is>
          <t>Valid</t>
        </is>
      </c>
      <c r="AA1173" t="n">
        <v>2028</v>
      </c>
      <c r="AB1173" t="inlineStr">
        <is>
          <t>Supplier Target Pathway</t>
        </is>
      </c>
      <c r="AC1173" t="n">
        <v>26164.4453</v>
      </c>
      <c r="AD1173" t="n">
        <v>10955.0532</v>
      </c>
      <c r="AE1173" t="n">
        <v>20080.6885</v>
      </c>
      <c r="AF1173" t="n">
        <v>20080.6885</v>
      </c>
      <c r="AG1173" t="n">
        <v>6083.7568</v>
      </c>
      <c r="AH1173" t="n">
        <v>0.0008299</v>
      </c>
      <c r="AI1173" t="n">
        <v>0.23252</v>
      </c>
      <c r="AJ1173" t="n">
        <v>9125.635200000001</v>
      </c>
      <c r="AK1173" t="n">
        <v>760.4696</v>
      </c>
      <c r="AL1173" t="n">
        <v>90395.27959999999</v>
      </c>
      <c r="AM1173" t="n">
        <v>84885.5716</v>
      </c>
      <c r="AN1173" t="n">
        <v>0.99</v>
      </c>
      <c r="AO1173" t="inlineStr">
        <is>
          <t>Critical</t>
        </is>
      </c>
      <c r="AP1173" t="inlineStr">
        <is>
          <t>On Track to Glide Path</t>
        </is>
      </c>
    </row>
    <row r="1174">
      <c r="A1174" t="inlineStr">
        <is>
          <t>SUP-0074</t>
        </is>
      </c>
      <c r="B1174" t="inlineStr">
        <is>
          <t>Agriculture Supplier 074</t>
        </is>
      </c>
      <c r="C1174" t="inlineStr">
        <is>
          <t>Agriculture</t>
        </is>
      </c>
      <c r="D1174" t="n">
        <v>2024</v>
      </c>
      <c r="E1174" t="n">
        <v>2020</v>
      </c>
      <c r="F1174" t="n">
        <v>2040</v>
      </c>
      <c r="G1174" t="n">
        <v>30189.7905</v>
      </c>
      <c r="H1174" t="n">
        <v>8412.352199999999</v>
      </c>
      <c r="I1174" t="n">
        <v>3688.8515</v>
      </c>
      <c r="J1174" t="n">
        <v>18908.2226</v>
      </c>
      <c r="K1174" t="n">
        <v>24196428.53</v>
      </c>
      <c r="L1174" t="n">
        <v>112116291.4</v>
      </c>
      <c r="M1174" t="n">
        <v>30189.7905</v>
      </c>
      <c r="N1174" t="inlineStr">
        <is>
          <t>Provided Total Emissions</t>
        </is>
      </c>
      <c r="O1174" t="b">
        <v>1</v>
      </c>
      <c r="P1174" t="n">
        <v>0.015781</v>
      </c>
      <c r="Q1174" t="n">
        <v>0.010289</v>
      </c>
      <c r="R1174" t="n">
        <v>22118.6812</v>
      </c>
      <c r="S1174" t="n">
        <v>108655.2615</v>
      </c>
      <c r="T1174" t="n">
        <v>-8071.1093</v>
      </c>
      <c r="U1174" t="n">
        <v>78465.47100000001</v>
      </c>
      <c r="V1174" t="n">
        <v>-0.267346</v>
      </c>
      <c r="W1174" t="n">
        <v>2.599073</v>
      </c>
      <c r="X1174" t="inlineStr">
        <is>
          <t>High</t>
        </is>
      </c>
      <c r="Y1174" t="inlineStr">
        <is>
          <t>None</t>
        </is>
      </c>
      <c r="Z1174" t="inlineStr">
        <is>
          <t>Valid</t>
        </is>
      </c>
      <c r="AA1174" t="n">
        <v>2029</v>
      </c>
      <c r="AB1174" t="inlineStr">
        <is>
          <t>Supplier Target Pathway</t>
        </is>
      </c>
      <c r="AC1174" t="n">
        <v>26164.4453</v>
      </c>
      <c r="AD1174" t="n">
        <v>10955.0532</v>
      </c>
      <c r="AE1174" t="n">
        <v>19320.2189</v>
      </c>
      <c r="AF1174" t="n">
        <v>19320.2189</v>
      </c>
      <c r="AG1174" t="n">
        <v>6844.2264</v>
      </c>
      <c r="AH1174" t="n">
        <v>0.00079847</v>
      </c>
      <c r="AI1174" t="n">
        <v>0.261585</v>
      </c>
      <c r="AJ1174" t="n">
        <v>8365.1656</v>
      </c>
      <c r="AK1174" t="n">
        <v>760.4696</v>
      </c>
      <c r="AL1174" t="n">
        <v>71075.0607</v>
      </c>
      <c r="AM1174" t="n">
        <v>104205.7905</v>
      </c>
      <c r="AN1174" t="n">
        <v>0.99</v>
      </c>
      <c r="AO1174" t="inlineStr">
        <is>
          <t>Critical</t>
        </is>
      </c>
      <c r="AP1174" t="inlineStr">
        <is>
          <t>On Track to Glide Path</t>
        </is>
      </c>
    </row>
    <row r="1175">
      <c r="A1175" t="inlineStr">
        <is>
          <t>SUP-0074</t>
        </is>
      </c>
      <c r="B1175" t="inlineStr">
        <is>
          <t>Agriculture Supplier 074</t>
        </is>
      </c>
      <c r="C1175" t="inlineStr">
        <is>
          <t>Agriculture</t>
        </is>
      </c>
      <c r="D1175" t="n">
        <v>2024</v>
      </c>
      <c r="E1175" t="n">
        <v>2020</v>
      </c>
      <c r="F1175" t="n">
        <v>2040</v>
      </c>
      <c r="G1175" t="n">
        <v>30189.7905</v>
      </c>
      <c r="H1175" t="n">
        <v>8412.352199999999</v>
      </c>
      <c r="I1175" t="n">
        <v>3688.8515</v>
      </c>
      <c r="J1175" t="n">
        <v>18908.2226</v>
      </c>
      <c r="K1175" t="n">
        <v>24196428.53</v>
      </c>
      <c r="L1175" t="n">
        <v>112116291.4</v>
      </c>
      <c r="M1175" t="n">
        <v>30189.7905</v>
      </c>
      <c r="N1175" t="inlineStr">
        <is>
          <t>Provided Total Emissions</t>
        </is>
      </c>
      <c r="O1175" t="b">
        <v>1</v>
      </c>
      <c r="P1175" t="n">
        <v>0.015781</v>
      </c>
      <c r="Q1175" t="n">
        <v>0.010289</v>
      </c>
      <c r="R1175" t="n">
        <v>22118.6812</v>
      </c>
      <c r="S1175" t="n">
        <v>108655.2615</v>
      </c>
      <c r="T1175" t="n">
        <v>-8071.1093</v>
      </c>
      <c r="U1175" t="n">
        <v>78465.47100000001</v>
      </c>
      <c r="V1175" t="n">
        <v>-0.267346</v>
      </c>
      <c r="W1175" t="n">
        <v>2.599073</v>
      </c>
      <c r="X1175" t="inlineStr">
        <is>
          <t>High</t>
        </is>
      </c>
      <c r="Y1175" t="inlineStr">
        <is>
          <t>None</t>
        </is>
      </c>
      <c r="Z1175" t="inlineStr">
        <is>
          <t>Valid</t>
        </is>
      </c>
      <c r="AA1175" t="n">
        <v>2030</v>
      </c>
      <c r="AB1175" t="inlineStr">
        <is>
          <t>Supplier Target Pathway</t>
        </is>
      </c>
      <c r="AC1175" t="n">
        <v>26164.4453</v>
      </c>
      <c r="AD1175" t="n">
        <v>10955.0532</v>
      </c>
      <c r="AE1175" t="n">
        <v>18559.7493</v>
      </c>
      <c r="AF1175" t="n">
        <v>18559.7493</v>
      </c>
      <c r="AG1175" t="n">
        <v>7604.696</v>
      </c>
      <c r="AH1175" t="n">
        <v>0.00076704</v>
      </c>
      <c r="AI1175" t="n">
        <v>0.29065</v>
      </c>
      <c r="AJ1175" t="n">
        <v>7604.696</v>
      </c>
      <c r="AK1175" t="n">
        <v>760.4696</v>
      </c>
      <c r="AL1175" t="n">
        <v>52515.3114</v>
      </c>
      <c r="AM1175" t="n">
        <v>122765.5398</v>
      </c>
      <c r="AN1175" t="n">
        <v>0.99</v>
      </c>
      <c r="AO1175" t="inlineStr">
        <is>
          <t>Critical</t>
        </is>
      </c>
      <c r="AP1175" t="inlineStr">
        <is>
          <t>On Track to Glide Path</t>
        </is>
      </c>
    </row>
    <row r="1176">
      <c r="A1176" t="inlineStr">
        <is>
          <t>SUP-0074</t>
        </is>
      </c>
      <c r="B1176" t="inlineStr">
        <is>
          <t>Agriculture Supplier 074</t>
        </is>
      </c>
      <c r="C1176" t="inlineStr">
        <is>
          <t>Agriculture</t>
        </is>
      </c>
      <c r="D1176" t="n">
        <v>2024</v>
      </c>
      <c r="E1176" t="n">
        <v>2020</v>
      </c>
      <c r="F1176" t="n">
        <v>2040</v>
      </c>
      <c r="G1176" t="n">
        <v>30189.7905</v>
      </c>
      <c r="H1176" t="n">
        <v>8412.352199999999</v>
      </c>
      <c r="I1176" t="n">
        <v>3688.8515</v>
      </c>
      <c r="J1176" t="n">
        <v>18908.2226</v>
      </c>
      <c r="K1176" t="n">
        <v>24196428.53</v>
      </c>
      <c r="L1176" t="n">
        <v>112116291.4</v>
      </c>
      <c r="M1176" t="n">
        <v>30189.7905</v>
      </c>
      <c r="N1176" t="inlineStr">
        <is>
          <t>Provided Total Emissions</t>
        </is>
      </c>
      <c r="O1176" t="b">
        <v>1</v>
      </c>
      <c r="P1176" t="n">
        <v>0.015781</v>
      </c>
      <c r="Q1176" t="n">
        <v>0.010289</v>
      </c>
      <c r="R1176" t="n">
        <v>22118.6812</v>
      </c>
      <c r="S1176" t="n">
        <v>108655.2615</v>
      </c>
      <c r="T1176" t="n">
        <v>-8071.1093</v>
      </c>
      <c r="U1176" t="n">
        <v>78465.47100000001</v>
      </c>
      <c r="V1176" t="n">
        <v>-0.267346</v>
      </c>
      <c r="W1176" t="n">
        <v>2.599073</v>
      </c>
      <c r="X1176" t="inlineStr">
        <is>
          <t>High</t>
        </is>
      </c>
      <c r="Y1176" t="inlineStr">
        <is>
          <t>None</t>
        </is>
      </c>
      <c r="Z1176" t="inlineStr">
        <is>
          <t>Valid</t>
        </is>
      </c>
      <c r="AA1176" t="n">
        <v>2031</v>
      </c>
      <c r="AB1176" t="inlineStr">
        <is>
          <t>Supplier Target Pathway</t>
        </is>
      </c>
      <c r="AC1176" t="n">
        <v>26164.4453</v>
      </c>
      <c r="AD1176" t="n">
        <v>10955.0532</v>
      </c>
      <c r="AE1176" t="n">
        <v>17799.2797</v>
      </c>
      <c r="AF1176" t="n">
        <v>17799.2797</v>
      </c>
      <c r="AG1176" t="n">
        <v>8365.1656</v>
      </c>
      <c r="AH1176" t="n">
        <v>0.00073562</v>
      </c>
      <c r="AI1176" t="n">
        <v>0.319715</v>
      </c>
      <c r="AJ1176" t="n">
        <v>6844.2264</v>
      </c>
      <c r="AK1176" t="n">
        <v>760.4696</v>
      </c>
      <c r="AL1176" t="n">
        <v>34716.0317</v>
      </c>
      <c r="AM1176" t="n">
        <v>140564.8195</v>
      </c>
      <c r="AN1176" t="n">
        <v>0.99</v>
      </c>
      <c r="AO1176" t="inlineStr">
        <is>
          <t>Critical</t>
        </is>
      </c>
      <c r="AP1176" t="inlineStr">
        <is>
          <t>On Track to Glide Path</t>
        </is>
      </c>
    </row>
    <row r="1177">
      <c r="A1177" t="inlineStr">
        <is>
          <t>SUP-0074</t>
        </is>
      </c>
      <c r="B1177" t="inlineStr">
        <is>
          <t>Agriculture Supplier 074</t>
        </is>
      </c>
      <c r="C1177" t="inlineStr">
        <is>
          <t>Agriculture</t>
        </is>
      </c>
      <c r="D1177" t="n">
        <v>2024</v>
      </c>
      <c r="E1177" t="n">
        <v>2020</v>
      </c>
      <c r="F1177" t="n">
        <v>2040</v>
      </c>
      <c r="G1177" t="n">
        <v>30189.7905</v>
      </c>
      <c r="H1177" t="n">
        <v>8412.352199999999</v>
      </c>
      <c r="I1177" t="n">
        <v>3688.8515</v>
      </c>
      <c r="J1177" t="n">
        <v>18908.2226</v>
      </c>
      <c r="K1177" t="n">
        <v>24196428.53</v>
      </c>
      <c r="L1177" t="n">
        <v>112116291.4</v>
      </c>
      <c r="M1177" t="n">
        <v>30189.7905</v>
      </c>
      <c r="N1177" t="inlineStr">
        <is>
          <t>Provided Total Emissions</t>
        </is>
      </c>
      <c r="O1177" t="b">
        <v>1</v>
      </c>
      <c r="P1177" t="n">
        <v>0.015781</v>
      </c>
      <c r="Q1177" t="n">
        <v>0.010289</v>
      </c>
      <c r="R1177" t="n">
        <v>22118.6812</v>
      </c>
      <c r="S1177" t="n">
        <v>108655.2615</v>
      </c>
      <c r="T1177" t="n">
        <v>-8071.1093</v>
      </c>
      <c r="U1177" t="n">
        <v>78465.47100000001</v>
      </c>
      <c r="V1177" t="n">
        <v>-0.267346</v>
      </c>
      <c r="W1177" t="n">
        <v>2.599073</v>
      </c>
      <c r="X1177" t="inlineStr">
        <is>
          <t>High</t>
        </is>
      </c>
      <c r="Y1177" t="inlineStr">
        <is>
          <t>None</t>
        </is>
      </c>
      <c r="Z1177" t="inlineStr">
        <is>
          <t>Valid</t>
        </is>
      </c>
      <c r="AA1177" t="n">
        <v>2032</v>
      </c>
      <c r="AB1177" t="inlineStr">
        <is>
          <t>Supplier Target Pathway</t>
        </is>
      </c>
      <c r="AC1177" t="n">
        <v>26164.4453</v>
      </c>
      <c r="AD1177" t="n">
        <v>10955.0532</v>
      </c>
      <c r="AE1177" t="n">
        <v>17038.8101</v>
      </c>
      <c r="AF1177" t="n">
        <v>17038.8101</v>
      </c>
      <c r="AG1177" t="n">
        <v>9125.635200000001</v>
      </c>
      <c r="AH1177" t="n">
        <v>0.00070419</v>
      </c>
      <c r="AI1177" t="n">
        <v>0.34878</v>
      </c>
      <c r="AJ1177" t="n">
        <v>6083.7568</v>
      </c>
      <c r="AK1177" t="n">
        <v>760.4696</v>
      </c>
      <c r="AL1177" t="n">
        <v>17677.2216</v>
      </c>
      <c r="AM1177" t="n">
        <v>157603.6296</v>
      </c>
      <c r="AN1177" t="n">
        <v>0.99</v>
      </c>
      <c r="AO1177" t="inlineStr">
        <is>
          <t>Critical</t>
        </is>
      </c>
      <c r="AP1177" t="inlineStr">
        <is>
          <t>On Track to Glide Path</t>
        </is>
      </c>
    </row>
    <row r="1178">
      <c r="A1178" t="inlineStr">
        <is>
          <t>SUP-0074</t>
        </is>
      </c>
      <c r="B1178" t="inlineStr">
        <is>
          <t>Agriculture Supplier 074</t>
        </is>
      </c>
      <c r="C1178" t="inlineStr">
        <is>
          <t>Agriculture</t>
        </is>
      </c>
      <c r="D1178" t="n">
        <v>2024</v>
      </c>
      <c r="E1178" t="n">
        <v>2020</v>
      </c>
      <c r="F1178" t="n">
        <v>2040</v>
      </c>
      <c r="G1178" t="n">
        <v>30189.7905</v>
      </c>
      <c r="H1178" t="n">
        <v>8412.352199999999</v>
      </c>
      <c r="I1178" t="n">
        <v>3688.8515</v>
      </c>
      <c r="J1178" t="n">
        <v>18908.2226</v>
      </c>
      <c r="K1178" t="n">
        <v>24196428.53</v>
      </c>
      <c r="L1178" t="n">
        <v>112116291.4</v>
      </c>
      <c r="M1178" t="n">
        <v>30189.7905</v>
      </c>
      <c r="N1178" t="inlineStr">
        <is>
          <t>Provided Total Emissions</t>
        </is>
      </c>
      <c r="O1178" t="b">
        <v>1</v>
      </c>
      <c r="P1178" t="n">
        <v>0.015781</v>
      </c>
      <c r="Q1178" t="n">
        <v>0.010289</v>
      </c>
      <c r="R1178" t="n">
        <v>22118.6812</v>
      </c>
      <c r="S1178" t="n">
        <v>108655.2615</v>
      </c>
      <c r="T1178" t="n">
        <v>-8071.1093</v>
      </c>
      <c r="U1178" t="n">
        <v>78465.47100000001</v>
      </c>
      <c r="V1178" t="n">
        <v>-0.267346</v>
      </c>
      <c r="W1178" t="n">
        <v>2.599073</v>
      </c>
      <c r="X1178" t="inlineStr">
        <is>
          <t>High</t>
        </is>
      </c>
      <c r="Y1178" t="inlineStr">
        <is>
          <t>None</t>
        </is>
      </c>
      <c r="Z1178" t="inlineStr">
        <is>
          <t>Valid</t>
        </is>
      </c>
      <c r="AA1178" t="n">
        <v>2033</v>
      </c>
      <c r="AB1178" t="inlineStr">
        <is>
          <t>Supplier Target Pathway</t>
        </is>
      </c>
      <c r="AC1178" t="n">
        <v>26164.4453</v>
      </c>
      <c r="AD1178" t="n">
        <v>10955.0532</v>
      </c>
      <c r="AE1178" t="n">
        <v>16278.3405</v>
      </c>
      <c r="AF1178" t="n">
        <v>16278.3405</v>
      </c>
      <c r="AG1178" t="n">
        <v>9886.104799999999</v>
      </c>
      <c r="AH1178" t="n">
        <v>0.00067276</v>
      </c>
      <c r="AI1178" t="n">
        <v>0.377845</v>
      </c>
      <c r="AJ1178" t="n">
        <v>5323.2872</v>
      </c>
      <c r="AK1178" t="n">
        <v>760.4696</v>
      </c>
      <c r="AL1178" t="n">
        <v>1398.8811</v>
      </c>
      <c r="AM1178" t="n">
        <v>173881.9701</v>
      </c>
      <c r="AN1178" t="n">
        <v>0.99</v>
      </c>
      <c r="AO1178" t="inlineStr">
        <is>
          <t>Critical</t>
        </is>
      </c>
      <c r="AP1178" t="inlineStr">
        <is>
          <t>On Track to Glide Path</t>
        </is>
      </c>
    </row>
    <row r="1179">
      <c r="A1179" t="inlineStr">
        <is>
          <t>SUP-0074</t>
        </is>
      </c>
      <c r="B1179" t="inlineStr">
        <is>
          <t>Agriculture Supplier 074</t>
        </is>
      </c>
      <c r="C1179" t="inlineStr">
        <is>
          <t>Agriculture</t>
        </is>
      </c>
      <c r="D1179" t="n">
        <v>2024</v>
      </c>
      <c r="E1179" t="n">
        <v>2020</v>
      </c>
      <c r="F1179" t="n">
        <v>2040</v>
      </c>
      <c r="G1179" t="n">
        <v>30189.7905</v>
      </c>
      <c r="H1179" t="n">
        <v>8412.352199999999</v>
      </c>
      <c r="I1179" t="n">
        <v>3688.8515</v>
      </c>
      <c r="J1179" t="n">
        <v>18908.2226</v>
      </c>
      <c r="K1179" t="n">
        <v>24196428.53</v>
      </c>
      <c r="L1179" t="n">
        <v>112116291.4</v>
      </c>
      <c r="M1179" t="n">
        <v>30189.7905</v>
      </c>
      <c r="N1179" t="inlineStr">
        <is>
          <t>Provided Total Emissions</t>
        </is>
      </c>
      <c r="O1179" t="b">
        <v>1</v>
      </c>
      <c r="P1179" t="n">
        <v>0.015781</v>
      </c>
      <c r="Q1179" t="n">
        <v>0.010289</v>
      </c>
      <c r="R1179" t="n">
        <v>22118.6812</v>
      </c>
      <c r="S1179" t="n">
        <v>108655.2615</v>
      </c>
      <c r="T1179" t="n">
        <v>-8071.1093</v>
      </c>
      <c r="U1179" t="n">
        <v>78465.47100000001</v>
      </c>
      <c r="V1179" t="n">
        <v>-0.267346</v>
      </c>
      <c r="W1179" t="n">
        <v>2.599073</v>
      </c>
      <c r="X1179" t="inlineStr">
        <is>
          <t>High</t>
        </is>
      </c>
      <c r="Y1179" t="inlineStr">
        <is>
          <t>None</t>
        </is>
      </c>
      <c r="Z1179" t="inlineStr">
        <is>
          <t>Valid</t>
        </is>
      </c>
      <c r="AA1179" t="n">
        <v>2034</v>
      </c>
      <c r="AB1179" t="inlineStr">
        <is>
          <t>Supplier Target Pathway</t>
        </is>
      </c>
      <c r="AC1179" t="n">
        <v>26164.4453</v>
      </c>
      <c r="AD1179" t="n">
        <v>10955.0532</v>
      </c>
      <c r="AE1179" t="n">
        <v>15517.8709</v>
      </c>
      <c r="AF1179" t="n">
        <v>15517.8709</v>
      </c>
      <c r="AG1179" t="n">
        <v>10646.5744</v>
      </c>
      <c r="AH1179" t="n">
        <v>0.00064133</v>
      </c>
      <c r="AI1179" t="n">
        <v>0.40691</v>
      </c>
      <c r="AJ1179" t="n">
        <v>4562.8176</v>
      </c>
      <c r="AK1179" t="n">
        <v>760.4696</v>
      </c>
      <c r="AL1179" t="n">
        <v>-14118.9898</v>
      </c>
      <c r="AM1179" t="n">
        <v>189399.841</v>
      </c>
      <c r="AN1179" t="n">
        <v>0.99</v>
      </c>
      <c r="AO1179" t="inlineStr">
        <is>
          <t>Critical</t>
        </is>
      </c>
      <c r="AP1179" t="inlineStr">
        <is>
          <t>On Track to Glide Path</t>
        </is>
      </c>
    </row>
    <row r="1180">
      <c r="A1180" t="inlineStr">
        <is>
          <t>SUP-0074</t>
        </is>
      </c>
      <c r="B1180" t="inlineStr">
        <is>
          <t>Agriculture Supplier 074</t>
        </is>
      </c>
      <c r="C1180" t="inlineStr">
        <is>
          <t>Agriculture</t>
        </is>
      </c>
      <c r="D1180" t="n">
        <v>2024</v>
      </c>
      <c r="E1180" t="n">
        <v>2020</v>
      </c>
      <c r="F1180" t="n">
        <v>2040</v>
      </c>
      <c r="G1180" t="n">
        <v>30189.7905</v>
      </c>
      <c r="H1180" t="n">
        <v>8412.352199999999</v>
      </c>
      <c r="I1180" t="n">
        <v>3688.8515</v>
      </c>
      <c r="J1180" t="n">
        <v>18908.2226</v>
      </c>
      <c r="K1180" t="n">
        <v>24196428.53</v>
      </c>
      <c r="L1180" t="n">
        <v>112116291.4</v>
      </c>
      <c r="M1180" t="n">
        <v>30189.7905</v>
      </c>
      <c r="N1180" t="inlineStr">
        <is>
          <t>Provided Total Emissions</t>
        </is>
      </c>
      <c r="O1180" t="b">
        <v>1</v>
      </c>
      <c r="P1180" t="n">
        <v>0.015781</v>
      </c>
      <c r="Q1180" t="n">
        <v>0.010289</v>
      </c>
      <c r="R1180" t="n">
        <v>22118.6812</v>
      </c>
      <c r="S1180" t="n">
        <v>108655.2615</v>
      </c>
      <c r="T1180" t="n">
        <v>-8071.1093</v>
      </c>
      <c r="U1180" t="n">
        <v>78465.47100000001</v>
      </c>
      <c r="V1180" t="n">
        <v>-0.267346</v>
      </c>
      <c r="W1180" t="n">
        <v>2.599073</v>
      </c>
      <c r="X1180" t="inlineStr">
        <is>
          <t>High</t>
        </is>
      </c>
      <c r="Y1180" t="inlineStr">
        <is>
          <t>None</t>
        </is>
      </c>
      <c r="Z1180" t="inlineStr">
        <is>
          <t>Valid</t>
        </is>
      </c>
      <c r="AA1180" t="n">
        <v>2035</v>
      </c>
      <c r="AB1180" t="inlineStr">
        <is>
          <t>Supplier Target Pathway</t>
        </is>
      </c>
      <c r="AC1180" t="n">
        <v>26164.4453</v>
      </c>
      <c r="AD1180" t="n">
        <v>10955.0532</v>
      </c>
      <c r="AE1180" t="n">
        <v>14757.4013</v>
      </c>
      <c r="AF1180" t="n">
        <v>14757.4013</v>
      </c>
      <c r="AG1180" t="n">
        <v>11407.044</v>
      </c>
      <c r="AH1180" t="n">
        <v>0.0006099</v>
      </c>
      <c r="AI1180" t="n">
        <v>0.435975</v>
      </c>
      <c r="AJ1180" t="n">
        <v>3802.348</v>
      </c>
      <c r="AK1180" t="n">
        <v>760.4696</v>
      </c>
      <c r="AL1180" t="n">
        <v>-28876.3911</v>
      </c>
      <c r="AM1180" t="n">
        <v>204157.2423</v>
      </c>
      <c r="AN1180" t="n">
        <v>0.99</v>
      </c>
      <c r="AO1180" t="inlineStr">
        <is>
          <t>High</t>
        </is>
      </c>
      <c r="AP1180" t="inlineStr">
        <is>
          <t>On Track to Glide Path</t>
        </is>
      </c>
    </row>
    <row r="1181">
      <c r="A1181" t="inlineStr">
        <is>
          <t>SUP-0074</t>
        </is>
      </c>
      <c r="B1181" t="inlineStr">
        <is>
          <t>Agriculture Supplier 074</t>
        </is>
      </c>
      <c r="C1181" t="inlineStr">
        <is>
          <t>Agriculture</t>
        </is>
      </c>
      <c r="D1181" t="n">
        <v>2024</v>
      </c>
      <c r="E1181" t="n">
        <v>2020</v>
      </c>
      <c r="F1181" t="n">
        <v>2040</v>
      </c>
      <c r="G1181" t="n">
        <v>30189.7905</v>
      </c>
      <c r="H1181" t="n">
        <v>8412.352199999999</v>
      </c>
      <c r="I1181" t="n">
        <v>3688.8515</v>
      </c>
      <c r="J1181" t="n">
        <v>18908.2226</v>
      </c>
      <c r="K1181" t="n">
        <v>24196428.53</v>
      </c>
      <c r="L1181" t="n">
        <v>112116291.4</v>
      </c>
      <c r="M1181" t="n">
        <v>30189.7905</v>
      </c>
      <c r="N1181" t="inlineStr">
        <is>
          <t>Provided Total Emissions</t>
        </is>
      </c>
      <c r="O1181" t="b">
        <v>1</v>
      </c>
      <c r="P1181" t="n">
        <v>0.015781</v>
      </c>
      <c r="Q1181" t="n">
        <v>0.010289</v>
      </c>
      <c r="R1181" t="n">
        <v>22118.6812</v>
      </c>
      <c r="S1181" t="n">
        <v>108655.2615</v>
      </c>
      <c r="T1181" t="n">
        <v>-8071.1093</v>
      </c>
      <c r="U1181" t="n">
        <v>78465.47100000001</v>
      </c>
      <c r="V1181" t="n">
        <v>-0.267346</v>
      </c>
      <c r="W1181" t="n">
        <v>2.599073</v>
      </c>
      <c r="X1181" t="inlineStr">
        <is>
          <t>High</t>
        </is>
      </c>
      <c r="Y1181" t="inlineStr">
        <is>
          <t>None</t>
        </is>
      </c>
      <c r="Z1181" t="inlineStr">
        <is>
          <t>Valid</t>
        </is>
      </c>
      <c r="AA1181" t="n">
        <v>2036</v>
      </c>
      <c r="AB1181" t="inlineStr">
        <is>
          <t>Supplier Target Pathway</t>
        </is>
      </c>
      <c r="AC1181" t="n">
        <v>26164.4453</v>
      </c>
      <c r="AD1181" t="n">
        <v>10955.0532</v>
      </c>
      <c r="AE1181" t="n">
        <v>13996.9317</v>
      </c>
      <c r="AF1181" t="n">
        <v>13996.9317</v>
      </c>
      <c r="AG1181" t="n">
        <v>12167.5136</v>
      </c>
      <c r="AH1181" t="n">
        <v>0.00057847</v>
      </c>
      <c r="AI1181" t="n">
        <v>0.46504</v>
      </c>
      <c r="AJ1181" t="n">
        <v>3041.8784</v>
      </c>
      <c r="AK1181" t="n">
        <v>760.4696</v>
      </c>
      <c r="AL1181" t="n">
        <v>-42873.3228</v>
      </c>
      <c r="AM1181" t="n">
        <v>218154.174</v>
      </c>
      <c r="AN1181" t="n">
        <v>0.99</v>
      </c>
      <c r="AO1181" t="inlineStr">
        <is>
          <t>High</t>
        </is>
      </c>
      <c r="AP1181" t="inlineStr">
        <is>
          <t>On Track to Glide Path</t>
        </is>
      </c>
    </row>
    <row r="1182">
      <c r="A1182" t="inlineStr">
        <is>
          <t>SUP-0074</t>
        </is>
      </c>
      <c r="B1182" t="inlineStr">
        <is>
          <t>Agriculture Supplier 074</t>
        </is>
      </c>
      <c r="C1182" t="inlineStr">
        <is>
          <t>Agriculture</t>
        </is>
      </c>
      <c r="D1182" t="n">
        <v>2024</v>
      </c>
      <c r="E1182" t="n">
        <v>2020</v>
      </c>
      <c r="F1182" t="n">
        <v>2040</v>
      </c>
      <c r="G1182" t="n">
        <v>30189.7905</v>
      </c>
      <c r="H1182" t="n">
        <v>8412.352199999999</v>
      </c>
      <c r="I1182" t="n">
        <v>3688.8515</v>
      </c>
      <c r="J1182" t="n">
        <v>18908.2226</v>
      </c>
      <c r="K1182" t="n">
        <v>24196428.53</v>
      </c>
      <c r="L1182" t="n">
        <v>112116291.4</v>
      </c>
      <c r="M1182" t="n">
        <v>30189.7905</v>
      </c>
      <c r="N1182" t="inlineStr">
        <is>
          <t>Provided Total Emissions</t>
        </is>
      </c>
      <c r="O1182" t="b">
        <v>1</v>
      </c>
      <c r="P1182" t="n">
        <v>0.015781</v>
      </c>
      <c r="Q1182" t="n">
        <v>0.010289</v>
      </c>
      <c r="R1182" t="n">
        <v>22118.6812</v>
      </c>
      <c r="S1182" t="n">
        <v>108655.2615</v>
      </c>
      <c r="T1182" t="n">
        <v>-8071.1093</v>
      </c>
      <c r="U1182" t="n">
        <v>78465.47100000001</v>
      </c>
      <c r="V1182" t="n">
        <v>-0.267346</v>
      </c>
      <c r="W1182" t="n">
        <v>2.599073</v>
      </c>
      <c r="X1182" t="inlineStr">
        <is>
          <t>High</t>
        </is>
      </c>
      <c r="Y1182" t="inlineStr">
        <is>
          <t>None</t>
        </is>
      </c>
      <c r="Z1182" t="inlineStr">
        <is>
          <t>Valid</t>
        </is>
      </c>
      <c r="AA1182" t="n">
        <v>2037</v>
      </c>
      <c r="AB1182" t="inlineStr">
        <is>
          <t>Supplier Target Pathway</t>
        </is>
      </c>
      <c r="AC1182" t="n">
        <v>26164.4453</v>
      </c>
      <c r="AD1182" t="n">
        <v>10955.0532</v>
      </c>
      <c r="AE1182" t="n">
        <v>13236.4621</v>
      </c>
      <c r="AF1182" t="n">
        <v>13236.4621</v>
      </c>
      <c r="AG1182" t="n">
        <v>12927.9832</v>
      </c>
      <c r="AH1182" t="n">
        <v>0.00054704</v>
      </c>
      <c r="AI1182" t="n">
        <v>0.494105</v>
      </c>
      <c r="AJ1182" t="n">
        <v>2281.4088</v>
      </c>
      <c r="AK1182" t="n">
        <v>760.4696</v>
      </c>
      <c r="AL1182" t="n">
        <v>-56109.7849</v>
      </c>
      <c r="AM1182" t="n">
        <v>231390.6361</v>
      </c>
      <c r="AN1182" t="n">
        <v>0.99</v>
      </c>
      <c r="AO1182" t="inlineStr">
        <is>
          <t>High</t>
        </is>
      </c>
      <c r="AP1182" t="inlineStr">
        <is>
          <t>On Track to Glide Path</t>
        </is>
      </c>
    </row>
    <row r="1183">
      <c r="A1183" t="inlineStr">
        <is>
          <t>SUP-0074</t>
        </is>
      </c>
      <c r="B1183" t="inlineStr">
        <is>
          <t>Agriculture Supplier 074</t>
        </is>
      </c>
      <c r="C1183" t="inlineStr">
        <is>
          <t>Agriculture</t>
        </is>
      </c>
      <c r="D1183" t="n">
        <v>2024</v>
      </c>
      <c r="E1183" t="n">
        <v>2020</v>
      </c>
      <c r="F1183" t="n">
        <v>2040</v>
      </c>
      <c r="G1183" t="n">
        <v>30189.7905</v>
      </c>
      <c r="H1183" t="n">
        <v>8412.352199999999</v>
      </c>
      <c r="I1183" t="n">
        <v>3688.8515</v>
      </c>
      <c r="J1183" t="n">
        <v>18908.2226</v>
      </c>
      <c r="K1183" t="n">
        <v>24196428.53</v>
      </c>
      <c r="L1183" t="n">
        <v>112116291.4</v>
      </c>
      <c r="M1183" t="n">
        <v>30189.7905</v>
      </c>
      <c r="N1183" t="inlineStr">
        <is>
          <t>Provided Total Emissions</t>
        </is>
      </c>
      <c r="O1183" t="b">
        <v>1</v>
      </c>
      <c r="P1183" t="n">
        <v>0.015781</v>
      </c>
      <c r="Q1183" t="n">
        <v>0.010289</v>
      </c>
      <c r="R1183" t="n">
        <v>22118.6812</v>
      </c>
      <c r="S1183" t="n">
        <v>108655.2615</v>
      </c>
      <c r="T1183" t="n">
        <v>-8071.1093</v>
      </c>
      <c r="U1183" t="n">
        <v>78465.47100000001</v>
      </c>
      <c r="V1183" t="n">
        <v>-0.267346</v>
      </c>
      <c r="W1183" t="n">
        <v>2.599073</v>
      </c>
      <c r="X1183" t="inlineStr">
        <is>
          <t>High</t>
        </is>
      </c>
      <c r="Y1183" t="inlineStr">
        <is>
          <t>None</t>
        </is>
      </c>
      <c r="Z1183" t="inlineStr">
        <is>
          <t>Valid</t>
        </is>
      </c>
      <c r="AA1183" t="n">
        <v>2038</v>
      </c>
      <c r="AB1183" t="inlineStr">
        <is>
          <t>Supplier Target Pathway</t>
        </is>
      </c>
      <c r="AC1183" t="n">
        <v>26164.4453</v>
      </c>
      <c r="AD1183" t="n">
        <v>10955.0532</v>
      </c>
      <c r="AE1183" t="n">
        <v>12475.9925</v>
      </c>
      <c r="AF1183" t="n">
        <v>12475.9925</v>
      </c>
      <c r="AG1183" t="n">
        <v>13688.4528</v>
      </c>
      <c r="AH1183" t="n">
        <v>0.00051561</v>
      </c>
      <c r="AI1183" t="n">
        <v>0.52317</v>
      </c>
      <c r="AJ1183" t="n">
        <v>1520.9392</v>
      </c>
      <c r="AK1183" t="n">
        <v>760.4696</v>
      </c>
      <c r="AL1183" t="n">
        <v>-68585.77740000001</v>
      </c>
      <c r="AM1183" t="n">
        <v>243866.6286</v>
      </c>
      <c r="AN1183" t="n">
        <v>0.99</v>
      </c>
      <c r="AO1183" t="inlineStr">
        <is>
          <t>Medium</t>
        </is>
      </c>
      <c r="AP1183" t="inlineStr">
        <is>
          <t>On Track to Glide Path</t>
        </is>
      </c>
    </row>
    <row r="1184">
      <c r="A1184" t="inlineStr">
        <is>
          <t>SUP-0074</t>
        </is>
      </c>
      <c r="B1184" t="inlineStr">
        <is>
          <t>Agriculture Supplier 074</t>
        </is>
      </c>
      <c r="C1184" t="inlineStr">
        <is>
          <t>Agriculture</t>
        </is>
      </c>
      <c r="D1184" t="n">
        <v>2024</v>
      </c>
      <c r="E1184" t="n">
        <v>2020</v>
      </c>
      <c r="F1184" t="n">
        <v>2040</v>
      </c>
      <c r="G1184" t="n">
        <v>30189.7905</v>
      </c>
      <c r="H1184" t="n">
        <v>8412.352199999999</v>
      </c>
      <c r="I1184" t="n">
        <v>3688.8515</v>
      </c>
      <c r="J1184" t="n">
        <v>18908.2226</v>
      </c>
      <c r="K1184" t="n">
        <v>24196428.53</v>
      </c>
      <c r="L1184" t="n">
        <v>112116291.4</v>
      </c>
      <c r="M1184" t="n">
        <v>30189.7905</v>
      </c>
      <c r="N1184" t="inlineStr">
        <is>
          <t>Provided Total Emissions</t>
        </is>
      </c>
      <c r="O1184" t="b">
        <v>1</v>
      </c>
      <c r="P1184" t="n">
        <v>0.015781</v>
      </c>
      <c r="Q1184" t="n">
        <v>0.010289</v>
      </c>
      <c r="R1184" t="n">
        <v>22118.6812</v>
      </c>
      <c r="S1184" t="n">
        <v>108655.2615</v>
      </c>
      <c r="T1184" t="n">
        <v>-8071.1093</v>
      </c>
      <c r="U1184" t="n">
        <v>78465.47100000001</v>
      </c>
      <c r="V1184" t="n">
        <v>-0.267346</v>
      </c>
      <c r="W1184" t="n">
        <v>2.599073</v>
      </c>
      <c r="X1184" t="inlineStr">
        <is>
          <t>High</t>
        </is>
      </c>
      <c r="Y1184" t="inlineStr">
        <is>
          <t>None</t>
        </is>
      </c>
      <c r="Z1184" t="inlineStr">
        <is>
          <t>Valid</t>
        </is>
      </c>
      <c r="AA1184" t="n">
        <v>2039</v>
      </c>
      <c r="AB1184" t="inlineStr">
        <is>
          <t>Supplier Target Pathway</t>
        </is>
      </c>
      <c r="AC1184" t="n">
        <v>26164.4453</v>
      </c>
      <c r="AD1184" t="n">
        <v>10955.0532</v>
      </c>
      <c r="AE1184" t="n">
        <v>11715.5228</v>
      </c>
      <c r="AF1184" t="n">
        <v>11715.5228</v>
      </c>
      <c r="AG1184" t="n">
        <v>14448.9225</v>
      </c>
      <c r="AH1184" t="n">
        <v>0.00048418</v>
      </c>
      <c r="AI1184" t="n">
        <v>0.552235</v>
      </c>
      <c r="AJ1184" t="n">
        <v>760.4696</v>
      </c>
      <c r="AK1184" t="n">
        <v>760.4696</v>
      </c>
      <c r="AL1184" t="n">
        <v>-80301.3002</v>
      </c>
      <c r="AM1184" t="n">
        <v>255582.1514</v>
      </c>
      <c r="AN1184" t="n">
        <v>0.99</v>
      </c>
      <c r="AO1184" t="inlineStr">
        <is>
          <t>Medium</t>
        </is>
      </c>
      <c r="AP1184" t="inlineStr">
        <is>
          <t>On Track to Glide Path</t>
        </is>
      </c>
    </row>
    <row r="1185">
      <c r="A1185" t="inlineStr">
        <is>
          <t>SUP-0074</t>
        </is>
      </c>
      <c r="B1185" t="inlineStr">
        <is>
          <t>Agriculture Supplier 074</t>
        </is>
      </c>
      <c r="C1185" t="inlineStr">
        <is>
          <t>Agriculture</t>
        </is>
      </c>
      <c r="D1185" t="n">
        <v>2024</v>
      </c>
      <c r="E1185" t="n">
        <v>2020</v>
      </c>
      <c r="F1185" t="n">
        <v>2040</v>
      </c>
      <c r="G1185" t="n">
        <v>30189.7905</v>
      </c>
      <c r="H1185" t="n">
        <v>8412.352199999999</v>
      </c>
      <c r="I1185" t="n">
        <v>3688.8515</v>
      </c>
      <c r="J1185" t="n">
        <v>18908.2226</v>
      </c>
      <c r="K1185" t="n">
        <v>24196428.53</v>
      </c>
      <c r="L1185" t="n">
        <v>112116291.4</v>
      </c>
      <c r="M1185" t="n">
        <v>30189.7905</v>
      </c>
      <c r="N1185" t="inlineStr">
        <is>
          <t>Provided Total Emissions</t>
        </is>
      </c>
      <c r="O1185" t="b">
        <v>1</v>
      </c>
      <c r="P1185" t="n">
        <v>0.015781</v>
      </c>
      <c r="Q1185" t="n">
        <v>0.010289</v>
      </c>
      <c r="R1185" t="n">
        <v>22118.6812</v>
      </c>
      <c r="S1185" t="n">
        <v>108655.2615</v>
      </c>
      <c r="T1185" t="n">
        <v>-8071.1093</v>
      </c>
      <c r="U1185" t="n">
        <v>78465.47100000001</v>
      </c>
      <c r="V1185" t="n">
        <v>-0.267346</v>
      </c>
      <c r="W1185" t="n">
        <v>2.599073</v>
      </c>
      <c r="X1185" t="inlineStr">
        <is>
          <t>High</t>
        </is>
      </c>
      <c r="Y1185" t="inlineStr">
        <is>
          <t>None</t>
        </is>
      </c>
      <c r="Z1185" t="inlineStr">
        <is>
          <t>Valid</t>
        </is>
      </c>
      <c r="AA1185" t="n">
        <v>2040</v>
      </c>
      <c r="AB1185" t="inlineStr">
        <is>
          <t>Supplier Target Pathway</t>
        </is>
      </c>
      <c r="AC1185" t="n">
        <v>26164.4453</v>
      </c>
      <c r="AD1185" t="n">
        <v>10955.0532</v>
      </c>
      <c r="AE1185" t="n">
        <v>10955.0532</v>
      </c>
      <c r="AF1185" t="n">
        <v>10955.0532</v>
      </c>
      <c r="AG1185" t="n">
        <v>15209.3921</v>
      </c>
      <c r="AH1185" t="n">
        <v>0.00045275</v>
      </c>
      <c r="AI1185" t="n">
        <v>0.5813</v>
      </c>
      <c r="AJ1185" t="n">
        <v>0</v>
      </c>
      <c r="AK1185" t="n">
        <v>760.4696</v>
      </c>
      <c r="AL1185" t="n">
        <v>-91256.35340000001</v>
      </c>
      <c r="AM1185" t="n">
        <v>266537.2046</v>
      </c>
      <c r="AN1185" t="n">
        <v>0.99</v>
      </c>
      <c r="AO1185" t="inlineStr">
        <is>
          <t>Low</t>
        </is>
      </c>
      <c r="AP1185" t="inlineStr">
        <is>
          <t>On Track</t>
        </is>
      </c>
    </row>
    <row r="1186">
      <c r="A1186" t="inlineStr">
        <is>
          <t>SUP-0075</t>
        </is>
      </c>
      <c r="B1186" t="inlineStr">
        <is>
          <t>Metals Supplier 075</t>
        </is>
      </c>
      <c r="C1186" t="inlineStr">
        <is>
          <t>Metals</t>
        </is>
      </c>
      <c r="D1186" t="n">
        <v>2024</v>
      </c>
      <c r="E1186" t="n">
        <v>2021</v>
      </c>
      <c r="F1186" t="n">
        <v>2030</v>
      </c>
      <c r="G1186" t="n">
        <v>19104.6888</v>
      </c>
      <c r="H1186" t="n">
        <v>4592.6116</v>
      </c>
      <c r="I1186" t="n">
        <v>2530.4429</v>
      </c>
      <c r="J1186" t="n">
        <v>10865.5764</v>
      </c>
      <c r="K1186" t="n">
        <v>15218241.83</v>
      </c>
      <c r="L1186" t="n">
        <v>48232106.23</v>
      </c>
      <c r="M1186" t="n">
        <v>19104.6888</v>
      </c>
      <c r="N1186" t="inlineStr">
        <is>
          <t>Provided Total Emissions</t>
        </is>
      </c>
      <c r="O1186" t="b">
        <v>1</v>
      </c>
      <c r="P1186" t="n">
        <v>-0.023496</v>
      </c>
      <c r="Q1186" t="n">
        <v>-0.012063</v>
      </c>
      <c r="R1186" t="n">
        <v>15324.0086</v>
      </c>
      <c r="S1186" t="n">
        <v>31354.7276</v>
      </c>
      <c r="T1186" t="n">
        <v>-3780.6802</v>
      </c>
      <c r="U1186" t="n">
        <v>12250.0388</v>
      </c>
      <c r="V1186" t="n">
        <v>-0.197893</v>
      </c>
      <c r="W1186" t="n">
        <v>0.6412060000000001</v>
      </c>
      <c r="X1186" t="inlineStr">
        <is>
          <t>High</t>
        </is>
      </c>
      <c r="Y1186" t="inlineStr">
        <is>
          <t>None</t>
        </is>
      </c>
      <c r="Z1186" t="inlineStr">
        <is>
          <t>Valid</t>
        </is>
      </c>
      <c r="AA1186" t="n">
        <v>2025</v>
      </c>
      <c r="AB1186" t="inlineStr">
        <is>
          <t>Supplier Target Pathway</t>
        </is>
      </c>
      <c r="AC1186" t="n">
        <v>16696.1315</v>
      </c>
      <c r="AD1186" t="n">
        <v>6910.5288</v>
      </c>
      <c r="AE1186" t="n">
        <v>12346.9748</v>
      </c>
      <c r="AF1186" t="n">
        <v>12346.9748</v>
      </c>
      <c r="AG1186" t="n">
        <v>4349.1567</v>
      </c>
      <c r="AH1186" t="n">
        <v>0.00081133</v>
      </c>
      <c r="AI1186" t="n">
        <v>0.260489</v>
      </c>
      <c r="AJ1186" t="n">
        <v>5436.4459</v>
      </c>
      <c r="AK1186" t="n">
        <v>1087.2892</v>
      </c>
      <c r="AL1186" t="n">
        <v>29116.198</v>
      </c>
      <c r="AM1186" t="n">
        <v>12346.9748</v>
      </c>
      <c r="AN1186" t="n">
        <v>0.99</v>
      </c>
      <c r="AO1186" t="inlineStr">
        <is>
          <t>Critical</t>
        </is>
      </c>
      <c r="AP1186" t="inlineStr">
        <is>
          <t>On Track to Glide Path</t>
        </is>
      </c>
    </row>
    <row r="1187">
      <c r="A1187" t="inlineStr">
        <is>
          <t>SUP-0075</t>
        </is>
      </c>
      <c r="B1187" t="inlineStr">
        <is>
          <t>Metals Supplier 075</t>
        </is>
      </c>
      <c r="C1187" t="inlineStr">
        <is>
          <t>Metals</t>
        </is>
      </c>
      <c r="D1187" t="n">
        <v>2024</v>
      </c>
      <c r="E1187" t="n">
        <v>2021</v>
      </c>
      <c r="F1187" t="n">
        <v>2030</v>
      </c>
      <c r="G1187" t="n">
        <v>19104.6888</v>
      </c>
      <c r="H1187" t="n">
        <v>4592.6116</v>
      </c>
      <c r="I1187" t="n">
        <v>2530.4429</v>
      </c>
      <c r="J1187" t="n">
        <v>10865.5764</v>
      </c>
      <c r="K1187" t="n">
        <v>15218241.83</v>
      </c>
      <c r="L1187" t="n">
        <v>48232106.23</v>
      </c>
      <c r="M1187" t="n">
        <v>19104.6888</v>
      </c>
      <c r="N1187" t="inlineStr">
        <is>
          <t>Provided Total Emissions</t>
        </is>
      </c>
      <c r="O1187" t="b">
        <v>1</v>
      </c>
      <c r="P1187" t="n">
        <v>-0.023496</v>
      </c>
      <c r="Q1187" t="n">
        <v>-0.012063</v>
      </c>
      <c r="R1187" t="n">
        <v>15324.0086</v>
      </c>
      <c r="S1187" t="n">
        <v>31354.7276</v>
      </c>
      <c r="T1187" t="n">
        <v>-3780.6802</v>
      </c>
      <c r="U1187" t="n">
        <v>12250.0388</v>
      </c>
      <c r="V1187" t="n">
        <v>-0.197893</v>
      </c>
      <c r="W1187" t="n">
        <v>0.6412060000000001</v>
      </c>
      <c r="X1187" t="inlineStr">
        <is>
          <t>High</t>
        </is>
      </c>
      <c r="Y1187" t="inlineStr">
        <is>
          <t>None</t>
        </is>
      </c>
      <c r="Z1187" t="inlineStr">
        <is>
          <t>Valid</t>
        </is>
      </c>
      <c r="AA1187" t="n">
        <v>2026</v>
      </c>
      <c r="AB1187" t="inlineStr">
        <is>
          <t>Supplier Target Pathway</t>
        </is>
      </c>
      <c r="AC1187" t="n">
        <v>16696.1315</v>
      </c>
      <c r="AD1187" t="n">
        <v>6910.5288</v>
      </c>
      <c r="AE1187" t="n">
        <v>11259.6856</v>
      </c>
      <c r="AF1187" t="n">
        <v>11259.6856</v>
      </c>
      <c r="AG1187" t="n">
        <v>5436.4459</v>
      </c>
      <c r="AH1187" t="n">
        <v>0.0007398800000000001</v>
      </c>
      <c r="AI1187" t="n">
        <v>0.325611</v>
      </c>
      <c r="AJ1187" t="n">
        <v>4349.1567</v>
      </c>
      <c r="AK1187" t="n">
        <v>1087.2892</v>
      </c>
      <c r="AL1187" t="n">
        <v>17856.5124</v>
      </c>
      <c r="AM1187" t="n">
        <v>23606.6604</v>
      </c>
      <c r="AN1187" t="n">
        <v>0.99</v>
      </c>
      <c r="AO1187" t="inlineStr">
        <is>
          <t>Critical</t>
        </is>
      </c>
      <c r="AP1187" t="inlineStr">
        <is>
          <t>On Track to Glide Path</t>
        </is>
      </c>
    </row>
    <row r="1188">
      <c r="A1188" t="inlineStr">
        <is>
          <t>SUP-0075</t>
        </is>
      </c>
      <c r="B1188" t="inlineStr">
        <is>
          <t>Metals Supplier 075</t>
        </is>
      </c>
      <c r="C1188" t="inlineStr">
        <is>
          <t>Metals</t>
        </is>
      </c>
      <c r="D1188" t="n">
        <v>2024</v>
      </c>
      <c r="E1188" t="n">
        <v>2021</v>
      </c>
      <c r="F1188" t="n">
        <v>2030</v>
      </c>
      <c r="G1188" t="n">
        <v>19104.6888</v>
      </c>
      <c r="H1188" t="n">
        <v>4592.6116</v>
      </c>
      <c r="I1188" t="n">
        <v>2530.4429</v>
      </c>
      <c r="J1188" t="n">
        <v>10865.5764</v>
      </c>
      <c r="K1188" t="n">
        <v>15218241.83</v>
      </c>
      <c r="L1188" t="n">
        <v>48232106.23</v>
      </c>
      <c r="M1188" t="n">
        <v>19104.6888</v>
      </c>
      <c r="N1188" t="inlineStr">
        <is>
          <t>Provided Total Emissions</t>
        </is>
      </c>
      <c r="O1188" t="b">
        <v>1</v>
      </c>
      <c r="P1188" t="n">
        <v>-0.023496</v>
      </c>
      <c r="Q1188" t="n">
        <v>-0.012063</v>
      </c>
      <c r="R1188" t="n">
        <v>15324.0086</v>
      </c>
      <c r="S1188" t="n">
        <v>31354.7276</v>
      </c>
      <c r="T1188" t="n">
        <v>-3780.6802</v>
      </c>
      <c r="U1188" t="n">
        <v>12250.0388</v>
      </c>
      <c r="V1188" t="n">
        <v>-0.197893</v>
      </c>
      <c r="W1188" t="n">
        <v>0.6412060000000001</v>
      </c>
      <c r="X1188" t="inlineStr">
        <is>
          <t>High</t>
        </is>
      </c>
      <c r="Y1188" t="inlineStr">
        <is>
          <t>None</t>
        </is>
      </c>
      <c r="Z1188" t="inlineStr">
        <is>
          <t>Valid</t>
        </is>
      </c>
      <c r="AA1188" t="n">
        <v>2027</v>
      </c>
      <c r="AB1188" t="inlineStr">
        <is>
          <t>Supplier Target Pathway</t>
        </is>
      </c>
      <c r="AC1188" t="n">
        <v>16696.1315</v>
      </c>
      <c r="AD1188" t="n">
        <v>6910.5288</v>
      </c>
      <c r="AE1188" t="n">
        <v>10172.3964</v>
      </c>
      <c r="AF1188" t="n">
        <v>10172.3964</v>
      </c>
      <c r="AG1188" t="n">
        <v>6523.7351</v>
      </c>
      <c r="AH1188" t="n">
        <v>0.00066843</v>
      </c>
      <c r="AI1188" t="n">
        <v>0.390733</v>
      </c>
      <c r="AJ1188" t="n">
        <v>3261.8676</v>
      </c>
      <c r="AK1188" t="n">
        <v>1087.2892</v>
      </c>
      <c r="AL1188" t="n">
        <v>7684.116</v>
      </c>
      <c r="AM1188" t="n">
        <v>33779.0568</v>
      </c>
      <c r="AN1188" t="n">
        <v>0.99</v>
      </c>
      <c r="AO1188" t="inlineStr">
        <is>
          <t>Critical</t>
        </is>
      </c>
      <c r="AP1188" t="inlineStr">
        <is>
          <t>On Track to Glide Path</t>
        </is>
      </c>
    </row>
    <row r="1189">
      <c r="A1189" t="inlineStr">
        <is>
          <t>SUP-0075</t>
        </is>
      </c>
      <c r="B1189" t="inlineStr">
        <is>
          <t>Metals Supplier 075</t>
        </is>
      </c>
      <c r="C1189" t="inlineStr">
        <is>
          <t>Metals</t>
        </is>
      </c>
      <c r="D1189" t="n">
        <v>2024</v>
      </c>
      <c r="E1189" t="n">
        <v>2021</v>
      </c>
      <c r="F1189" t="n">
        <v>2030</v>
      </c>
      <c r="G1189" t="n">
        <v>19104.6888</v>
      </c>
      <c r="H1189" t="n">
        <v>4592.6116</v>
      </c>
      <c r="I1189" t="n">
        <v>2530.4429</v>
      </c>
      <c r="J1189" t="n">
        <v>10865.5764</v>
      </c>
      <c r="K1189" t="n">
        <v>15218241.83</v>
      </c>
      <c r="L1189" t="n">
        <v>48232106.23</v>
      </c>
      <c r="M1189" t="n">
        <v>19104.6888</v>
      </c>
      <c r="N1189" t="inlineStr">
        <is>
          <t>Provided Total Emissions</t>
        </is>
      </c>
      <c r="O1189" t="b">
        <v>1</v>
      </c>
      <c r="P1189" t="n">
        <v>-0.023496</v>
      </c>
      <c r="Q1189" t="n">
        <v>-0.012063</v>
      </c>
      <c r="R1189" t="n">
        <v>15324.0086</v>
      </c>
      <c r="S1189" t="n">
        <v>31354.7276</v>
      </c>
      <c r="T1189" t="n">
        <v>-3780.6802</v>
      </c>
      <c r="U1189" t="n">
        <v>12250.0388</v>
      </c>
      <c r="V1189" t="n">
        <v>-0.197893</v>
      </c>
      <c r="W1189" t="n">
        <v>0.6412060000000001</v>
      </c>
      <c r="X1189" t="inlineStr">
        <is>
          <t>High</t>
        </is>
      </c>
      <c r="Y1189" t="inlineStr">
        <is>
          <t>None</t>
        </is>
      </c>
      <c r="Z1189" t="inlineStr">
        <is>
          <t>Valid</t>
        </is>
      </c>
      <c r="AA1189" t="n">
        <v>2028</v>
      </c>
      <c r="AB1189" t="inlineStr">
        <is>
          <t>Supplier Target Pathway</t>
        </is>
      </c>
      <c r="AC1189" t="n">
        <v>16696.1315</v>
      </c>
      <c r="AD1189" t="n">
        <v>6910.5288</v>
      </c>
      <c r="AE1189" t="n">
        <v>9085.1072</v>
      </c>
      <c r="AF1189" t="n">
        <v>9085.1072</v>
      </c>
      <c r="AG1189" t="n">
        <v>7611.0243</v>
      </c>
      <c r="AH1189" t="n">
        <v>0.00059699</v>
      </c>
      <c r="AI1189" t="n">
        <v>0.455856</v>
      </c>
      <c r="AJ1189" t="n">
        <v>2174.5784</v>
      </c>
      <c r="AK1189" t="n">
        <v>1087.2892</v>
      </c>
      <c r="AL1189" t="n">
        <v>-1400.9912</v>
      </c>
      <c r="AM1189" t="n">
        <v>42864.164</v>
      </c>
      <c r="AN1189" t="n">
        <v>0.99</v>
      </c>
      <c r="AO1189" t="inlineStr">
        <is>
          <t>High</t>
        </is>
      </c>
      <c r="AP1189" t="inlineStr">
        <is>
          <t>On Track to Glide Path</t>
        </is>
      </c>
    </row>
    <row r="1190">
      <c r="A1190" t="inlineStr">
        <is>
          <t>SUP-0075</t>
        </is>
      </c>
      <c r="B1190" t="inlineStr">
        <is>
          <t>Metals Supplier 075</t>
        </is>
      </c>
      <c r="C1190" t="inlineStr">
        <is>
          <t>Metals</t>
        </is>
      </c>
      <c r="D1190" t="n">
        <v>2024</v>
      </c>
      <c r="E1190" t="n">
        <v>2021</v>
      </c>
      <c r="F1190" t="n">
        <v>2030</v>
      </c>
      <c r="G1190" t="n">
        <v>19104.6888</v>
      </c>
      <c r="H1190" t="n">
        <v>4592.6116</v>
      </c>
      <c r="I1190" t="n">
        <v>2530.4429</v>
      </c>
      <c r="J1190" t="n">
        <v>10865.5764</v>
      </c>
      <c r="K1190" t="n">
        <v>15218241.83</v>
      </c>
      <c r="L1190" t="n">
        <v>48232106.23</v>
      </c>
      <c r="M1190" t="n">
        <v>19104.6888</v>
      </c>
      <c r="N1190" t="inlineStr">
        <is>
          <t>Provided Total Emissions</t>
        </is>
      </c>
      <c r="O1190" t="b">
        <v>1</v>
      </c>
      <c r="P1190" t="n">
        <v>-0.023496</v>
      </c>
      <c r="Q1190" t="n">
        <v>-0.012063</v>
      </c>
      <c r="R1190" t="n">
        <v>15324.0086</v>
      </c>
      <c r="S1190" t="n">
        <v>31354.7276</v>
      </c>
      <c r="T1190" t="n">
        <v>-3780.6802</v>
      </c>
      <c r="U1190" t="n">
        <v>12250.0388</v>
      </c>
      <c r="V1190" t="n">
        <v>-0.197893</v>
      </c>
      <c r="W1190" t="n">
        <v>0.6412060000000001</v>
      </c>
      <c r="X1190" t="inlineStr">
        <is>
          <t>High</t>
        </is>
      </c>
      <c r="Y1190" t="inlineStr">
        <is>
          <t>None</t>
        </is>
      </c>
      <c r="Z1190" t="inlineStr">
        <is>
          <t>Valid</t>
        </is>
      </c>
      <c r="AA1190" t="n">
        <v>2029</v>
      </c>
      <c r="AB1190" t="inlineStr">
        <is>
          <t>Supplier Target Pathway</t>
        </is>
      </c>
      <c r="AC1190" t="n">
        <v>16696.1315</v>
      </c>
      <c r="AD1190" t="n">
        <v>6910.5288</v>
      </c>
      <c r="AE1190" t="n">
        <v>7997.818</v>
      </c>
      <c r="AF1190" t="n">
        <v>7997.818</v>
      </c>
      <c r="AG1190" t="n">
        <v>8698.3135</v>
      </c>
      <c r="AH1190" t="n">
        <v>0.00052554</v>
      </c>
      <c r="AI1190" t="n">
        <v>0.5209780000000001</v>
      </c>
      <c r="AJ1190" t="n">
        <v>1087.2892</v>
      </c>
      <c r="AK1190" t="n">
        <v>1087.2892</v>
      </c>
      <c r="AL1190" t="n">
        <v>-9398.8092</v>
      </c>
      <c r="AM1190" t="n">
        <v>50861.982</v>
      </c>
      <c r="AN1190" t="n">
        <v>0.99</v>
      </c>
      <c r="AO1190" t="inlineStr">
        <is>
          <t>High</t>
        </is>
      </c>
      <c r="AP1190" t="inlineStr">
        <is>
          <t>On Track to Glide Path</t>
        </is>
      </c>
    </row>
    <row r="1191">
      <c r="A1191" t="inlineStr">
        <is>
          <t>SUP-0075</t>
        </is>
      </c>
      <c r="B1191" t="inlineStr">
        <is>
          <t>Metals Supplier 075</t>
        </is>
      </c>
      <c r="C1191" t="inlineStr">
        <is>
          <t>Metals</t>
        </is>
      </c>
      <c r="D1191" t="n">
        <v>2024</v>
      </c>
      <c r="E1191" t="n">
        <v>2021</v>
      </c>
      <c r="F1191" t="n">
        <v>2030</v>
      </c>
      <c r="G1191" t="n">
        <v>19104.6888</v>
      </c>
      <c r="H1191" t="n">
        <v>4592.6116</v>
      </c>
      <c r="I1191" t="n">
        <v>2530.4429</v>
      </c>
      <c r="J1191" t="n">
        <v>10865.5764</v>
      </c>
      <c r="K1191" t="n">
        <v>15218241.83</v>
      </c>
      <c r="L1191" t="n">
        <v>48232106.23</v>
      </c>
      <c r="M1191" t="n">
        <v>19104.6888</v>
      </c>
      <c r="N1191" t="inlineStr">
        <is>
          <t>Provided Total Emissions</t>
        </is>
      </c>
      <c r="O1191" t="b">
        <v>1</v>
      </c>
      <c r="P1191" t="n">
        <v>-0.023496</v>
      </c>
      <c r="Q1191" t="n">
        <v>-0.012063</v>
      </c>
      <c r="R1191" t="n">
        <v>15324.0086</v>
      </c>
      <c r="S1191" t="n">
        <v>31354.7276</v>
      </c>
      <c r="T1191" t="n">
        <v>-3780.6802</v>
      </c>
      <c r="U1191" t="n">
        <v>12250.0388</v>
      </c>
      <c r="V1191" t="n">
        <v>-0.197893</v>
      </c>
      <c r="W1191" t="n">
        <v>0.6412060000000001</v>
      </c>
      <c r="X1191" t="inlineStr">
        <is>
          <t>High</t>
        </is>
      </c>
      <c r="Y1191" t="inlineStr">
        <is>
          <t>None</t>
        </is>
      </c>
      <c r="Z1191" t="inlineStr">
        <is>
          <t>Valid</t>
        </is>
      </c>
      <c r="AA1191" t="n">
        <v>2030</v>
      </c>
      <c r="AB1191" t="inlineStr">
        <is>
          <t>Supplier Target Pathway</t>
        </is>
      </c>
      <c r="AC1191" t="n">
        <v>16696.1315</v>
      </c>
      <c r="AD1191" t="n">
        <v>6910.5288</v>
      </c>
      <c r="AE1191" t="n">
        <v>6910.5288</v>
      </c>
      <c r="AF1191" t="n">
        <v>6910.5288</v>
      </c>
      <c r="AG1191" t="n">
        <v>9785.602699999999</v>
      </c>
      <c r="AH1191" t="n">
        <v>0.0004541</v>
      </c>
      <c r="AI1191" t="n">
        <v>0.5861</v>
      </c>
      <c r="AJ1191" t="n">
        <v>0</v>
      </c>
      <c r="AK1191" t="n">
        <v>1087.2892</v>
      </c>
      <c r="AL1191" t="n">
        <v>-16309.338</v>
      </c>
      <c r="AM1191" t="n">
        <v>57772.5108</v>
      </c>
      <c r="AN1191" t="n">
        <v>0.99</v>
      </c>
      <c r="AO1191" t="inlineStr">
        <is>
          <t>Low</t>
        </is>
      </c>
      <c r="AP1191" t="inlineStr">
        <is>
          <t>On Track</t>
        </is>
      </c>
    </row>
    <row r="1192">
      <c r="A1192" t="inlineStr">
        <is>
          <t>SUP-0075</t>
        </is>
      </c>
      <c r="B1192" t="inlineStr">
        <is>
          <t>Metals Supplier 075</t>
        </is>
      </c>
      <c r="C1192" t="inlineStr">
        <is>
          <t>Metals</t>
        </is>
      </c>
      <c r="D1192" t="n">
        <v>2024</v>
      </c>
      <c r="E1192" t="n">
        <v>2021</v>
      </c>
      <c r="F1192" t="n">
        <v>2030</v>
      </c>
      <c r="G1192" t="n">
        <v>19104.6888</v>
      </c>
      <c r="H1192" t="n">
        <v>4592.6116</v>
      </c>
      <c r="I1192" t="n">
        <v>2530.4429</v>
      </c>
      <c r="J1192" t="n">
        <v>10865.5764</v>
      </c>
      <c r="K1192" t="n">
        <v>15218241.83</v>
      </c>
      <c r="L1192" t="n">
        <v>48232106.23</v>
      </c>
      <c r="M1192" t="n">
        <v>19104.6888</v>
      </c>
      <c r="N1192" t="inlineStr">
        <is>
          <t>Provided Total Emissions</t>
        </is>
      </c>
      <c r="O1192" t="b">
        <v>1</v>
      </c>
      <c r="P1192" t="n">
        <v>-0.023496</v>
      </c>
      <c r="Q1192" t="n">
        <v>-0.012063</v>
      </c>
      <c r="R1192" t="n">
        <v>15324.0086</v>
      </c>
      <c r="S1192" t="n">
        <v>31354.7276</v>
      </c>
      <c r="T1192" t="n">
        <v>-3780.6802</v>
      </c>
      <c r="U1192" t="n">
        <v>12250.0388</v>
      </c>
      <c r="V1192" t="n">
        <v>-0.197893</v>
      </c>
      <c r="W1192" t="n">
        <v>0.6412060000000001</v>
      </c>
      <c r="X1192" t="inlineStr">
        <is>
          <t>High</t>
        </is>
      </c>
      <c r="Y1192" t="inlineStr">
        <is>
          <t>None</t>
        </is>
      </c>
      <c r="Z1192" t="inlineStr">
        <is>
          <t>Valid</t>
        </is>
      </c>
      <c r="AA1192" t="n">
        <v>2031</v>
      </c>
      <c r="AB1192" t="inlineStr">
        <is>
          <t>Supplier Target Pathway</t>
        </is>
      </c>
      <c r="AC1192" t="n">
        <v>16696.1315</v>
      </c>
      <c r="AD1192" t="n">
        <v>6910.5288</v>
      </c>
      <c r="AE1192" t="n">
        <v>6910.5288</v>
      </c>
      <c r="AF1192" t="n">
        <v>6910.5288</v>
      </c>
      <c r="AG1192" t="n">
        <v>9785.602699999999</v>
      </c>
      <c r="AH1192" t="n">
        <v>0.0004541</v>
      </c>
      <c r="AI1192" t="n">
        <v>0.5861</v>
      </c>
      <c r="AJ1192" t="n">
        <v>0</v>
      </c>
      <c r="AK1192" t="n">
        <v>1087.2892</v>
      </c>
      <c r="AL1192" t="n">
        <v>-23219.8668</v>
      </c>
      <c r="AM1192" t="n">
        <v>64683.0396</v>
      </c>
      <c r="AN1192" t="n">
        <v>0.99</v>
      </c>
      <c r="AO1192" t="inlineStr">
        <is>
          <t>Low</t>
        </is>
      </c>
      <c r="AP1192" t="inlineStr">
        <is>
          <t>On Track</t>
        </is>
      </c>
    </row>
    <row r="1193">
      <c r="A1193" t="inlineStr">
        <is>
          <t>SUP-0075</t>
        </is>
      </c>
      <c r="B1193" t="inlineStr">
        <is>
          <t>Metals Supplier 075</t>
        </is>
      </c>
      <c r="C1193" t="inlineStr">
        <is>
          <t>Metals</t>
        </is>
      </c>
      <c r="D1193" t="n">
        <v>2024</v>
      </c>
      <c r="E1193" t="n">
        <v>2021</v>
      </c>
      <c r="F1193" t="n">
        <v>2030</v>
      </c>
      <c r="G1193" t="n">
        <v>19104.6888</v>
      </c>
      <c r="H1193" t="n">
        <v>4592.6116</v>
      </c>
      <c r="I1193" t="n">
        <v>2530.4429</v>
      </c>
      <c r="J1193" t="n">
        <v>10865.5764</v>
      </c>
      <c r="K1193" t="n">
        <v>15218241.83</v>
      </c>
      <c r="L1193" t="n">
        <v>48232106.23</v>
      </c>
      <c r="M1193" t="n">
        <v>19104.6888</v>
      </c>
      <c r="N1193" t="inlineStr">
        <is>
          <t>Provided Total Emissions</t>
        </is>
      </c>
      <c r="O1193" t="b">
        <v>1</v>
      </c>
      <c r="P1193" t="n">
        <v>-0.023496</v>
      </c>
      <c r="Q1193" t="n">
        <v>-0.012063</v>
      </c>
      <c r="R1193" t="n">
        <v>15324.0086</v>
      </c>
      <c r="S1193" t="n">
        <v>31354.7276</v>
      </c>
      <c r="T1193" t="n">
        <v>-3780.6802</v>
      </c>
      <c r="U1193" t="n">
        <v>12250.0388</v>
      </c>
      <c r="V1193" t="n">
        <v>-0.197893</v>
      </c>
      <c r="W1193" t="n">
        <v>0.6412060000000001</v>
      </c>
      <c r="X1193" t="inlineStr">
        <is>
          <t>High</t>
        </is>
      </c>
      <c r="Y1193" t="inlineStr">
        <is>
          <t>None</t>
        </is>
      </c>
      <c r="Z1193" t="inlineStr">
        <is>
          <t>Valid</t>
        </is>
      </c>
      <c r="AA1193" t="n">
        <v>2032</v>
      </c>
      <c r="AB1193" t="inlineStr">
        <is>
          <t>Supplier Target Pathway</t>
        </is>
      </c>
      <c r="AC1193" t="n">
        <v>16696.1315</v>
      </c>
      <c r="AD1193" t="n">
        <v>6910.5288</v>
      </c>
      <c r="AE1193" t="n">
        <v>6910.5288</v>
      </c>
      <c r="AF1193" t="n">
        <v>6910.5288</v>
      </c>
      <c r="AG1193" t="n">
        <v>9785.602699999999</v>
      </c>
      <c r="AH1193" t="n">
        <v>0.0004541</v>
      </c>
      <c r="AI1193" t="n">
        <v>0.5861</v>
      </c>
      <c r="AJ1193" t="n">
        <v>0</v>
      </c>
      <c r="AK1193" t="n">
        <v>1087.2892</v>
      </c>
      <c r="AL1193" t="n">
        <v>-30130.3956</v>
      </c>
      <c r="AM1193" t="n">
        <v>71593.5684</v>
      </c>
      <c r="AN1193" t="n">
        <v>0.99</v>
      </c>
      <c r="AO1193" t="inlineStr">
        <is>
          <t>Low</t>
        </is>
      </c>
      <c r="AP1193" t="inlineStr">
        <is>
          <t>On Track</t>
        </is>
      </c>
    </row>
    <row r="1194">
      <c r="A1194" t="inlineStr">
        <is>
          <t>SUP-0075</t>
        </is>
      </c>
      <c r="B1194" t="inlineStr">
        <is>
          <t>Metals Supplier 075</t>
        </is>
      </c>
      <c r="C1194" t="inlineStr">
        <is>
          <t>Metals</t>
        </is>
      </c>
      <c r="D1194" t="n">
        <v>2024</v>
      </c>
      <c r="E1194" t="n">
        <v>2021</v>
      </c>
      <c r="F1194" t="n">
        <v>2030</v>
      </c>
      <c r="G1194" t="n">
        <v>19104.6888</v>
      </c>
      <c r="H1194" t="n">
        <v>4592.6116</v>
      </c>
      <c r="I1194" t="n">
        <v>2530.4429</v>
      </c>
      <c r="J1194" t="n">
        <v>10865.5764</v>
      </c>
      <c r="K1194" t="n">
        <v>15218241.83</v>
      </c>
      <c r="L1194" t="n">
        <v>48232106.23</v>
      </c>
      <c r="M1194" t="n">
        <v>19104.6888</v>
      </c>
      <c r="N1194" t="inlineStr">
        <is>
          <t>Provided Total Emissions</t>
        </is>
      </c>
      <c r="O1194" t="b">
        <v>1</v>
      </c>
      <c r="P1194" t="n">
        <v>-0.023496</v>
      </c>
      <c r="Q1194" t="n">
        <v>-0.012063</v>
      </c>
      <c r="R1194" t="n">
        <v>15324.0086</v>
      </c>
      <c r="S1194" t="n">
        <v>31354.7276</v>
      </c>
      <c r="T1194" t="n">
        <v>-3780.6802</v>
      </c>
      <c r="U1194" t="n">
        <v>12250.0388</v>
      </c>
      <c r="V1194" t="n">
        <v>-0.197893</v>
      </c>
      <c r="W1194" t="n">
        <v>0.6412060000000001</v>
      </c>
      <c r="X1194" t="inlineStr">
        <is>
          <t>High</t>
        </is>
      </c>
      <c r="Y1194" t="inlineStr">
        <is>
          <t>None</t>
        </is>
      </c>
      <c r="Z1194" t="inlineStr">
        <is>
          <t>Valid</t>
        </is>
      </c>
      <c r="AA1194" t="n">
        <v>2033</v>
      </c>
      <c r="AB1194" t="inlineStr">
        <is>
          <t>Supplier Target Pathway</t>
        </is>
      </c>
      <c r="AC1194" t="n">
        <v>16696.1315</v>
      </c>
      <c r="AD1194" t="n">
        <v>6910.5288</v>
      </c>
      <c r="AE1194" t="n">
        <v>6910.5288</v>
      </c>
      <c r="AF1194" t="n">
        <v>6910.5288</v>
      </c>
      <c r="AG1194" t="n">
        <v>9785.602699999999</v>
      </c>
      <c r="AH1194" t="n">
        <v>0.0004541</v>
      </c>
      <c r="AI1194" t="n">
        <v>0.5861</v>
      </c>
      <c r="AJ1194" t="n">
        <v>0</v>
      </c>
      <c r="AK1194" t="n">
        <v>1087.2892</v>
      </c>
      <c r="AL1194" t="n">
        <v>-37040.9244</v>
      </c>
      <c r="AM1194" t="n">
        <v>78504.0972</v>
      </c>
      <c r="AN1194" t="n">
        <v>0.99</v>
      </c>
      <c r="AO1194" t="inlineStr">
        <is>
          <t>Low</t>
        </is>
      </c>
      <c r="AP1194" t="inlineStr">
        <is>
          <t>On Track</t>
        </is>
      </c>
    </row>
    <row r="1195">
      <c r="A1195" t="inlineStr">
        <is>
          <t>SUP-0075</t>
        </is>
      </c>
      <c r="B1195" t="inlineStr">
        <is>
          <t>Metals Supplier 075</t>
        </is>
      </c>
      <c r="C1195" t="inlineStr">
        <is>
          <t>Metals</t>
        </is>
      </c>
      <c r="D1195" t="n">
        <v>2024</v>
      </c>
      <c r="E1195" t="n">
        <v>2021</v>
      </c>
      <c r="F1195" t="n">
        <v>2030</v>
      </c>
      <c r="G1195" t="n">
        <v>19104.6888</v>
      </c>
      <c r="H1195" t="n">
        <v>4592.6116</v>
      </c>
      <c r="I1195" t="n">
        <v>2530.4429</v>
      </c>
      <c r="J1195" t="n">
        <v>10865.5764</v>
      </c>
      <c r="K1195" t="n">
        <v>15218241.83</v>
      </c>
      <c r="L1195" t="n">
        <v>48232106.23</v>
      </c>
      <c r="M1195" t="n">
        <v>19104.6888</v>
      </c>
      <c r="N1195" t="inlineStr">
        <is>
          <t>Provided Total Emissions</t>
        </is>
      </c>
      <c r="O1195" t="b">
        <v>1</v>
      </c>
      <c r="P1195" t="n">
        <v>-0.023496</v>
      </c>
      <c r="Q1195" t="n">
        <v>-0.012063</v>
      </c>
      <c r="R1195" t="n">
        <v>15324.0086</v>
      </c>
      <c r="S1195" t="n">
        <v>31354.7276</v>
      </c>
      <c r="T1195" t="n">
        <v>-3780.6802</v>
      </c>
      <c r="U1195" t="n">
        <v>12250.0388</v>
      </c>
      <c r="V1195" t="n">
        <v>-0.197893</v>
      </c>
      <c r="W1195" t="n">
        <v>0.6412060000000001</v>
      </c>
      <c r="X1195" t="inlineStr">
        <is>
          <t>High</t>
        </is>
      </c>
      <c r="Y1195" t="inlineStr">
        <is>
          <t>None</t>
        </is>
      </c>
      <c r="Z1195" t="inlineStr">
        <is>
          <t>Valid</t>
        </is>
      </c>
      <c r="AA1195" t="n">
        <v>2034</v>
      </c>
      <c r="AB1195" t="inlineStr">
        <is>
          <t>Supplier Target Pathway</t>
        </is>
      </c>
      <c r="AC1195" t="n">
        <v>16696.1315</v>
      </c>
      <c r="AD1195" t="n">
        <v>6910.5288</v>
      </c>
      <c r="AE1195" t="n">
        <v>6910.5288</v>
      </c>
      <c r="AF1195" t="n">
        <v>6910.5288</v>
      </c>
      <c r="AG1195" t="n">
        <v>9785.602699999999</v>
      </c>
      <c r="AH1195" t="n">
        <v>0.0004541</v>
      </c>
      <c r="AI1195" t="n">
        <v>0.5861</v>
      </c>
      <c r="AJ1195" t="n">
        <v>0</v>
      </c>
      <c r="AK1195" t="n">
        <v>1087.2892</v>
      </c>
      <c r="AL1195" t="n">
        <v>-43951.4532</v>
      </c>
      <c r="AM1195" t="n">
        <v>85414.626</v>
      </c>
      <c r="AN1195" t="n">
        <v>0.99</v>
      </c>
      <c r="AO1195" t="inlineStr">
        <is>
          <t>Low</t>
        </is>
      </c>
      <c r="AP1195" t="inlineStr">
        <is>
          <t>On Track</t>
        </is>
      </c>
    </row>
    <row r="1196">
      <c r="A1196" t="inlineStr">
        <is>
          <t>SUP-0075</t>
        </is>
      </c>
      <c r="B1196" t="inlineStr">
        <is>
          <t>Metals Supplier 075</t>
        </is>
      </c>
      <c r="C1196" t="inlineStr">
        <is>
          <t>Metals</t>
        </is>
      </c>
      <c r="D1196" t="n">
        <v>2024</v>
      </c>
      <c r="E1196" t="n">
        <v>2021</v>
      </c>
      <c r="F1196" t="n">
        <v>2030</v>
      </c>
      <c r="G1196" t="n">
        <v>19104.6888</v>
      </c>
      <c r="H1196" t="n">
        <v>4592.6116</v>
      </c>
      <c r="I1196" t="n">
        <v>2530.4429</v>
      </c>
      <c r="J1196" t="n">
        <v>10865.5764</v>
      </c>
      <c r="K1196" t="n">
        <v>15218241.83</v>
      </c>
      <c r="L1196" t="n">
        <v>48232106.23</v>
      </c>
      <c r="M1196" t="n">
        <v>19104.6888</v>
      </c>
      <c r="N1196" t="inlineStr">
        <is>
          <t>Provided Total Emissions</t>
        </is>
      </c>
      <c r="O1196" t="b">
        <v>1</v>
      </c>
      <c r="P1196" t="n">
        <v>-0.023496</v>
      </c>
      <c r="Q1196" t="n">
        <v>-0.012063</v>
      </c>
      <c r="R1196" t="n">
        <v>15324.0086</v>
      </c>
      <c r="S1196" t="n">
        <v>31354.7276</v>
      </c>
      <c r="T1196" t="n">
        <v>-3780.6802</v>
      </c>
      <c r="U1196" t="n">
        <v>12250.0388</v>
      </c>
      <c r="V1196" t="n">
        <v>-0.197893</v>
      </c>
      <c r="W1196" t="n">
        <v>0.6412060000000001</v>
      </c>
      <c r="X1196" t="inlineStr">
        <is>
          <t>High</t>
        </is>
      </c>
      <c r="Y1196" t="inlineStr">
        <is>
          <t>None</t>
        </is>
      </c>
      <c r="Z1196" t="inlineStr">
        <is>
          <t>Valid</t>
        </is>
      </c>
      <c r="AA1196" t="n">
        <v>2035</v>
      </c>
      <c r="AB1196" t="inlineStr">
        <is>
          <t>Supplier Target Pathway</t>
        </is>
      </c>
      <c r="AC1196" t="n">
        <v>16696.1315</v>
      </c>
      <c r="AD1196" t="n">
        <v>6910.5288</v>
      </c>
      <c r="AE1196" t="n">
        <v>6910.5288</v>
      </c>
      <c r="AF1196" t="n">
        <v>6910.5288</v>
      </c>
      <c r="AG1196" t="n">
        <v>9785.602699999999</v>
      </c>
      <c r="AH1196" t="n">
        <v>0.0004541</v>
      </c>
      <c r="AI1196" t="n">
        <v>0.5861</v>
      </c>
      <c r="AJ1196" t="n">
        <v>0</v>
      </c>
      <c r="AK1196" t="n">
        <v>1087.2892</v>
      </c>
      <c r="AL1196" t="n">
        <v>-50861.982</v>
      </c>
      <c r="AM1196" t="n">
        <v>92325.1548</v>
      </c>
      <c r="AN1196" t="n">
        <v>0.99</v>
      </c>
      <c r="AO1196" t="inlineStr">
        <is>
          <t>Low</t>
        </is>
      </c>
      <c r="AP1196" t="inlineStr">
        <is>
          <t>On Track</t>
        </is>
      </c>
    </row>
    <row r="1197">
      <c r="A1197" t="inlineStr">
        <is>
          <t>SUP-0075</t>
        </is>
      </c>
      <c r="B1197" t="inlineStr">
        <is>
          <t>Metals Supplier 075</t>
        </is>
      </c>
      <c r="C1197" t="inlineStr">
        <is>
          <t>Metals</t>
        </is>
      </c>
      <c r="D1197" t="n">
        <v>2024</v>
      </c>
      <c r="E1197" t="n">
        <v>2021</v>
      </c>
      <c r="F1197" t="n">
        <v>2030</v>
      </c>
      <c r="G1197" t="n">
        <v>19104.6888</v>
      </c>
      <c r="H1197" t="n">
        <v>4592.6116</v>
      </c>
      <c r="I1197" t="n">
        <v>2530.4429</v>
      </c>
      <c r="J1197" t="n">
        <v>10865.5764</v>
      </c>
      <c r="K1197" t="n">
        <v>15218241.83</v>
      </c>
      <c r="L1197" t="n">
        <v>48232106.23</v>
      </c>
      <c r="M1197" t="n">
        <v>19104.6888</v>
      </c>
      <c r="N1197" t="inlineStr">
        <is>
          <t>Provided Total Emissions</t>
        </is>
      </c>
      <c r="O1197" t="b">
        <v>1</v>
      </c>
      <c r="P1197" t="n">
        <v>-0.023496</v>
      </c>
      <c r="Q1197" t="n">
        <v>-0.012063</v>
      </c>
      <c r="R1197" t="n">
        <v>15324.0086</v>
      </c>
      <c r="S1197" t="n">
        <v>31354.7276</v>
      </c>
      <c r="T1197" t="n">
        <v>-3780.6802</v>
      </c>
      <c r="U1197" t="n">
        <v>12250.0388</v>
      </c>
      <c r="V1197" t="n">
        <v>-0.197893</v>
      </c>
      <c r="W1197" t="n">
        <v>0.6412060000000001</v>
      </c>
      <c r="X1197" t="inlineStr">
        <is>
          <t>High</t>
        </is>
      </c>
      <c r="Y1197" t="inlineStr">
        <is>
          <t>None</t>
        </is>
      </c>
      <c r="Z1197" t="inlineStr">
        <is>
          <t>Valid</t>
        </is>
      </c>
      <c r="AA1197" t="n">
        <v>2036</v>
      </c>
      <c r="AB1197" t="inlineStr">
        <is>
          <t>Supplier Target Pathway</t>
        </is>
      </c>
      <c r="AC1197" t="n">
        <v>16696.1315</v>
      </c>
      <c r="AD1197" t="n">
        <v>6910.5288</v>
      </c>
      <c r="AE1197" t="n">
        <v>6910.5288</v>
      </c>
      <c r="AF1197" t="n">
        <v>6910.5288</v>
      </c>
      <c r="AG1197" t="n">
        <v>9785.602699999999</v>
      </c>
      <c r="AH1197" t="n">
        <v>0.0004541</v>
      </c>
      <c r="AI1197" t="n">
        <v>0.5861</v>
      </c>
      <c r="AJ1197" t="n">
        <v>0</v>
      </c>
      <c r="AK1197" t="n">
        <v>1087.2892</v>
      </c>
      <c r="AL1197" t="n">
        <v>-57772.5108</v>
      </c>
      <c r="AM1197" t="n">
        <v>99235.6836</v>
      </c>
      <c r="AN1197" t="n">
        <v>0.99</v>
      </c>
      <c r="AO1197" t="inlineStr">
        <is>
          <t>Low</t>
        </is>
      </c>
      <c r="AP1197" t="inlineStr">
        <is>
          <t>On Track</t>
        </is>
      </c>
    </row>
    <row r="1198">
      <c r="A1198" t="inlineStr">
        <is>
          <t>SUP-0075</t>
        </is>
      </c>
      <c r="B1198" t="inlineStr">
        <is>
          <t>Metals Supplier 075</t>
        </is>
      </c>
      <c r="C1198" t="inlineStr">
        <is>
          <t>Metals</t>
        </is>
      </c>
      <c r="D1198" t="n">
        <v>2024</v>
      </c>
      <c r="E1198" t="n">
        <v>2021</v>
      </c>
      <c r="F1198" t="n">
        <v>2030</v>
      </c>
      <c r="G1198" t="n">
        <v>19104.6888</v>
      </c>
      <c r="H1198" t="n">
        <v>4592.6116</v>
      </c>
      <c r="I1198" t="n">
        <v>2530.4429</v>
      </c>
      <c r="J1198" t="n">
        <v>10865.5764</v>
      </c>
      <c r="K1198" t="n">
        <v>15218241.83</v>
      </c>
      <c r="L1198" t="n">
        <v>48232106.23</v>
      </c>
      <c r="M1198" t="n">
        <v>19104.6888</v>
      </c>
      <c r="N1198" t="inlineStr">
        <is>
          <t>Provided Total Emissions</t>
        </is>
      </c>
      <c r="O1198" t="b">
        <v>1</v>
      </c>
      <c r="P1198" t="n">
        <v>-0.023496</v>
      </c>
      <c r="Q1198" t="n">
        <v>-0.012063</v>
      </c>
      <c r="R1198" t="n">
        <v>15324.0086</v>
      </c>
      <c r="S1198" t="n">
        <v>31354.7276</v>
      </c>
      <c r="T1198" t="n">
        <v>-3780.6802</v>
      </c>
      <c r="U1198" t="n">
        <v>12250.0388</v>
      </c>
      <c r="V1198" t="n">
        <v>-0.197893</v>
      </c>
      <c r="W1198" t="n">
        <v>0.6412060000000001</v>
      </c>
      <c r="X1198" t="inlineStr">
        <is>
          <t>High</t>
        </is>
      </c>
      <c r="Y1198" t="inlineStr">
        <is>
          <t>None</t>
        </is>
      </c>
      <c r="Z1198" t="inlineStr">
        <is>
          <t>Valid</t>
        </is>
      </c>
      <c r="AA1198" t="n">
        <v>2037</v>
      </c>
      <c r="AB1198" t="inlineStr">
        <is>
          <t>Supplier Target Pathway</t>
        </is>
      </c>
      <c r="AC1198" t="n">
        <v>16696.1315</v>
      </c>
      <c r="AD1198" t="n">
        <v>6910.5288</v>
      </c>
      <c r="AE1198" t="n">
        <v>6910.5288</v>
      </c>
      <c r="AF1198" t="n">
        <v>6910.5288</v>
      </c>
      <c r="AG1198" t="n">
        <v>9785.602699999999</v>
      </c>
      <c r="AH1198" t="n">
        <v>0.0004541</v>
      </c>
      <c r="AI1198" t="n">
        <v>0.5861</v>
      </c>
      <c r="AJ1198" t="n">
        <v>0</v>
      </c>
      <c r="AK1198" t="n">
        <v>1087.2892</v>
      </c>
      <c r="AL1198" t="n">
        <v>-64683.0396</v>
      </c>
      <c r="AM1198" t="n">
        <v>106146.2124</v>
      </c>
      <c r="AN1198" t="n">
        <v>0.99</v>
      </c>
      <c r="AO1198" t="inlineStr">
        <is>
          <t>Low</t>
        </is>
      </c>
      <c r="AP1198" t="inlineStr">
        <is>
          <t>On Track</t>
        </is>
      </c>
    </row>
    <row r="1199">
      <c r="A1199" t="inlineStr">
        <is>
          <t>SUP-0075</t>
        </is>
      </c>
      <c r="B1199" t="inlineStr">
        <is>
          <t>Metals Supplier 075</t>
        </is>
      </c>
      <c r="C1199" t="inlineStr">
        <is>
          <t>Metals</t>
        </is>
      </c>
      <c r="D1199" t="n">
        <v>2024</v>
      </c>
      <c r="E1199" t="n">
        <v>2021</v>
      </c>
      <c r="F1199" t="n">
        <v>2030</v>
      </c>
      <c r="G1199" t="n">
        <v>19104.6888</v>
      </c>
      <c r="H1199" t="n">
        <v>4592.6116</v>
      </c>
      <c r="I1199" t="n">
        <v>2530.4429</v>
      </c>
      <c r="J1199" t="n">
        <v>10865.5764</v>
      </c>
      <c r="K1199" t="n">
        <v>15218241.83</v>
      </c>
      <c r="L1199" t="n">
        <v>48232106.23</v>
      </c>
      <c r="M1199" t="n">
        <v>19104.6888</v>
      </c>
      <c r="N1199" t="inlineStr">
        <is>
          <t>Provided Total Emissions</t>
        </is>
      </c>
      <c r="O1199" t="b">
        <v>1</v>
      </c>
      <c r="P1199" t="n">
        <v>-0.023496</v>
      </c>
      <c r="Q1199" t="n">
        <v>-0.012063</v>
      </c>
      <c r="R1199" t="n">
        <v>15324.0086</v>
      </c>
      <c r="S1199" t="n">
        <v>31354.7276</v>
      </c>
      <c r="T1199" t="n">
        <v>-3780.6802</v>
      </c>
      <c r="U1199" t="n">
        <v>12250.0388</v>
      </c>
      <c r="V1199" t="n">
        <v>-0.197893</v>
      </c>
      <c r="W1199" t="n">
        <v>0.6412060000000001</v>
      </c>
      <c r="X1199" t="inlineStr">
        <is>
          <t>High</t>
        </is>
      </c>
      <c r="Y1199" t="inlineStr">
        <is>
          <t>None</t>
        </is>
      </c>
      <c r="Z1199" t="inlineStr">
        <is>
          <t>Valid</t>
        </is>
      </c>
      <c r="AA1199" t="n">
        <v>2038</v>
      </c>
      <c r="AB1199" t="inlineStr">
        <is>
          <t>Supplier Target Pathway</t>
        </is>
      </c>
      <c r="AC1199" t="n">
        <v>16696.1315</v>
      </c>
      <c r="AD1199" t="n">
        <v>6910.5288</v>
      </c>
      <c r="AE1199" t="n">
        <v>6910.5288</v>
      </c>
      <c r="AF1199" t="n">
        <v>6910.5288</v>
      </c>
      <c r="AG1199" t="n">
        <v>9785.602699999999</v>
      </c>
      <c r="AH1199" t="n">
        <v>0.0004541</v>
      </c>
      <c r="AI1199" t="n">
        <v>0.5861</v>
      </c>
      <c r="AJ1199" t="n">
        <v>0</v>
      </c>
      <c r="AK1199" t="n">
        <v>1087.2892</v>
      </c>
      <c r="AL1199" t="n">
        <v>-71593.5684</v>
      </c>
      <c r="AM1199" t="n">
        <v>113056.7412</v>
      </c>
      <c r="AN1199" t="n">
        <v>0.99</v>
      </c>
      <c r="AO1199" t="inlineStr">
        <is>
          <t>Low</t>
        </is>
      </c>
      <c r="AP1199" t="inlineStr">
        <is>
          <t>On Track</t>
        </is>
      </c>
    </row>
    <row r="1200">
      <c r="A1200" t="inlineStr">
        <is>
          <t>SUP-0075</t>
        </is>
      </c>
      <c r="B1200" t="inlineStr">
        <is>
          <t>Metals Supplier 075</t>
        </is>
      </c>
      <c r="C1200" t="inlineStr">
        <is>
          <t>Metals</t>
        </is>
      </c>
      <c r="D1200" t="n">
        <v>2024</v>
      </c>
      <c r="E1200" t="n">
        <v>2021</v>
      </c>
      <c r="F1200" t="n">
        <v>2030</v>
      </c>
      <c r="G1200" t="n">
        <v>19104.6888</v>
      </c>
      <c r="H1200" t="n">
        <v>4592.6116</v>
      </c>
      <c r="I1200" t="n">
        <v>2530.4429</v>
      </c>
      <c r="J1200" t="n">
        <v>10865.5764</v>
      </c>
      <c r="K1200" t="n">
        <v>15218241.83</v>
      </c>
      <c r="L1200" t="n">
        <v>48232106.23</v>
      </c>
      <c r="M1200" t="n">
        <v>19104.6888</v>
      </c>
      <c r="N1200" t="inlineStr">
        <is>
          <t>Provided Total Emissions</t>
        </is>
      </c>
      <c r="O1200" t="b">
        <v>1</v>
      </c>
      <c r="P1200" t="n">
        <v>-0.023496</v>
      </c>
      <c r="Q1200" t="n">
        <v>-0.012063</v>
      </c>
      <c r="R1200" t="n">
        <v>15324.0086</v>
      </c>
      <c r="S1200" t="n">
        <v>31354.7276</v>
      </c>
      <c r="T1200" t="n">
        <v>-3780.6802</v>
      </c>
      <c r="U1200" t="n">
        <v>12250.0388</v>
      </c>
      <c r="V1200" t="n">
        <v>-0.197893</v>
      </c>
      <c r="W1200" t="n">
        <v>0.6412060000000001</v>
      </c>
      <c r="X1200" t="inlineStr">
        <is>
          <t>High</t>
        </is>
      </c>
      <c r="Y1200" t="inlineStr">
        <is>
          <t>None</t>
        </is>
      </c>
      <c r="Z1200" t="inlineStr">
        <is>
          <t>Valid</t>
        </is>
      </c>
      <c r="AA1200" t="n">
        <v>2039</v>
      </c>
      <c r="AB1200" t="inlineStr">
        <is>
          <t>Supplier Target Pathway</t>
        </is>
      </c>
      <c r="AC1200" t="n">
        <v>16696.1315</v>
      </c>
      <c r="AD1200" t="n">
        <v>6910.5288</v>
      </c>
      <c r="AE1200" t="n">
        <v>6910.5288</v>
      </c>
      <c r="AF1200" t="n">
        <v>6910.5288</v>
      </c>
      <c r="AG1200" t="n">
        <v>9785.602699999999</v>
      </c>
      <c r="AH1200" t="n">
        <v>0.0004541</v>
      </c>
      <c r="AI1200" t="n">
        <v>0.5861</v>
      </c>
      <c r="AJ1200" t="n">
        <v>0</v>
      </c>
      <c r="AK1200" t="n">
        <v>1087.2892</v>
      </c>
      <c r="AL1200" t="n">
        <v>-78504.0972</v>
      </c>
      <c r="AM1200" t="n">
        <v>119967.27</v>
      </c>
      <c r="AN1200" t="n">
        <v>0.99</v>
      </c>
      <c r="AO1200" t="inlineStr">
        <is>
          <t>Low</t>
        </is>
      </c>
      <c r="AP1200" t="inlineStr">
        <is>
          <t>On Track</t>
        </is>
      </c>
    </row>
    <row r="1201">
      <c r="A1201" t="inlineStr">
        <is>
          <t>SUP-0075</t>
        </is>
      </c>
      <c r="B1201" t="inlineStr">
        <is>
          <t>Metals Supplier 075</t>
        </is>
      </c>
      <c r="C1201" t="inlineStr">
        <is>
          <t>Metals</t>
        </is>
      </c>
      <c r="D1201" t="n">
        <v>2024</v>
      </c>
      <c r="E1201" t="n">
        <v>2021</v>
      </c>
      <c r="F1201" t="n">
        <v>2030</v>
      </c>
      <c r="G1201" t="n">
        <v>19104.6888</v>
      </c>
      <c r="H1201" t="n">
        <v>4592.6116</v>
      </c>
      <c r="I1201" t="n">
        <v>2530.4429</v>
      </c>
      <c r="J1201" t="n">
        <v>10865.5764</v>
      </c>
      <c r="K1201" t="n">
        <v>15218241.83</v>
      </c>
      <c r="L1201" t="n">
        <v>48232106.23</v>
      </c>
      <c r="M1201" t="n">
        <v>19104.6888</v>
      </c>
      <c r="N1201" t="inlineStr">
        <is>
          <t>Provided Total Emissions</t>
        </is>
      </c>
      <c r="O1201" t="b">
        <v>1</v>
      </c>
      <c r="P1201" t="n">
        <v>-0.023496</v>
      </c>
      <c r="Q1201" t="n">
        <v>-0.012063</v>
      </c>
      <c r="R1201" t="n">
        <v>15324.0086</v>
      </c>
      <c r="S1201" t="n">
        <v>31354.7276</v>
      </c>
      <c r="T1201" t="n">
        <v>-3780.6802</v>
      </c>
      <c r="U1201" t="n">
        <v>12250.0388</v>
      </c>
      <c r="V1201" t="n">
        <v>-0.197893</v>
      </c>
      <c r="W1201" t="n">
        <v>0.6412060000000001</v>
      </c>
      <c r="X1201" t="inlineStr">
        <is>
          <t>High</t>
        </is>
      </c>
      <c r="Y1201" t="inlineStr">
        <is>
          <t>None</t>
        </is>
      </c>
      <c r="Z1201" t="inlineStr">
        <is>
          <t>Valid</t>
        </is>
      </c>
      <c r="AA1201" t="n">
        <v>2040</v>
      </c>
      <c r="AB1201" t="inlineStr">
        <is>
          <t>Supplier Target Pathway</t>
        </is>
      </c>
      <c r="AC1201" t="n">
        <v>16696.1315</v>
      </c>
      <c r="AD1201" t="n">
        <v>6910.5288</v>
      </c>
      <c r="AE1201" t="n">
        <v>6910.5288</v>
      </c>
      <c r="AF1201" t="n">
        <v>6910.5288</v>
      </c>
      <c r="AG1201" t="n">
        <v>9785.602699999999</v>
      </c>
      <c r="AH1201" t="n">
        <v>0.0004541</v>
      </c>
      <c r="AI1201" t="n">
        <v>0.5861</v>
      </c>
      <c r="AJ1201" t="n">
        <v>0</v>
      </c>
      <c r="AK1201" t="n">
        <v>1087.2892</v>
      </c>
      <c r="AL1201" t="n">
        <v>-85414.626</v>
      </c>
      <c r="AM1201" t="n">
        <v>126877.7988</v>
      </c>
      <c r="AN1201" t="n">
        <v>0.99</v>
      </c>
      <c r="AO1201" t="inlineStr">
        <is>
          <t>Low</t>
        </is>
      </c>
      <c r="AP1201" t="inlineStr">
        <is>
          <t>On Track</t>
        </is>
      </c>
    </row>
    <row r="1202">
      <c r="A1202" t="inlineStr">
        <is>
          <t>SUP-0076</t>
        </is>
      </c>
      <c r="B1202" t="inlineStr">
        <is>
          <t>Chemicals Supplier 076</t>
        </is>
      </c>
      <c r="C1202" t="inlineStr">
        <is>
          <t>Chemicals</t>
        </is>
      </c>
      <c r="D1202" t="n">
        <v>2024</v>
      </c>
      <c r="E1202" t="n">
        <v>2018</v>
      </c>
      <c r="F1202" t="n">
        <v>2035</v>
      </c>
      <c r="G1202" t="n">
        <v>21781.5845</v>
      </c>
      <c r="H1202" t="n">
        <v>5125.7204</v>
      </c>
      <c r="I1202" t="n">
        <v>2293.7183</v>
      </c>
      <c r="J1202" t="n">
        <v>14465.8495</v>
      </c>
      <c r="K1202" t="n">
        <v>15916390.39</v>
      </c>
      <c r="L1202" t="n">
        <v>63998237.61</v>
      </c>
      <c r="M1202" t="n">
        <v>21781.5845</v>
      </c>
      <c r="N1202" t="inlineStr">
        <is>
          <t>Provided Total Emissions</t>
        </is>
      </c>
      <c r="O1202" t="b">
        <v>1</v>
      </c>
      <c r="P1202" t="n">
        <v>0.080168</v>
      </c>
      <c r="Q1202" t="n">
        <v>0.023916</v>
      </c>
      <c r="R1202" t="n">
        <v>15940.1058</v>
      </c>
      <c r="S1202" t="n">
        <v>30158.5295</v>
      </c>
      <c r="T1202" t="n">
        <v>-5841.4787</v>
      </c>
      <c r="U1202" t="n">
        <v>8376.945</v>
      </c>
      <c r="V1202" t="n">
        <v>-0.268184</v>
      </c>
      <c r="W1202" t="n">
        <v>0.384588</v>
      </c>
      <c r="X1202" t="inlineStr">
        <is>
          <t>High</t>
        </is>
      </c>
      <c r="Y1202" t="inlineStr">
        <is>
          <t>None</t>
        </is>
      </c>
      <c r="Z1202" t="inlineStr">
        <is>
          <t>Valid</t>
        </is>
      </c>
      <c r="AA1202" t="n">
        <v>2025</v>
      </c>
      <c r="AB1202" t="inlineStr">
        <is>
          <t>Supplier Target Pathway</t>
        </is>
      </c>
      <c r="AC1202" t="n">
        <v>12639.7671</v>
      </c>
      <c r="AD1202" t="n">
        <v>7145.2603</v>
      </c>
      <c r="AE1202" t="n">
        <v>10377.3231</v>
      </c>
      <c r="AF1202" t="n">
        <v>10377.3231</v>
      </c>
      <c r="AG1202" t="n">
        <v>2262.444</v>
      </c>
      <c r="AH1202" t="n">
        <v>0.00065199</v>
      </c>
      <c r="AI1202" t="n">
        <v>0.178994</v>
      </c>
      <c r="AJ1202" t="n">
        <v>3232.0628</v>
      </c>
      <c r="AK1202" t="n">
        <v>323.2063</v>
      </c>
      <c r="AL1202" t="n">
        <v>68220.5402</v>
      </c>
      <c r="AM1202" t="n">
        <v>10377.3231</v>
      </c>
      <c r="AN1202" t="n">
        <v>0.99</v>
      </c>
      <c r="AO1202" t="inlineStr">
        <is>
          <t>Critical</t>
        </is>
      </c>
      <c r="AP1202" t="inlineStr">
        <is>
          <t>On Track to Glide Path</t>
        </is>
      </c>
    </row>
    <row r="1203">
      <c r="A1203" t="inlineStr">
        <is>
          <t>SUP-0076</t>
        </is>
      </c>
      <c r="B1203" t="inlineStr">
        <is>
          <t>Chemicals Supplier 076</t>
        </is>
      </c>
      <c r="C1203" t="inlineStr">
        <is>
          <t>Chemicals</t>
        </is>
      </c>
      <c r="D1203" t="n">
        <v>2024</v>
      </c>
      <c r="E1203" t="n">
        <v>2018</v>
      </c>
      <c r="F1203" t="n">
        <v>2035</v>
      </c>
      <c r="G1203" t="n">
        <v>21781.5845</v>
      </c>
      <c r="H1203" t="n">
        <v>5125.7204</v>
      </c>
      <c r="I1203" t="n">
        <v>2293.7183</v>
      </c>
      <c r="J1203" t="n">
        <v>14465.8495</v>
      </c>
      <c r="K1203" t="n">
        <v>15916390.39</v>
      </c>
      <c r="L1203" t="n">
        <v>63998237.61</v>
      </c>
      <c r="M1203" t="n">
        <v>21781.5845</v>
      </c>
      <c r="N1203" t="inlineStr">
        <is>
          <t>Provided Total Emissions</t>
        </is>
      </c>
      <c r="O1203" t="b">
        <v>1</v>
      </c>
      <c r="P1203" t="n">
        <v>0.080168</v>
      </c>
      <c r="Q1203" t="n">
        <v>0.023916</v>
      </c>
      <c r="R1203" t="n">
        <v>15940.1058</v>
      </c>
      <c r="S1203" t="n">
        <v>30158.5295</v>
      </c>
      <c r="T1203" t="n">
        <v>-5841.4787</v>
      </c>
      <c r="U1203" t="n">
        <v>8376.945</v>
      </c>
      <c r="V1203" t="n">
        <v>-0.268184</v>
      </c>
      <c r="W1203" t="n">
        <v>0.384588</v>
      </c>
      <c r="X1203" t="inlineStr">
        <is>
          <t>High</t>
        </is>
      </c>
      <c r="Y1203" t="inlineStr">
        <is>
          <t>None</t>
        </is>
      </c>
      <c r="Z1203" t="inlineStr">
        <is>
          <t>Valid</t>
        </is>
      </c>
      <c r="AA1203" t="n">
        <v>2026</v>
      </c>
      <c r="AB1203" t="inlineStr">
        <is>
          <t>Supplier Target Pathway</t>
        </is>
      </c>
      <c r="AC1203" t="n">
        <v>12639.7671</v>
      </c>
      <c r="AD1203" t="n">
        <v>7145.2603</v>
      </c>
      <c r="AE1203" t="n">
        <v>10054.1169</v>
      </c>
      <c r="AF1203" t="n">
        <v>10054.1169</v>
      </c>
      <c r="AG1203" t="n">
        <v>2585.6502</v>
      </c>
      <c r="AH1203" t="n">
        <v>0.00063168</v>
      </c>
      <c r="AI1203" t="n">
        <v>0.204565</v>
      </c>
      <c r="AJ1203" t="n">
        <v>2908.8565</v>
      </c>
      <c r="AK1203" t="n">
        <v>323.2063</v>
      </c>
      <c r="AL1203" t="n">
        <v>58166.4233</v>
      </c>
      <c r="AM1203" t="n">
        <v>20431.44</v>
      </c>
      <c r="AN1203" t="n">
        <v>0.99</v>
      </c>
      <c r="AO1203" t="inlineStr">
        <is>
          <t>Critical</t>
        </is>
      </c>
      <c r="AP1203" t="inlineStr">
        <is>
          <t>On Track to Glide Path</t>
        </is>
      </c>
    </row>
    <row r="1204">
      <c r="A1204" t="inlineStr">
        <is>
          <t>SUP-0076</t>
        </is>
      </c>
      <c r="B1204" t="inlineStr">
        <is>
          <t>Chemicals Supplier 076</t>
        </is>
      </c>
      <c r="C1204" t="inlineStr">
        <is>
          <t>Chemicals</t>
        </is>
      </c>
      <c r="D1204" t="n">
        <v>2024</v>
      </c>
      <c r="E1204" t="n">
        <v>2018</v>
      </c>
      <c r="F1204" t="n">
        <v>2035</v>
      </c>
      <c r="G1204" t="n">
        <v>21781.5845</v>
      </c>
      <c r="H1204" t="n">
        <v>5125.7204</v>
      </c>
      <c r="I1204" t="n">
        <v>2293.7183</v>
      </c>
      <c r="J1204" t="n">
        <v>14465.8495</v>
      </c>
      <c r="K1204" t="n">
        <v>15916390.39</v>
      </c>
      <c r="L1204" t="n">
        <v>63998237.61</v>
      </c>
      <c r="M1204" t="n">
        <v>21781.5845</v>
      </c>
      <c r="N1204" t="inlineStr">
        <is>
          <t>Provided Total Emissions</t>
        </is>
      </c>
      <c r="O1204" t="b">
        <v>1</v>
      </c>
      <c r="P1204" t="n">
        <v>0.080168</v>
      </c>
      <c r="Q1204" t="n">
        <v>0.023916</v>
      </c>
      <c r="R1204" t="n">
        <v>15940.1058</v>
      </c>
      <c r="S1204" t="n">
        <v>30158.5295</v>
      </c>
      <c r="T1204" t="n">
        <v>-5841.4787</v>
      </c>
      <c r="U1204" t="n">
        <v>8376.945</v>
      </c>
      <c r="V1204" t="n">
        <v>-0.268184</v>
      </c>
      <c r="W1204" t="n">
        <v>0.384588</v>
      </c>
      <c r="X1204" t="inlineStr">
        <is>
          <t>High</t>
        </is>
      </c>
      <c r="Y1204" t="inlineStr">
        <is>
          <t>None</t>
        </is>
      </c>
      <c r="Z1204" t="inlineStr">
        <is>
          <t>Valid</t>
        </is>
      </c>
      <c r="AA1204" t="n">
        <v>2027</v>
      </c>
      <c r="AB1204" t="inlineStr">
        <is>
          <t>Supplier Target Pathway</t>
        </is>
      </c>
      <c r="AC1204" t="n">
        <v>12639.7671</v>
      </c>
      <c r="AD1204" t="n">
        <v>7145.2603</v>
      </c>
      <c r="AE1204" t="n">
        <v>9730.910599999999</v>
      </c>
      <c r="AF1204" t="n">
        <v>9730.910599999999</v>
      </c>
      <c r="AG1204" t="n">
        <v>2908.8565</v>
      </c>
      <c r="AH1204" t="n">
        <v>0.00061138</v>
      </c>
      <c r="AI1204" t="n">
        <v>0.230135</v>
      </c>
      <c r="AJ1204" t="n">
        <v>2585.6502</v>
      </c>
      <c r="AK1204" t="n">
        <v>323.2063</v>
      </c>
      <c r="AL1204" t="n">
        <v>48435.5127</v>
      </c>
      <c r="AM1204" t="n">
        <v>30162.3506</v>
      </c>
      <c r="AN1204" t="n">
        <v>0.99</v>
      </c>
      <c r="AO1204" t="inlineStr">
        <is>
          <t>Critical</t>
        </is>
      </c>
      <c r="AP1204" t="inlineStr">
        <is>
          <t>On Track to Glide Path</t>
        </is>
      </c>
    </row>
    <row r="1205">
      <c r="A1205" t="inlineStr">
        <is>
          <t>SUP-0076</t>
        </is>
      </c>
      <c r="B1205" t="inlineStr">
        <is>
          <t>Chemicals Supplier 076</t>
        </is>
      </c>
      <c r="C1205" t="inlineStr">
        <is>
          <t>Chemicals</t>
        </is>
      </c>
      <c r="D1205" t="n">
        <v>2024</v>
      </c>
      <c r="E1205" t="n">
        <v>2018</v>
      </c>
      <c r="F1205" t="n">
        <v>2035</v>
      </c>
      <c r="G1205" t="n">
        <v>21781.5845</v>
      </c>
      <c r="H1205" t="n">
        <v>5125.7204</v>
      </c>
      <c r="I1205" t="n">
        <v>2293.7183</v>
      </c>
      <c r="J1205" t="n">
        <v>14465.8495</v>
      </c>
      <c r="K1205" t="n">
        <v>15916390.39</v>
      </c>
      <c r="L1205" t="n">
        <v>63998237.61</v>
      </c>
      <c r="M1205" t="n">
        <v>21781.5845</v>
      </c>
      <c r="N1205" t="inlineStr">
        <is>
          <t>Provided Total Emissions</t>
        </is>
      </c>
      <c r="O1205" t="b">
        <v>1</v>
      </c>
      <c r="P1205" t="n">
        <v>0.080168</v>
      </c>
      <c r="Q1205" t="n">
        <v>0.023916</v>
      </c>
      <c r="R1205" t="n">
        <v>15940.1058</v>
      </c>
      <c r="S1205" t="n">
        <v>30158.5295</v>
      </c>
      <c r="T1205" t="n">
        <v>-5841.4787</v>
      </c>
      <c r="U1205" t="n">
        <v>8376.945</v>
      </c>
      <c r="V1205" t="n">
        <v>-0.268184</v>
      </c>
      <c r="W1205" t="n">
        <v>0.384588</v>
      </c>
      <c r="X1205" t="inlineStr">
        <is>
          <t>High</t>
        </is>
      </c>
      <c r="Y1205" t="inlineStr">
        <is>
          <t>None</t>
        </is>
      </c>
      <c r="Z1205" t="inlineStr">
        <is>
          <t>Valid</t>
        </is>
      </c>
      <c r="AA1205" t="n">
        <v>2028</v>
      </c>
      <c r="AB1205" t="inlineStr">
        <is>
          <t>Supplier Target Pathway</t>
        </is>
      </c>
      <c r="AC1205" t="n">
        <v>12639.7671</v>
      </c>
      <c r="AD1205" t="n">
        <v>7145.2603</v>
      </c>
      <c r="AE1205" t="n">
        <v>9407.704299999999</v>
      </c>
      <c r="AF1205" t="n">
        <v>9407.704299999999</v>
      </c>
      <c r="AG1205" t="n">
        <v>3232.0628</v>
      </c>
      <c r="AH1205" t="n">
        <v>0.00059107</v>
      </c>
      <c r="AI1205" t="n">
        <v>0.255706</v>
      </c>
      <c r="AJ1205" t="n">
        <v>2262.444</v>
      </c>
      <c r="AK1205" t="n">
        <v>323.2063</v>
      </c>
      <c r="AL1205" t="n">
        <v>39027.8084</v>
      </c>
      <c r="AM1205" t="n">
        <v>39570.0549</v>
      </c>
      <c r="AN1205" t="n">
        <v>0.99</v>
      </c>
      <c r="AO1205" t="inlineStr">
        <is>
          <t>High</t>
        </is>
      </c>
      <c r="AP1205" t="inlineStr">
        <is>
          <t>On Track to Glide Path</t>
        </is>
      </c>
    </row>
    <row r="1206">
      <c r="A1206" t="inlineStr">
        <is>
          <t>SUP-0076</t>
        </is>
      </c>
      <c r="B1206" t="inlineStr">
        <is>
          <t>Chemicals Supplier 076</t>
        </is>
      </c>
      <c r="C1206" t="inlineStr">
        <is>
          <t>Chemicals</t>
        </is>
      </c>
      <c r="D1206" t="n">
        <v>2024</v>
      </c>
      <c r="E1206" t="n">
        <v>2018</v>
      </c>
      <c r="F1206" t="n">
        <v>2035</v>
      </c>
      <c r="G1206" t="n">
        <v>21781.5845</v>
      </c>
      <c r="H1206" t="n">
        <v>5125.7204</v>
      </c>
      <c r="I1206" t="n">
        <v>2293.7183</v>
      </c>
      <c r="J1206" t="n">
        <v>14465.8495</v>
      </c>
      <c r="K1206" t="n">
        <v>15916390.39</v>
      </c>
      <c r="L1206" t="n">
        <v>63998237.61</v>
      </c>
      <c r="M1206" t="n">
        <v>21781.5845</v>
      </c>
      <c r="N1206" t="inlineStr">
        <is>
          <t>Provided Total Emissions</t>
        </is>
      </c>
      <c r="O1206" t="b">
        <v>1</v>
      </c>
      <c r="P1206" t="n">
        <v>0.080168</v>
      </c>
      <c r="Q1206" t="n">
        <v>0.023916</v>
      </c>
      <c r="R1206" t="n">
        <v>15940.1058</v>
      </c>
      <c r="S1206" t="n">
        <v>30158.5295</v>
      </c>
      <c r="T1206" t="n">
        <v>-5841.4787</v>
      </c>
      <c r="U1206" t="n">
        <v>8376.945</v>
      </c>
      <c r="V1206" t="n">
        <v>-0.268184</v>
      </c>
      <c r="W1206" t="n">
        <v>0.384588</v>
      </c>
      <c r="X1206" t="inlineStr">
        <is>
          <t>High</t>
        </is>
      </c>
      <c r="Y1206" t="inlineStr">
        <is>
          <t>None</t>
        </is>
      </c>
      <c r="Z1206" t="inlineStr">
        <is>
          <t>Valid</t>
        </is>
      </c>
      <c r="AA1206" t="n">
        <v>2029</v>
      </c>
      <c r="AB1206" t="inlineStr">
        <is>
          <t>Supplier Target Pathway</t>
        </is>
      </c>
      <c r="AC1206" t="n">
        <v>12639.7671</v>
      </c>
      <c r="AD1206" t="n">
        <v>7145.2603</v>
      </c>
      <c r="AE1206" t="n">
        <v>9084.498</v>
      </c>
      <c r="AF1206" t="n">
        <v>9084.498</v>
      </c>
      <c r="AG1206" t="n">
        <v>3555.2691</v>
      </c>
      <c r="AH1206" t="n">
        <v>0.00057076</v>
      </c>
      <c r="AI1206" t="n">
        <v>0.281276</v>
      </c>
      <c r="AJ1206" t="n">
        <v>1939.2377</v>
      </c>
      <c r="AK1206" t="n">
        <v>323.2063</v>
      </c>
      <c r="AL1206" t="n">
        <v>29943.3104</v>
      </c>
      <c r="AM1206" t="n">
        <v>48654.5529</v>
      </c>
      <c r="AN1206" t="n">
        <v>0.99</v>
      </c>
      <c r="AO1206" t="inlineStr">
        <is>
          <t>High</t>
        </is>
      </c>
      <c r="AP1206" t="inlineStr">
        <is>
          <t>On Track to Glide Path</t>
        </is>
      </c>
    </row>
    <row r="1207">
      <c r="A1207" t="inlineStr">
        <is>
          <t>SUP-0076</t>
        </is>
      </c>
      <c r="B1207" t="inlineStr">
        <is>
          <t>Chemicals Supplier 076</t>
        </is>
      </c>
      <c r="C1207" t="inlineStr">
        <is>
          <t>Chemicals</t>
        </is>
      </c>
      <c r="D1207" t="n">
        <v>2024</v>
      </c>
      <c r="E1207" t="n">
        <v>2018</v>
      </c>
      <c r="F1207" t="n">
        <v>2035</v>
      </c>
      <c r="G1207" t="n">
        <v>21781.5845</v>
      </c>
      <c r="H1207" t="n">
        <v>5125.7204</v>
      </c>
      <c r="I1207" t="n">
        <v>2293.7183</v>
      </c>
      <c r="J1207" t="n">
        <v>14465.8495</v>
      </c>
      <c r="K1207" t="n">
        <v>15916390.39</v>
      </c>
      <c r="L1207" t="n">
        <v>63998237.61</v>
      </c>
      <c r="M1207" t="n">
        <v>21781.5845</v>
      </c>
      <c r="N1207" t="inlineStr">
        <is>
          <t>Provided Total Emissions</t>
        </is>
      </c>
      <c r="O1207" t="b">
        <v>1</v>
      </c>
      <c r="P1207" t="n">
        <v>0.080168</v>
      </c>
      <c r="Q1207" t="n">
        <v>0.023916</v>
      </c>
      <c r="R1207" t="n">
        <v>15940.1058</v>
      </c>
      <c r="S1207" t="n">
        <v>30158.5295</v>
      </c>
      <c r="T1207" t="n">
        <v>-5841.4787</v>
      </c>
      <c r="U1207" t="n">
        <v>8376.945</v>
      </c>
      <c r="V1207" t="n">
        <v>-0.268184</v>
      </c>
      <c r="W1207" t="n">
        <v>0.384588</v>
      </c>
      <c r="X1207" t="inlineStr">
        <is>
          <t>High</t>
        </is>
      </c>
      <c r="Y1207" t="inlineStr">
        <is>
          <t>None</t>
        </is>
      </c>
      <c r="Z1207" t="inlineStr">
        <is>
          <t>Valid</t>
        </is>
      </c>
      <c r="AA1207" t="n">
        <v>2030</v>
      </c>
      <c r="AB1207" t="inlineStr">
        <is>
          <t>Supplier Target Pathway</t>
        </is>
      </c>
      <c r="AC1207" t="n">
        <v>12639.7671</v>
      </c>
      <c r="AD1207" t="n">
        <v>7145.2603</v>
      </c>
      <c r="AE1207" t="n">
        <v>8761.2917</v>
      </c>
      <c r="AF1207" t="n">
        <v>8761.2917</v>
      </c>
      <c r="AG1207" t="n">
        <v>3878.4754</v>
      </c>
      <c r="AH1207" t="n">
        <v>0.00055046</v>
      </c>
      <c r="AI1207" t="n">
        <v>0.306847</v>
      </c>
      <c r="AJ1207" t="n">
        <v>1616.0314</v>
      </c>
      <c r="AK1207" t="n">
        <v>323.2063</v>
      </c>
      <c r="AL1207" t="n">
        <v>21182.0187</v>
      </c>
      <c r="AM1207" t="n">
        <v>57415.8446</v>
      </c>
      <c r="AN1207" t="n">
        <v>0.99</v>
      </c>
      <c r="AO1207" t="inlineStr">
        <is>
          <t>High</t>
        </is>
      </c>
      <c r="AP1207" t="inlineStr">
        <is>
          <t>On Track to Glide Path</t>
        </is>
      </c>
    </row>
    <row r="1208">
      <c r="A1208" t="inlineStr">
        <is>
          <t>SUP-0076</t>
        </is>
      </c>
      <c r="B1208" t="inlineStr">
        <is>
          <t>Chemicals Supplier 076</t>
        </is>
      </c>
      <c r="C1208" t="inlineStr">
        <is>
          <t>Chemicals</t>
        </is>
      </c>
      <c r="D1208" t="n">
        <v>2024</v>
      </c>
      <c r="E1208" t="n">
        <v>2018</v>
      </c>
      <c r="F1208" t="n">
        <v>2035</v>
      </c>
      <c r="G1208" t="n">
        <v>21781.5845</v>
      </c>
      <c r="H1208" t="n">
        <v>5125.7204</v>
      </c>
      <c r="I1208" t="n">
        <v>2293.7183</v>
      </c>
      <c r="J1208" t="n">
        <v>14465.8495</v>
      </c>
      <c r="K1208" t="n">
        <v>15916390.39</v>
      </c>
      <c r="L1208" t="n">
        <v>63998237.61</v>
      </c>
      <c r="M1208" t="n">
        <v>21781.5845</v>
      </c>
      <c r="N1208" t="inlineStr">
        <is>
          <t>Provided Total Emissions</t>
        </is>
      </c>
      <c r="O1208" t="b">
        <v>1</v>
      </c>
      <c r="P1208" t="n">
        <v>0.080168</v>
      </c>
      <c r="Q1208" t="n">
        <v>0.023916</v>
      </c>
      <c r="R1208" t="n">
        <v>15940.1058</v>
      </c>
      <c r="S1208" t="n">
        <v>30158.5295</v>
      </c>
      <c r="T1208" t="n">
        <v>-5841.4787</v>
      </c>
      <c r="U1208" t="n">
        <v>8376.945</v>
      </c>
      <c r="V1208" t="n">
        <v>-0.268184</v>
      </c>
      <c r="W1208" t="n">
        <v>0.384588</v>
      </c>
      <c r="X1208" t="inlineStr">
        <is>
          <t>High</t>
        </is>
      </c>
      <c r="Y1208" t="inlineStr">
        <is>
          <t>None</t>
        </is>
      </c>
      <c r="Z1208" t="inlineStr">
        <is>
          <t>Valid</t>
        </is>
      </c>
      <c r="AA1208" t="n">
        <v>2031</v>
      </c>
      <c r="AB1208" t="inlineStr">
        <is>
          <t>Supplier Target Pathway</t>
        </is>
      </c>
      <c r="AC1208" t="n">
        <v>12639.7671</v>
      </c>
      <c r="AD1208" t="n">
        <v>7145.2603</v>
      </c>
      <c r="AE1208" t="n">
        <v>8438.085499999999</v>
      </c>
      <c r="AF1208" t="n">
        <v>8438.085499999999</v>
      </c>
      <c r="AG1208" t="n">
        <v>4201.6816</v>
      </c>
      <c r="AH1208" t="n">
        <v>0.00053015</v>
      </c>
      <c r="AI1208" t="n">
        <v>0.332418</v>
      </c>
      <c r="AJ1208" t="n">
        <v>1292.8251</v>
      </c>
      <c r="AK1208" t="n">
        <v>323.2063</v>
      </c>
      <c r="AL1208" t="n">
        <v>12743.9332</v>
      </c>
      <c r="AM1208" t="n">
        <v>65853.9301</v>
      </c>
      <c r="AN1208" t="n">
        <v>0.99</v>
      </c>
      <c r="AO1208" t="inlineStr">
        <is>
          <t>High</t>
        </is>
      </c>
      <c r="AP1208" t="inlineStr">
        <is>
          <t>On Track to Glide Path</t>
        </is>
      </c>
    </row>
    <row r="1209">
      <c r="A1209" t="inlineStr">
        <is>
          <t>SUP-0076</t>
        </is>
      </c>
      <c r="B1209" t="inlineStr">
        <is>
          <t>Chemicals Supplier 076</t>
        </is>
      </c>
      <c r="C1209" t="inlineStr">
        <is>
          <t>Chemicals</t>
        </is>
      </c>
      <c r="D1209" t="n">
        <v>2024</v>
      </c>
      <c r="E1209" t="n">
        <v>2018</v>
      </c>
      <c r="F1209" t="n">
        <v>2035</v>
      </c>
      <c r="G1209" t="n">
        <v>21781.5845</v>
      </c>
      <c r="H1209" t="n">
        <v>5125.7204</v>
      </c>
      <c r="I1209" t="n">
        <v>2293.7183</v>
      </c>
      <c r="J1209" t="n">
        <v>14465.8495</v>
      </c>
      <c r="K1209" t="n">
        <v>15916390.39</v>
      </c>
      <c r="L1209" t="n">
        <v>63998237.61</v>
      </c>
      <c r="M1209" t="n">
        <v>21781.5845</v>
      </c>
      <c r="N1209" t="inlineStr">
        <is>
          <t>Provided Total Emissions</t>
        </is>
      </c>
      <c r="O1209" t="b">
        <v>1</v>
      </c>
      <c r="P1209" t="n">
        <v>0.080168</v>
      </c>
      <c r="Q1209" t="n">
        <v>0.023916</v>
      </c>
      <c r="R1209" t="n">
        <v>15940.1058</v>
      </c>
      <c r="S1209" t="n">
        <v>30158.5295</v>
      </c>
      <c r="T1209" t="n">
        <v>-5841.4787</v>
      </c>
      <c r="U1209" t="n">
        <v>8376.945</v>
      </c>
      <c r="V1209" t="n">
        <v>-0.268184</v>
      </c>
      <c r="W1209" t="n">
        <v>0.384588</v>
      </c>
      <c r="X1209" t="inlineStr">
        <is>
          <t>High</t>
        </is>
      </c>
      <c r="Y1209" t="inlineStr">
        <is>
          <t>None</t>
        </is>
      </c>
      <c r="Z1209" t="inlineStr">
        <is>
          <t>Valid</t>
        </is>
      </c>
      <c r="AA1209" t="n">
        <v>2032</v>
      </c>
      <c r="AB1209" t="inlineStr">
        <is>
          <t>Supplier Target Pathway</t>
        </is>
      </c>
      <c r="AC1209" t="n">
        <v>12639.7671</v>
      </c>
      <c r="AD1209" t="n">
        <v>7145.2603</v>
      </c>
      <c r="AE1209" t="n">
        <v>8114.8792</v>
      </c>
      <c r="AF1209" t="n">
        <v>8114.8792</v>
      </c>
      <c r="AG1209" t="n">
        <v>4524.8879</v>
      </c>
      <c r="AH1209" t="n">
        <v>0.00050984</v>
      </c>
      <c r="AI1209" t="n">
        <v>0.357988</v>
      </c>
      <c r="AJ1209" t="n">
        <v>969.6188</v>
      </c>
      <c r="AK1209" t="n">
        <v>323.2063</v>
      </c>
      <c r="AL1209" t="n">
        <v>4629.054</v>
      </c>
      <c r="AM1209" t="n">
        <v>73968.80929999999</v>
      </c>
      <c r="AN1209" t="n">
        <v>0.99</v>
      </c>
      <c r="AO1209" t="inlineStr">
        <is>
          <t>Medium</t>
        </is>
      </c>
      <c r="AP1209" t="inlineStr">
        <is>
          <t>On Track to Glide Path</t>
        </is>
      </c>
    </row>
    <row r="1210">
      <c r="A1210" t="inlineStr">
        <is>
          <t>SUP-0076</t>
        </is>
      </c>
      <c r="B1210" t="inlineStr">
        <is>
          <t>Chemicals Supplier 076</t>
        </is>
      </c>
      <c r="C1210" t="inlineStr">
        <is>
          <t>Chemicals</t>
        </is>
      </c>
      <c r="D1210" t="n">
        <v>2024</v>
      </c>
      <c r="E1210" t="n">
        <v>2018</v>
      </c>
      <c r="F1210" t="n">
        <v>2035</v>
      </c>
      <c r="G1210" t="n">
        <v>21781.5845</v>
      </c>
      <c r="H1210" t="n">
        <v>5125.7204</v>
      </c>
      <c r="I1210" t="n">
        <v>2293.7183</v>
      </c>
      <c r="J1210" t="n">
        <v>14465.8495</v>
      </c>
      <c r="K1210" t="n">
        <v>15916390.39</v>
      </c>
      <c r="L1210" t="n">
        <v>63998237.61</v>
      </c>
      <c r="M1210" t="n">
        <v>21781.5845</v>
      </c>
      <c r="N1210" t="inlineStr">
        <is>
          <t>Provided Total Emissions</t>
        </is>
      </c>
      <c r="O1210" t="b">
        <v>1</v>
      </c>
      <c r="P1210" t="n">
        <v>0.080168</v>
      </c>
      <c r="Q1210" t="n">
        <v>0.023916</v>
      </c>
      <c r="R1210" t="n">
        <v>15940.1058</v>
      </c>
      <c r="S1210" t="n">
        <v>30158.5295</v>
      </c>
      <c r="T1210" t="n">
        <v>-5841.4787</v>
      </c>
      <c r="U1210" t="n">
        <v>8376.945</v>
      </c>
      <c r="V1210" t="n">
        <v>-0.268184</v>
      </c>
      <c r="W1210" t="n">
        <v>0.384588</v>
      </c>
      <c r="X1210" t="inlineStr">
        <is>
          <t>High</t>
        </is>
      </c>
      <c r="Y1210" t="inlineStr">
        <is>
          <t>None</t>
        </is>
      </c>
      <c r="Z1210" t="inlineStr">
        <is>
          <t>Valid</t>
        </is>
      </c>
      <c r="AA1210" t="n">
        <v>2033</v>
      </c>
      <c r="AB1210" t="inlineStr">
        <is>
          <t>Supplier Target Pathway</t>
        </is>
      </c>
      <c r="AC1210" t="n">
        <v>12639.7671</v>
      </c>
      <c r="AD1210" t="n">
        <v>7145.2603</v>
      </c>
      <c r="AE1210" t="n">
        <v>7791.6729</v>
      </c>
      <c r="AF1210" t="n">
        <v>7791.6729</v>
      </c>
      <c r="AG1210" t="n">
        <v>4848.0942</v>
      </c>
      <c r="AH1210" t="n">
        <v>0.00048954</v>
      </c>
      <c r="AI1210" t="n">
        <v>0.383559</v>
      </c>
      <c r="AJ1210" t="n">
        <v>646.4126</v>
      </c>
      <c r="AK1210" t="n">
        <v>323.2063</v>
      </c>
      <c r="AL1210" t="n">
        <v>-3162.6189</v>
      </c>
      <c r="AM1210" t="n">
        <v>81760.4822</v>
      </c>
      <c r="AN1210" t="n">
        <v>0.99</v>
      </c>
      <c r="AO1210" t="inlineStr">
        <is>
          <t>Medium</t>
        </is>
      </c>
      <c r="AP1210" t="inlineStr">
        <is>
          <t>On Track to Glide Path</t>
        </is>
      </c>
    </row>
    <row r="1211">
      <c r="A1211" t="inlineStr">
        <is>
          <t>SUP-0076</t>
        </is>
      </c>
      <c r="B1211" t="inlineStr">
        <is>
          <t>Chemicals Supplier 076</t>
        </is>
      </c>
      <c r="C1211" t="inlineStr">
        <is>
          <t>Chemicals</t>
        </is>
      </c>
      <c r="D1211" t="n">
        <v>2024</v>
      </c>
      <c r="E1211" t="n">
        <v>2018</v>
      </c>
      <c r="F1211" t="n">
        <v>2035</v>
      </c>
      <c r="G1211" t="n">
        <v>21781.5845</v>
      </c>
      <c r="H1211" t="n">
        <v>5125.7204</v>
      </c>
      <c r="I1211" t="n">
        <v>2293.7183</v>
      </c>
      <c r="J1211" t="n">
        <v>14465.8495</v>
      </c>
      <c r="K1211" t="n">
        <v>15916390.39</v>
      </c>
      <c r="L1211" t="n">
        <v>63998237.61</v>
      </c>
      <c r="M1211" t="n">
        <v>21781.5845</v>
      </c>
      <c r="N1211" t="inlineStr">
        <is>
          <t>Provided Total Emissions</t>
        </is>
      </c>
      <c r="O1211" t="b">
        <v>1</v>
      </c>
      <c r="P1211" t="n">
        <v>0.080168</v>
      </c>
      <c r="Q1211" t="n">
        <v>0.023916</v>
      </c>
      <c r="R1211" t="n">
        <v>15940.1058</v>
      </c>
      <c r="S1211" t="n">
        <v>30158.5295</v>
      </c>
      <c r="T1211" t="n">
        <v>-5841.4787</v>
      </c>
      <c r="U1211" t="n">
        <v>8376.945</v>
      </c>
      <c r="V1211" t="n">
        <v>-0.268184</v>
      </c>
      <c r="W1211" t="n">
        <v>0.384588</v>
      </c>
      <c r="X1211" t="inlineStr">
        <is>
          <t>High</t>
        </is>
      </c>
      <c r="Y1211" t="inlineStr">
        <is>
          <t>None</t>
        </is>
      </c>
      <c r="Z1211" t="inlineStr">
        <is>
          <t>Valid</t>
        </is>
      </c>
      <c r="AA1211" t="n">
        <v>2034</v>
      </c>
      <c r="AB1211" t="inlineStr">
        <is>
          <t>Supplier Target Pathway</t>
        </is>
      </c>
      <c r="AC1211" t="n">
        <v>12639.7671</v>
      </c>
      <c r="AD1211" t="n">
        <v>7145.2603</v>
      </c>
      <c r="AE1211" t="n">
        <v>7468.4666</v>
      </c>
      <c r="AF1211" t="n">
        <v>7468.4666</v>
      </c>
      <c r="AG1211" t="n">
        <v>5171.3005</v>
      </c>
      <c r="AH1211" t="n">
        <v>0.00046923</v>
      </c>
      <c r="AI1211" t="n">
        <v>0.409129</v>
      </c>
      <c r="AJ1211" t="n">
        <v>323.2063</v>
      </c>
      <c r="AK1211" t="n">
        <v>323.2063</v>
      </c>
      <c r="AL1211" t="n">
        <v>-10631.0855</v>
      </c>
      <c r="AM1211" t="n">
        <v>89228.9488</v>
      </c>
      <c r="AN1211" t="n">
        <v>0.99</v>
      </c>
      <c r="AO1211" t="inlineStr">
        <is>
          <t>Medium</t>
        </is>
      </c>
      <c r="AP1211" t="inlineStr">
        <is>
          <t>On Track to Glide Path</t>
        </is>
      </c>
    </row>
    <row r="1212">
      <c r="A1212" t="inlineStr">
        <is>
          <t>SUP-0076</t>
        </is>
      </c>
      <c r="B1212" t="inlineStr">
        <is>
          <t>Chemicals Supplier 076</t>
        </is>
      </c>
      <c r="C1212" t="inlineStr">
        <is>
          <t>Chemicals</t>
        </is>
      </c>
      <c r="D1212" t="n">
        <v>2024</v>
      </c>
      <c r="E1212" t="n">
        <v>2018</v>
      </c>
      <c r="F1212" t="n">
        <v>2035</v>
      </c>
      <c r="G1212" t="n">
        <v>21781.5845</v>
      </c>
      <c r="H1212" t="n">
        <v>5125.7204</v>
      </c>
      <c r="I1212" t="n">
        <v>2293.7183</v>
      </c>
      <c r="J1212" t="n">
        <v>14465.8495</v>
      </c>
      <c r="K1212" t="n">
        <v>15916390.39</v>
      </c>
      <c r="L1212" t="n">
        <v>63998237.61</v>
      </c>
      <c r="M1212" t="n">
        <v>21781.5845</v>
      </c>
      <c r="N1212" t="inlineStr">
        <is>
          <t>Provided Total Emissions</t>
        </is>
      </c>
      <c r="O1212" t="b">
        <v>1</v>
      </c>
      <c r="P1212" t="n">
        <v>0.080168</v>
      </c>
      <c r="Q1212" t="n">
        <v>0.023916</v>
      </c>
      <c r="R1212" t="n">
        <v>15940.1058</v>
      </c>
      <c r="S1212" t="n">
        <v>30158.5295</v>
      </c>
      <c r="T1212" t="n">
        <v>-5841.4787</v>
      </c>
      <c r="U1212" t="n">
        <v>8376.945</v>
      </c>
      <c r="V1212" t="n">
        <v>-0.268184</v>
      </c>
      <c r="W1212" t="n">
        <v>0.384588</v>
      </c>
      <c r="X1212" t="inlineStr">
        <is>
          <t>High</t>
        </is>
      </c>
      <c r="Y1212" t="inlineStr">
        <is>
          <t>None</t>
        </is>
      </c>
      <c r="Z1212" t="inlineStr">
        <is>
          <t>Valid</t>
        </is>
      </c>
      <c r="AA1212" t="n">
        <v>2035</v>
      </c>
      <c r="AB1212" t="inlineStr">
        <is>
          <t>Supplier Target Pathway</t>
        </is>
      </c>
      <c r="AC1212" t="n">
        <v>12639.7671</v>
      </c>
      <c r="AD1212" t="n">
        <v>7145.2603</v>
      </c>
      <c r="AE1212" t="n">
        <v>7145.2603</v>
      </c>
      <c r="AF1212" t="n">
        <v>7145.2603</v>
      </c>
      <c r="AG1212" t="n">
        <v>5494.5068</v>
      </c>
      <c r="AH1212" t="n">
        <v>0.00044892</v>
      </c>
      <c r="AI1212" t="n">
        <v>0.4347</v>
      </c>
      <c r="AJ1212" t="n">
        <v>0</v>
      </c>
      <c r="AK1212" t="n">
        <v>323.2063</v>
      </c>
      <c r="AL1212" t="n">
        <v>-17776.3458</v>
      </c>
      <c r="AM1212" t="n">
        <v>96374.20909999999</v>
      </c>
      <c r="AN1212" t="n">
        <v>0.99</v>
      </c>
      <c r="AO1212" t="inlineStr">
        <is>
          <t>Low</t>
        </is>
      </c>
      <c r="AP1212" t="inlineStr">
        <is>
          <t>On Track</t>
        </is>
      </c>
    </row>
    <row r="1213">
      <c r="A1213" t="inlineStr">
        <is>
          <t>SUP-0076</t>
        </is>
      </c>
      <c r="B1213" t="inlineStr">
        <is>
          <t>Chemicals Supplier 076</t>
        </is>
      </c>
      <c r="C1213" t="inlineStr">
        <is>
          <t>Chemicals</t>
        </is>
      </c>
      <c r="D1213" t="n">
        <v>2024</v>
      </c>
      <c r="E1213" t="n">
        <v>2018</v>
      </c>
      <c r="F1213" t="n">
        <v>2035</v>
      </c>
      <c r="G1213" t="n">
        <v>21781.5845</v>
      </c>
      <c r="H1213" t="n">
        <v>5125.7204</v>
      </c>
      <c r="I1213" t="n">
        <v>2293.7183</v>
      </c>
      <c r="J1213" t="n">
        <v>14465.8495</v>
      </c>
      <c r="K1213" t="n">
        <v>15916390.39</v>
      </c>
      <c r="L1213" t="n">
        <v>63998237.61</v>
      </c>
      <c r="M1213" t="n">
        <v>21781.5845</v>
      </c>
      <c r="N1213" t="inlineStr">
        <is>
          <t>Provided Total Emissions</t>
        </is>
      </c>
      <c r="O1213" t="b">
        <v>1</v>
      </c>
      <c r="P1213" t="n">
        <v>0.080168</v>
      </c>
      <c r="Q1213" t="n">
        <v>0.023916</v>
      </c>
      <c r="R1213" t="n">
        <v>15940.1058</v>
      </c>
      <c r="S1213" t="n">
        <v>30158.5295</v>
      </c>
      <c r="T1213" t="n">
        <v>-5841.4787</v>
      </c>
      <c r="U1213" t="n">
        <v>8376.945</v>
      </c>
      <c r="V1213" t="n">
        <v>-0.268184</v>
      </c>
      <c r="W1213" t="n">
        <v>0.384588</v>
      </c>
      <c r="X1213" t="inlineStr">
        <is>
          <t>High</t>
        </is>
      </c>
      <c r="Y1213" t="inlineStr">
        <is>
          <t>None</t>
        </is>
      </c>
      <c r="Z1213" t="inlineStr">
        <is>
          <t>Valid</t>
        </is>
      </c>
      <c r="AA1213" t="n">
        <v>2036</v>
      </c>
      <c r="AB1213" t="inlineStr">
        <is>
          <t>Supplier Target Pathway</t>
        </is>
      </c>
      <c r="AC1213" t="n">
        <v>12639.7671</v>
      </c>
      <c r="AD1213" t="n">
        <v>7145.2603</v>
      </c>
      <c r="AE1213" t="n">
        <v>7145.2603</v>
      </c>
      <c r="AF1213" t="n">
        <v>7145.2603</v>
      </c>
      <c r="AG1213" t="n">
        <v>5494.5068</v>
      </c>
      <c r="AH1213" t="n">
        <v>0.00044892</v>
      </c>
      <c r="AI1213" t="n">
        <v>0.4347</v>
      </c>
      <c r="AJ1213" t="n">
        <v>0</v>
      </c>
      <c r="AK1213" t="n">
        <v>323.2063</v>
      </c>
      <c r="AL1213" t="n">
        <v>-24921.6061</v>
      </c>
      <c r="AM1213" t="n">
        <v>103519.4694</v>
      </c>
      <c r="AN1213" t="n">
        <v>0.99</v>
      </c>
      <c r="AO1213" t="inlineStr">
        <is>
          <t>Low</t>
        </is>
      </c>
      <c r="AP1213" t="inlineStr">
        <is>
          <t>On Track</t>
        </is>
      </c>
    </row>
    <row r="1214">
      <c r="A1214" t="inlineStr">
        <is>
          <t>SUP-0076</t>
        </is>
      </c>
      <c r="B1214" t="inlineStr">
        <is>
          <t>Chemicals Supplier 076</t>
        </is>
      </c>
      <c r="C1214" t="inlineStr">
        <is>
          <t>Chemicals</t>
        </is>
      </c>
      <c r="D1214" t="n">
        <v>2024</v>
      </c>
      <c r="E1214" t="n">
        <v>2018</v>
      </c>
      <c r="F1214" t="n">
        <v>2035</v>
      </c>
      <c r="G1214" t="n">
        <v>21781.5845</v>
      </c>
      <c r="H1214" t="n">
        <v>5125.7204</v>
      </c>
      <c r="I1214" t="n">
        <v>2293.7183</v>
      </c>
      <c r="J1214" t="n">
        <v>14465.8495</v>
      </c>
      <c r="K1214" t="n">
        <v>15916390.39</v>
      </c>
      <c r="L1214" t="n">
        <v>63998237.61</v>
      </c>
      <c r="M1214" t="n">
        <v>21781.5845</v>
      </c>
      <c r="N1214" t="inlineStr">
        <is>
          <t>Provided Total Emissions</t>
        </is>
      </c>
      <c r="O1214" t="b">
        <v>1</v>
      </c>
      <c r="P1214" t="n">
        <v>0.080168</v>
      </c>
      <c r="Q1214" t="n">
        <v>0.023916</v>
      </c>
      <c r="R1214" t="n">
        <v>15940.1058</v>
      </c>
      <c r="S1214" t="n">
        <v>30158.5295</v>
      </c>
      <c r="T1214" t="n">
        <v>-5841.4787</v>
      </c>
      <c r="U1214" t="n">
        <v>8376.945</v>
      </c>
      <c r="V1214" t="n">
        <v>-0.268184</v>
      </c>
      <c r="W1214" t="n">
        <v>0.384588</v>
      </c>
      <c r="X1214" t="inlineStr">
        <is>
          <t>High</t>
        </is>
      </c>
      <c r="Y1214" t="inlineStr">
        <is>
          <t>None</t>
        </is>
      </c>
      <c r="Z1214" t="inlineStr">
        <is>
          <t>Valid</t>
        </is>
      </c>
      <c r="AA1214" t="n">
        <v>2037</v>
      </c>
      <c r="AB1214" t="inlineStr">
        <is>
          <t>Supplier Target Pathway</t>
        </is>
      </c>
      <c r="AC1214" t="n">
        <v>12639.7671</v>
      </c>
      <c r="AD1214" t="n">
        <v>7145.2603</v>
      </c>
      <c r="AE1214" t="n">
        <v>7145.2603</v>
      </c>
      <c r="AF1214" t="n">
        <v>7145.2603</v>
      </c>
      <c r="AG1214" t="n">
        <v>5494.5068</v>
      </c>
      <c r="AH1214" t="n">
        <v>0.00044892</v>
      </c>
      <c r="AI1214" t="n">
        <v>0.4347</v>
      </c>
      <c r="AJ1214" t="n">
        <v>0</v>
      </c>
      <c r="AK1214" t="n">
        <v>323.2063</v>
      </c>
      <c r="AL1214" t="n">
        <v>-32066.8664</v>
      </c>
      <c r="AM1214" t="n">
        <v>110664.7297</v>
      </c>
      <c r="AN1214" t="n">
        <v>0.99</v>
      </c>
      <c r="AO1214" t="inlineStr">
        <is>
          <t>Low</t>
        </is>
      </c>
      <c r="AP1214" t="inlineStr">
        <is>
          <t>On Track</t>
        </is>
      </c>
    </row>
    <row r="1215">
      <c r="A1215" t="inlineStr">
        <is>
          <t>SUP-0076</t>
        </is>
      </c>
      <c r="B1215" t="inlineStr">
        <is>
          <t>Chemicals Supplier 076</t>
        </is>
      </c>
      <c r="C1215" t="inlineStr">
        <is>
          <t>Chemicals</t>
        </is>
      </c>
      <c r="D1215" t="n">
        <v>2024</v>
      </c>
      <c r="E1215" t="n">
        <v>2018</v>
      </c>
      <c r="F1215" t="n">
        <v>2035</v>
      </c>
      <c r="G1215" t="n">
        <v>21781.5845</v>
      </c>
      <c r="H1215" t="n">
        <v>5125.7204</v>
      </c>
      <c r="I1215" t="n">
        <v>2293.7183</v>
      </c>
      <c r="J1215" t="n">
        <v>14465.8495</v>
      </c>
      <c r="K1215" t="n">
        <v>15916390.39</v>
      </c>
      <c r="L1215" t="n">
        <v>63998237.61</v>
      </c>
      <c r="M1215" t="n">
        <v>21781.5845</v>
      </c>
      <c r="N1215" t="inlineStr">
        <is>
          <t>Provided Total Emissions</t>
        </is>
      </c>
      <c r="O1215" t="b">
        <v>1</v>
      </c>
      <c r="P1215" t="n">
        <v>0.080168</v>
      </c>
      <c r="Q1215" t="n">
        <v>0.023916</v>
      </c>
      <c r="R1215" t="n">
        <v>15940.1058</v>
      </c>
      <c r="S1215" t="n">
        <v>30158.5295</v>
      </c>
      <c r="T1215" t="n">
        <v>-5841.4787</v>
      </c>
      <c r="U1215" t="n">
        <v>8376.945</v>
      </c>
      <c r="V1215" t="n">
        <v>-0.268184</v>
      </c>
      <c r="W1215" t="n">
        <v>0.384588</v>
      </c>
      <c r="X1215" t="inlineStr">
        <is>
          <t>High</t>
        </is>
      </c>
      <c r="Y1215" t="inlineStr">
        <is>
          <t>None</t>
        </is>
      </c>
      <c r="Z1215" t="inlineStr">
        <is>
          <t>Valid</t>
        </is>
      </c>
      <c r="AA1215" t="n">
        <v>2038</v>
      </c>
      <c r="AB1215" t="inlineStr">
        <is>
          <t>Supplier Target Pathway</t>
        </is>
      </c>
      <c r="AC1215" t="n">
        <v>12639.7671</v>
      </c>
      <c r="AD1215" t="n">
        <v>7145.2603</v>
      </c>
      <c r="AE1215" t="n">
        <v>7145.2603</v>
      </c>
      <c r="AF1215" t="n">
        <v>7145.2603</v>
      </c>
      <c r="AG1215" t="n">
        <v>5494.5068</v>
      </c>
      <c r="AH1215" t="n">
        <v>0.00044892</v>
      </c>
      <c r="AI1215" t="n">
        <v>0.4347</v>
      </c>
      <c r="AJ1215" t="n">
        <v>0</v>
      </c>
      <c r="AK1215" t="n">
        <v>323.2063</v>
      </c>
      <c r="AL1215" t="n">
        <v>-39212.1267</v>
      </c>
      <c r="AM1215" t="n">
        <v>117809.99</v>
      </c>
      <c r="AN1215" t="n">
        <v>0.99</v>
      </c>
      <c r="AO1215" t="inlineStr">
        <is>
          <t>Low</t>
        </is>
      </c>
      <c r="AP1215" t="inlineStr">
        <is>
          <t>On Track</t>
        </is>
      </c>
    </row>
    <row r="1216">
      <c r="A1216" t="inlineStr">
        <is>
          <t>SUP-0076</t>
        </is>
      </c>
      <c r="B1216" t="inlineStr">
        <is>
          <t>Chemicals Supplier 076</t>
        </is>
      </c>
      <c r="C1216" t="inlineStr">
        <is>
          <t>Chemicals</t>
        </is>
      </c>
      <c r="D1216" t="n">
        <v>2024</v>
      </c>
      <c r="E1216" t="n">
        <v>2018</v>
      </c>
      <c r="F1216" t="n">
        <v>2035</v>
      </c>
      <c r="G1216" t="n">
        <v>21781.5845</v>
      </c>
      <c r="H1216" t="n">
        <v>5125.7204</v>
      </c>
      <c r="I1216" t="n">
        <v>2293.7183</v>
      </c>
      <c r="J1216" t="n">
        <v>14465.8495</v>
      </c>
      <c r="K1216" t="n">
        <v>15916390.39</v>
      </c>
      <c r="L1216" t="n">
        <v>63998237.61</v>
      </c>
      <c r="M1216" t="n">
        <v>21781.5845</v>
      </c>
      <c r="N1216" t="inlineStr">
        <is>
          <t>Provided Total Emissions</t>
        </is>
      </c>
      <c r="O1216" t="b">
        <v>1</v>
      </c>
      <c r="P1216" t="n">
        <v>0.080168</v>
      </c>
      <c r="Q1216" t="n">
        <v>0.023916</v>
      </c>
      <c r="R1216" t="n">
        <v>15940.1058</v>
      </c>
      <c r="S1216" t="n">
        <v>30158.5295</v>
      </c>
      <c r="T1216" t="n">
        <v>-5841.4787</v>
      </c>
      <c r="U1216" t="n">
        <v>8376.945</v>
      </c>
      <c r="V1216" t="n">
        <v>-0.268184</v>
      </c>
      <c r="W1216" t="n">
        <v>0.384588</v>
      </c>
      <c r="X1216" t="inlineStr">
        <is>
          <t>High</t>
        </is>
      </c>
      <c r="Y1216" t="inlineStr">
        <is>
          <t>None</t>
        </is>
      </c>
      <c r="Z1216" t="inlineStr">
        <is>
          <t>Valid</t>
        </is>
      </c>
      <c r="AA1216" t="n">
        <v>2039</v>
      </c>
      <c r="AB1216" t="inlineStr">
        <is>
          <t>Supplier Target Pathway</t>
        </is>
      </c>
      <c r="AC1216" t="n">
        <v>12639.7671</v>
      </c>
      <c r="AD1216" t="n">
        <v>7145.2603</v>
      </c>
      <c r="AE1216" t="n">
        <v>7145.2603</v>
      </c>
      <c r="AF1216" t="n">
        <v>7145.2603</v>
      </c>
      <c r="AG1216" t="n">
        <v>5494.5068</v>
      </c>
      <c r="AH1216" t="n">
        <v>0.00044892</v>
      </c>
      <c r="AI1216" t="n">
        <v>0.4347</v>
      </c>
      <c r="AJ1216" t="n">
        <v>0</v>
      </c>
      <c r="AK1216" t="n">
        <v>323.2063</v>
      </c>
      <c r="AL1216" t="n">
        <v>-46357.387</v>
      </c>
      <c r="AM1216" t="n">
        <v>124955.2503</v>
      </c>
      <c r="AN1216" t="n">
        <v>0.99</v>
      </c>
      <c r="AO1216" t="inlineStr">
        <is>
          <t>Low</t>
        </is>
      </c>
      <c r="AP1216" t="inlineStr">
        <is>
          <t>On Track</t>
        </is>
      </c>
    </row>
    <row r="1217">
      <c r="A1217" t="inlineStr">
        <is>
          <t>SUP-0076</t>
        </is>
      </c>
      <c r="B1217" t="inlineStr">
        <is>
          <t>Chemicals Supplier 076</t>
        </is>
      </c>
      <c r="C1217" t="inlineStr">
        <is>
          <t>Chemicals</t>
        </is>
      </c>
      <c r="D1217" t="n">
        <v>2024</v>
      </c>
      <c r="E1217" t="n">
        <v>2018</v>
      </c>
      <c r="F1217" t="n">
        <v>2035</v>
      </c>
      <c r="G1217" t="n">
        <v>21781.5845</v>
      </c>
      <c r="H1217" t="n">
        <v>5125.7204</v>
      </c>
      <c r="I1217" t="n">
        <v>2293.7183</v>
      </c>
      <c r="J1217" t="n">
        <v>14465.8495</v>
      </c>
      <c r="K1217" t="n">
        <v>15916390.39</v>
      </c>
      <c r="L1217" t="n">
        <v>63998237.61</v>
      </c>
      <c r="M1217" t="n">
        <v>21781.5845</v>
      </c>
      <c r="N1217" t="inlineStr">
        <is>
          <t>Provided Total Emissions</t>
        </is>
      </c>
      <c r="O1217" t="b">
        <v>1</v>
      </c>
      <c r="P1217" t="n">
        <v>0.080168</v>
      </c>
      <c r="Q1217" t="n">
        <v>0.023916</v>
      </c>
      <c r="R1217" t="n">
        <v>15940.1058</v>
      </c>
      <c r="S1217" t="n">
        <v>30158.5295</v>
      </c>
      <c r="T1217" t="n">
        <v>-5841.4787</v>
      </c>
      <c r="U1217" t="n">
        <v>8376.945</v>
      </c>
      <c r="V1217" t="n">
        <v>-0.268184</v>
      </c>
      <c r="W1217" t="n">
        <v>0.384588</v>
      </c>
      <c r="X1217" t="inlineStr">
        <is>
          <t>High</t>
        </is>
      </c>
      <c r="Y1217" t="inlineStr">
        <is>
          <t>None</t>
        </is>
      </c>
      <c r="Z1217" t="inlineStr">
        <is>
          <t>Valid</t>
        </is>
      </c>
      <c r="AA1217" t="n">
        <v>2040</v>
      </c>
      <c r="AB1217" t="inlineStr">
        <is>
          <t>Supplier Target Pathway</t>
        </is>
      </c>
      <c r="AC1217" t="n">
        <v>12639.7671</v>
      </c>
      <c r="AD1217" t="n">
        <v>7145.2603</v>
      </c>
      <c r="AE1217" t="n">
        <v>7145.2603</v>
      </c>
      <c r="AF1217" t="n">
        <v>7145.2603</v>
      </c>
      <c r="AG1217" t="n">
        <v>5494.5068</v>
      </c>
      <c r="AH1217" t="n">
        <v>0.00044892</v>
      </c>
      <c r="AI1217" t="n">
        <v>0.4347</v>
      </c>
      <c r="AJ1217" t="n">
        <v>0</v>
      </c>
      <c r="AK1217" t="n">
        <v>323.2063</v>
      </c>
      <c r="AL1217" t="n">
        <v>-53502.6473</v>
      </c>
      <c r="AM1217" t="n">
        <v>132100.5106</v>
      </c>
      <c r="AN1217" t="n">
        <v>0.99</v>
      </c>
      <c r="AO1217" t="inlineStr">
        <is>
          <t>Low</t>
        </is>
      </c>
      <c r="AP1217" t="inlineStr">
        <is>
          <t>On Track</t>
        </is>
      </c>
    </row>
    <row r="1218">
      <c r="A1218" t="inlineStr">
        <is>
          <t>SUP-0077</t>
        </is>
      </c>
      <c r="B1218" t="inlineStr">
        <is>
          <t>Packaging Supplier 077</t>
        </is>
      </c>
      <c r="C1218" t="inlineStr">
        <is>
          <t>Packaging</t>
        </is>
      </c>
      <c r="D1218" t="n">
        <v>2024</v>
      </c>
      <c r="E1218" t="n">
        <v>2018</v>
      </c>
      <c r="F1218" t="n">
        <v>2030</v>
      </c>
      <c r="G1218" t="n">
        <v>368.6382</v>
      </c>
      <c r="H1218" t="n">
        <v>80.429</v>
      </c>
      <c r="I1218" t="n">
        <v>32.5647</v>
      </c>
      <c r="J1218" t="n">
        <v>257.7497</v>
      </c>
      <c r="K1218" t="n">
        <v>603398.41</v>
      </c>
      <c r="L1218" t="n">
        <v>5012554.34</v>
      </c>
      <c r="M1218" t="n">
        <v>368.6382</v>
      </c>
      <c r="N1218" t="inlineStr">
        <is>
          <t>Provided Total Emissions</t>
        </is>
      </c>
      <c r="O1218" t="b">
        <v>1</v>
      </c>
      <c r="P1218" t="n">
        <v>0.01625</v>
      </c>
      <c r="Q1218" t="n">
        <v>0.050865</v>
      </c>
      <c r="R1218" t="n">
        <v>651.8513</v>
      </c>
      <c r="S1218" t="n">
        <v>3957.2111</v>
      </c>
      <c r="T1218" t="n">
        <v>283.2131</v>
      </c>
      <c r="U1218" t="n">
        <v>3588.5729</v>
      </c>
      <c r="V1218" t="n">
        <v>0.768268</v>
      </c>
      <c r="W1218" t="n">
        <v>9.734674999999999</v>
      </c>
      <c r="X1218" t="inlineStr">
        <is>
          <t>High</t>
        </is>
      </c>
      <c r="Y1218" t="inlineStr">
        <is>
          <t>None</t>
        </is>
      </c>
      <c r="Z1218" t="inlineStr">
        <is>
          <t>Valid</t>
        </is>
      </c>
      <c r="AA1218" t="n">
        <v>2025</v>
      </c>
      <c r="AB1218" t="inlineStr">
        <is>
          <t>Supplier Target Pathway</t>
        </is>
      </c>
      <c r="AC1218" t="n">
        <v>248.6256</v>
      </c>
      <c r="AD1218" t="n">
        <v>88.98309999999999</v>
      </c>
      <c r="AE1218" t="n">
        <v>155.5008</v>
      </c>
      <c r="AF1218" t="n">
        <v>155.5008</v>
      </c>
      <c r="AG1218" t="n">
        <v>93.12479999999999</v>
      </c>
      <c r="AH1218" t="n">
        <v>0.00025771</v>
      </c>
      <c r="AI1218" t="n">
        <v>0.374558</v>
      </c>
      <c r="AJ1218" t="n">
        <v>66.5177</v>
      </c>
      <c r="AK1218" t="n">
        <v>13.3035</v>
      </c>
      <c r="AL1218" t="n">
        <v>378.3978</v>
      </c>
      <c r="AM1218" t="n">
        <v>155.5008</v>
      </c>
      <c r="AN1218" t="n">
        <v>0.99</v>
      </c>
      <c r="AO1218" t="inlineStr">
        <is>
          <t>Critical</t>
        </is>
      </c>
      <c r="AP1218" t="inlineStr">
        <is>
          <t>On Track to Glide Path</t>
        </is>
      </c>
    </row>
    <row r="1219">
      <c r="A1219" t="inlineStr">
        <is>
          <t>SUP-0077</t>
        </is>
      </c>
      <c r="B1219" t="inlineStr">
        <is>
          <t>Packaging Supplier 077</t>
        </is>
      </c>
      <c r="C1219" t="inlineStr">
        <is>
          <t>Packaging</t>
        </is>
      </c>
      <c r="D1219" t="n">
        <v>2024</v>
      </c>
      <c r="E1219" t="n">
        <v>2018</v>
      </c>
      <c r="F1219" t="n">
        <v>2030</v>
      </c>
      <c r="G1219" t="n">
        <v>368.6382</v>
      </c>
      <c r="H1219" t="n">
        <v>80.429</v>
      </c>
      <c r="I1219" t="n">
        <v>32.5647</v>
      </c>
      <c r="J1219" t="n">
        <v>257.7497</v>
      </c>
      <c r="K1219" t="n">
        <v>603398.41</v>
      </c>
      <c r="L1219" t="n">
        <v>5012554.34</v>
      </c>
      <c r="M1219" t="n">
        <v>368.6382</v>
      </c>
      <c r="N1219" t="inlineStr">
        <is>
          <t>Provided Total Emissions</t>
        </is>
      </c>
      <c r="O1219" t="b">
        <v>1</v>
      </c>
      <c r="P1219" t="n">
        <v>0.01625</v>
      </c>
      <c r="Q1219" t="n">
        <v>0.050865</v>
      </c>
      <c r="R1219" t="n">
        <v>651.8513</v>
      </c>
      <c r="S1219" t="n">
        <v>3957.2111</v>
      </c>
      <c r="T1219" t="n">
        <v>283.2131</v>
      </c>
      <c r="U1219" t="n">
        <v>3588.5729</v>
      </c>
      <c r="V1219" t="n">
        <v>0.768268</v>
      </c>
      <c r="W1219" t="n">
        <v>9.734674999999999</v>
      </c>
      <c r="X1219" t="inlineStr">
        <is>
          <t>High</t>
        </is>
      </c>
      <c r="Y1219" t="inlineStr">
        <is>
          <t>None</t>
        </is>
      </c>
      <c r="Z1219" t="inlineStr">
        <is>
          <t>Valid</t>
        </is>
      </c>
      <c r="AA1219" t="n">
        <v>2026</v>
      </c>
      <c r="AB1219" t="inlineStr">
        <is>
          <t>Supplier Target Pathway</t>
        </is>
      </c>
      <c r="AC1219" t="n">
        <v>248.6256</v>
      </c>
      <c r="AD1219" t="n">
        <v>88.98309999999999</v>
      </c>
      <c r="AE1219" t="n">
        <v>142.1973</v>
      </c>
      <c r="AF1219" t="n">
        <v>142.1973</v>
      </c>
      <c r="AG1219" t="n">
        <v>106.4283</v>
      </c>
      <c r="AH1219" t="n">
        <v>0.00023566</v>
      </c>
      <c r="AI1219" t="n">
        <v>0.428067</v>
      </c>
      <c r="AJ1219" t="n">
        <v>53.2142</v>
      </c>
      <c r="AK1219" t="n">
        <v>13.3035</v>
      </c>
      <c r="AL1219" t="n">
        <v>236.2005</v>
      </c>
      <c r="AM1219" t="n">
        <v>297.6981</v>
      </c>
      <c r="AN1219" t="n">
        <v>0.99</v>
      </c>
      <c r="AO1219" t="inlineStr">
        <is>
          <t>Critical</t>
        </is>
      </c>
      <c r="AP1219" t="inlineStr">
        <is>
          <t>On Track to Glide Path</t>
        </is>
      </c>
    </row>
    <row r="1220">
      <c r="A1220" t="inlineStr">
        <is>
          <t>SUP-0077</t>
        </is>
      </c>
      <c r="B1220" t="inlineStr">
        <is>
          <t>Packaging Supplier 077</t>
        </is>
      </c>
      <c r="C1220" t="inlineStr">
        <is>
          <t>Packaging</t>
        </is>
      </c>
      <c r="D1220" t="n">
        <v>2024</v>
      </c>
      <c r="E1220" t="n">
        <v>2018</v>
      </c>
      <c r="F1220" t="n">
        <v>2030</v>
      </c>
      <c r="G1220" t="n">
        <v>368.6382</v>
      </c>
      <c r="H1220" t="n">
        <v>80.429</v>
      </c>
      <c r="I1220" t="n">
        <v>32.5647</v>
      </c>
      <c r="J1220" t="n">
        <v>257.7497</v>
      </c>
      <c r="K1220" t="n">
        <v>603398.41</v>
      </c>
      <c r="L1220" t="n">
        <v>5012554.34</v>
      </c>
      <c r="M1220" t="n">
        <v>368.6382</v>
      </c>
      <c r="N1220" t="inlineStr">
        <is>
          <t>Provided Total Emissions</t>
        </is>
      </c>
      <c r="O1220" t="b">
        <v>1</v>
      </c>
      <c r="P1220" t="n">
        <v>0.01625</v>
      </c>
      <c r="Q1220" t="n">
        <v>0.050865</v>
      </c>
      <c r="R1220" t="n">
        <v>651.8513</v>
      </c>
      <c r="S1220" t="n">
        <v>3957.2111</v>
      </c>
      <c r="T1220" t="n">
        <v>283.2131</v>
      </c>
      <c r="U1220" t="n">
        <v>3588.5729</v>
      </c>
      <c r="V1220" t="n">
        <v>0.768268</v>
      </c>
      <c r="W1220" t="n">
        <v>9.734674999999999</v>
      </c>
      <c r="X1220" t="inlineStr">
        <is>
          <t>High</t>
        </is>
      </c>
      <c r="Y1220" t="inlineStr">
        <is>
          <t>None</t>
        </is>
      </c>
      <c r="Z1220" t="inlineStr">
        <is>
          <t>Valid</t>
        </is>
      </c>
      <c r="AA1220" t="n">
        <v>2027</v>
      </c>
      <c r="AB1220" t="inlineStr">
        <is>
          <t>Supplier Target Pathway</t>
        </is>
      </c>
      <c r="AC1220" t="n">
        <v>248.6256</v>
      </c>
      <c r="AD1220" t="n">
        <v>88.98309999999999</v>
      </c>
      <c r="AE1220" t="n">
        <v>128.8937</v>
      </c>
      <c r="AF1220" t="n">
        <v>128.8937</v>
      </c>
      <c r="AG1220" t="n">
        <v>119.7319</v>
      </c>
      <c r="AH1220" t="n">
        <v>0.00021361</v>
      </c>
      <c r="AI1220" t="n">
        <v>0.481575</v>
      </c>
      <c r="AJ1220" t="n">
        <v>39.9106</v>
      </c>
      <c r="AK1220" t="n">
        <v>13.3035</v>
      </c>
      <c r="AL1220" t="n">
        <v>107.3068</v>
      </c>
      <c r="AM1220" t="n">
        <v>426.5918</v>
      </c>
      <c r="AN1220" t="n">
        <v>0.99</v>
      </c>
      <c r="AO1220" t="inlineStr">
        <is>
          <t>Critical</t>
        </is>
      </c>
      <c r="AP1220" t="inlineStr">
        <is>
          <t>On Track to Glide Path</t>
        </is>
      </c>
    </row>
    <row r="1221">
      <c r="A1221" t="inlineStr">
        <is>
          <t>SUP-0077</t>
        </is>
      </c>
      <c r="B1221" t="inlineStr">
        <is>
          <t>Packaging Supplier 077</t>
        </is>
      </c>
      <c r="C1221" t="inlineStr">
        <is>
          <t>Packaging</t>
        </is>
      </c>
      <c r="D1221" t="n">
        <v>2024</v>
      </c>
      <c r="E1221" t="n">
        <v>2018</v>
      </c>
      <c r="F1221" t="n">
        <v>2030</v>
      </c>
      <c r="G1221" t="n">
        <v>368.6382</v>
      </c>
      <c r="H1221" t="n">
        <v>80.429</v>
      </c>
      <c r="I1221" t="n">
        <v>32.5647</v>
      </c>
      <c r="J1221" t="n">
        <v>257.7497</v>
      </c>
      <c r="K1221" t="n">
        <v>603398.41</v>
      </c>
      <c r="L1221" t="n">
        <v>5012554.34</v>
      </c>
      <c r="M1221" t="n">
        <v>368.6382</v>
      </c>
      <c r="N1221" t="inlineStr">
        <is>
          <t>Provided Total Emissions</t>
        </is>
      </c>
      <c r="O1221" t="b">
        <v>1</v>
      </c>
      <c r="P1221" t="n">
        <v>0.01625</v>
      </c>
      <c r="Q1221" t="n">
        <v>0.050865</v>
      </c>
      <c r="R1221" t="n">
        <v>651.8513</v>
      </c>
      <c r="S1221" t="n">
        <v>3957.2111</v>
      </c>
      <c r="T1221" t="n">
        <v>283.2131</v>
      </c>
      <c r="U1221" t="n">
        <v>3588.5729</v>
      </c>
      <c r="V1221" t="n">
        <v>0.768268</v>
      </c>
      <c r="W1221" t="n">
        <v>9.734674999999999</v>
      </c>
      <c r="X1221" t="inlineStr">
        <is>
          <t>High</t>
        </is>
      </c>
      <c r="Y1221" t="inlineStr">
        <is>
          <t>None</t>
        </is>
      </c>
      <c r="Z1221" t="inlineStr">
        <is>
          <t>Valid</t>
        </is>
      </c>
      <c r="AA1221" t="n">
        <v>2028</v>
      </c>
      <c r="AB1221" t="inlineStr">
        <is>
          <t>Supplier Target Pathway</t>
        </is>
      </c>
      <c r="AC1221" t="n">
        <v>248.6256</v>
      </c>
      <c r="AD1221" t="n">
        <v>88.98309999999999</v>
      </c>
      <c r="AE1221" t="n">
        <v>115.5902</v>
      </c>
      <c r="AF1221" t="n">
        <v>115.5902</v>
      </c>
      <c r="AG1221" t="n">
        <v>133.0354</v>
      </c>
      <c r="AH1221" t="n">
        <v>0.00019157</v>
      </c>
      <c r="AI1221" t="n">
        <v>0.535083</v>
      </c>
      <c r="AJ1221" t="n">
        <v>26.6071</v>
      </c>
      <c r="AK1221" t="n">
        <v>13.3035</v>
      </c>
      <c r="AL1221" t="n">
        <v>-8.2834</v>
      </c>
      <c r="AM1221" t="n">
        <v>542.182</v>
      </c>
      <c r="AN1221" t="n">
        <v>0.99</v>
      </c>
      <c r="AO1221" t="inlineStr">
        <is>
          <t>High</t>
        </is>
      </c>
      <c r="AP1221" t="inlineStr">
        <is>
          <t>On Track to Glide Path</t>
        </is>
      </c>
    </row>
    <row r="1222">
      <c r="A1222" t="inlineStr">
        <is>
          <t>SUP-0077</t>
        </is>
      </c>
      <c r="B1222" t="inlineStr">
        <is>
          <t>Packaging Supplier 077</t>
        </is>
      </c>
      <c r="C1222" t="inlineStr">
        <is>
          <t>Packaging</t>
        </is>
      </c>
      <c r="D1222" t="n">
        <v>2024</v>
      </c>
      <c r="E1222" t="n">
        <v>2018</v>
      </c>
      <c r="F1222" t="n">
        <v>2030</v>
      </c>
      <c r="G1222" t="n">
        <v>368.6382</v>
      </c>
      <c r="H1222" t="n">
        <v>80.429</v>
      </c>
      <c r="I1222" t="n">
        <v>32.5647</v>
      </c>
      <c r="J1222" t="n">
        <v>257.7497</v>
      </c>
      <c r="K1222" t="n">
        <v>603398.41</v>
      </c>
      <c r="L1222" t="n">
        <v>5012554.34</v>
      </c>
      <c r="M1222" t="n">
        <v>368.6382</v>
      </c>
      <c r="N1222" t="inlineStr">
        <is>
          <t>Provided Total Emissions</t>
        </is>
      </c>
      <c r="O1222" t="b">
        <v>1</v>
      </c>
      <c r="P1222" t="n">
        <v>0.01625</v>
      </c>
      <c r="Q1222" t="n">
        <v>0.050865</v>
      </c>
      <c r="R1222" t="n">
        <v>651.8513</v>
      </c>
      <c r="S1222" t="n">
        <v>3957.2111</v>
      </c>
      <c r="T1222" t="n">
        <v>283.2131</v>
      </c>
      <c r="U1222" t="n">
        <v>3588.5729</v>
      </c>
      <c r="V1222" t="n">
        <v>0.768268</v>
      </c>
      <c r="W1222" t="n">
        <v>9.734674999999999</v>
      </c>
      <c r="X1222" t="inlineStr">
        <is>
          <t>High</t>
        </is>
      </c>
      <c r="Y1222" t="inlineStr">
        <is>
          <t>None</t>
        </is>
      </c>
      <c r="Z1222" t="inlineStr">
        <is>
          <t>Valid</t>
        </is>
      </c>
      <c r="AA1222" t="n">
        <v>2029</v>
      </c>
      <c r="AB1222" t="inlineStr">
        <is>
          <t>Supplier Target Pathway</t>
        </is>
      </c>
      <c r="AC1222" t="n">
        <v>248.6256</v>
      </c>
      <c r="AD1222" t="n">
        <v>88.98309999999999</v>
      </c>
      <c r="AE1222" t="n">
        <v>102.2866</v>
      </c>
      <c r="AF1222" t="n">
        <v>102.2866</v>
      </c>
      <c r="AG1222" t="n">
        <v>146.339</v>
      </c>
      <c r="AH1222" t="n">
        <v>0.00016952</v>
      </c>
      <c r="AI1222" t="n">
        <v>0.588592</v>
      </c>
      <c r="AJ1222" t="n">
        <v>13.3035</v>
      </c>
      <c r="AK1222" t="n">
        <v>13.3035</v>
      </c>
      <c r="AL1222" t="n">
        <v>-110.57</v>
      </c>
      <c r="AM1222" t="n">
        <v>644.4686</v>
      </c>
      <c r="AN1222" t="n">
        <v>0.99</v>
      </c>
      <c r="AO1222" t="inlineStr">
        <is>
          <t>Medium</t>
        </is>
      </c>
      <c r="AP1222" t="inlineStr">
        <is>
          <t>On Track to Glide Path</t>
        </is>
      </c>
    </row>
    <row r="1223">
      <c r="A1223" t="inlineStr">
        <is>
          <t>SUP-0077</t>
        </is>
      </c>
      <c r="B1223" t="inlineStr">
        <is>
          <t>Packaging Supplier 077</t>
        </is>
      </c>
      <c r="C1223" t="inlineStr">
        <is>
          <t>Packaging</t>
        </is>
      </c>
      <c r="D1223" t="n">
        <v>2024</v>
      </c>
      <c r="E1223" t="n">
        <v>2018</v>
      </c>
      <c r="F1223" t="n">
        <v>2030</v>
      </c>
      <c r="G1223" t="n">
        <v>368.6382</v>
      </c>
      <c r="H1223" t="n">
        <v>80.429</v>
      </c>
      <c r="I1223" t="n">
        <v>32.5647</v>
      </c>
      <c r="J1223" t="n">
        <v>257.7497</v>
      </c>
      <c r="K1223" t="n">
        <v>603398.41</v>
      </c>
      <c r="L1223" t="n">
        <v>5012554.34</v>
      </c>
      <c r="M1223" t="n">
        <v>368.6382</v>
      </c>
      <c r="N1223" t="inlineStr">
        <is>
          <t>Provided Total Emissions</t>
        </is>
      </c>
      <c r="O1223" t="b">
        <v>1</v>
      </c>
      <c r="P1223" t="n">
        <v>0.01625</v>
      </c>
      <c r="Q1223" t="n">
        <v>0.050865</v>
      </c>
      <c r="R1223" t="n">
        <v>651.8513</v>
      </c>
      <c r="S1223" t="n">
        <v>3957.2111</v>
      </c>
      <c r="T1223" t="n">
        <v>283.2131</v>
      </c>
      <c r="U1223" t="n">
        <v>3588.5729</v>
      </c>
      <c r="V1223" t="n">
        <v>0.768268</v>
      </c>
      <c r="W1223" t="n">
        <v>9.734674999999999</v>
      </c>
      <c r="X1223" t="inlineStr">
        <is>
          <t>High</t>
        </is>
      </c>
      <c r="Y1223" t="inlineStr">
        <is>
          <t>None</t>
        </is>
      </c>
      <c r="Z1223" t="inlineStr">
        <is>
          <t>Valid</t>
        </is>
      </c>
      <c r="AA1223" t="n">
        <v>2030</v>
      </c>
      <c r="AB1223" t="inlineStr">
        <is>
          <t>Supplier Target Pathway</t>
        </is>
      </c>
      <c r="AC1223" t="n">
        <v>248.6256</v>
      </c>
      <c r="AD1223" t="n">
        <v>88.98309999999999</v>
      </c>
      <c r="AE1223" t="n">
        <v>88.98309999999999</v>
      </c>
      <c r="AF1223" t="n">
        <v>88.98309999999999</v>
      </c>
      <c r="AG1223" t="n">
        <v>159.6425</v>
      </c>
      <c r="AH1223" t="n">
        <v>0.00014747</v>
      </c>
      <c r="AI1223" t="n">
        <v>0.6421</v>
      </c>
      <c r="AJ1223" t="n">
        <v>0</v>
      </c>
      <c r="AK1223" t="n">
        <v>13.3035</v>
      </c>
      <c r="AL1223" t="n">
        <v>-199.5531</v>
      </c>
      <c r="AM1223" t="n">
        <v>733.4517</v>
      </c>
      <c r="AN1223" t="n">
        <v>0.99</v>
      </c>
      <c r="AO1223" t="inlineStr">
        <is>
          <t>Low</t>
        </is>
      </c>
      <c r="AP1223" t="inlineStr">
        <is>
          <t>On Track</t>
        </is>
      </c>
    </row>
    <row r="1224">
      <c r="A1224" t="inlineStr">
        <is>
          <t>SUP-0077</t>
        </is>
      </c>
      <c r="B1224" t="inlineStr">
        <is>
          <t>Packaging Supplier 077</t>
        </is>
      </c>
      <c r="C1224" t="inlineStr">
        <is>
          <t>Packaging</t>
        </is>
      </c>
      <c r="D1224" t="n">
        <v>2024</v>
      </c>
      <c r="E1224" t="n">
        <v>2018</v>
      </c>
      <c r="F1224" t="n">
        <v>2030</v>
      </c>
      <c r="G1224" t="n">
        <v>368.6382</v>
      </c>
      <c r="H1224" t="n">
        <v>80.429</v>
      </c>
      <c r="I1224" t="n">
        <v>32.5647</v>
      </c>
      <c r="J1224" t="n">
        <v>257.7497</v>
      </c>
      <c r="K1224" t="n">
        <v>603398.41</v>
      </c>
      <c r="L1224" t="n">
        <v>5012554.34</v>
      </c>
      <c r="M1224" t="n">
        <v>368.6382</v>
      </c>
      <c r="N1224" t="inlineStr">
        <is>
          <t>Provided Total Emissions</t>
        </is>
      </c>
      <c r="O1224" t="b">
        <v>1</v>
      </c>
      <c r="P1224" t="n">
        <v>0.01625</v>
      </c>
      <c r="Q1224" t="n">
        <v>0.050865</v>
      </c>
      <c r="R1224" t="n">
        <v>651.8513</v>
      </c>
      <c r="S1224" t="n">
        <v>3957.2111</v>
      </c>
      <c r="T1224" t="n">
        <v>283.2131</v>
      </c>
      <c r="U1224" t="n">
        <v>3588.5729</v>
      </c>
      <c r="V1224" t="n">
        <v>0.768268</v>
      </c>
      <c r="W1224" t="n">
        <v>9.734674999999999</v>
      </c>
      <c r="X1224" t="inlineStr">
        <is>
          <t>High</t>
        </is>
      </c>
      <c r="Y1224" t="inlineStr">
        <is>
          <t>None</t>
        </is>
      </c>
      <c r="Z1224" t="inlineStr">
        <is>
          <t>Valid</t>
        </is>
      </c>
      <c r="AA1224" t="n">
        <v>2031</v>
      </c>
      <c r="AB1224" t="inlineStr">
        <is>
          <t>Supplier Target Pathway</t>
        </is>
      </c>
      <c r="AC1224" t="n">
        <v>248.6256</v>
      </c>
      <c r="AD1224" t="n">
        <v>88.98309999999999</v>
      </c>
      <c r="AE1224" t="n">
        <v>88.98309999999999</v>
      </c>
      <c r="AF1224" t="n">
        <v>88.98309999999999</v>
      </c>
      <c r="AG1224" t="n">
        <v>159.6425</v>
      </c>
      <c r="AH1224" t="n">
        <v>0.00014747</v>
      </c>
      <c r="AI1224" t="n">
        <v>0.6421</v>
      </c>
      <c r="AJ1224" t="n">
        <v>0</v>
      </c>
      <c r="AK1224" t="n">
        <v>13.3035</v>
      </c>
      <c r="AL1224" t="n">
        <v>-288.5362</v>
      </c>
      <c r="AM1224" t="n">
        <v>822.4348</v>
      </c>
      <c r="AN1224" t="n">
        <v>0.99</v>
      </c>
      <c r="AO1224" t="inlineStr">
        <is>
          <t>Low</t>
        </is>
      </c>
      <c r="AP1224" t="inlineStr">
        <is>
          <t>On Track</t>
        </is>
      </c>
    </row>
    <row r="1225">
      <c r="A1225" t="inlineStr">
        <is>
          <t>SUP-0077</t>
        </is>
      </c>
      <c r="B1225" t="inlineStr">
        <is>
          <t>Packaging Supplier 077</t>
        </is>
      </c>
      <c r="C1225" t="inlineStr">
        <is>
          <t>Packaging</t>
        </is>
      </c>
      <c r="D1225" t="n">
        <v>2024</v>
      </c>
      <c r="E1225" t="n">
        <v>2018</v>
      </c>
      <c r="F1225" t="n">
        <v>2030</v>
      </c>
      <c r="G1225" t="n">
        <v>368.6382</v>
      </c>
      <c r="H1225" t="n">
        <v>80.429</v>
      </c>
      <c r="I1225" t="n">
        <v>32.5647</v>
      </c>
      <c r="J1225" t="n">
        <v>257.7497</v>
      </c>
      <c r="K1225" t="n">
        <v>603398.41</v>
      </c>
      <c r="L1225" t="n">
        <v>5012554.34</v>
      </c>
      <c r="M1225" t="n">
        <v>368.6382</v>
      </c>
      <c r="N1225" t="inlineStr">
        <is>
          <t>Provided Total Emissions</t>
        </is>
      </c>
      <c r="O1225" t="b">
        <v>1</v>
      </c>
      <c r="P1225" t="n">
        <v>0.01625</v>
      </c>
      <c r="Q1225" t="n">
        <v>0.050865</v>
      </c>
      <c r="R1225" t="n">
        <v>651.8513</v>
      </c>
      <c r="S1225" t="n">
        <v>3957.2111</v>
      </c>
      <c r="T1225" t="n">
        <v>283.2131</v>
      </c>
      <c r="U1225" t="n">
        <v>3588.5729</v>
      </c>
      <c r="V1225" t="n">
        <v>0.768268</v>
      </c>
      <c r="W1225" t="n">
        <v>9.734674999999999</v>
      </c>
      <c r="X1225" t="inlineStr">
        <is>
          <t>High</t>
        </is>
      </c>
      <c r="Y1225" t="inlineStr">
        <is>
          <t>None</t>
        </is>
      </c>
      <c r="Z1225" t="inlineStr">
        <is>
          <t>Valid</t>
        </is>
      </c>
      <c r="AA1225" t="n">
        <v>2032</v>
      </c>
      <c r="AB1225" t="inlineStr">
        <is>
          <t>Supplier Target Pathway</t>
        </is>
      </c>
      <c r="AC1225" t="n">
        <v>248.6256</v>
      </c>
      <c r="AD1225" t="n">
        <v>88.98309999999999</v>
      </c>
      <c r="AE1225" t="n">
        <v>88.98309999999999</v>
      </c>
      <c r="AF1225" t="n">
        <v>88.98309999999999</v>
      </c>
      <c r="AG1225" t="n">
        <v>159.6425</v>
      </c>
      <c r="AH1225" t="n">
        <v>0.00014747</v>
      </c>
      <c r="AI1225" t="n">
        <v>0.6421</v>
      </c>
      <c r="AJ1225" t="n">
        <v>0</v>
      </c>
      <c r="AK1225" t="n">
        <v>13.3035</v>
      </c>
      <c r="AL1225" t="n">
        <v>-377.5193</v>
      </c>
      <c r="AM1225" t="n">
        <v>911.4179</v>
      </c>
      <c r="AN1225" t="n">
        <v>0.99</v>
      </c>
      <c r="AO1225" t="inlineStr">
        <is>
          <t>Low</t>
        </is>
      </c>
      <c r="AP1225" t="inlineStr">
        <is>
          <t>On Track</t>
        </is>
      </c>
    </row>
    <row r="1226">
      <c r="A1226" t="inlineStr">
        <is>
          <t>SUP-0077</t>
        </is>
      </c>
      <c r="B1226" t="inlineStr">
        <is>
          <t>Packaging Supplier 077</t>
        </is>
      </c>
      <c r="C1226" t="inlineStr">
        <is>
          <t>Packaging</t>
        </is>
      </c>
      <c r="D1226" t="n">
        <v>2024</v>
      </c>
      <c r="E1226" t="n">
        <v>2018</v>
      </c>
      <c r="F1226" t="n">
        <v>2030</v>
      </c>
      <c r="G1226" t="n">
        <v>368.6382</v>
      </c>
      <c r="H1226" t="n">
        <v>80.429</v>
      </c>
      <c r="I1226" t="n">
        <v>32.5647</v>
      </c>
      <c r="J1226" t="n">
        <v>257.7497</v>
      </c>
      <c r="K1226" t="n">
        <v>603398.41</v>
      </c>
      <c r="L1226" t="n">
        <v>5012554.34</v>
      </c>
      <c r="M1226" t="n">
        <v>368.6382</v>
      </c>
      <c r="N1226" t="inlineStr">
        <is>
          <t>Provided Total Emissions</t>
        </is>
      </c>
      <c r="O1226" t="b">
        <v>1</v>
      </c>
      <c r="P1226" t="n">
        <v>0.01625</v>
      </c>
      <c r="Q1226" t="n">
        <v>0.050865</v>
      </c>
      <c r="R1226" t="n">
        <v>651.8513</v>
      </c>
      <c r="S1226" t="n">
        <v>3957.2111</v>
      </c>
      <c r="T1226" t="n">
        <v>283.2131</v>
      </c>
      <c r="U1226" t="n">
        <v>3588.5729</v>
      </c>
      <c r="V1226" t="n">
        <v>0.768268</v>
      </c>
      <c r="W1226" t="n">
        <v>9.734674999999999</v>
      </c>
      <c r="X1226" t="inlineStr">
        <is>
          <t>High</t>
        </is>
      </c>
      <c r="Y1226" t="inlineStr">
        <is>
          <t>None</t>
        </is>
      </c>
      <c r="Z1226" t="inlineStr">
        <is>
          <t>Valid</t>
        </is>
      </c>
      <c r="AA1226" t="n">
        <v>2033</v>
      </c>
      <c r="AB1226" t="inlineStr">
        <is>
          <t>Supplier Target Pathway</t>
        </is>
      </c>
      <c r="AC1226" t="n">
        <v>248.6256</v>
      </c>
      <c r="AD1226" t="n">
        <v>88.98309999999999</v>
      </c>
      <c r="AE1226" t="n">
        <v>88.98309999999999</v>
      </c>
      <c r="AF1226" t="n">
        <v>88.98309999999999</v>
      </c>
      <c r="AG1226" t="n">
        <v>159.6425</v>
      </c>
      <c r="AH1226" t="n">
        <v>0.00014747</v>
      </c>
      <c r="AI1226" t="n">
        <v>0.6421</v>
      </c>
      <c r="AJ1226" t="n">
        <v>0</v>
      </c>
      <c r="AK1226" t="n">
        <v>13.3035</v>
      </c>
      <c r="AL1226" t="n">
        <v>-466.5024</v>
      </c>
      <c r="AM1226" t="n">
        <v>1000.401</v>
      </c>
      <c r="AN1226" t="n">
        <v>0.99</v>
      </c>
      <c r="AO1226" t="inlineStr">
        <is>
          <t>Low</t>
        </is>
      </c>
      <c r="AP1226" t="inlineStr">
        <is>
          <t>On Track</t>
        </is>
      </c>
    </row>
    <row r="1227">
      <c r="A1227" t="inlineStr">
        <is>
          <t>SUP-0077</t>
        </is>
      </c>
      <c r="B1227" t="inlineStr">
        <is>
          <t>Packaging Supplier 077</t>
        </is>
      </c>
      <c r="C1227" t="inlineStr">
        <is>
          <t>Packaging</t>
        </is>
      </c>
      <c r="D1227" t="n">
        <v>2024</v>
      </c>
      <c r="E1227" t="n">
        <v>2018</v>
      </c>
      <c r="F1227" t="n">
        <v>2030</v>
      </c>
      <c r="G1227" t="n">
        <v>368.6382</v>
      </c>
      <c r="H1227" t="n">
        <v>80.429</v>
      </c>
      <c r="I1227" t="n">
        <v>32.5647</v>
      </c>
      <c r="J1227" t="n">
        <v>257.7497</v>
      </c>
      <c r="K1227" t="n">
        <v>603398.41</v>
      </c>
      <c r="L1227" t="n">
        <v>5012554.34</v>
      </c>
      <c r="M1227" t="n">
        <v>368.6382</v>
      </c>
      <c r="N1227" t="inlineStr">
        <is>
          <t>Provided Total Emissions</t>
        </is>
      </c>
      <c r="O1227" t="b">
        <v>1</v>
      </c>
      <c r="P1227" t="n">
        <v>0.01625</v>
      </c>
      <c r="Q1227" t="n">
        <v>0.050865</v>
      </c>
      <c r="R1227" t="n">
        <v>651.8513</v>
      </c>
      <c r="S1227" t="n">
        <v>3957.2111</v>
      </c>
      <c r="T1227" t="n">
        <v>283.2131</v>
      </c>
      <c r="U1227" t="n">
        <v>3588.5729</v>
      </c>
      <c r="V1227" t="n">
        <v>0.768268</v>
      </c>
      <c r="W1227" t="n">
        <v>9.734674999999999</v>
      </c>
      <c r="X1227" t="inlineStr">
        <is>
          <t>High</t>
        </is>
      </c>
      <c r="Y1227" t="inlineStr">
        <is>
          <t>None</t>
        </is>
      </c>
      <c r="Z1227" t="inlineStr">
        <is>
          <t>Valid</t>
        </is>
      </c>
      <c r="AA1227" t="n">
        <v>2034</v>
      </c>
      <c r="AB1227" t="inlineStr">
        <is>
          <t>Supplier Target Pathway</t>
        </is>
      </c>
      <c r="AC1227" t="n">
        <v>248.6256</v>
      </c>
      <c r="AD1227" t="n">
        <v>88.98309999999999</v>
      </c>
      <c r="AE1227" t="n">
        <v>88.98309999999999</v>
      </c>
      <c r="AF1227" t="n">
        <v>88.98309999999999</v>
      </c>
      <c r="AG1227" t="n">
        <v>159.6425</v>
      </c>
      <c r="AH1227" t="n">
        <v>0.00014747</v>
      </c>
      <c r="AI1227" t="n">
        <v>0.6421</v>
      </c>
      <c r="AJ1227" t="n">
        <v>0</v>
      </c>
      <c r="AK1227" t="n">
        <v>13.3035</v>
      </c>
      <c r="AL1227" t="n">
        <v>-555.4855</v>
      </c>
      <c r="AM1227" t="n">
        <v>1089.3841</v>
      </c>
      <c r="AN1227" t="n">
        <v>0.99</v>
      </c>
      <c r="AO1227" t="inlineStr">
        <is>
          <t>Low</t>
        </is>
      </c>
      <c r="AP1227" t="inlineStr">
        <is>
          <t>On Track</t>
        </is>
      </c>
    </row>
    <row r="1228">
      <c r="A1228" t="inlineStr">
        <is>
          <t>SUP-0077</t>
        </is>
      </c>
      <c r="B1228" t="inlineStr">
        <is>
          <t>Packaging Supplier 077</t>
        </is>
      </c>
      <c r="C1228" t="inlineStr">
        <is>
          <t>Packaging</t>
        </is>
      </c>
      <c r="D1228" t="n">
        <v>2024</v>
      </c>
      <c r="E1228" t="n">
        <v>2018</v>
      </c>
      <c r="F1228" t="n">
        <v>2030</v>
      </c>
      <c r="G1228" t="n">
        <v>368.6382</v>
      </c>
      <c r="H1228" t="n">
        <v>80.429</v>
      </c>
      <c r="I1228" t="n">
        <v>32.5647</v>
      </c>
      <c r="J1228" t="n">
        <v>257.7497</v>
      </c>
      <c r="K1228" t="n">
        <v>603398.41</v>
      </c>
      <c r="L1228" t="n">
        <v>5012554.34</v>
      </c>
      <c r="M1228" t="n">
        <v>368.6382</v>
      </c>
      <c r="N1228" t="inlineStr">
        <is>
          <t>Provided Total Emissions</t>
        </is>
      </c>
      <c r="O1228" t="b">
        <v>1</v>
      </c>
      <c r="P1228" t="n">
        <v>0.01625</v>
      </c>
      <c r="Q1228" t="n">
        <v>0.050865</v>
      </c>
      <c r="R1228" t="n">
        <v>651.8513</v>
      </c>
      <c r="S1228" t="n">
        <v>3957.2111</v>
      </c>
      <c r="T1228" t="n">
        <v>283.2131</v>
      </c>
      <c r="U1228" t="n">
        <v>3588.5729</v>
      </c>
      <c r="V1228" t="n">
        <v>0.768268</v>
      </c>
      <c r="W1228" t="n">
        <v>9.734674999999999</v>
      </c>
      <c r="X1228" t="inlineStr">
        <is>
          <t>High</t>
        </is>
      </c>
      <c r="Y1228" t="inlineStr">
        <is>
          <t>None</t>
        </is>
      </c>
      <c r="Z1228" t="inlineStr">
        <is>
          <t>Valid</t>
        </is>
      </c>
      <c r="AA1228" t="n">
        <v>2035</v>
      </c>
      <c r="AB1228" t="inlineStr">
        <is>
          <t>Supplier Target Pathway</t>
        </is>
      </c>
      <c r="AC1228" t="n">
        <v>248.6256</v>
      </c>
      <c r="AD1228" t="n">
        <v>88.98309999999999</v>
      </c>
      <c r="AE1228" t="n">
        <v>88.98309999999999</v>
      </c>
      <c r="AF1228" t="n">
        <v>88.98309999999999</v>
      </c>
      <c r="AG1228" t="n">
        <v>159.6425</v>
      </c>
      <c r="AH1228" t="n">
        <v>0.00014747</v>
      </c>
      <c r="AI1228" t="n">
        <v>0.6421</v>
      </c>
      <c r="AJ1228" t="n">
        <v>0</v>
      </c>
      <c r="AK1228" t="n">
        <v>13.3035</v>
      </c>
      <c r="AL1228" t="n">
        <v>-644.4686</v>
      </c>
      <c r="AM1228" t="n">
        <v>1178.3672</v>
      </c>
      <c r="AN1228" t="n">
        <v>0.99</v>
      </c>
      <c r="AO1228" t="inlineStr">
        <is>
          <t>Low</t>
        </is>
      </c>
      <c r="AP1228" t="inlineStr">
        <is>
          <t>On Track</t>
        </is>
      </c>
    </row>
    <row r="1229">
      <c r="A1229" t="inlineStr">
        <is>
          <t>SUP-0077</t>
        </is>
      </c>
      <c r="B1229" t="inlineStr">
        <is>
          <t>Packaging Supplier 077</t>
        </is>
      </c>
      <c r="C1229" t="inlineStr">
        <is>
          <t>Packaging</t>
        </is>
      </c>
      <c r="D1229" t="n">
        <v>2024</v>
      </c>
      <c r="E1229" t="n">
        <v>2018</v>
      </c>
      <c r="F1229" t="n">
        <v>2030</v>
      </c>
      <c r="G1229" t="n">
        <v>368.6382</v>
      </c>
      <c r="H1229" t="n">
        <v>80.429</v>
      </c>
      <c r="I1229" t="n">
        <v>32.5647</v>
      </c>
      <c r="J1229" t="n">
        <v>257.7497</v>
      </c>
      <c r="K1229" t="n">
        <v>603398.41</v>
      </c>
      <c r="L1229" t="n">
        <v>5012554.34</v>
      </c>
      <c r="M1229" t="n">
        <v>368.6382</v>
      </c>
      <c r="N1229" t="inlineStr">
        <is>
          <t>Provided Total Emissions</t>
        </is>
      </c>
      <c r="O1229" t="b">
        <v>1</v>
      </c>
      <c r="P1229" t="n">
        <v>0.01625</v>
      </c>
      <c r="Q1229" t="n">
        <v>0.050865</v>
      </c>
      <c r="R1229" t="n">
        <v>651.8513</v>
      </c>
      <c r="S1229" t="n">
        <v>3957.2111</v>
      </c>
      <c r="T1229" t="n">
        <v>283.2131</v>
      </c>
      <c r="U1229" t="n">
        <v>3588.5729</v>
      </c>
      <c r="V1229" t="n">
        <v>0.768268</v>
      </c>
      <c r="W1229" t="n">
        <v>9.734674999999999</v>
      </c>
      <c r="X1229" t="inlineStr">
        <is>
          <t>High</t>
        </is>
      </c>
      <c r="Y1229" t="inlineStr">
        <is>
          <t>None</t>
        </is>
      </c>
      <c r="Z1229" t="inlineStr">
        <is>
          <t>Valid</t>
        </is>
      </c>
      <c r="AA1229" t="n">
        <v>2036</v>
      </c>
      <c r="AB1229" t="inlineStr">
        <is>
          <t>Supplier Target Pathway</t>
        </is>
      </c>
      <c r="AC1229" t="n">
        <v>248.6256</v>
      </c>
      <c r="AD1229" t="n">
        <v>88.98309999999999</v>
      </c>
      <c r="AE1229" t="n">
        <v>88.98309999999999</v>
      </c>
      <c r="AF1229" t="n">
        <v>88.98309999999999</v>
      </c>
      <c r="AG1229" t="n">
        <v>159.6425</v>
      </c>
      <c r="AH1229" t="n">
        <v>0.00014747</v>
      </c>
      <c r="AI1229" t="n">
        <v>0.6421</v>
      </c>
      <c r="AJ1229" t="n">
        <v>0</v>
      </c>
      <c r="AK1229" t="n">
        <v>13.3035</v>
      </c>
      <c r="AL1229" t="n">
        <v>-733.4517</v>
      </c>
      <c r="AM1229" t="n">
        <v>1267.3503</v>
      </c>
      <c r="AN1229" t="n">
        <v>0.99</v>
      </c>
      <c r="AO1229" t="inlineStr">
        <is>
          <t>Low</t>
        </is>
      </c>
      <c r="AP1229" t="inlineStr">
        <is>
          <t>On Track</t>
        </is>
      </c>
    </row>
    <row r="1230">
      <c r="A1230" t="inlineStr">
        <is>
          <t>SUP-0077</t>
        </is>
      </c>
      <c r="B1230" t="inlineStr">
        <is>
          <t>Packaging Supplier 077</t>
        </is>
      </c>
      <c r="C1230" t="inlineStr">
        <is>
          <t>Packaging</t>
        </is>
      </c>
      <c r="D1230" t="n">
        <v>2024</v>
      </c>
      <c r="E1230" t="n">
        <v>2018</v>
      </c>
      <c r="F1230" t="n">
        <v>2030</v>
      </c>
      <c r="G1230" t="n">
        <v>368.6382</v>
      </c>
      <c r="H1230" t="n">
        <v>80.429</v>
      </c>
      <c r="I1230" t="n">
        <v>32.5647</v>
      </c>
      <c r="J1230" t="n">
        <v>257.7497</v>
      </c>
      <c r="K1230" t="n">
        <v>603398.41</v>
      </c>
      <c r="L1230" t="n">
        <v>5012554.34</v>
      </c>
      <c r="M1230" t="n">
        <v>368.6382</v>
      </c>
      <c r="N1230" t="inlineStr">
        <is>
          <t>Provided Total Emissions</t>
        </is>
      </c>
      <c r="O1230" t="b">
        <v>1</v>
      </c>
      <c r="P1230" t="n">
        <v>0.01625</v>
      </c>
      <c r="Q1230" t="n">
        <v>0.050865</v>
      </c>
      <c r="R1230" t="n">
        <v>651.8513</v>
      </c>
      <c r="S1230" t="n">
        <v>3957.2111</v>
      </c>
      <c r="T1230" t="n">
        <v>283.2131</v>
      </c>
      <c r="U1230" t="n">
        <v>3588.5729</v>
      </c>
      <c r="V1230" t="n">
        <v>0.768268</v>
      </c>
      <c r="W1230" t="n">
        <v>9.734674999999999</v>
      </c>
      <c r="X1230" t="inlineStr">
        <is>
          <t>High</t>
        </is>
      </c>
      <c r="Y1230" t="inlineStr">
        <is>
          <t>None</t>
        </is>
      </c>
      <c r="Z1230" t="inlineStr">
        <is>
          <t>Valid</t>
        </is>
      </c>
      <c r="AA1230" t="n">
        <v>2037</v>
      </c>
      <c r="AB1230" t="inlineStr">
        <is>
          <t>Supplier Target Pathway</t>
        </is>
      </c>
      <c r="AC1230" t="n">
        <v>248.6256</v>
      </c>
      <c r="AD1230" t="n">
        <v>88.98309999999999</v>
      </c>
      <c r="AE1230" t="n">
        <v>88.98309999999999</v>
      </c>
      <c r="AF1230" t="n">
        <v>88.98309999999999</v>
      </c>
      <c r="AG1230" t="n">
        <v>159.6425</v>
      </c>
      <c r="AH1230" t="n">
        <v>0.00014747</v>
      </c>
      <c r="AI1230" t="n">
        <v>0.6421</v>
      </c>
      <c r="AJ1230" t="n">
        <v>0</v>
      </c>
      <c r="AK1230" t="n">
        <v>13.3035</v>
      </c>
      <c r="AL1230" t="n">
        <v>-822.4348</v>
      </c>
      <c r="AM1230" t="n">
        <v>1356.3334</v>
      </c>
      <c r="AN1230" t="n">
        <v>0.99</v>
      </c>
      <c r="AO1230" t="inlineStr">
        <is>
          <t>Low</t>
        </is>
      </c>
      <c r="AP1230" t="inlineStr">
        <is>
          <t>On Track</t>
        </is>
      </c>
    </row>
    <row r="1231">
      <c r="A1231" t="inlineStr">
        <is>
          <t>SUP-0077</t>
        </is>
      </c>
      <c r="B1231" t="inlineStr">
        <is>
          <t>Packaging Supplier 077</t>
        </is>
      </c>
      <c r="C1231" t="inlineStr">
        <is>
          <t>Packaging</t>
        </is>
      </c>
      <c r="D1231" t="n">
        <v>2024</v>
      </c>
      <c r="E1231" t="n">
        <v>2018</v>
      </c>
      <c r="F1231" t="n">
        <v>2030</v>
      </c>
      <c r="G1231" t="n">
        <v>368.6382</v>
      </c>
      <c r="H1231" t="n">
        <v>80.429</v>
      </c>
      <c r="I1231" t="n">
        <v>32.5647</v>
      </c>
      <c r="J1231" t="n">
        <v>257.7497</v>
      </c>
      <c r="K1231" t="n">
        <v>603398.41</v>
      </c>
      <c r="L1231" t="n">
        <v>5012554.34</v>
      </c>
      <c r="M1231" t="n">
        <v>368.6382</v>
      </c>
      <c r="N1231" t="inlineStr">
        <is>
          <t>Provided Total Emissions</t>
        </is>
      </c>
      <c r="O1231" t="b">
        <v>1</v>
      </c>
      <c r="P1231" t="n">
        <v>0.01625</v>
      </c>
      <c r="Q1231" t="n">
        <v>0.050865</v>
      </c>
      <c r="R1231" t="n">
        <v>651.8513</v>
      </c>
      <c r="S1231" t="n">
        <v>3957.2111</v>
      </c>
      <c r="T1231" t="n">
        <v>283.2131</v>
      </c>
      <c r="U1231" t="n">
        <v>3588.5729</v>
      </c>
      <c r="V1231" t="n">
        <v>0.768268</v>
      </c>
      <c r="W1231" t="n">
        <v>9.734674999999999</v>
      </c>
      <c r="X1231" t="inlineStr">
        <is>
          <t>High</t>
        </is>
      </c>
      <c r="Y1231" t="inlineStr">
        <is>
          <t>None</t>
        </is>
      </c>
      <c r="Z1231" t="inlineStr">
        <is>
          <t>Valid</t>
        </is>
      </c>
      <c r="AA1231" t="n">
        <v>2038</v>
      </c>
      <c r="AB1231" t="inlineStr">
        <is>
          <t>Supplier Target Pathway</t>
        </is>
      </c>
      <c r="AC1231" t="n">
        <v>248.6256</v>
      </c>
      <c r="AD1231" t="n">
        <v>88.98309999999999</v>
      </c>
      <c r="AE1231" t="n">
        <v>88.98309999999999</v>
      </c>
      <c r="AF1231" t="n">
        <v>88.98309999999999</v>
      </c>
      <c r="AG1231" t="n">
        <v>159.6425</v>
      </c>
      <c r="AH1231" t="n">
        <v>0.00014747</v>
      </c>
      <c r="AI1231" t="n">
        <v>0.6421</v>
      </c>
      <c r="AJ1231" t="n">
        <v>0</v>
      </c>
      <c r="AK1231" t="n">
        <v>13.3035</v>
      </c>
      <c r="AL1231" t="n">
        <v>-911.4179</v>
      </c>
      <c r="AM1231" t="n">
        <v>1445.3165</v>
      </c>
      <c r="AN1231" t="n">
        <v>0.99</v>
      </c>
      <c r="AO1231" t="inlineStr">
        <is>
          <t>Low</t>
        </is>
      </c>
      <c r="AP1231" t="inlineStr">
        <is>
          <t>On Track</t>
        </is>
      </c>
    </row>
    <row r="1232">
      <c r="A1232" t="inlineStr">
        <is>
          <t>SUP-0077</t>
        </is>
      </c>
      <c r="B1232" t="inlineStr">
        <is>
          <t>Packaging Supplier 077</t>
        </is>
      </c>
      <c r="C1232" t="inlineStr">
        <is>
          <t>Packaging</t>
        </is>
      </c>
      <c r="D1232" t="n">
        <v>2024</v>
      </c>
      <c r="E1232" t="n">
        <v>2018</v>
      </c>
      <c r="F1232" t="n">
        <v>2030</v>
      </c>
      <c r="G1232" t="n">
        <v>368.6382</v>
      </c>
      <c r="H1232" t="n">
        <v>80.429</v>
      </c>
      <c r="I1232" t="n">
        <v>32.5647</v>
      </c>
      <c r="J1232" t="n">
        <v>257.7497</v>
      </c>
      <c r="K1232" t="n">
        <v>603398.41</v>
      </c>
      <c r="L1232" t="n">
        <v>5012554.34</v>
      </c>
      <c r="M1232" t="n">
        <v>368.6382</v>
      </c>
      <c r="N1232" t="inlineStr">
        <is>
          <t>Provided Total Emissions</t>
        </is>
      </c>
      <c r="O1232" t="b">
        <v>1</v>
      </c>
      <c r="P1232" t="n">
        <v>0.01625</v>
      </c>
      <c r="Q1232" t="n">
        <v>0.050865</v>
      </c>
      <c r="R1232" t="n">
        <v>651.8513</v>
      </c>
      <c r="S1232" t="n">
        <v>3957.2111</v>
      </c>
      <c r="T1232" t="n">
        <v>283.2131</v>
      </c>
      <c r="U1232" t="n">
        <v>3588.5729</v>
      </c>
      <c r="V1232" t="n">
        <v>0.768268</v>
      </c>
      <c r="W1232" t="n">
        <v>9.734674999999999</v>
      </c>
      <c r="X1232" t="inlineStr">
        <is>
          <t>High</t>
        </is>
      </c>
      <c r="Y1232" t="inlineStr">
        <is>
          <t>None</t>
        </is>
      </c>
      <c r="Z1232" t="inlineStr">
        <is>
          <t>Valid</t>
        </is>
      </c>
      <c r="AA1232" t="n">
        <v>2039</v>
      </c>
      <c r="AB1232" t="inlineStr">
        <is>
          <t>Supplier Target Pathway</t>
        </is>
      </c>
      <c r="AC1232" t="n">
        <v>248.6256</v>
      </c>
      <c r="AD1232" t="n">
        <v>88.98309999999999</v>
      </c>
      <c r="AE1232" t="n">
        <v>88.98309999999999</v>
      </c>
      <c r="AF1232" t="n">
        <v>88.98309999999999</v>
      </c>
      <c r="AG1232" t="n">
        <v>159.6425</v>
      </c>
      <c r="AH1232" t="n">
        <v>0.00014747</v>
      </c>
      <c r="AI1232" t="n">
        <v>0.6421</v>
      </c>
      <c r="AJ1232" t="n">
        <v>0</v>
      </c>
      <c r="AK1232" t="n">
        <v>13.3035</v>
      </c>
      <c r="AL1232" t="n">
        <v>-1000.401</v>
      </c>
      <c r="AM1232" t="n">
        <v>1534.2996</v>
      </c>
      <c r="AN1232" t="n">
        <v>0.99</v>
      </c>
      <c r="AO1232" t="inlineStr">
        <is>
          <t>Low</t>
        </is>
      </c>
      <c r="AP1232" t="inlineStr">
        <is>
          <t>On Track</t>
        </is>
      </c>
    </row>
    <row r="1233">
      <c r="A1233" t="inlineStr">
        <is>
          <t>SUP-0077</t>
        </is>
      </c>
      <c r="B1233" t="inlineStr">
        <is>
          <t>Packaging Supplier 077</t>
        </is>
      </c>
      <c r="C1233" t="inlineStr">
        <is>
          <t>Packaging</t>
        </is>
      </c>
      <c r="D1233" t="n">
        <v>2024</v>
      </c>
      <c r="E1233" t="n">
        <v>2018</v>
      </c>
      <c r="F1233" t="n">
        <v>2030</v>
      </c>
      <c r="G1233" t="n">
        <v>368.6382</v>
      </c>
      <c r="H1233" t="n">
        <v>80.429</v>
      </c>
      <c r="I1233" t="n">
        <v>32.5647</v>
      </c>
      <c r="J1233" t="n">
        <v>257.7497</v>
      </c>
      <c r="K1233" t="n">
        <v>603398.41</v>
      </c>
      <c r="L1233" t="n">
        <v>5012554.34</v>
      </c>
      <c r="M1233" t="n">
        <v>368.6382</v>
      </c>
      <c r="N1233" t="inlineStr">
        <is>
          <t>Provided Total Emissions</t>
        </is>
      </c>
      <c r="O1233" t="b">
        <v>1</v>
      </c>
      <c r="P1233" t="n">
        <v>0.01625</v>
      </c>
      <c r="Q1233" t="n">
        <v>0.050865</v>
      </c>
      <c r="R1233" t="n">
        <v>651.8513</v>
      </c>
      <c r="S1233" t="n">
        <v>3957.2111</v>
      </c>
      <c r="T1233" t="n">
        <v>283.2131</v>
      </c>
      <c r="U1233" t="n">
        <v>3588.5729</v>
      </c>
      <c r="V1233" t="n">
        <v>0.768268</v>
      </c>
      <c r="W1233" t="n">
        <v>9.734674999999999</v>
      </c>
      <c r="X1233" t="inlineStr">
        <is>
          <t>High</t>
        </is>
      </c>
      <c r="Y1233" t="inlineStr">
        <is>
          <t>None</t>
        </is>
      </c>
      <c r="Z1233" t="inlineStr">
        <is>
          <t>Valid</t>
        </is>
      </c>
      <c r="AA1233" t="n">
        <v>2040</v>
      </c>
      <c r="AB1233" t="inlineStr">
        <is>
          <t>Supplier Target Pathway</t>
        </is>
      </c>
      <c r="AC1233" t="n">
        <v>248.6256</v>
      </c>
      <c r="AD1233" t="n">
        <v>88.98309999999999</v>
      </c>
      <c r="AE1233" t="n">
        <v>88.98309999999999</v>
      </c>
      <c r="AF1233" t="n">
        <v>88.98309999999999</v>
      </c>
      <c r="AG1233" t="n">
        <v>159.6425</v>
      </c>
      <c r="AH1233" t="n">
        <v>0.00014747</v>
      </c>
      <c r="AI1233" t="n">
        <v>0.6421</v>
      </c>
      <c r="AJ1233" t="n">
        <v>0</v>
      </c>
      <c r="AK1233" t="n">
        <v>13.3035</v>
      </c>
      <c r="AL1233" t="n">
        <v>-1089.3841</v>
      </c>
      <c r="AM1233" t="n">
        <v>1623.2827</v>
      </c>
      <c r="AN1233" t="n">
        <v>0.99</v>
      </c>
      <c r="AO1233" t="inlineStr">
        <is>
          <t>Low</t>
        </is>
      </c>
      <c r="AP1233" t="inlineStr">
        <is>
          <t>On Track</t>
        </is>
      </c>
    </row>
    <row r="1234">
      <c r="A1234" t="inlineStr">
        <is>
          <t>SUP-0078</t>
        </is>
      </c>
      <c r="B1234" t="inlineStr">
        <is>
          <t>Metals Supplier 078</t>
        </is>
      </c>
      <c r="C1234" t="inlineStr">
        <is>
          <t>Metals</t>
        </is>
      </c>
      <c r="D1234" t="n">
        <v>2024</v>
      </c>
      <c r="E1234" t="n">
        <v>2021</v>
      </c>
      <c r="F1234" t="n">
        <v>2040</v>
      </c>
      <c r="G1234" t="n">
        <v>19046.8071</v>
      </c>
      <c r="H1234" t="n">
        <v>3454.5027</v>
      </c>
      <c r="I1234" t="n">
        <v>1713.6012</v>
      </c>
      <c r="J1234" t="n">
        <v>14283.8822</v>
      </c>
      <c r="K1234" t="n">
        <v>24715249.31</v>
      </c>
      <c r="L1234" t="n">
        <v>192905069.32</v>
      </c>
      <c r="M1234" t="n">
        <v>19046.8071</v>
      </c>
      <c r="N1234" t="inlineStr">
        <is>
          <t>Provided Total Emissions</t>
        </is>
      </c>
      <c r="O1234" t="b">
        <v>1</v>
      </c>
      <c r="P1234" t="n">
        <v>0.014531</v>
      </c>
      <c r="Q1234" t="n">
        <v>0.060347</v>
      </c>
      <c r="R1234" t="n">
        <v>24887.0203</v>
      </c>
      <c r="S1234" t="n">
        <v>125403.7275</v>
      </c>
      <c r="T1234" t="n">
        <v>5840.2132</v>
      </c>
      <c r="U1234" t="n">
        <v>106356.9204</v>
      </c>
      <c r="V1234" t="n">
        <v>0.306624</v>
      </c>
      <c r="W1234" t="n">
        <v>5.583976</v>
      </c>
      <c r="X1234" t="inlineStr">
        <is>
          <t>High</t>
        </is>
      </c>
      <c r="Y1234" t="inlineStr">
        <is>
          <t>None</t>
        </is>
      </c>
      <c r="Z1234" t="inlineStr">
        <is>
          <t>Valid</t>
        </is>
      </c>
      <c r="AA1234" t="n">
        <v>2025</v>
      </c>
      <c r="AB1234" t="inlineStr">
        <is>
          <t>Supplier Target Pathway</t>
        </is>
      </c>
      <c r="AC1234" t="n">
        <v>18414.7725</v>
      </c>
      <c r="AD1234" t="n">
        <v>13641.6635</v>
      </c>
      <c r="AE1234" t="n">
        <v>17409.9074</v>
      </c>
      <c r="AF1234" t="n">
        <v>17409.9074</v>
      </c>
      <c r="AG1234" t="n">
        <v>1004.8651</v>
      </c>
      <c r="AH1234" t="n">
        <v>0.00070442</v>
      </c>
      <c r="AI1234" t="n">
        <v>0.054568</v>
      </c>
      <c r="AJ1234" t="n">
        <v>3768.244</v>
      </c>
      <c r="AK1234" t="n">
        <v>251.2163</v>
      </c>
      <c r="AL1234" t="n">
        <v>200856.7086</v>
      </c>
      <c r="AM1234" t="n">
        <v>17409.9074</v>
      </c>
      <c r="AN1234" t="n">
        <v>0.99</v>
      </c>
      <c r="AO1234" t="inlineStr">
        <is>
          <t>High</t>
        </is>
      </c>
      <c r="AP1234" t="inlineStr">
        <is>
          <t>On Track to Glide Path</t>
        </is>
      </c>
    </row>
    <row r="1235">
      <c r="A1235" t="inlineStr">
        <is>
          <t>SUP-0078</t>
        </is>
      </c>
      <c r="B1235" t="inlineStr">
        <is>
          <t>Metals Supplier 078</t>
        </is>
      </c>
      <c r="C1235" t="inlineStr">
        <is>
          <t>Metals</t>
        </is>
      </c>
      <c r="D1235" t="n">
        <v>2024</v>
      </c>
      <c r="E1235" t="n">
        <v>2021</v>
      </c>
      <c r="F1235" t="n">
        <v>2040</v>
      </c>
      <c r="G1235" t="n">
        <v>19046.8071</v>
      </c>
      <c r="H1235" t="n">
        <v>3454.5027</v>
      </c>
      <c r="I1235" t="n">
        <v>1713.6012</v>
      </c>
      <c r="J1235" t="n">
        <v>14283.8822</v>
      </c>
      <c r="K1235" t="n">
        <v>24715249.31</v>
      </c>
      <c r="L1235" t="n">
        <v>192905069.32</v>
      </c>
      <c r="M1235" t="n">
        <v>19046.8071</v>
      </c>
      <c r="N1235" t="inlineStr">
        <is>
          <t>Provided Total Emissions</t>
        </is>
      </c>
      <c r="O1235" t="b">
        <v>1</v>
      </c>
      <c r="P1235" t="n">
        <v>0.014531</v>
      </c>
      <c r="Q1235" t="n">
        <v>0.060347</v>
      </c>
      <c r="R1235" t="n">
        <v>24887.0203</v>
      </c>
      <c r="S1235" t="n">
        <v>125403.7275</v>
      </c>
      <c r="T1235" t="n">
        <v>5840.2132</v>
      </c>
      <c r="U1235" t="n">
        <v>106356.9204</v>
      </c>
      <c r="V1235" t="n">
        <v>0.306624</v>
      </c>
      <c r="W1235" t="n">
        <v>5.583976</v>
      </c>
      <c r="X1235" t="inlineStr">
        <is>
          <t>High</t>
        </is>
      </c>
      <c r="Y1235" t="inlineStr">
        <is>
          <t>None</t>
        </is>
      </c>
      <c r="Z1235" t="inlineStr">
        <is>
          <t>Valid</t>
        </is>
      </c>
      <c r="AA1235" t="n">
        <v>2026</v>
      </c>
      <c r="AB1235" t="inlineStr">
        <is>
          <t>Supplier Target Pathway</t>
        </is>
      </c>
      <c r="AC1235" t="n">
        <v>18414.7725</v>
      </c>
      <c r="AD1235" t="n">
        <v>13641.6635</v>
      </c>
      <c r="AE1235" t="n">
        <v>17158.6912</v>
      </c>
      <c r="AF1235" t="n">
        <v>17158.6912</v>
      </c>
      <c r="AG1235" t="n">
        <v>1256.0813</v>
      </c>
      <c r="AH1235" t="n">
        <v>0.00069426</v>
      </c>
      <c r="AI1235" t="n">
        <v>0.06821099999999999</v>
      </c>
      <c r="AJ1235" t="n">
        <v>3517.0277</v>
      </c>
      <c r="AK1235" t="n">
        <v>251.2163</v>
      </c>
      <c r="AL1235" t="n">
        <v>183698.0174</v>
      </c>
      <c r="AM1235" t="n">
        <v>34568.5986</v>
      </c>
      <c r="AN1235" t="n">
        <v>0.99</v>
      </c>
      <c r="AO1235" t="inlineStr">
        <is>
          <t>High</t>
        </is>
      </c>
      <c r="AP1235" t="inlineStr">
        <is>
          <t>On Track to Glide Path</t>
        </is>
      </c>
    </row>
    <row r="1236">
      <c r="A1236" t="inlineStr">
        <is>
          <t>SUP-0078</t>
        </is>
      </c>
      <c r="B1236" t="inlineStr">
        <is>
          <t>Metals Supplier 078</t>
        </is>
      </c>
      <c r="C1236" t="inlineStr">
        <is>
          <t>Metals</t>
        </is>
      </c>
      <c r="D1236" t="n">
        <v>2024</v>
      </c>
      <c r="E1236" t="n">
        <v>2021</v>
      </c>
      <c r="F1236" t="n">
        <v>2040</v>
      </c>
      <c r="G1236" t="n">
        <v>19046.8071</v>
      </c>
      <c r="H1236" t="n">
        <v>3454.5027</v>
      </c>
      <c r="I1236" t="n">
        <v>1713.6012</v>
      </c>
      <c r="J1236" t="n">
        <v>14283.8822</v>
      </c>
      <c r="K1236" t="n">
        <v>24715249.31</v>
      </c>
      <c r="L1236" t="n">
        <v>192905069.32</v>
      </c>
      <c r="M1236" t="n">
        <v>19046.8071</v>
      </c>
      <c r="N1236" t="inlineStr">
        <is>
          <t>Provided Total Emissions</t>
        </is>
      </c>
      <c r="O1236" t="b">
        <v>1</v>
      </c>
      <c r="P1236" t="n">
        <v>0.014531</v>
      </c>
      <c r="Q1236" t="n">
        <v>0.060347</v>
      </c>
      <c r="R1236" t="n">
        <v>24887.0203</v>
      </c>
      <c r="S1236" t="n">
        <v>125403.7275</v>
      </c>
      <c r="T1236" t="n">
        <v>5840.2132</v>
      </c>
      <c r="U1236" t="n">
        <v>106356.9204</v>
      </c>
      <c r="V1236" t="n">
        <v>0.306624</v>
      </c>
      <c r="W1236" t="n">
        <v>5.583976</v>
      </c>
      <c r="X1236" t="inlineStr">
        <is>
          <t>High</t>
        </is>
      </c>
      <c r="Y1236" t="inlineStr">
        <is>
          <t>None</t>
        </is>
      </c>
      <c r="Z1236" t="inlineStr">
        <is>
          <t>Valid</t>
        </is>
      </c>
      <c r="AA1236" t="n">
        <v>2027</v>
      </c>
      <c r="AB1236" t="inlineStr">
        <is>
          <t>Supplier Target Pathway</t>
        </is>
      </c>
      <c r="AC1236" t="n">
        <v>18414.7725</v>
      </c>
      <c r="AD1236" t="n">
        <v>13641.6635</v>
      </c>
      <c r="AE1236" t="n">
        <v>16907.4749</v>
      </c>
      <c r="AF1236" t="n">
        <v>16907.4749</v>
      </c>
      <c r="AG1236" t="n">
        <v>1507.2976</v>
      </c>
      <c r="AH1236" t="n">
        <v>0.00068409</v>
      </c>
      <c r="AI1236" t="n">
        <v>0.081853</v>
      </c>
      <c r="AJ1236" t="n">
        <v>3265.8114</v>
      </c>
      <c r="AK1236" t="n">
        <v>251.2163</v>
      </c>
      <c r="AL1236" t="n">
        <v>166790.5425</v>
      </c>
      <c r="AM1236" t="n">
        <v>51476.0735</v>
      </c>
      <c r="AN1236" t="n">
        <v>0.99</v>
      </c>
      <c r="AO1236" t="inlineStr">
        <is>
          <t>High</t>
        </is>
      </c>
      <c r="AP1236" t="inlineStr">
        <is>
          <t>On Track to Glide Path</t>
        </is>
      </c>
    </row>
    <row r="1237">
      <c r="A1237" t="inlineStr">
        <is>
          <t>SUP-0078</t>
        </is>
      </c>
      <c r="B1237" t="inlineStr">
        <is>
          <t>Metals Supplier 078</t>
        </is>
      </c>
      <c r="C1237" t="inlineStr">
        <is>
          <t>Metals</t>
        </is>
      </c>
      <c r="D1237" t="n">
        <v>2024</v>
      </c>
      <c r="E1237" t="n">
        <v>2021</v>
      </c>
      <c r="F1237" t="n">
        <v>2040</v>
      </c>
      <c r="G1237" t="n">
        <v>19046.8071</v>
      </c>
      <c r="H1237" t="n">
        <v>3454.5027</v>
      </c>
      <c r="I1237" t="n">
        <v>1713.6012</v>
      </c>
      <c r="J1237" t="n">
        <v>14283.8822</v>
      </c>
      <c r="K1237" t="n">
        <v>24715249.31</v>
      </c>
      <c r="L1237" t="n">
        <v>192905069.32</v>
      </c>
      <c r="M1237" t="n">
        <v>19046.8071</v>
      </c>
      <c r="N1237" t="inlineStr">
        <is>
          <t>Provided Total Emissions</t>
        </is>
      </c>
      <c r="O1237" t="b">
        <v>1</v>
      </c>
      <c r="P1237" t="n">
        <v>0.014531</v>
      </c>
      <c r="Q1237" t="n">
        <v>0.060347</v>
      </c>
      <c r="R1237" t="n">
        <v>24887.0203</v>
      </c>
      <c r="S1237" t="n">
        <v>125403.7275</v>
      </c>
      <c r="T1237" t="n">
        <v>5840.2132</v>
      </c>
      <c r="U1237" t="n">
        <v>106356.9204</v>
      </c>
      <c r="V1237" t="n">
        <v>0.306624</v>
      </c>
      <c r="W1237" t="n">
        <v>5.583976</v>
      </c>
      <c r="X1237" t="inlineStr">
        <is>
          <t>High</t>
        </is>
      </c>
      <c r="Y1237" t="inlineStr">
        <is>
          <t>None</t>
        </is>
      </c>
      <c r="Z1237" t="inlineStr">
        <is>
          <t>Valid</t>
        </is>
      </c>
      <c r="AA1237" t="n">
        <v>2028</v>
      </c>
      <c r="AB1237" t="inlineStr">
        <is>
          <t>Supplier Target Pathway</t>
        </is>
      </c>
      <c r="AC1237" t="n">
        <v>18414.7725</v>
      </c>
      <c r="AD1237" t="n">
        <v>13641.6635</v>
      </c>
      <c r="AE1237" t="n">
        <v>16656.2586</v>
      </c>
      <c r="AF1237" t="n">
        <v>16656.2586</v>
      </c>
      <c r="AG1237" t="n">
        <v>1758.5139</v>
      </c>
      <c r="AH1237" t="n">
        <v>0.00067393</v>
      </c>
      <c r="AI1237" t="n">
        <v>0.095495</v>
      </c>
      <c r="AJ1237" t="n">
        <v>3014.5952</v>
      </c>
      <c r="AK1237" t="n">
        <v>251.2163</v>
      </c>
      <c r="AL1237" t="n">
        <v>150134.2839</v>
      </c>
      <c r="AM1237" t="n">
        <v>68132.3321</v>
      </c>
      <c r="AN1237" t="n">
        <v>0.99</v>
      </c>
      <c r="AO1237" t="inlineStr">
        <is>
          <t>High</t>
        </is>
      </c>
      <c r="AP1237" t="inlineStr">
        <is>
          <t>On Track to Glide Path</t>
        </is>
      </c>
    </row>
    <row r="1238">
      <c r="A1238" t="inlineStr">
        <is>
          <t>SUP-0078</t>
        </is>
      </c>
      <c r="B1238" t="inlineStr">
        <is>
          <t>Metals Supplier 078</t>
        </is>
      </c>
      <c r="C1238" t="inlineStr">
        <is>
          <t>Metals</t>
        </is>
      </c>
      <c r="D1238" t="n">
        <v>2024</v>
      </c>
      <c r="E1238" t="n">
        <v>2021</v>
      </c>
      <c r="F1238" t="n">
        <v>2040</v>
      </c>
      <c r="G1238" t="n">
        <v>19046.8071</v>
      </c>
      <c r="H1238" t="n">
        <v>3454.5027</v>
      </c>
      <c r="I1238" t="n">
        <v>1713.6012</v>
      </c>
      <c r="J1238" t="n">
        <v>14283.8822</v>
      </c>
      <c r="K1238" t="n">
        <v>24715249.31</v>
      </c>
      <c r="L1238" t="n">
        <v>192905069.32</v>
      </c>
      <c r="M1238" t="n">
        <v>19046.8071</v>
      </c>
      <c r="N1238" t="inlineStr">
        <is>
          <t>Provided Total Emissions</t>
        </is>
      </c>
      <c r="O1238" t="b">
        <v>1</v>
      </c>
      <c r="P1238" t="n">
        <v>0.014531</v>
      </c>
      <c r="Q1238" t="n">
        <v>0.060347</v>
      </c>
      <c r="R1238" t="n">
        <v>24887.0203</v>
      </c>
      <c r="S1238" t="n">
        <v>125403.7275</v>
      </c>
      <c r="T1238" t="n">
        <v>5840.2132</v>
      </c>
      <c r="U1238" t="n">
        <v>106356.9204</v>
      </c>
      <c r="V1238" t="n">
        <v>0.306624</v>
      </c>
      <c r="W1238" t="n">
        <v>5.583976</v>
      </c>
      <c r="X1238" t="inlineStr">
        <is>
          <t>High</t>
        </is>
      </c>
      <c r="Y1238" t="inlineStr">
        <is>
          <t>None</t>
        </is>
      </c>
      <c r="Z1238" t="inlineStr">
        <is>
          <t>Valid</t>
        </is>
      </c>
      <c r="AA1238" t="n">
        <v>2029</v>
      </c>
      <c r="AB1238" t="inlineStr">
        <is>
          <t>Supplier Target Pathway</t>
        </is>
      </c>
      <c r="AC1238" t="n">
        <v>18414.7725</v>
      </c>
      <c r="AD1238" t="n">
        <v>13641.6635</v>
      </c>
      <c r="AE1238" t="n">
        <v>16405.0424</v>
      </c>
      <c r="AF1238" t="n">
        <v>16405.0424</v>
      </c>
      <c r="AG1238" t="n">
        <v>2009.7301</v>
      </c>
      <c r="AH1238" t="n">
        <v>0.00066376</v>
      </c>
      <c r="AI1238" t="n">
        <v>0.109137</v>
      </c>
      <c r="AJ1238" t="n">
        <v>2763.3789</v>
      </c>
      <c r="AK1238" t="n">
        <v>251.2163</v>
      </c>
      <c r="AL1238" t="n">
        <v>133729.2415</v>
      </c>
      <c r="AM1238" t="n">
        <v>84537.37450000001</v>
      </c>
      <c r="AN1238" t="n">
        <v>0.99</v>
      </c>
      <c r="AO1238" t="inlineStr">
        <is>
          <t>High</t>
        </is>
      </c>
      <c r="AP1238" t="inlineStr">
        <is>
          <t>On Track to Glide Path</t>
        </is>
      </c>
    </row>
    <row r="1239">
      <c r="A1239" t="inlineStr">
        <is>
          <t>SUP-0078</t>
        </is>
      </c>
      <c r="B1239" t="inlineStr">
        <is>
          <t>Metals Supplier 078</t>
        </is>
      </c>
      <c r="C1239" t="inlineStr">
        <is>
          <t>Metals</t>
        </is>
      </c>
      <c r="D1239" t="n">
        <v>2024</v>
      </c>
      <c r="E1239" t="n">
        <v>2021</v>
      </c>
      <c r="F1239" t="n">
        <v>2040</v>
      </c>
      <c r="G1239" t="n">
        <v>19046.8071</v>
      </c>
      <c r="H1239" t="n">
        <v>3454.5027</v>
      </c>
      <c r="I1239" t="n">
        <v>1713.6012</v>
      </c>
      <c r="J1239" t="n">
        <v>14283.8822</v>
      </c>
      <c r="K1239" t="n">
        <v>24715249.31</v>
      </c>
      <c r="L1239" t="n">
        <v>192905069.32</v>
      </c>
      <c r="M1239" t="n">
        <v>19046.8071</v>
      </c>
      <c r="N1239" t="inlineStr">
        <is>
          <t>Provided Total Emissions</t>
        </is>
      </c>
      <c r="O1239" t="b">
        <v>1</v>
      </c>
      <c r="P1239" t="n">
        <v>0.014531</v>
      </c>
      <c r="Q1239" t="n">
        <v>0.060347</v>
      </c>
      <c r="R1239" t="n">
        <v>24887.0203</v>
      </c>
      <c r="S1239" t="n">
        <v>125403.7275</v>
      </c>
      <c r="T1239" t="n">
        <v>5840.2132</v>
      </c>
      <c r="U1239" t="n">
        <v>106356.9204</v>
      </c>
      <c r="V1239" t="n">
        <v>0.306624</v>
      </c>
      <c r="W1239" t="n">
        <v>5.583976</v>
      </c>
      <c r="X1239" t="inlineStr">
        <is>
          <t>High</t>
        </is>
      </c>
      <c r="Y1239" t="inlineStr">
        <is>
          <t>None</t>
        </is>
      </c>
      <c r="Z1239" t="inlineStr">
        <is>
          <t>Valid</t>
        </is>
      </c>
      <c r="AA1239" t="n">
        <v>2030</v>
      </c>
      <c r="AB1239" t="inlineStr">
        <is>
          <t>Supplier Target Pathway</t>
        </is>
      </c>
      <c r="AC1239" t="n">
        <v>18414.7725</v>
      </c>
      <c r="AD1239" t="n">
        <v>13641.6635</v>
      </c>
      <c r="AE1239" t="n">
        <v>16153.8261</v>
      </c>
      <c r="AF1239" t="n">
        <v>16153.8261</v>
      </c>
      <c r="AG1239" t="n">
        <v>2260.9464</v>
      </c>
      <c r="AH1239" t="n">
        <v>0.0006535999999999999</v>
      </c>
      <c r="AI1239" t="n">
        <v>0.122779</v>
      </c>
      <c r="AJ1239" t="n">
        <v>2512.1626</v>
      </c>
      <c r="AK1239" t="n">
        <v>251.2163</v>
      </c>
      <c r="AL1239" t="n">
        <v>117575.4154</v>
      </c>
      <c r="AM1239" t="n">
        <v>100691.2006</v>
      </c>
      <c r="AN1239" t="n">
        <v>0.99</v>
      </c>
      <c r="AO1239" t="inlineStr">
        <is>
          <t>High</t>
        </is>
      </c>
      <c r="AP1239" t="inlineStr">
        <is>
          <t>On Track to Glide Path</t>
        </is>
      </c>
    </row>
    <row r="1240">
      <c r="A1240" t="inlineStr">
        <is>
          <t>SUP-0078</t>
        </is>
      </c>
      <c r="B1240" t="inlineStr">
        <is>
          <t>Metals Supplier 078</t>
        </is>
      </c>
      <c r="C1240" t="inlineStr">
        <is>
          <t>Metals</t>
        </is>
      </c>
      <c r="D1240" t="n">
        <v>2024</v>
      </c>
      <c r="E1240" t="n">
        <v>2021</v>
      </c>
      <c r="F1240" t="n">
        <v>2040</v>
      </c>
      <c r="G1240" t="n">
        <v>19046.8071</v>
      </c>
      <c r="H1240" t="n">
        <v>3454.5027</v>
      </c>
      <c r="I1240" t="n">
        <v>1713.6012</v>
      </c>
      <c r="J1240" t="n">
        <v>14283.8822</v>
      </c>
      <c r="K1240" t="n">
        <v>24715249.31</v>
      </c>
      <c r="L1240" t="n">
        <v>192905069.32</v>
      </c>
      <c r="M1240" t="n">
        <v>19046.8071</v>
      </c>
      <c r="N1240" t="inlineStr">
        <is>
          <t>Provided Total Emissions</t>
        </is>
      </c>
      <c r="O1240" t="b">
        <v>1</v>
      </c>
      <c r="P1240" t="n">
        <v>0.014531</v>
      </c>
      <c r="Q1240" t="n">
        <v>0.060347</v>
      </c>
      <c r="R1240" t="n">
        <v>24887.0203</v>
      </c>
      <c r="S1240" t="n">
        <v>125403.7275</v>
      </c>
      <c r="T1240" t="n">
        <v>5840.2132</v>
      </c>
      <c r="U1240" t="n">
        <v>106356.9204</v>
      </c>
      <c r="V1240" t="n">
        <v>0.306624</v>
      </c>
      <c r="W1240" t="n">
        <v>5.583976</v>
      </c>
      <c r="X1240" t="inlineStr">
        <is>
          <t>High</t>
        </is>
      </c>
      <c r="Y1240" t="inlineStr">
        <is>
          <t>None</t>
        </is>
      </c>
      <c r="Z1240" t="inlineStr">
        <is>
          <t>Valid</t>
        </is>
      </c>
      <c r="AA1240" t="n">
        <v>2031</v>
      </c>
      <c r="AB1240" t="inlineStr">
        <is>
          <t>Supplier Target Pathway</t>
        </is>
      </c>
      <c r="AC1240" t="n">
        <v>18414.7725</v>
      </c>
      <c r="AD1240" t="n">
        <v>13641.6635</v>
      </c>
      <c r="AE1240" t="n">
        <v>15902.6099</v>
      </c>
      <c r="AF1240" t="n">
        <v>15902.6099</v>
      </c>
      <c r="AG1240" t="n">
        <v>2512.1626</v>
      </c>
      <c r="AH1240" t="n">
        <v>0.00064343</v>
      </c>
      <c r="AI1240" t="n">
        <v>0.136421</v>
      </c>
      <c r="AJ1240" t="n">
        <v>2260.9464</v>
      </c>
      <c r="AK1240" t="n">
        <v>251.2163</v>
      </c>
      <c r="AL1240" t="n">
        <v>101672.8055</v>
      </c>
      <c r="AM1240" t="n">
        <v>116593.8105</v>
      </c>
      <c r="AN1240" t="n">
        <v>0.99</v>
      </c>
      <c r="AO1240" t="inlineStr">
        <is>
          <t>High</t>
        </is>
      </c>
      <c r="AP1240" t="inlineStr">
        <is>
          <t>On Track to Glide Path</t>
        </is>
      </c>
    </row>
    <row r="1241">
      <c r="A1241" t="inlineStr">
        <is>
          <t>SUP-0078</t>
        </is>
      </c>
      <c r="B1241" t="inlineStr">
        <is>
          <t>Metals Supplier 078</t>
        </is>
      </c>
      <c r="C1241" t="inlineStr">
        <is>
          <t>Metals</t>
        </is>
      </c>
      <c r="D1241" t="n">
        <v>2024</v>
      </c>
      <c r="E1241" t="n">
        <v>2021</v>
      </c>
      <c r="F1241" t="n">
        <v>2040</v>
      </c>
      <c r="G1241" t="n">
        <v>19046.8071</v>
      </c>
      <c r="H1241" t="n">
        <v>3454.5027</v>
      </c>
      <c r="I1241" t="n">
        <v>1713.6012</v>
      </c>
      <c r="J1241" t="n">
        <v>14283.8822</v>
      </c>
      <c r="K1241" t="n">
        <v>24715249.31</v>
      </c>
      <c r="L1241" t="n">
        <v>192905069.32</v>
      </c>
      <c r="M1241" t="n">
        <v>19046.8071</v>
      </c>
      <c r="N1241" t="inlineStr">
        <is>
          <t>Provided Total Emissions</t>
        </is>
      </c>
      <c r="O1241" t="b">
        <v>1</v>
      </c>
      <c r="P1241" t="n">
        <v>0.014531</v>
      </c>
      <c r="Q1241" t="n">
        <v>0.060347</v>
      </c>
      <c r="R1241" t="n">
        <v>24887.0203</v>
      </c>
      <c r="S1241" t="n">
        <v>125403.7275</v>
      </c>
      <c r="T1241" t="n">
        <v>5840.2132</v>
      </c>
      <c r="U1241" t="n">
        <v>106356.9204</v>
      </c>
      <c r="V1241" t="n">
        <v>0.306624</v>
      </c>
      <c r="W1241" t="n">
        <v>5.583976</v>
      </c>
      <c r="X1241" t="inlineStr">
        <is>
          <t>High</t>
        </is>
      </c>
      <c r="Y1241" t="inlineStr">
        <is>
          <t>None</t>
        </is>
      </c>
      <c r="Z1241" t="inlineStr">
        <is>
          <t>Valid</t>
        </is>
      </c>
      <c r="AA1241" t="n">
        <v>2032</v>
      </c>
      <c r="AB1241" t="inlineStr">
        <is>
          <t>Supplier Target Pathway</t>
        </is>
      </c>
      <c r="AC1241" t="n">
        <v>18414.7725</v>
      </c>
      <c r="AD1241" t="n">
        <v>13641.6635</v>
      </c>
      <c r="AE1241" t="n">
        <v>15651.3936</v>
      </c>
      <c r="AF1241" t="n">
        <v>15651.3936</v>
      </c>
      <c r="AG1241" t="n">
        <v>2763.3789</v>
      </c>
      <c r="AH1241" t="n">
        <v>0.00063327</v>
      </c>
      <c r="AI1241" t="n">
        <v>0.150063</v>
      </c>
      <c r="AJ1241" t="n">
        <v>2009.7301</v>
      </c>
      <c r="AK1241" t="n">
        <v>251.2163</v>
      </c>
      <c r="AL1241" t="n">
        <v>86021.41190000001</v>
      </c>
      <c r="AM1241" t="n">
        <v>132245.2041</v>
      </c>
      <c r="AN1241" t="n">
        <v>0.99</v>
      </c>
      <c r="AO1241" t="inlineStr">
        <is>
          <t>Medium</t>
        </is>
      </c>
      <c r="AP1241" t="inlineStr">
        <is>
          <t>On Track to Glide Path</t>
        </is>
      </c>
    </row>
    <row r="1242">
      <c r="A1242" t="inlineStr">
        <is>
          <t>SUP-0078</t>
        </is>
      </c>
      <c r="B1242" t="inlineStr">
        <is>
          <t>Metals Supplier 078</t>
        </is>
      </c>
      <c r="C1242" t="inlineStr">
        <is>
          <t>Metals</t>
        </is>
      </c>
      <c r="D1242" t="n">
        <v>2024</v>
      </c>
      <c r="E1242" t="n">
        <v>2021</v>
      </c>
      <c r="F1242" t="n">
        <v>2040</v>
      </c>
      <c r="G1242" t="n">
        <v>19046.8071</v>
      </c>
      <c r="H1242" t="n">
        <v>3454.5027</v>
      </c>
      <c r="I1242" t="n">
        <v>1713.6012</v>
      </c>
      <c r="J1242" t="n">
        <v>14283.8822</v>
      </c>
      <c r="K1242" t="n">
        <v>24715249.31</v>
      </c>
      <c r="L1242" t="n">
        <v>192905069.32</v>
      </c>
      <c r="M1242" t="n">
        <v>19046.8071</v>
      </c>
      <c r="N1242" t="inlineStr">
        <is>
          <t>Provided Total Emissions</t>
        </is>
      </c>
      <c r="O1242" t="b">
        <v>1</v>
      </c>
      <c r="P1242" t="n">
        <v>0.014531</v>
      </c>
      <c r="Q1242" t="n">
        <v>0.060347</v>
      </c>
      <c r="R1242" t="n">
        <v>24887.0203</v>
      </c>
      <c r="S1242" t="n">
        <v>125403.7275</v>
      </c>
      <c r="T1242" t="n">
        <v>5840.2132</v>
      </c>
      <c r="U1242" t="n">
        <v>106356.9204</v>
      </c>
      <c r="V1242" t="n">
        <v>0.306624</v>
      </c>
      <c r="W1242" t="n">
        <v>5.583976</v>
      </c>
      <c r="X1242" t="inlineStr">
        <is>
          <t>High</t>
        </is>
      </c>
      <c r="Y1242" t="inlineStr">
        <is>
          <t>None</t>
        </is>
      </c>
      <c r="Z1242" t="inlineStr">
        <is>
          <t>Valid</t>
        </is>
      </c>
      <c r="AA1242" t="n">
        <v>2033</v>
      </c>
      <c r="AB1242" t="inlineStr">
        <is>
          <t>Supplier Target Pathway</t>
        </is>
      </c>
      <c r="AC1242" t="n">
        <v>18414.7725</v>
      </c>
      <c r="AD1242" t="n">
        <v>13641.6635</v>
      </c>
      <c r="AE1242" t="n">
        <v>15400.1773</v>
      </c>
      <c r="AF1242" t="n">
        <v>15400.1773</v>
      </c>
      <c r="AG1242" t="n">
        <v>3014.5952</v>
      </c>
      <c r="AH1242" t="n">
        <v>0.0006231</v>
      </c>
      <c r="AI1242" t="n">
        <v>0.163705</v>
      </c>
      <c r="AJ1242" t="n">
        <v>1758.5139</v>
      </c>
      <c r="AK1242" t="n">
        <v>251.2163</v>
      </c>
      <c r="AL1242" t="n">
        <v>70621.2346</v>
      </c>
      <c r="AM1242" t="n">
        <v>147645.3814</v>
      </c>
      <c r="AN1242" t="n">
        <v>0.99</v>
      </c>
      <c r="AO1242" t="inlineStr">
        <is>
          <t>Medium</t>
        </is>
      </c>
      <c r="AP1242" t="inlineStr">
        <is>
          <t>On Track to Glide Path</t>
        </is>
      </c>
    </row>
    <row r="1243">
      <c r="A1243" t="inlineStr">
        <is>
          <t>SUP-0078</t>
        </is>
      </c>
      <c r="B1243" t="inlineStr">
        <is>
          <t>Metals Supplier 078</t>
        </is>
      </c>
      <c r="C1243" t="inlineStr">
        <is>
          <t>Metals</t>
        </is>
      </c>
      <c r="D1243" t="n">
        <v>2024</v>
      </c>
      <c r="E1243" t="n">
        <v>2021</v>
      </c>
      <c r="F1243" t="n">
        <v>2040</v>
      </c>
      <c r="G1243" t="n">
        <v>19046.8071</v>
      </c>
      <c r="H1243" t="n">
        <v>3454.5027</v>
      </c>
      <c r="I1243" t="n">
        <v>1713.6012</v>
      </c>
      <c r="J1243" t="n">
        <v>14283.8822</v>
      </c>
      <c r="K1243" t="n">
        <v>24715249.31</v>
      </c>
      <c r="L1243" t="n">
        <v>192905069.32</v>
      </c>
      <c r="M1243" t="n">
        <v>19046.8071</v>
      </c>
      <c r="N1243" t="inlineStr">
        <is>
          <t>Provided Total Emissions</t>
        </is>
      </c>
      <c r="O1243" t="b">
        <v>1</v>
      </c>
      <c r="P1243" t="n">
        <v>0.014531</v>
      </c>
      <c r="Q1243" t="n">
        <v>0.060347</v>
      </c>
      <c r="R1243" t="n">
        <v>24887.0203</v>
      </c>
      <c r="S1243" t="n">
        <v>125403.7275</v>
      </c>
      <c r="T1243" t="n">
        <v>5840.2132</v>
      </c>
      <c r="U1243" t="n">
        <v>106356.9204</v>
      </c>
      <c r="V1243" t="n">
        <v>0.306624</v>
      </c>
      <c r="W1243" t="n">
        <v>5.583976</v>
      </c>
      <c r="X1243" t="inlineStr">
        <is>
          <t>High</t>
        </is>
      </c>
      <c r="Y1243" t="inlineStr">
        <is>
          <t>None</t>
        </is>
      </c>
      <c r="Z1243" t="inlineStr">
        <is>
          <t>Valid</t>
        </is>
      </c>
      <c r="AA1243" t="n">
        <v>2034</v>
      </c>
      <c r="AB1243" t="inlineStr">
        <is>
          <t>Supplier Target Pathway</t>
        </is>
      </c>
      <c r="AC1243" t="n">
        <v>18414.7725</v>
      </c>
      <c r="AD1243" t="n">
        <v>13641.6635</v>
      </c>
      <c r="AE1243" t="n">
        <v>15148.9611</v>
      </c>
      <c r="AF1243" t="n">
        <v>15148.9611</v>
      </c>
      <c r="AG1243" t="n">
        <v>3265.8114</v>
      </c>
      <c r="AH1243" t="n">
        <v>0.00061294</v>
      </c>
      <c r="AI1243" t="n">
        <v>0.177347</v>
      </c>
      <c r="AJ1243" t="n">
        <v>1507.2976</v>
      </c>
      <c r="AK1243" t="n">
        <v>251.2163</v>
      </c>
      <c r="AL1243" t="n">
        <v>55472.2735</v>
      </c>
      <c r="AM1243" t="n">
        <v>162794.3425</v>
      </c>
      <c r="AN1243" t="n">
        <v>0.99</v>
      </c>
      <c r="AO1243" t="inlineStr">
        <is>
          <t>Medium</t>
        </is>
      </c>
      <c r="AP1243" t="inlineStr">
        <is>
          <t>On Track to Glide Path</t>
        </is>
      </c>
    </row>
    <row r="1244">
      <c r="A1244" t="inlineStr">
        <is>
          <t>SUP-0078</t>
        </is>
      </c>
      <c r="B1244" t="inlineStr">
        <is>
          <t>Metals Supplier 078</t>
        </is>
      </c>
      <c r="C1244" t="inlineStr">
        <is>
          <t>Metals</t>
        </is>
      </c>
      <c r="D1244" t="n">
        <v>2024</v>
      </c>
      <c r="E1244" t="n">
        <v>2021</v>
      </c>
      <c r="F1244" t="n">
        <v>2040</v>
      </c>
      <c r="G1244" t="n">
        <v>19046.8071</v>
      </c>
      <c r="H1244" t="n">
        <v>3454.5027</v>
      </c>
      <c r="I1244" t="n">
        <v>1713.6012</v>
      </c>
      <c r="J1244" t="n">
        <v>14283.8822</v>
      </c>
      <c r="K1244" t="n">
        <v>24715249.31</v>
      </c>
      <c r="L1244" t="n">
        <v>192905069.32</v>
      </c>
      <c r="M1244" t="n">
        <v>19046.8071</v>
      </c>
      <c r="N1244" t="inlineStr">
        <is>
          <t>Provided Total Emissions</t>
        </is>
      </c>
      <c r="O1244" t="b">
        <v>1</v>
      </c>
      <c r="P1244" t="n">
        <v>0.014531</v>
      </c>
      <c r="Q1244" t="n">
        <v>0.060347</v>
      </c>
      <c r="R1244" t="n">
        <v>24887.0203</v>
      </c>
      <c r="S1244" t="n">
        <v>125403.7275</v>
      </c>
      <c r="T1244" t="n">
        <v>5840.2132</v>
      </c>
      <c r="U1244" t="n">
        <v>106356.9204</v>
      </c>
      <c r="V1244" t="n">
        <v>0.306624</v>
      </c>
      <c r="W1244" t="n">
        <v>5.583976</v>
      </c>
      <c r="X1244" t="inlineStr">
        <is>
          <t>High</t>
        </is>
      </c>
      <c r="Y1244" t="inlineStr">
        <is>
          <t>None</t>
        </is>
      </c>
      <c r="Z1244" t="inlineStr">
        <is>
          <t>Valid</t>
        </is>
      </c>
      <c r="AA1244" t="n">
        <v>2035</v>
      </c>
      <c r="AB1244" t="inlineStr">
        <is>
          <t>Supplier Target Pathway</t>
        </is>
      </c>
      <c r="AC1244" t="n">
        <v>18414.7725</v>
      </c>
      <c r="AD1244" t="n">
        <v>13641.6635</v>
      </c>
      <c r="AE1244" t="n">
        <v>14897.7448</v>
      </c>
      <c r="AF1244" t="n">
        <v>14897.7448</v>
      </c>
      <c r="AG1244" t="n">
        <v>3517.0277</v>
      </c>
      <c r="AH1244" t="n">
        <v>0.00060278</v>
      </c>
      <c r="AI1244" t="n">
        <v>0.190989</v>
      </c>
      <c r="AJ1244" t="n">
        <v>1256.0813</v>
      </c>
      <c r="AK1244" t="n">
        <v>251.2163</v>
      </c>
      <c r="AL1244" t="n">
        <v>40574.5287</v>
      </c>
      <c r="AM1244" t="n">
        <v>177692.0873</v>
      </c>
      <c r="AN1244" t="n">
        <v>0.99</v>
      </c>
      <c r="AO1244" t="inlineStr">
        <is>
          <t>Medium</t>
        </is>
      </c>
      <c r="AP1244" t="inlineStr">
        <is>
          <t>On Track to Glide Path</t>
        </is>
      </c>
    </row>
    <row r="1245">
      <c r="A1245" t="inlineStr">
        <is>
          <t>SUP-0078</t>
        </is>
      </c>
      <c r="B1245" t="inlineStr">
        <is>
          <t>Metals Supplier 078</t>
        </is>
      </c>
      <c r="C1245" t="inlineStr">
        <is>
          <t>Metals</t>
        </is>
      </c>
      <c r="D1245" t="n">
        <v>2024</v>
      </c>
      <c r="E1245" t="n">
        <v>2021</v>
      </c>
      <c r="F1245" t="n">
        <v>2040</v>
      </c>
      <c r="G1245" t="n">
        <v>19046.8071</v>
      </c>
      <c r="H1245" t="n">
        <v>3454.5027</v>
      </c>
      <c r="I1245" t="n">
        <v>1713.6012</v>
      </c>
      <c r="J1245" t="n">
        <v>14283.8822</v>
      </c>
      <c r="K1245" t="n">
        <v>24715249.31</v>
      </c>
      <c r="L1245" t="n">
        <v>192905069.32</v>
      </c>
      <c r="M1245" t="n">
        <v>19046.8071</v>
      </c>
      <c r="N1245" t="inlineStr">
        <is>
          <t>Provided Total Emissions</t>
        </is>
      </c>
      <c r="O1245" t="b">
        <v>1</v>
      </c>
      <c r="P1245" t="n">
        <v>0.014531</v>
      </c>
      <c r="Q1245" t="n">
        <v>0.060347</v>
      </c>
      <c r="R1245" t="n">
        <v>24887.0203</v>
      </c>
      <c r="S1245" t="n">
        <v>125403.7275</v>
      </c>
      <c r="T1245" t="n">
        <v>5840.2132</v>
      </c>
      <c r="U1245" t="n">
        <v>106356.9204</v>
      </c>
      <c r="V1245" t="n">
        <v>0.306624</v>
      </c>
      <c r="W1245" t="n">
        <v>5.583976</v>
      </c>
      <c r="X1245" t="inlineStr">
        <is>
          <t>High</t>
        </is>
      </c>
      <c r="Y1245" t="inlineStr">
        <is>
          <t>None</t>
        </is>
      </c>
      <c r="Z1245" t="inlineStr">
        <is>
          <t>Valid</t>
        </is>
      </c>
      <c r="AA1245" t="n">
        <v>2036</v>
      </c>
      <c r="AB1245" t="inlineStr">
        <is>
          <t>Supplier Target Pathway</t>
        </is>
      </c>
      <c r="AC1245" t="n">
        <v>18414.7725</v>
      </c>
      <c r="AD1245" t="n">
        <v>13641.6635</v>
      </c>
      <c r="AE1245" t="n">
        <v>14646.5285</v>
      </c>
      <c r="AF1245" t="n">
        <v>14646.5285</v>
      </c>
      <c r="AG1245" t="n">
        <v>3768.244</v>
      </c>
      <c r="AH1245" t="n">
        <v>0.00059261</v>
      </c>
      <c r="AI1245" t="n">
        <v>0.204632</v>
      </c>
      <c r="AJ1245" t="n">
        <v>1004.8651</v>
      </c>
      <c r="AK1245" t="n">
        <v>251.2163</v>
      </c>
      <c r="AL1245" t="n">
        <v>25928.0002</v>
      </c>
      <c r="AM1245" t="n">
        <v>192338.6158</v>
      </c>
      <c r="AN1245" t="n">
        <v>0.99</v>
      </c>
      <c r="AO1245" t="inlineStr">
        <is>
          <t>Medium</t>
        </is>
      </c>
      <c r="AP1245" t="inlineStr">
        <is>
          <t>On Track to Glide Path</t>
        </is>
      </c>
    </row>
    <row r="1246">
      <c r="A1246" t="inlineStr">
        <is>
          <t>SUP-0078</t>
        </is>
      </c>
      <c r="B1246" t="inlineStr">
        <is>
          <t>Metals Supplier 078</t>
        </is>
      </c>
      <c r="C1246" t="inlineStr">
        <is>
          <t>Metals</t>
        </is>
      </c>
      <c r="D1246" t="n">
        <v>2024</v>
      </c>
      <c r="E1246" t="n">
        <v>2021</v>
      </c>
      <c r="F1246" t="n">
        <v>2040</v>
      </c>
      <c r="G1246" t="n">
        <v>19046.8071</v>
      </c>
      <c r="H1246" t="n">
        <v>3454.5027</v>
      </c>
      <c r="I1246" t="n">
        <v>1713.6012</v>
      </c>
      <c r="J1246" t="n">
        <v>14283.8822</v>
      </c>
      <c r="K1246" t="n">
        <v>24715249.31</v>
      </c>
      <c r="L1246" t="n">
        <v>192905069.32</v>
      </c>
      <c r="M1246" t="n">
        <v>19046.8071</v>
      </c>
      <c r="N1246" t="inlineStr">
        <is>
          <t>Provided Total Emissions</t>
        </is>
      </c>
      <c r="O1246" t="b">
        <v>1</v>
      </c>
      <c r="P1246" t="n">
        <v>0.014531</v>
      </c>
      <c r="Q1246" t="n">
        <v>0.060347</v>
      </c>
      <c r="R1246" t="n">
        <v>24887.0203</v>
      </c>
      <c r="S1246" t="n">
        <v>125403.7275</v>
      </c>
      <c r="T1246" t="n">
        <v>5840.2132</v>
      </c>
      <c r="U1246" t="n">
        <v>106356.9204</v>
      </c>
      <c r="V1246" t="n">
        <v>0.306624</v>
      </c>
      <c r="W1246" t="n">
        <v>5.583976</v>
      </c>
      <c r="X1246" t="inlineStr">
        <is>
          <t>High</t>
        </is>
      </c>
      <c r="Y1246" t="inlineStr">
        <is>
          <t>None</t>
        </is>
      </c>
      <c r="Z1246" t="inlineStr">
        <is>
          <t>Valid</t>
        </is>
      </c>
      <c r="AA1246" t="n">
        <v>2037</v>
      </c>
      <c r="AB1246" t="inlineStr">
        <is>
          <t>Supplier Target Pathway</t>
        </is>
      </c>
      <c r="AC1246" t="n">
        <v>18414.7725</v>
      </c>
      <c r="AD1246" t="n">
        <v>13641.6635</v>
      </c>
      <c r="AE1246" t="n">
        <v>14395.3123</v>
      </c>
      <c r="AF1246" t="n">
        <v>14395.3123</v>
      </c>
      <c r="AG1246" t="n">
        <v>4019.4602</v>
      </c>
      <c r="AH1246" t="n">
        <v>0.00058245</v>
      </c>
      <c r="AI1246" t="n">
        <v>0.218274</v>
      </c>
      <c r="AJ1246" t="n">
        <v>753.6488000000001</v>
      </c>
      <c r="AK1246" t="n">
        <v>251.2163</v>
      </c>
      <c r="AL1246" t="n">
        <v>11532.6879</v>
      </c>
      <c r="AM1246" t="n">
        <v>206733.9281</v>
      </c>
      <c r="AN1246" t="n">
        <v>0.99</v>
      </c>
      <c r="AO1246" t="inlineStr">
        <is>
          <t>Medium</t>
        </is>
      </c>
      <c r="AP1246" t="inlineStr">
        <is>
          <t>On Track to Glide Path</t>
        </is>
      </c>
    </row>
    <row r="1247">
      <c r="A1247" t="inlineStr">
        <is>
          <t>SUP-0078</t>
        </is>
      </c>
      <c r="B1247" t="inlineStr">
        <is>
          <t>Metals Supplier 078</t>
        </is>
      </c>
      <c r="C1247" t="inlineStr">
        <is>
          <t>Metals</t>
        </is>
      </c>
      <c r="D1247" t="n">
        <v>2024</v>
      </c>
      <c r="E1247" t="n">
        <v>2021</v>
      </c>
      <c r="F1247" t="n">
        <v>2040</v>
      </c>
      <c r="G1247" t="n">
        <v>19046.8071</v>
      </c>
      <c r="H1247" t="n">
        <v>3454.5027</v>
      </c>
      <c r="I1247" t="n">
        <v>1713.6012</v>
      </c>
      <c r="J1247" t="n">
        <v>14283.8822</v>
      </c>
      <c r="K1247" t="n">
        <v>24715249.31</v>
      </c>
      <c r="L1247" t="n">
        <v>192905069.32</v>
      </c>
      <c r="M1247" t="n">
        <v>19046.8071</v>
      </c>
      <c r="N1247" t="inlineStr">
        <is>
          <t>Provided Total Emissions</t>
        </is>
      </c>
      <c r="O1247" t="b">
        <v>1</v>
      </c>
      <c r="P1247" t="n">
        <v>0.014531</v>
      </c>
      <c r="Q1247" t="n">
        <v>0.060347</v>
      </c>
      <c r="R1247" t="n">
        <v>24887.0203</v>
      </c>
      <c r="S1247" t="n">
        <v>125403.7275</v>
      </c>
      <c r="T1247" t="n">
        <v>5840.2132</v>
      </c>
      <c r="U1247" t="n">
        <v>106356.9204</v>
      </c>
      <c r="V1247" t="n">
        <v>0.306624</v>
      </c>
      <c r="W1247" t="n">
        <v>5.583976</v>
      </c>
      <c r="X1247" t="inlineStr">
        <is>
          <t>High</t>
        </is>
      </c>
      <c r="Y1247" t="inlineStr">
        <is>
          <t>None</t>
        </is>
      </c>
      <c r="Z1247" t="inlineStr">
        <is>
          <t>Valid</t>
        </is>
      </c>
      <c r="AA1247" t="n">
        <v>2038</v>
      </c>
      <c r="AB1247" t="inlineStr">
        <is>
          <t>Supplier Target Pathway</t>
        </is>
      </c>
      <c r="AC1247" t="n">
        <v>18414.7725</v>
      </c>
      <c r="AD1247" t="n">
        <v>13641.6635</v>
      </c>
      <c r="AE1247" t="n">
        <v>14144.096</v>
      </c>
      <c r="AF1247" t="n">
        <v>14144.096</v>
      </c>
      <c r="AG1247" t="n">
        <v>4270.6765</v>
      </c>
      <c r="AH1247" t="n">
        <v>0.00057228</v>
      </c>
      <c r="AI1247" t="n">
        <v>0.231916</v>
      </c>
      <c r="AJ1247" t="n">
        <v>502.4325</v>
      </c>
      <c r="AK1247" t="n">
        <v>251.2163</v>
      </c>
      <c r="AL1247" t="n">
        <v>-2611.4081</v>
      </c>
      <c r="AM1247" t="n">
        <v>220878.0241</v>
      </c>
      <c r="AN1247" t="n">
        <v>0.99</v>
      </c>
      <c r="AO1247" t="inlineStr">
        <is>
          <t>Medium</t>
        </is>
      </c>
      <c r="AP1247" t="inlineStr">
        <is>
          <t>On Track to Glide Path</t>
        </is>
      </c>
    </row>
    <row r="1248">
      <c r="A1248" t="inlineStr">
        <is>
          <t>SUP-0078</t>
        </is>
      </c>
      <c r="B1248" t="inlineStr">
        <is>
          <t>Metals Supplier 078</t>
        </is>
      </c>
      <c r="C1248" t="inlineStr">
        <is>
          <t>Metals</t>
        </is>
      </c>
      <c r="D1248" t="n">
        <v>2024</v>
      </c>
      <c r="E1248" t="n">
        <v>2021</v>
      </c>
      <c r="F1248" t="n">
        <v>2040</v>
      </c>
      <c r="G1248" t="n">
        <v>19046.8071</v>
      </c>
      <c r="H1248" t="n">
        <v>3454.5027</v>
      </c>
      <c r="I1248" t="n">
        <v>1713.6012</v>
      </c>
      <c r="J1248" t="n">
        <v>14283.8822</v>
      </c>
      <c r="K1248" t="n">
        <v>24715249.31</v>
      </c>
      <c r="L1248" t="n">
        <v>192905069.32</v>
      </c>
      <c r="M1248" t="n">
        <v>19046.8071</v>
      </c>
      <c r="N1248" t="inlineStr">
        <is>
          <t>Provided Total Emissions</t>
        </is>
      </c>
      <c r="O1248" t="b">
        <v>1</v>
      </c>
      <c r="P1248" t="n">
        <v>0.014531</v>
      </c>
      <c r="Q1248" t="n">
        <v>0.060347</v>
      </c>
      <c r="R1248" t="n">
        <v>24887.0203</v>
      </c>
      <c r="S1248" t="n">
        <v>125403.7275</v>
      </c>
      <c r="T1248" t="n">
        <v>5840.2132</v>
      </c>
      <c r="U1248" t="n">
        <v>106356.9204</v>
      </c>
      <c r="V1248" t="n">
        <v>0.306624</v>
      </c>
      <c r="W1248" t="n">
        <v>5.583976</v>
      </c>
      <c r="X1248" t="inlineStr">
        <is>
          <t>High</t>
        </is>
      </c>
      <c r="Y1248" t="inlineStr">
        <is>
          <t>None</t>
        </is>
      </c>
      <c r="Z1248" t="inlineStr">
        <is>
          <t>Valid</t>
        </is>
      </c>
      <c r="AA1248" t="n">
        <v>2039</v>
      </c>
      <c r="AB1248" t="inlineStr">
        <is>
          <t>Supplier Target Pathway</t>
        </is>
      </c>
      <c r="AC1248" t="n">
        <v>18414.7725</v>
      </c>
      <c r="AD1248" t="n">
        <v>13641.6635</v>
      </c>
      <c r="AE1248" t="n">
        <v>13892.8797</v>
      </c>
      <c r="AF1248" t="n">
        <v>13892.8797</v>
      </c>
      <c r="AG1248" t="n">
        <v>4521.8928</v>
      </c>
      <c r="AH1248" t="n">
        <v>0.00056212</v>
      </c>
      <c r="AI1248" t="n">
        <v>0.245558</v>
      </c>
      <c r="AJ1248" t="n">
        <v>251.2163</v>
      </c>
      <c r="AK1248" t="n">
        <v>251.2163</v>
      </c>
      <c r="AL1248" t="n">
        <v>-16504.2878</v>
      </c>
      <c r="AM1248" t="n">
        <v>234770.9038</v>
      </c>
      <c r="AN1248" t="n">
        <v>0.99</v>
      </c>
      <c r="AO1248" t="inlineStr">
        <is>
          <t>Medium</t>
        </is>
      </c>
      <c r="AP1248" t="inlineStr">
        <is>
          <t>On Track to Glide Path</t>
        </is>
      </c>
    </row>
    <row r="1249">
      <c r="A1249" t="inlineStr">
        <is>
          <t>SUP-0078</t>
        </is>
      </c>
      <c r="B1249" t="inlineStr">
        <is>
          <t>Metals Supplier 078</t>
        </is>
      </c>
      <c r="C1249" t="inlineStr">
        <is>
          <t>Metals</t>
        </is>
      </c>
      <c r="D1249" t="n">
        <v>2024</v>
      </c>
      <c r="E1249" t="n">
        <v>2021</v>
      </c>
      <c r="F1249" t="n">
        <v>2040</v>
      </c>
      <c r="G1249" t="n">
        <v>19046.8071</v>
      </c>
      <c r="H1249" t="n">
        <v>3454.5027</v>
      </c>
      <c r="I1249" t="n">
        <v>1713.6012</v>
      </c>
      <c r="J1249" t="n">
        <v>14283.8822</v>
      </c>
      <c r="K1249" t="n">
        <v>24715249.31</v>
      </c>
      <c r="L1249" t="n">
        <v>192905069.32</v>
      </c>
      <c r="M1249" t="n">
        <v>19046.8071</v>
      </c>
      <c r="N1249" t="inlineStr">
        <is>
          <t>Provided Total Emissions</t>
        </is>
      </c>
      <c r="O1249" t="b">
        <v>1</v>
      </c>
      <c r="P1249" t="n">
        <v>0.014531</v>
      </c>
      <c r="Q1249" t="n">
        <v>0.060347</v>
      </c>
      <c r="R1249" t="n">
        <v>24887.0203</v>
      </c>
      <c r="S1249" t="n">
        <v>125403.7275</v>
      </c>
      <c r="T1249" t="n">
        <v>5840.2132</v>
      </c>
      <c r="U1249" t="n">
        <v>106356.9204</v>
      </c>
      <c r="V1249" t="n">
        <v>0.306624</v>
      </c>
      <c r="W1249" t="n">
        <v>5.583976</v>
      </c>
      <c r="X1249" t="inlineStr">
        <is>
          <t>High</t>
        </is>
      </c>
      <c r="Y1249" t="inlineStr">
        <is>
          <t>None</t>
        </is>
      </c>
      <c r="Z1249" t="inlineStr">
        <is>
          <t>Valid</t>
        </is>
      </c>
      <c r="AA1249" t="n">
        <v>2040</v>
      </c>
      <c r="AB1249" t="inlineStr">
        <is>
          <t>Supplier Target Pathway</t>
        </is>
      </c>
      <c r="AC1249" t="n">
        <v>18414.7725</v>
      </c>
      <c r="AD1249" t="n">
        <v>13641.6635</v>
      </c>
      <c r="AE1249" t="n">
        <v>13641.6635</v>
      </c>
      <c r="AF1249" t="n">
        <v>13641.6635</v>
      </c>
      <c r="AG1249" t="n">
        <v>4773.109</v>
      </c>
      <c r="AH1249" t="n">
        <v>0.0005519500000000001</v>
      </c>
      <c r="AI1249" t="n">
        <v>0.2592</v>
      </c>
      <c r="AJ1249" t="n">
        <v>0</v>
      </c>
      <c r="AK1249" t="n">
        <v>251.2163</v>
      </c>
      <c r="AL1249" t="n">
        <v>-30145.9513</v>
      </c>
      <c r="AM1249" t="n">
        <v>248412.5673</v>
      </c>
      <c r="AN1249" t="n">
        <v>0.99</v>
      </c>
      <c r="AO1249" t="inlineStr">
        <is>
          <t>Low</t>
        </is>
      </c>
      <c r="AP1249" t="inlineStr">
        <is>
          <t>On Track</t>
        </is>
      </c>
    </row>
    <row r="1250">
      <c r="A1250" t="inlineStr">
        <is>
          <t>SUP-0079</t>
        </is>
      </c>
      <c r="B1250" t="inlineStr">
        <is>
          <t>Logistics Supplier 079</t>
        </is>
      </c>
      <c r="C1250" t="inlineStr">
        <is>
          <t>Logistics</t>
        </is>
      </c>
      <c r="D1250" t="n">
        <v>2024</v>
      </c>
      <c r="E1250" t="n">
        <v>2015</v>
      </c>
      <c r="F1250" t="n">
        <v>2040</v>
      </c>
      <c r="G1250" t="n">
        <v>4203.5841</v>
      </c>
      <c r="H1250" t="n">
        <v>1014.8158</v>
      </c>
      <c r="I1250" t="n">
        <v>798.4050999999999</v>
      </c>
      <c r="J1250" t="n">
        <v>2183.0154</v>
      </c>
      <c r="K1250" t="n">
        <v>15324883.31</v>
      </c>
      <c r="L1250" t="n">
        <v>68962601.81</v>
      </c>
      <c r="M1250" t="n">
        <v>4203.5841</v>
      </c>
      <c r="N1250" t="inlineStr">
        <is>
          <t>Provided Total Emissions</t>
        </is>
      </c>
      <c r="O1250" t="b">
        <v>1</v>
      </c>
      <c r="P1250" t="n">
        <v>0.027083</v>
      </c>
      <c r="Q1250" t="n">
        <v>0.046224</v>
      </c>
      <c r="R1250" t="n">
        <v>3424.9582</v>
      </c>
      <c r="S1250" t="n">
        <v>32955.1585</v>
      </c>
      <c r="T1250" t="n">
        <v>-778.6259</v>
      </c>
      <c r="U1250" t="n">
        <v>28751.5744</v>
      </c>
      <c r="V1250" t="n">
        <v>-0.185229</v>
      </c>
      <c r="W1250" t="n">
        <v>6.839776</v>
      </c>
      <c r="X1250" t="inlineStr">
        <is>
          <t>High</t>
        </is>
      </c>
      <c r="Y1250" t="inlineStr">
        <is>
          <t>None</t>
        </is>
      </c>
      <c r="Z1250" t="inlineStr">
        <is>
          <t>Valid</t>
        </is>
      </c>
      <c r="AA1250" t="n">
        <v>2025</v>
      </c>
      <c r="AB1250" t="inlineStr">
        <is>
          <t>Industry Haircut Pathway</t>
        </is>
      </c>
      <c r="AC1250" t="n">
        <v>3305.002</v>
      </c>
      <c r="AD1250" t="n">
        <v>1779.4131</v>
      </c>
      <c r="AE1250" t="n">
        <v>2694.7664</v>
      </c>
      <c r="AF1250" t="n">
        <v>2694.7664</v>
      </c>
      <c r="AG1250" t="n">
        <v>610.2356</v>
      </c>
      <c r="AH1250" t="n">
        <v>0.00017584</v>
      </c>
      <c r="AI1250" t="n">
        <v>0.18464</v>
      </c>
      <c r="AJ1250" t="n">
        <v>915.3534</v>
      </c>
      <c r="AK1250" t="n">
        <v>61.0236</v>
      </c>
      <c r="AL1250" t="n">
        <v>25775.8432</v>
      </c>
      <c r="AM1250" t="n">
        <v>2694.7664</v>
      </c>
      <c r="AN1250" t="n">
        <v>0.95</v>
      </c>
      <c r="AO1250" t="inlineStr">
        <is>
          <t>Critical</t>
        </is>
      </c>
      <c r="AP1250" t="inlineStr">
        <is>
          <t>On Track to Glide Path</t>
        </is>
      </c>
    </row>
    <row r="1251">
      <c r="A1251" t="inlineStr">
        <is>
          <t>SUP-0079</t>
        </is>
      </c>
      <c r="B1251" t="inlineStr">
        <is>
          <t>Logistics Supplier 079</t>
        </is>
      </c>
      <c r="C1251" t="inlineStr">
        <is>
          <t>Logistics</t>
        </is>
      </c>
      <c r="D1251" t="n">
        <v>2024</v>
      </c>
      <c r="E1251" t="n">
        <v>2015</v>
      </c>
      <c r="F1251" t="n">
        <v>2040</v>
      </c>
      <c r="G1251" t="n">
        <v>4203.5841</v>
      </c>
      <c r="H1251" t="n">
        <v>1014.8158</v>
      </c>
      <c r="I1251" t="n">
        <v>798.4050999999999</v>
      </c>
      <c r="J1251" t="n">
        <v>2183.0154</v>
      </c>
      <c r="K1251" t="n">
        <v>15324883.31</v>
      </c>
      <c r="L1251" t="n">
        <v>68962601.81</v>
      </c>
      <c r="M1251" t="n">
        <v>4203.5841</v>
      </c>
      <c r="N1251" t="inlineStr">
        <is>
          <t>Provided Total Emissions</t>
        </is>
      </c>
      <c r="O1251" t="b">
        <v>1</v>
      </c>
      <c r="P1251" t="n">
        <v>0.027083</v>
      </c>
      <c r="Q1251" t="n">
        <v>0.046224</v>
      </c>
      <c r="R1251" t="n">
        <v>3424.9582</v>
      </c>
      <c r="S1251" t="n">
        <v>32955.1585</v>
      </c>
      <c r="T1251" t="n">
        <v>-778.6259</v>
      </c>
      <c r="U1251" t="n">
        <v>28751.5744</v>
      </c>
      <c r="V1251" t="n">
        <v>-0.185229</v>
      </c>
      <c r="W1251" t="n">
        <v>6.839776</v>
      </c>
      <c r="X1251" t="inlineStr">
        <is>
          <t>High</t>
        </is>
      </c>
      <c r="Y1251" t="inlineStr">
        <is>
          <t>None</t>
        </is>
      </c>
      <c r="Z1251" t="inlineStr">
        <is>
          <t>Valid</t>
        </is>
      </c>
      <c r="AA1251" t="n">
        <v>2026</v>
      </c>
      <c r="AB1251" t="inlineStr">
        <is>
          <t>Industry Haircut Pathway</t>
        </is>
      </c>
      <c r="AC1251" t="n">
        <v>3305.002</v>
      </c>
      <c r="AD1251" t="n">
        <v>1779.4131</v>
      </c>
      <c r="AE1251" t="n">
        <v>2633.7429</v>
      </c>
      <c r="AF1251" t="n">
        <v>2633.7429</v>
      </c>
      <c r="AG1251" t="n">
        <v>671.2591</v>
      </c>
      <c r="AH1251" t="n">
        <v>0.00017186</v>
      </c>
      <c r="AI1251" t="n">
        <v>0.203104</v>
      </c>
      <c r="AJ1251" t="n">
        <v>854.3298</v>
      </c>
      <c r="AK1251" t="n">
        <v>61.0236</v>
      </c>
      <c r="AL1251" t="n">
        <v>23142.1003</v>
      </c>
      <c r="AM1251" t="n">
        <v>5328.5093</v>
      </c>
      <c r="AN1251" t="n">
        <v>0.95</v>
      </c>
      <c r="AO1251" t="inlineStr">
        <is>
          <t>Critical</t>
        </is>
      </c>
      <c r="AP1251" t="inlineStr">
        <is>
          <t>On Track to Glide Path</t>
        </is>
      </c>
    </row>
    <row r="1252">
      <c r="A1252" t="inlineStr">
        <is>
          <t>SUP-0079</t>
        </is>
      </c>
      <c r="B1252" t="inlineStr">
        <is>
          <t>Logistics Supplier 079</t>
        </is>
      </c>
      <c r="C1252" t="inlineStr">
        <is>
          <t>Logistics</t>
        </is>
      </c>
      <c r="D1252" t="n">
        <v>2024</v>
      </c>
      <c r="E1252" t="n">
        <v>2015</v>
      </c>
      <c r="F1252" t="n">
        <v>2040</v>
      </c>
      <c r="G1252" t="n">
        <v>4203.5841</v>
      </c>
      <c r="H1252" t="n">
        <v>1014.8158</v>
      </c>
      <c r="I1252" t="n">
        <v>798.4050999999999</v>
      </c>
      <c r="J1252" t="n">
        <v>2183.0154</v>
      </c>
      <c r="K1252" t="n">
        <v>15324883.31</v>
      </c>
      <c r="L1252" t="n">
        <v>68962601.81</v>
      </c>
      <c r="M1252" t="n">
        <v>4203.5841</v>
      </c>
      <c r="N1252" t="inlineStr">
        <is>
          <t>Provided Total Emissions</t>
        </is>
      </c>
      <c r="O1252" t="b">
        <v>1</v>
      </c>
      <c r="P1252" t="n">
        <v>0.027083</v>
      </c>
      <c r="Q1252" t="n">
        <v>0.046224</v>
      </c>
      <c r="R1252" t="n">
        <v>3424.9582</v>
      </c>
      <c r="S1252" t="n">
        <v>32955.1585</v>
      </c>
      <c r="T1252" t="n">
        <v>-778.6259</v>
      </c>
      <c r="U1252" t="n">
        <v>28751.5744</v>
      </c>
      <c r="V1252" t="n">
        <v>-0.185229</v>
      </c>
      <c r="W1252" t="n">
        <v>6.839776</v>
      </c>
      <c r="X1252" t="inlineStr">
        <is>
          <t>High</t>
        </is>
      </c>
      <c r="Y1252" t="inlineStr">
        <is>
          <t>None</t>
        </is>
      </c>
      <c r="Z1252" t="inlineStr">
        <is>
          <t>Valid</t>
        </is>
      </c>
      <c r="AA1252" t="n">
        <v>2027</v>
      </c>
      <c r="AB1252" t="inlineStr">
        <is>
          <t>Industry Haircut Pathway</t>
        </is>
      </c>
      <c r="AC1252" t="n">
        <v>3305.002</v>
      </c>
      <c r="AD1252" t="n">
        <v>1779.4131</v>
      </c>
      <c r="AE1252" t="n">
        <v>2572.7193</v>
      </c>
      <c r="AF1252" t="n">
        <v>2572.7193</v>
      </c>
      <c r="AG1252" t="n">
        <v>732.2827</v>
      </c>
      <c r="AH1252" t="n">
        <v>0.00016788</v>
      </c>
      <c r="AI1252" t="n">
        <v>0.221568</v>
      </c>
      <c r="AJ1252" t="n">
        <v>793.3062</v>
      </c>
      <c r="AK1252" t="n">
        <v>61.0236</v>
      </c>
      <c r="AL1252" t="n">
        <v>20569.381</v>
      </c>
      <c r="AM1252" t="n">
        <v>7901.2286</v>
      </c>
      <c r="AN1252" t="n">
        <v>0.95</v>
      </c>
      <c r="AO1252" t="inlineStr">
        <is>
          <t>Critical</t>
        </is>
      </c>
      <c r="AP1252" t="inlineStr">
        <is>
          <t>On Track to Glide Path</t>
        </is>
      </c>
    </row>
    <row r="1253">
      <c r="A1253" t="inlineStr">
        <is>
          <t>SUP-0079</t>
        </is>
      </c>
      <c r="B1253" t="inlineStr">
        <is>
          <t>Logistics Supplier 079</t>
        </is>
      </c>
      <c r="C1253" t="inlineStr">
        <is>
          <t>Logistics</t>
        </is>
      </c>
      <c r="D1253" t="n">
        <v>2024</v>
      </c>
      <c r="E1253" t="n">
        <v>2015</v>
      </c>
      <c r="F1253" t="n">
        <v>2040</v>
      </c>
      <c r="G1253" t="n">
        <v>4203.5841</v>
      </c>
      <c r="H1253" t="n">
        <v>1014.8158</v>
      </c>
      <c r="I1253" t="n">
        <v>798.4050999999999</v>
      </c>
      <c r="J1253" t="n">
        <v>2183.0154</v>
      </c>
      <c r="K1253" t="n">
        <v>15324883.31</v>
      </c>
      <c r="L1253" t="n">
        <v>68962601.81</v>
      </c>
      <c r="M1253" t="n">
        <v>4203.5841</v>
      </c>
      <c r="N1253" t="inlineStr">
        <is>
          <t>Provided Total Emissions</t>
        </is>
      </c>
      <c r="O1253" t="b">
        <v>1</v>
      </c>
      <c r="P1253" t="n">
        <v>0.027083</v>
      </c>
      <c r="Q1253" t="n">
        <v>0.046224</v>
      </c>
      <c r="R1253" t="n">
        <v>3424.9582</v>
      </c>
      <c r="S1253" t="n">
        <v>32955.1585</v>
      </c>
      <c r="T1253" t="n">
        <v>-778.6259</v>
      </c>
      <c r="U1253" t="n">
        <v>28751.5744</v>
      </c>
      <c r="V1253" t="n">
        <v>-0.185229</v>
      </c>
      <c r="W1253" t="n">
        <v>6.839776</v>
      </c>
      <c r="X1253" t="inlineStr">
        <is>
          <t>High</t>
        </is>
      </c>
      <c r="Y1253" t="inlineStr">
        <is>
          <t>None</t>
        </is>
      </c>
      <c r="Z1253" t="inlineStr">
        <is>
          <t>Valid</t>
        </is>
      </c>
      <c r="AA1253" t="n">
        <v>2028</v>
      </c>
      <c r="AB1253" t="inlineStr">
        <is>
          <t>Industry Haircut Pathway</t>
        </is>
      </c>
      <c r="AC1253" t="n">
        <v>3305.002</v>
      </c>
      <c r="AD1253" t="n">
        <v>1779.4131</v>
      </c>
      <c r="AE1253" t="n">
        <v>2511.6958</v>
      </c>
      <c r="AF1253" t="n">
        <v>2511.6958</v>
      </c>
      <c r="AG1253" t="n">
        <v>793.3062</v>
      </c>
      <c r="AH1253" t="n">
        <v>0.0001639</v>
      </c>
      <c r="AI1253" t="n">
        <v>0.240032</v>
      </c>
      <c r="AJ1253" t="n">
        <v>732.2827</v>
      </c>
      <c r="AK1253" t="n">
        <v>61.0236</v>
      </c>
      <c r="AL1253" t="n">
        <v>18057.6852</v>
      </c>
      <c r="AM1253" t="n">
        <v>10412.9244</v>
      </c>
      <c r="AN1253" t="n">
        <v>0.95</v>
      </c>
      <c r="AO1253" t="inlineStr">
        <is>
          <t>Critical</t>
        </is>
      </c>
      <c r="AP1253" t="inlineStr">
        <is>
          <t>On Track to Glide Path</t>
        </is>
      </c>
    </row>
    <row r="1254">
      <c r="A1254" t="inlineStr">
        <is>
          <t>SUP-0079</t>
        </is>
      </c>
      <c r="B1254" t="inlineStr">
        <is>
          <t>Logistics Supplier 079</t>
        </is>
      </c>
      <c r="C1254" t="inlineStr">
        <is>
          <t>Logistics</t>
        </is>
      </c>
      <c r="D1254" t="n">
        <v>2024</v>
      </c>
      <c r="E1254" t="n">
        <v>2015</v>
      </c>
      <c r="F1254" t="n">
        <v>2040</v>
      </c>
      <c r="G1254" t="n">
        <v>4203.5841</v>
      </c>
      <c r="H1254" t="n">
        <v>1014.8158</v>
      </c>
      <c r="I1254" t="n">
        <v>798.4050999999999</v>
      </c>
      <c r="J1254" t="n">
        <v>2183.0154</v>
      </c>
      <c r="K1254" t="n">
        <v>15324883.31</v>
      </c>
      <c r="L1254" t="n">
        <v>68962601.81</v>
      </c>
      <c r="M1254" t="n">
        <v>4203.5841</v>
      </c>
      <c r="N1254" t="inlineStr">
        <is>
          <t>Provided Total Emissions</t>
        </is>
      </c>
      <c r="O1254" t="b">
        <v>1</v>
      </c>
      <c r="P1254" t="n">
        <v>0.027083</v>
      </c>
      <c r="Q1254" t="n">
        <v>0.046224</v>
      </c>
      <c r="R1254" t="n">
        <v>3424.9582</v>
      </c>
      <c r="S1254" t="n">
        <v>32955.1585</v>
      </c>
      <c r="T1254" t="n">
        <v>-778.6259</v>
      </c>
      <c r="U1254" t="n">
        <v>28751.5744</v>
      </c>
      <c r="V1254" t="n">
        <v>-0.185229</v>
      </c>
      <c r="W1254" t="n">
        <v>6.839776</v>
      </c>
      <c r="X1254" t="inlineStr">
        <is>
          <t>High</t>
        </is>
      </c>
      <c r="Y1254" t="inlineStr">
        <is>
          <t>None</t>
        </is>
      </c>
      <c r="Z1254" t="inlineStr">
        <is>
          <t>Valid</t>
        </is>
      </c>
      <c r="AA1254" t="n">
        <v>2029</v>
      </c>
      <c r="AB1254" t="inlineStr">
        <is>
          <t>Industry Haircut Pathway</t>
        </is>
      </c>
      <c r="AC1254" t="n">
        <v>3305.002</v>
      </c>
      <c r="AD1254" t="n">
        <v>1779.4131</v>
      </c>
      <c r="AE1254" t="n">
        <v>2450.6722</v>
      </c>
      <c r="AF1254" t="n">
        <v>2450.6722</v>
      </c>
      <c r="AG1254" t="n">
        <v>854.3298</v>
      </c>
      <c r="AH1254" t="n">
        <v>0.00015991</v>
      </c>
      <c r="AI1254" t="n">
        <v>0.258496</v>
      </c>
      <c r="AJ1254" t="n">
        <v>671.2591</v>
      </c>
      <c r="AK1254" t="n">
        <v>61.0236</v>
      </c>
      <c r="AL1254" t="n">
        <v>15607.013</v>
      </c>
      <c r="AM1254" t="n">
        <v>12863.5966</v>
      </c>
      <c r="AN1254" t="n">
        <v>0.95</v>
      </c>
      <c r="AO1254" t="inlineStr">
        <is>
          <t>Critical</t>
        </is>
      </c>
      <c r="AP1254" t="inlineStr">
        <is>
          <t>On Track to Glide Path</t>
        </is>
      </c>
    </row>
    <row r="1255">
      <c r="A1255" t="inlineStr">
        <is>
          <t>SUP-0079</t>
        </is>
      </c>
      <c r="B1255" t="inlineStr">
        <is>
          <t>Logistics Supplier 079</t>
        </is>
      </c>
      <c r="C1255" t="inlineStr">
        <is>
          <t>Logistics</t>
        </is>
      </c>
      <c r="D1255" t="n">
        <v>2024</v>
      </c>
      <c r="E1255" t="n">
        <v>2015</v>
      </c>
      <c r="F1255" t="n">
        <v>2040</v>
      </c>
      <c r="G1255" t="n">
        <v>4203.5841</v>
      </c>
      <c r="H1255" t="n">
        <v>1014.8158</v>
      </c>
      <c r="I1255" t="n">
        <v>798.4050999999999</v>
      </c>
      <c r="J1255" t="n">
        <v>2183.0154</v>
      </c>
      <c r="K1255" t="n">
        <v>15324883.31</v>
      </c>
      <c r="L1255" t="n">
        <v>68962601.81</v>
      </c>
      <c r="M1255" t="n">
        <v>4203.5841</v>
      </c>
      <c r="N1255" t="inlineStr">
        <is>
          <t>Provided Total Emissions</t>
        </is>
      </c>
      <c r="O1255" t="b">
        <v>1</v>
      </c>
      <c r="P1255" t="n">
        <v>0.027083</v>
      </c>
      <c r="Q1255" t="n">
        <v>0.046224</v>
      </c>
      <c r="R1255" t="n">
        <v>3424.9582</v>
      </c>
      <c r="S1255" t="n">
        <v>32955.1585</v>
      </c>
      <c r="T1255" t="n">
        <v>-778.6259</v>
      </c>
      <c r="U1255" t="n">
        <v>28751.5744</v>
      </c>
      <c r="V1255" t="n">
        <v>-0.185229</v>
      </c>
      <c r="W1255" t="n">
        <v>6.839776</v>
      </c>
      <c r="X1255" t="inlineStr">
        <is>
          <t>High</t>
        </is>
      </c>
      <c r="Y1255" t="inlineStr">
        <is>
          <t>None</t>
        </is>
      </c>
      <c r="Z1255" t="inlineStr">
        <is>
          <t>Valid</t>
        </is>
      </c>
      <c r="AA1255" t="n">
        <v>2030</v>
      </c>
      <c r="AB1255" t="inlineStr">
        <is>
          <t>Industry Haircut Pathway</t>
        </is>
      </c>
      <c r="AC1255" t="n">
        <v>3305.002</v>
      </c>
      <c r="AD1255" t="n">
        <v>1779.4131</v>
      </c>
      <c r="AE1255" t="n">
        <v>2389.6486</v>
      </c>
      <c r="AF1255" t="n">
        <v>2389.6486</v>
      </c>
      <c r="AG1255" t="n">
        <v>915.3534</v>
      </c>
      <c r="AH1255" t="n">
        <v>0.00015593</v>
      </c>
      <c r="AI1255" t="n">
        <v>0.27696</v>
      </c>
      <c r="AJ1255" t="n">
        <v>610.2356</v>
      </c>
      <c r="AK1255" t="n">
        <v>61.0236</v>
      </c>
      <c r="AL1255" t="n">
        <v>13217.3644</v>
      </c>
      <c r="AM1255" t="n">
        <v>15253.2452</v>
      </c>
      <c r="AN1255" t="n">
        <v>0.95</v>
      </c>
      <c r="AO1255" t="inlineStr">
        <is>
          <t>High</t>
        </is>
      </c>
      <c r="AP1255" t="inlineStr">
        <is>
          <t>On Track to Glide Path</t>
        </is>
      </c>
    </row>
    <row r="1256">
      <c r="A1256" t="inlineStr">
        <is>
          <t>SUP-0079</t>
        </is>
      </c>
      <c r="B1256" t="inlineStr">
        <is>
          <t>Logistics Supplier 079</t>
        </is>
      </c>
      <c r="C1256" t="inlineStr">
        <is>
          <t>Logistics</t>
        </is>
      </c>
      <c r="D1256" t="n">
        <v>2024</v>
      </c>
      <c r="E1256" t="n">
        <v>2015</v>
      </c>
      <c r="F1256" t="n">
        <v>2040</v>
      </c>
      <c r="G1256" t="n">
        <v>4203.5841</v>
      </c>
      <c r="H1256" t="n">
        <v>1014.8158</v>
      </c>
      <c r="I1256" t="n">
        <v>798.4050999999999</v>
      </c>
      <c r="J1256" t="n">
        <v>2183.0154</v>
      </c>
      <c r="K1256" t="n">
        <v>15324883.31</v>
      </c>
      <c r="L1256" t="n">
        <v>68962601.81</v>
      </c>
      <c r="M1256" t="n">
        <v>4203.5841</v>
      </c>
      <c r="N1256" t="inlineStr">
        <is>
          <t>Provided Total Emissions</t>
        </is>
      </c>
      <c r="O1256" t="b">
        <v>1</v>
      </c>
      <c r="P1256" t="n">
        <v>0.027083</v>
      </c>
      <c r="Q1256" t="n">
        <v>0.046224</v>
      </c>
      <c r="R1256" t="n">
        <v>3424.9582</v>
      </c>
      <c r="S1256" t="n">
        <v>32955.1585</v>
      </c>
      <c r="T1256" t="n">
        <v>-778.6259</v>
      </c>
      <c r="U1256" t="n">
        <v>28751.5744</v>
      </c>
      <c r="V1256" t="n">
        <v>-0.185229</v>
      </c>
      <c r="W1256" t="n">
        <v>6.839776</v>
      </c>
      <c r="X1256" t="inlineStr">
        <is>
          <t>High</t>
        </is>
      </c>
      <c r="Y1256" t="inlineStr">
        <is>
          <t>None</t>
        </is>
      </c>
      <c r="Z1256" t="inlineStr">
        <is>
          <t>Valid</t>
        </is>
      </c>
      <c r="AA1256" t="n">
        <v>2031</v>
      </c>
      <c r="AB1256" t="inlineStr">
        <is>
          <t>Industry Haircut Pathway</t>
        </is>
      </c>
      <c r="AC1256" t="n">
        <v>3305.002</v>
      </c>
      <c r="AD1256" t="n">
        <v>1779.4131</v>
      </c>
      <c r="AE1256" t="n">
        <v>2328.6251</v>
      </c>
      <c r="AF1256" t="n">
        <v>2328.6251</v>
      </c>
      <c r="AG1256" t="n">
        <v>976.3769</v>
      </c>
      <c r="AH1256" t="n">
        <v>0.00015195</v>
      </c>
      <c r="AI1256" t="n">
        <v>0.295424</v>
      </c>
      <c r="AJ1256" t="n">
        <v>549.212</v>
      </c>
      <c r="AK1256" t="n">
        <v>61.0236</v>
      </c>
      <c r="AL1256" t="n">
        <v>10888.7393</v>
      </c>
      <c r="AM1256" t="n">
        <v>17581.8703</v>
      </c>
      <c r="AN1256" t="n">
        <v>0.95</v>
      </c>
      <c r="AO1256" t="inlineStr">
        <is>
          <t>High</t>
        </is>
      </c>
      <c r="AP1256" t="inlineStr">
        <is>
          <t>On Track to Glide Path</t>
        </is>
      </c>
    </row>
    <row r="1257">
      <c r="A1257" t="inlineStr">
        <is>
          <t>SUP-0079</t>
        </is>
      </c>
      <c r="B1257" t="inlineStr">
        <is>
          <t>Logistics Supplier 079</t>
        </is>
      </c>
      <c r="C1257" t="inlineStr">
        <is>
          <t>Logistics</t>
        </is>
      </c>
      <c r="D1257" t="n">
        <v>2024</v>
      </c>
      <c r="E1257" t="n">
        <v>2015</v>
      </c>
      <c r="F1257" t="n">
        <v>2040</v>
      </c>
      <c r="G1257" t="n">
        <v>4203.5841</v>
      </c>
      <c r="H1257" t="n">
        <v>1014.8158</v>
      </c>
      <c r="I1257" t="n">
        <v>798.4050999999999</v>
      </c>
      <c r="J1257" t="n">
        <v>2183.0154</v>
      </c>
      <c r="K1257" t="n">
        <v>15324883.31</v>
      </c>
      <c r="L1257" t="n">
        <v>68962601.81</v>
      </c>
      <c r="M1257" t="n">
        <v>4203.5841</v>
      </c>
      <c r="N1257" t="inlineStr">
        <is>
          <t>Provided Total Emissions</t>
        </is>
      </c>
      <c r="O1257" t="b">
        <v>1</v>
      </c>
      <c r="P1257" t="n">
        <v>0.027083</v>
      </c>
      <c r="Q1257" t="n">
        <v>0.046224</v>
      </c>
      <c r="R1257" t="n">
        <v>3424.9582</v>
      </c>
      <c r="S1257" t="n">
        <v>32955.1585</v>
      </c>
      <c r="T1257" t="n">
        <v>-778.6259</v>
      </c>
      <c r="U1257" t="n">
        <v>28751.5744</v>
      </c>
      <c r="V1257" t="n">
        <v>-0.185229</v>
      </c>
      <c r="W1257" t="n">
        <v>6.839776</v>
      </c>
      <c r="X1257" t="inlineStr">
        <is>
          <t>High</t>
        </is>
      </c>
      <c r="Y1257" t="inlineStr">
        <is>
          <t>None</t>
        </is>
      </c>
      <c r="Z1257" t="inlineStr">
        <is>
          <t>Valid</t>
        </is>
      </c>
      <c r="AA1257" t="n">
        <v>2032</v>
      </c>
      <c r="AB1257" t="inlineStr">
        <is>
          <t>Industry Haircut Pathway</t>
        </is>
      </c>
      <c r="AC1257" t="n">
        <v>3305.002</v>
      </c>
      <c r="AD1257" t="n">
        <v>1779.4131</v>
      </c>
      <c r="AE1257" t="n">
        <v>2267.6015</v>
      </c>
      <c r="AF1257" t="n">
        <v>2267.6015</v>
      </c>
      <c r="AG1257" t="n">
        <v>1037.4005</v>
      </c>
      <c r="AH1257" t="n">
        <v>0.00014797</v>
      </c>
      <c r="AI1257" t="n">
        <v>0.313888</v>
      </c>
      <c r="AJ1257" t="n">
        <v>488.1885</v>
      </c>
      <c r="AK1257" t="n">
        <v>61.0236</v>
      </c>
      <c r="AL1257" t="n">
        <v>8621.1378</v>
      </c>
      <c r="AM1257" t="n">
        <v>19849.4718</v>
      </c>
      <c r="AN1257" t="n">
        <v>0.95</v>
      </c>
      <c r="AO1257" t="inlineStr">
        <is>
          <t>High</t>
        </is>
      </c>
      <c r="AP1257" t="inlineStr">
        <is>
          <t>On Track to Glide Path</t>
        </is>
      </c>
    </row>
    <row r="1258">
      <c r="A1258" t="inlineStr">
        <is>
          <t>SUP-0079</t>
        </is>
      </c>
      <c r="B1258" t="inlineStr">
        <is>
          <t>Logistics Supplier 079</t>
        </is>
      </c>
      <c r="C1258" t="inlineStr">
        <is>
          <t>Logistics</t>
        </is>
      </c>
      <c r="D1258" t="n">
        <v>2024</v>
      </c>
      <c r="E1258" t="n">
        <v>2015</v>
      </c>
      <c r="F1258" t="n">
        <v>2040</v>
      </c>
      <c r="G1258" t="n">
        <v>4203.5841</v>
      </c>
      <c r="H1258" t="n">
        <v>1014.8158</v>
      </c>
      <c r="I1258" t="n">
        <v>798.4050999999999</v>
      </c>
      <c r="J1258" t="n">
        <v>2183.0154</v>
      </c>
      <c r="K1258" t="n">
        <v>15324883.31</v>
      </c>
      <c r="L1258" t="n">
        <v>68962601.81</v>
      </c>
      <c r="M1258" t="n">
        <v>4203.5841</v>
      </c>
      <c r="N1258" t="inlineStr">
        <is>
          <t>Provided Total Emissions</t>
        </is>
      </c>
      <c r="O1258" t="b">
        <v>1</v>
      </c>
      <c r="P1258" t="n">
        <v>0.027083</v>
      </c>
      <c r="Q1258" t="n">
        <v>0.046224</v>
      </c>
      <c r="R1258" t="n">
        <v>3424.9582</v>
      </c>
      <c r="S1258" t="n">
        <v>32955.1585</v>
      </c>
      <c r="T1258" t="n">
        <v>-778.6259</v>
      </c>
      <c r="U1258" t="n">
        <v>28751.5744</v>
      </c>
      <c r="V1258" t="n">
        <v>-0.185229</v>
      </c>
      <c r="W1258" t="n">
        <v>6.839776</v>
      </c>
      <c r="X1258" t="inlineStr">
        <is>
          <t>High</t>
        </is>
      </c>
      <c r="Y1258" t="inlineStr">
        <is>
          <t>None</t>
        </is>
      </c>
      <c r="Z1258" t="inlineStr">
        <is>
          <t>Valid</t>
        </is>
      </c>
      <c r="AA1258" t="n">
        <v>2033</v>
      </c>
      <c r="AB1258" t="inlineStr">
        <is>
          <t>Industry Haircut Pathway</t>
        </is>
      </c>
      <c r="AC1258" t="n">
        <v>3305.002</v>
      </c>
      <c r="AD1258" t="n">
        <v>1779.4131</v>
      </c>
      <c r="AE1258" t="n">
        <v>2206.578</v>
      </c>
      <c r="AF1258" t="n">
        <v>2206.578</v>
      </c>
      <c r="AG1258" t="n">
        <v>1098.424</v>
      </c>
      <c r="AH1258" t="n">
        <v>0.00014399</v>
      </c>
      <c r="AI1258" t="n">
        <v>0.332352</v>
      </c>
      <c r="AJ1258" t="n">
        <v>427.1649</v>
      </c>
      <c r="AK1258" t="n">
        <v>61.0236</v>
      </c>
      <c r="AL1258" t="n">
        <v>6414.5598</v>
      </c>
      <c r="AM1258" t="n">
        <v>22056.0498</v>
      </c>
      <c r="AN1258" t="n">
        <v>0.95</v>
      </c>
      <c r="AO1258" t="inlineStr">
        <is>
          <t>High</t>
        </is>
      </c>
      <c r="AP1258" t="inlineStr">
        <is>
          <t>On Track to Glide Path</t>
        </is>
      </c>
    </row>
    <row r="1259">
      <c r="A1259" t="inlineStr">
        <is>
          <t>SUP-0079</t>
        </is>
      </c>
      <c r="B1259" t="inlineStr">
        <is>
          <t>Logistics Supplier 079</t>
        </is>
      </c>
      <c r="C1259" t="inlineStr">
        <is>
          <t>Logistics</t>
        </is>
      </c>
      <c r="D1259" t="n">
        <v>2024</v>
      </c>
      <c r="E1259" t="n">
        <v>2015</v>
      </c>
      <c r="F1259" t="n">
        <v>2040</v>
      </c>
      <c r="G1259" t="n">
        <v>4203.5841</v>
      </c>
      <c r="H1259" t="n">
        <v>1014.8158</v>
      </c>
      <c r="I1259" t="n">
        <v>798.4050999999999</v>
      </c>
      <c r="J1259" t="n">
        <v>2183.0154</v>
      </c>
      <c r="K1259" t="n">
        <v>15324883.31</v>
      </c>
      <c r="L1259" t="n">
        <v>68962601.81</v>
      </c>
      <c r="M1259" t="n">
        <v>4203.5841</v>
      </c>
      <c r="N1259" t="inlineStr">
        <is>
          <t>Provided Total Emissions</t>
        </is>
      </c>
      <c r="O1259" t="b">
        <v>1</v>
      </c>
      <c r="P1259" t="n">
        <v>0.027083</v>
      </c>
      <c r="Q1259" t="n">
        <v>0.046224</v>
      </c>
      <c r="R1259" t="n">
        <v>3424.9582</v>
      </c>
      <c r="S1259" t="n">
        <v>32955.1585</v>
      </c>
      <c r="T1259" t="n">
        <v>-778.6259</v>
      </c>
      <c r="U1259" t="n">
        <v>28751.5744</v>
      </c>
      <c r="V1259" t="n">
        <v>-0.185229</v>
      </c>
      <c r="W1259" t="n">
        <v>6.839776</v>
      </c>
      <c r="X1259" t="inlineStr">
        <is>
          <t>High</t>
        </is>
      </c>
      <c r="Y1259" t="inlineStr">
        <is>
          <t>None</t>
        </is>
      </c>
      <c r="Z1259" t="inlineStr">
        <is>
          <t>Valid</t>
        </is>
      </c>
      <c r="AA1259" t="n">
        <v>2034</v>
      </c>
      <c r="AB1259" t="inlineStr">
        <is>
          <t>Industry Haircut Pathway</t>
        </is>
      </c>
      <c r="AC1259" t="n">
        <v>3305.002</v>
      </c>
      <c r="AD1259" t="n">
        <v>1779.4131</v>
      </c>
      <c r="AE1259" t="n">
        <v>2145.5544</v>
      </c>
      <c r="AF1259" t="n">
        <v>2145.5544</v>
      </c>
      <c r="AG1259" t="n">
        <v>1159.4476</v>
      </c>
      <c r="AH1259" t="n">
        <v>0.00014</v>
      </c>
      <c r="AI1259" t="n">
        <v>0.350816</v>
      </c>
      <c r="AJ1259" t="n">
        <v>366.1413</v>
      </c>
      <c r="AK1259" t="n">
        <v>61.0236</v>
      </c>
      <c r="AL1259" t="n">
        <v>4269.0054</v>
      </c>
      <c r="AM1259" t="n">
        <v>24201.6042</v>
      </c>
      <c r="AN1259" t="n">
        <v>0.95</v>
      </c>
      <c r="AO1259" t="inlineStr">
        <is>
          <t>High</t>
        </is>
      </c>
      <c r="AP1259" t="inlineStr">
        <is>
          <t>On Track to Glide Path</t>
        </is>
      </c>
    </row>
    <row r="1260">
      <c r="A1260" t="inlineStr">
        <is>
          <t>SUP-0079</t>
        </is>
      </c>
      <c r="B1260" t="inlineStr">
        <is>
          <t>Logistics Supplier 079</t>
        </is>
      </c>
      <c r="C1260" t="inlineStr">
        <is>
          <t>Logistics</t>
        </is>
      </c>
      <c r="D1260" t="n">
        <v>2024</v>
      </c>
      <c r="E1260" t="n">
        <v>2015</v>
      </c>
      <c r="F1260" t="n">
        <v>2040</v>
      </c>
      <c r="G1260" t="n">
        <v>4203.5841</v>
      </c>
      <c r="H1260" t="n">
        <v>1014.8158</v>
      </c>
      <c r="I1260" t="n">
        <v>798.4050999999999</v>
      </c>
      <c r="J1260" t="n">
        <v>2183.0154</v>
      </c>
      <c r="K1260" t="n">
        <v>15324883.31</v>
      </c>
      <c r="L1260" t="n">
        <v>68962601.81</v>
      </c>
      <c r="M1260" t="n">
        <v>4203.5841</v>
      </c>
      <c r="N1260" t="inlineStr">
        <is>
          <t>Provided Total Emissions</t>
        </is>
      </c>
      <c r="O1260" t="b">
        <v>1</v>
      </c>
      <c r="P1260" t="n">
        <v>0.027083</v>
      </c>
      <c r="Q1260" t="n">
        <v>0.046224</v>
      </c>
      <c r="R1260" t="n">
        <v>3424.9582</v>
      </c>
      <c r="S1260" t="n">
        <v>32955.1585</v>
      </c>
      <c r="T1260" t="n">
        <v>-778.6259</v>
      </c>
      <c r="U1260" t="n">
        <v>28751.5744</v>
      </c>
      <c r="V1260" t="n">
        <v>-0.185229</v>
      </c>
      <c r="W1260" t="n">
        <v>6.839776</v>
      </c>
      <c r="X1260" t="inlineStr">
        <is>
          <t>High</t>
        </is>
      </c>
      <c r="Y1260" t="inlineStr">
        <is>
          <t>None</t>
        </is>
      </c>
      <c r="Z1260" t="inlineStr">
        <is>
          <t>Valid</t>
        </is>
      </c>
      <c r="AA1260" t="n">
        <v>2035</v>
      </c>
      <c r="AB1260" t="inlineStr">
        <is>
          <t>Industry Haircut Pathway</t>
        </is>
      </c>
      <c r="AC1260" t="n">
        <v>3305.002</v>
      </c>
      <c r="AD1260" t="n">
        <v>1779.4131</v>
      </c>
      <c r="AE1260" t="n">
        <v>2084.5309</v>
      </c>
      <c r="AF1260" t="n">
        <v>2084.5309</v>
      </c>
      <c r="AG1260" t="n">
        <v>1220.4711</v>
      </c>
      <c r="AH1260" t="n">
        <v>0.00013602</v>
      </c>
      <c r="AI1260" t="n">
        <v>0.36928</v>
      </c>
      <c r="AJ1260" t="n">
        <v>305.1178</v>
      </c>
      <c r="AK1260" t="n">
        <v>61.0236</v>
      </c>
      <c r="AL1260" t="n">
        <v>2184.4745</v>
      </c>
      <c r="AM1260" t="n">
        <v>26286.1351</v>
      </c>
      <c r="AN1260" t="n">
        <v>0.95</v>
      </c>
      <c r="AO1260" t="inlineStr">
        <is>
          <t>High</t>
        </is>
      </c>
      <c r="AP1260" t="inlineStr">
        <is>
          <t>On Track to Glide Path</t>
        </is>
      </c>
    </row>
    <row r="1261">
      <c r="A1261" t="inlineStr">
        <is>
          <t>SUP-0079</t>
        </is>
      </c>
      <c r="B1261" t="inlineStr">
        <is>
          <t>Logistics Supplier 079</t>
        </is>
      </c>
      <c r="C1261" t="inlineStr">
        <is>
          <t>Logistics</t>
        </is>
      </c>
      <c r="D1261" t="n">
        <v>2024</v>
      </c>
      <c r="E1261" t="n">
        <v>2015</v>
      </c>
      <c r="F1261" t="n">
        <v>2040</v>
      </c>
      <c r="G1261" t="n">
        <v>4203.5841</v>
      </c>
      <c r="H1261" t="n">
        <v>1014.8158</v>
      </c>
      <c r="I1261" t="n">
        <v>798.4050999999999</v>
      </c>
      <c r="J1261" t="n">
        <v>2183.0154</v>
      </c>
      <c r="K1261" t="n">
        <v>15324883.31</v>
      </c>
      <c r="L1261" t="n">
        <v>68962601.81</v>
      </c>
      <c r="M1261" t="n">
        <v>4203.5841</v>
      </c>
      <c r="N1261" t="inlineStr">
        <is>
          <t>Provided Total Emissions</t>
        </is>
      </c>
      <c r="O1261" t="b">
        <v>1</v>
      </c>
      <c r="P1261" t="n">
        <v>0.027083</v>
      </c>
      <c r="Q1261" t="n">
        <v>0.046224</v>
      </c>
      <c r="R1261" t="n">
        <v>3424.9582</v>
      </c>
      <c r="S1261" t="n">
        <v>32955.1585</v>
      </c>
      <c r="T1261" t="n">
        <v>-778.6259</v>
      </c>
      <c r="U1261" t="n">
        <v>28751.5744</v>
      </c>
      <c r="V1261" t="n">
        <v>-0.185229</v>
      </c>
      <c r="W1261" t="n">
        <v>6.839776</v>
      </c>
      <c r="X1261" t="inlineStr">
        <is>
          <t>High</t>
        </is>
      </c>
      <c r="Y1261" t="inlineStr">
        <is>
          <t>None</t>
        </is>
      </c>
      <c r="Z1261" t="inlineStr">
        <is>
          <t>Valid</t>
        </is>
      </c>
      <c r="AA1261" t="n">
        <v>2036</v>
      </c>
      <c r="AB1261" t="inlineStr">
        <is>
          <t>Industry Haircut Pathway</t>
        </is>
      </c>
      <c r="AC1261" t="n">
        <v>3305.002</v>
      </c>
      <c r="AD1261" t="n">
        <v>1779.4131</v>
      </c>
      <c r="AE1261" t="n">
        <v>2023.5073</v>
      </c>
      <c r="AF1261" t="n">
        <v>2023.5073</v>
      </c>
      <c r="AG1261" t="n">
        <v>1281.4947</v>
      </c>
      <c r="AH1261" t="n">
        <v>0.00013204</v>
      </c>
      <c r="AI1261" t="n">
        <v>0.387744</v>
      </c>
      <c r="AJ1261" t="n">
        <v>244.0942</v>
      </c>
      <c r="AK1261" t="n">
        <v>61.0236</v>
      </c>
      <c r="AL1261" t="n">
        <v>160.9672</v>
      </c>
      <c r="AM1261" t="n">
        <v>28309.6424</v>
      </c>
      <c r="AN1261" t="n">
        <v>0.95</v>
      </c>
      <c r="AO1261" t="inlineStr">
        <is>
          <t>Medium</t>
        </is>
      </c>
      <c r="AP1261" t="inlineStr">
        <is>
          <t>On Track to Glide Path</t>
        </is>
      </c>
    </row>
    <row r="1262">
      <c r="A1262" t="inlineStr">
        <is>
          <t>SUP-0079</t>
        </is>
      </c>
      <c r="B1262" t="inlineStr">
        <is>
          <t>Logistics Supplier 079</t>
        </is>
      </c>
      <c r="C1262" t="inlineStr">
        <is>
          <t>Logistics</t>
        </is>
      </c>
      <c r="D1262" t="n">
        <v>2024</v>
      </c>
      <c r="E1262" t="n">
        <v>2015</v>
      </c>
      <c r="F1262" t="n">
        <v>2040</v>
      </c>
      <c r="G1262" t="n">
        <v>4203.5841</v>
      </c>
      <c r="H1262" t="n">
        <v>1014.8158</v>
      </c>
      <c r="I1262" t="n">
        <v>798.4050999999999</v>
      </c>
      <c r="J1262" t="n">
        <v>2183.0154</v>
      </c>
      <c r="K1262" t="n">
        <v>15324883.31</v>
      </c>
      <c r="L1262" t="n">
        <v>68962601.81</v>
      </c>
      <c r="M1262" t="n">
        <v>4203.5841</v>
      </c>
      <c r="N1262" t="inlineStr">
        <is>
          <t>Provided Total Emissions</t>
        </is>
      </c>
      <c r="O1262" t="b">
        <v>1</v>
      </c>
      <c r="P1262" t="n">
        <v>0.027083</v>
      </c>
      <c r="Q1262" t="n">
        <v>0.046224</v>
      </c>
      <c r="R1262" t="n">
        <v>3424.9582</v>
      </c>
      <c r="S1262" t="n">
        <v>32955.1585</v>
      </c>
      <c r="T1262" t="n">
        <v>-778.6259</v>
      </c>
      <c r="U1262" t="n">
        <v>28751.5744</v>
      </c>
      <c r="V1262" t="n">
        <v>-0.185229</v>
      </c>
      <c r="W1262" t="n">
        <v>6.839776</v>
      </c>
      <c r="X1262" t="inlineStr">
        <is>
          <t>High</t>
        </is>
      </c>
      <c r="Y1262" t="inlineStr">
        <is>
          <t>None</t>
        </is>
      </c>
      <c r="Z1262" t="inlineStr">
        <is>
          <t>Valid</t>
        </is>
      </c>
      <c r="AA1262" t="n">
        <v>2037</v>
      </c>
      <c r="AB1262" t="inlineStr">
        <is>
          <t>Industry Haircut Pathway</t>
        </is>
      </c>
      <c r="AC1262" t="n">
        <v>3305.002</v>
      </c>
      <c r="AD1262" t="n">
        <v>1779.4131</v>
      </c>
      <c r="AE1262" t="n">
        <v>1962.4837</v>
      </c>
      <c r="AF1262" t="n">
        <v>1962.4837</v>
      </c>
      <c r="AG1262" t="n">
        <v>1342.5183</v>
      </c>
      <c r="AH1262" t="n">
        <v>0.00012806</v>
      </c>
      <c r="AI1262" t="n">
        <v>0.406208</v>
      </c>
      <c r="AJ1262" t="n">
        <v>183.0707</v>
      </c>
      <c r="AK1262" t="n">
        <v>61.0236</v>
      </c>
      <c r="AL1262" t="n">
        <v>-1801.5165</v>
      </c>
      <c r="AM1262" t="n">
        <v>30272.1261</v>
      </c>
      <c r="AN1262" t="n">
        <v>0.95</v>
      </c>
      <c r="AO1262" t="inlineStr">
        <is>
          <t>Medium</t>
        </is>
      </c>
      <c r="AP1262" t="inlineStr">
        <is>
          <t>On Track to Glide Path</t>
        </is>
      </c>
    </row>
    <row r="1263">
      <c r="A1263" t="inlineStr">
        <is>
          <t>SUP-0079</t>
        </is>
      </c>
      <c r="B1263" t="inlineStr">
        <is>
          <t>Logistics Supplier 079</t>
        </is>
      </c>
      <c r="C1263" t="inlineStr">
        <is>
          <t>Logistics</t>
        </is>
      </c>
      <c r="D1263" t="n">
        <v>2024</v>
      </c>
      <c r="E1263" t="n">
        <v>2015</v>
      </c>
      <c r="F1263" t="n">
        <v>2040</v>
      </c>
      <c r="G1263" t="n">
        <v>4203.5841</v>
      </c>
      <c r="H1263" t="n">
        <v>1014.8158</v>
      </c>
      <c r="I1263" t="n">
        <v>798.4050999999999</v>
      </c>
      <c r="J1263" t="n">
        <v>2183.0154</v>
      </c>
      <c r="K1263" t="n">
        <v>15324883.31</v>
      </c>
      <c r="L1263" t="n">
        <v>68962601.81</v>
      </c>
      <c r="M1263" t="n">
        <v>4203.5841</v>
      </c>
      <c r="N1263" t="inlineStr">
        <is>
          <t>Provided Total Emissions</t>
        </is>
      </c>
      <c r="O1263" t="b">
        <v>1</v>
      </c>
      <c r="P1263" t="n">
        <v>0.027083</v>
      </c>
      <c r="Q1263" t="n">
        <v>0.046224</v>
      </c>
      <c r="R1263" t="n">
        <v>3424.9582</v>
      </c>
      <c r="S1263" t="n">
        <v>32955.1585</v>
      </c>
      <c r="T1263" t="n">
        <v>-778.6259</v>
      </c>
      <c r="U1263" t="n">
        <v>28751.5744</v>
      </c>
      <c r="V1263" t="n">
        <v>-0.185229</v>
      </c>
      <c r="W1263" t="n">
        <v>6.839776</v>
      </c>
      <c r="X1263" t="inlineStr">
        <is>
          <t>High</t>
        </is>
      </c>
      <c r="Y1263" t="inlineStr">
        <is>
          <t>None</t>
        </is>
      </c>
      <c r="Z1263" t="inlineStr">
        <is>
          <t>Valid</t>
        </is>
      </c>
      <c r="AA1263" t="n">
        <v>2038</v>
      </c>
      <c r="AB1263" t="inlineStr">
        <is>
          <t>Industry Haircut Pathway</t>
        </is>
      </c>
      <c r="AC1263" t="n">
        <v>3305.002</v>
      </c>
      <c r="AD1263" t="n">
        <v>1779.4131</v>
      </c>
      <c r="AE1263" t="n">
        <v>1901.4602</v>
      </c>
      <c r="AF1263" t="n">
        <v>1901.4602</v>
      </c>
      <c r="AG1263" t="n">
        <v>1403.5418</v>
      </c>
      <c r="AH1263" t="n">
        <v>0.00012408</v>
      </c>
      <c r="AI1263" t="n">
        <v>0.424672</v>
      </c>
      <c r="AJ1263" t="n">
        <v>122.0471</v>
      </c>
      <c r="AK1263" t="n">
        <v>61.0236</v>
      </c>
      <c r="AL1263" t="n">
        <v>-3702.9767</v>
      </c>
      <c r="AM1263" t="n">
        <v>32173.5863</v>
      </c>
      <c r="AN1263" t="n">
        <v>0.95</v>
      </c>
      <c r="AO1263" t="inlineStr">
        <is>
          <t>Medium</t>
        </is>
      </c>
      <c r="AP1263" t="inlineStr">
        <is>
          <t>On Track to Glide Path</t>
        </is>
      </c>
    </row>
    <row r="1264">
      <c r="A1264" t="inlineStr">
        <is>
          <t>SUP-0079</t>
        </is>
      </c>
      <c r="B1264" t="inlineStr">
        <is>
          <t>Logistics Supplier 079</t>
        </is>
      </c>
      <c r="C1264" t="inlineStr">
        <is>
          <t>Logistics</t>
        </is>
      </c>
      <c r="D1264" t="n">
        <v>2024</v>
      </c>
      <c r="E1264" t="n">
        <v>2015</v>
      </c>
      <c r="F1264" t="n">
        <v>2040</v>
      </c>
      <c r="G1264" t="n">
        <v>4203.5841</v>
      </c>
      <c r="H1264" t="n">
        <v>1014.8158</v>
      </c>
      <c r="I1264" t="n">
        <v>798.4050999999999</v>
      </c>
      <c r="J1264" t="n">
        <v>2183.0154</v>
      </c>
      <c r="K1264" t="n">
        <v>15324883.31</v>
      </c>
      <c r="L1264" t="n">
        <v>68962601.81</v>
      </c>
      <c r="M1264" t="n">
        <v>4203.5841</v>
      </c>
      <c r="N1264" t="inlineStr">
        <is>
          <t>Provided Total Emissions</t>
        </is>
      </c>
      <c r="O1264" t="b">
        <v>1</v>
      </c>
      <c r="P1264" t="n">
        <v>0.027083</v>
      </c>
      <c r="Q1264" t="n">
        <v>0.046224</v>
      </c>
      <c r="R1264" t="n">
        <v>3424.9582</v>
      </c>
      <c r="S1264" t="n">
        <v>32955.1585</v>
      </c>
      <c r="T1264" t="n">
        <v>-778.6259</v>
      </c>
      <c r="U1264" t="n">
        <v>28751.5744</v>
      </c>
      <c r="V1264" t="n">
        <v>-0.185229</v>
      </c>
      <c r="W1264" t="n">
        <v>6.839776</v>
      </c>
      <c r="X1264" t="inlineStr">
        <is>
          <t>High</t>
        </is>
      </c>
      <c r="Y1264" t="inlineStr">
        <is>
          <t>None</t>
        </is>
      </c>
      <c r="Z1264" t="inlineStr">
        <is>
          <t>Valid</t>
        </is>
      </c>
      <c r="AA1264" t="n">
        <v>2039</v>
      </c>
      <c r="AB1264" t="inlineStr">
        <is>
          <t>Industry Haircut Pathway</t>
        </is>
      </c>
      <c r="AC1264" t="n">
        <v>3305.002</v>
      </c>
      <c r="AD1264" t="n">
        <v>1779.4131</v>
      </c>
      <c r="AE1264" t="n">
        <v>1840.4366</v>
      </c>
      <c r="AF1264" t="n">
        <v>1840.4366</v>
      </c>
      <c r="AG1264" t="n">
        <v>1464.5654</v>
      </c>
      <c r="AH1264" t="n">
        <v>0.00012009</v>
      </c>
      <c r="AI1264" t="n">
        <v>0.443136</v>
      </c>
      <c r="AJ1264" t="n">
        <v>61.0236</v>
      </c>
      <c r="AK1264" t="n">
        <v>61.0236</v>
      </c>
      <c r="AL1264" t="n">
        <v>-5543.4133</v>
      </c>
      <c r="AM1264" t="n">
        <v>34014.0229</v>
      </c>
      <c r="AN1264" t="n">
        <v>0.95</v>
      </c>
      <c r="AO1264" t="inlineStr">
        <is>
          <t>Medium</t>
        </is>
      </c>
      <c r="AP1264" t="inlineStr">
        <is>
          <t>On Track to Glide Path</t>
        </is>
      </c>
    </row>
    <row r="1265">
      <c r="A1265" t="inlineStr">
        <is>
          <t>SUP-0079</t>
        </is>
      </c>
      <c r="B1265" t="inlineStr">
        <is>
          <t>Logistics Supplier 079</t>
        </is>
      </c>
      <c r="C1265" t="inlineStr">
        <is>
          <t>Logistics</t>
        </is>
      </c>
      <c r="D1265" t="n">
        <v>2024</v>
      </c>
      <c r="E1265" t="n">
        <v>2015</v>
      </c>
      <c r="F1265" t="n">
        <v>2040</v>
      </c>
      <c r="G1265" t="n">
        <v>4203.5841</v>
      </c>
      <c r="H1265" t="n">
        <v>1014.8158</v>
      </c>
      <c r="I1265" t="n">
        <v>798.4050999999999</v>
      </c>
      <c r="J1265" t="n">
        <v>2183.0154</v>
      </c>
      <c r="K1265" t="n">
        <v>15324883.31</v>
      </c>
      <c r="L1265" t="n">
        <v>68962601.81</v>
      </c>
      <c r="M1265" t="n">
        <v>4203.5841</v>
      </c>
      <c r="N1265" t="inlineStr">
        <is>
          <t>Provided Total Emissions</t>
        </is>
      </c>
      <c r="O1265" t="b">
        <v>1</v>
      </c>
      <c r="P1265" t="n">
        <v>0.027083</v>
      </c>
      <c r="Q1265" t="n">
        <v>0.046224</v>
      </c>
      <c r="R1265" t="n">
        <v>3424.9582</v>
      </c>
      <c r="S1265" t="n">
        <v>32955.1585</v>
      </c>
      <c r="T1265" t="n">
        <v>-778.6259</v>
      </c>
      <c r="U1265" t="n">
        <v>28751.5744</v>
      </c>
      <c r="V1265" t="n">
        <v>-0.185229</v>
      </c>
      <c r="W1265" t="n">
        <v>6.839776</v>
      </c>
      <c r="X1265" t="inlineStr">
        <is>
          <t>High</t>
        </is>
      </c>
      <c r="Y1265" t="inlineStr">
        <is>
          <t>None</t>
        </is>
      </c>
      <c r="Z1265" t="inlineStr">
        <is>
          <t>Valid</t>
        </is>
      </c>
      <c r="AA1265" t="n">
        <v>2040</v>
      </c>
      <c r="AB1265" t="inlineStr">
        <is>
          <t>Industry Haircut Pathway</t>
        </is>
      </c>
      <c r="AC1265" t="n">
        <v>3305.002</v>
      </c>
      <c r="AD1265" t="n">
        <v>1779.4131</v>
      </c>
      <c r="AE1265" t="n">
        <v>1779.4131</v>
      </c>
      <c r="AF1265" t="n">
        <v>1779.4131</v>
      </c>
      <c r="AG1265" t="n">
        <v>1525.5889</v>
      </c>
      <c r="AH1265" t="n">
        <v>0.00011611</v>
      </c>
      <c r="AI1265" t="n">
        <v>0.4616</v>
      </c>
      <c r="AJ1265" t="n">
        <v>0</v>
      </c>
      <c r="AK1265" t="n">
        <v>61.0236</v>
      </c>
      <c r="AL1265" t="n">
        <v>-7322.8264</v>
      </c>
      <c r="AM1265" t="n">
        <v>35793.436</v>
      </c>
      <c r="AN1265" t="n">
        <v>0.95</v>
      </c>
      <c r="AO1265" t="inlineStr">
        <is>
          <t>Low</t>
        </is>
      </c>
      <c r="AP1265" t="inlineStr">
        <is>
          <t>On Track</t>
        </is>
      </c>
    </row>
    <row r="1266">
      <c r="A1266" t="inlineStr">
        <is>
          <t>SUP-0080</t>
        </is>
      </c>
      <c r="B1266" t="inlineStr">
        <is>
          <t>Packaging Supplier 080</t>
        </is>
      </c>
      <c r="C1266" t="inlineStr">
        <is>
          <t>Packaging</t>
        </is>
      </c>
      <c r="D1266" t="n">
        <v>2024</v>
      </c>
      <c r="E1266" t="n">
        <v>2019</v>
      </c>
      <c r="F1266" t="n">
        <v>2040</v>
      </c>
      <c r="G1266" t="n">
        <v>30742.1821</v>
      </c>
      <c r="H1266" t="n">
        <v>4986.301</v>
      </c>
      <c r="I1266" t="n">
        <v>3425.3642</v>
      </c>
      <c r="J1266" t="n">
        <v>20712.7584</v>
      </c>
      <c r="K1266" t="n">
        <v>30381184.14</v>
      </c>
      <c r="L1266" t="n">
        <v>132483784.12</v>
      </c>
      <c r="M1266" t="n">
        <v>30742.1821</v>
      </c>
      <c r="N1266" t="inlineStr">
        <is>
          <t>Provided Total Emissions</t>
        </is>
      </c>
      <c r="O1266" t="b">
        <v>1</v>
      </c>
      <c r="P1266" t="n">
        <v>0.004944</v>
      </c>
      <c r="Q1266" t="n">
        <v>0.05649</v>
      </c>
      <c r="R1266" t="n">
        <v>32820.7932</v>
      </c>
      <c r="S1266" t="n">
        <v>104590.6482</v>
      </c>
      <c r="T1266" t="n">
        <v>2078.6111</v>
      </c>
      <c r="U1266" t="n">
        <v>73848.46610000001</v>
      </c>
      <c r="V1266" t="n">
        <v>0.06761399999999999</v>
      </c>
      <c r="W1266" t="n">
        <v>2.402187</v>
      </c>
      <c r="X1266" t="inlineStr">
        <is>
          <t>High</t>
        </is>
      </c>
      <c r="Y1266" t="inlineStr">
        <is>
          <t>None</t>
        </is>
      </c>
      <c r="Z1266" t="inlineStr">
        <is>
          <t>Valid</t>
        </is>
      </c>
      <c r="AA1266" t="n">
        <v>2025</v>
      </c>
      <c r="AB1266" t="inlineStr">
        <is>
          <t>Supplier Target Pathway</t>
        </is>
      </c>
      <c r="AC1266" t="n">
        <v>38285.5647</v>
      </c>
      <c r="AD1266" t="n">
        <v>11780.4683</v>
      </c>
      <c r="AE1266" t="n">
        <v>30712.68</v>
      </c>
      <c r="AF1266" t="n">
        <v>30712.68</v>
      </c>
      <c r="AG1266" t="n">
        <v>7572.8847</v>
      </c>
      <c r="AH1266" t="n">
        <v>0.00101091</v>
      </c>
      <c r="AI1266" t="n">
        <v>0.1978</v>
      </c>
      <c r="AJ1266" t="n">
        <v>18932.2117</v>
      </c>
      <c r="AK1266" t="n">
        <v>1262.1474</v>
      </c>
      <c r="AL1266" t="n">
        <v>157774.8128</v>
      </c>
      <c r="AM1266" t="n">
        <v>30712.68</v>
      </c>
      <c r="AN1266" t="n">
        <v>0.99</v>
      </c>
      <c r="AO1266" t="inlineStr">
        <is>
          <t>Critical</t>
        </is>
      </c>
      <c r="AP1266" t="inlineStr">
        <is>
          <t>On Track to Glide Path</t>
        </is>
      </c>
    </row>
    <row r="1267">
      <c r="A1267" t="inlineStr">
        <is>
          <t>SUP-0080</t>
        </is>
      </c>
      <c r="B1267" t="inlineStr">
        <is>
          <t>Packaging Supplier 080</t>
        </is>
      </c>
      <c r="C1267" t="inlineStr">
        <is>
          <t>Packaging</t>
        </is>
      </c>
      <c r="D1267" t="n">
        <v>2024</v>
      </c>
      <c r="E1267" t="n">
        <v>2019</v>
      </c>
      <c r="F1267" t="n">
        <v>2040</v>
      </c>
      <c r="G1267" t="n">
        <v>30742.1821</v>
      </c>
      <c r="H1267" t="n">
        <v>4986.301</v>
      </c>
      <c r="I1267" t="n">
        <v>3425.3642</v>
      </c>
      <c r="J1267" t="n">
        <v>20712.7584</v>
      </c>
      <c r="K1267" t="n">
        <v>30381184.14</v>
      </c>
      <c r="L1267" t="n">
        <v>132483784.12</v>
      </c>
      <c r="M1267" t="n">
        <v>30742.1821</v>
      </c>
      <c r="N1267" t="inlineStr">
        <is>
          <t>Provided Total Emissions</t>
        </is>
      </c>
      <c r="O1267" t="b">
        <v>1</v>
      </c>
      <c r="P1267" t="n">
        <v>0.004944</v>
      </c>
      <c r="Q1267" t="n">
        <v>0.05649</v>
      </c>
      <c r="R1267" t="n">
        <v>32820.7932</v>
      </c>
      <c r="S1267" t="n">
        <v>104590.6482</v>
      </c>
      <c r="T1267" t="n">
        <v>2078.6111</v>
      </c>
      <c r="U1267" t="n">
        <v>73848.46610000001</v>
      </c>
      <c r="V1267" t="n">
        <v>0.06761399999999999</v>
      </c>
      <c r="W1267" t="n">
        <v>2.402187</v>
      </c>
      <c r="X1267" t="inlineStr">
        <is>
          <t>High</t>
        </is>
      </c>
      <c r="Y1267" t="inlineStr">
        <is>
          <t>None</t>
        </is>
      </c>
      <c r="Z1267" t="inlineStr">
        <is>
          <t>Valid</t>
        </is>
      </c>
      <c r="AA1267" t="n">
        <v>2026</v>
      </c>
      <c r="AB1267" t="inlineStr">
        <is>
          <t>Supplier Target Pathway</t>
        </is>
      </c>
      <c r="AC1267" t="n">
        <v>38285.5647</v>
      </c>
      <c r="AD1267" t="n">
        <v>11780.4683</v>
      </c>
      <c r="AE1267" t="n">
        <v>29450.5326</v>
      </c>
      <c r="AF1267" t="n">
        <v>29450.5326</v>
      </c>
      <c r="AG1267" t="n">
        <v>8835.0321</v>
      </c>
      <c r="AH1267" t="n">
        <v>0.00096937</v>
      </c>
      <c r="AI1267" t="n">
        <v>0.230767</v>
      </c>
      <c r="AJ1267" t="n">
        <v>17670.0643</v>
      </c>
      <c r="AK1267" t="n">
        <v>1262.1474</v>
      </c>
      <c r="AL1267" t="n">
        <v>128324.2802</v>
      </c>
      <c r="AM1267" t="n">
        <v>60163.2126</v>
      </c>
      <c r="AN1267" t="n">
        <v>0.99</v>
      </c>
      <c r="AO1267" t="inlineStr">
        <is>
          <t>Critical</t>
        </is>
      </c>
      <c r="AP1267" t="inlineStr">
        <is>
          <t>On Track to Glide Path</t>
        </is>
      </c>
    </row>
    <row r="1268">
      <c r="A1268" t="inlineStr">
        <is>
          <t>SUP-0080</t>
        </is>
      </c>
      <c r="B1268" t="inlineStr">
        <is>
          <t>Packaging Supplier 080</t>
        </is>
      </c>
      <c r="C1268" t="inlineStr">
        <is>
          <t>Packaging</t>
        </is>
      </c>
      <c r="D1268" t="n">
        <v>2024</v>
      </c>
      <c r="E1268" t="n">
        <v>2019</v>
      </c>
      <c r="F1268" t="n">
        <v>2040</v>
      </c>
      <c r="G1268" t="n">
        <v>30742.1821</v>
      </c>
      <c r="H1268" t="n">
        <v>4986.301</v>
      </c>
      <c r="I1268" t="n">
        <v>3425.3642</v>
      </c>
      <c r="J1268" t="n">
        <v>20712.7584</v>
      </c>
      <c r="K1268" t="n">
        <v>30381184.14</v>
      </c>
      <c r="L1268" t="n">
        <v>132483784.12</v>
      </c>
      <c r="M1268" t="n">
        <v>30742.1821</v>
      </c>
      <c r="N1268" t="inlineStr">
        <is>
          <t>Provided Total Emissions</t>
        </is>
      </c>
      <c r="O1268" t="b">
        <v>1</v>
      </c>
      <c r="P1268" t="n">
        <v>0.004944</v>
      </c>
      <c r="Q1268" t="n">
        <v>0.05649</v>
      </c>
      <c r="R1268" t="n">
        <v>32820.7932</v>
      </c>
      <c r="S1268" t="n">
        <v>104590.6482</v>
      </c>
      <c r="T1268" t="n">
        <v>2078.6111</v>
      </c>
      <c r="U1268" t="n">
        <v>73848.46610000001</v>
      </c>
      <c r="V1268" t="n">
        <v>0.06761399999999999</v>
      </c>
      <c r="W1268" t="n">
        <v>2.402187</v>
      </c>
      <c r="X1268" t="inlineStr">
        <is>
          <t>High</t>
        </is>
      </c>
      <c r="Y1268" t="inlineStr">
        <is>
          <t>None</t>
        </is>
      </c>
      <c r="Z1268" t="inlineStr">
        <is>
          <t>Valid</t>
        </is>
      </c>
      <c r="AA1268" t="n">
        <v>2027</v>
      </c>
      <c r="AB1268" t="inlineStr">
        <is>
          <t>Supplier Target Pathway</t>
        </is>
      </c>
      <c r="AC1268" t="n">
        <v>38285.5647</v>
      </c>
      <c r="AD1268" t="n">
        <v>11780.4683</v>
      </c>
      <c r="AE1268" t="n">
        <v>28188.3851</v>
      </c>
      <c r="AF1268" t="n">
        <v>28188.3851</v>
      </c>
      <c r="AG1268" t="n">
        <v>10097.1796</v>
      </c>
      <c r="AH1268" t="n">
        <v>0.00092782</v>
      </c>
      <c r="AI1268" t="n">
        <v>0.263733</v>
      </c>
      <c r="AJ1268" t="n">
        <v>16407.9168</v>
      </c>
      <c r="AK1268" t="n">
        <v>1262.1474</v>
      </c>
      <c r="AL1268" t="n">
        <v>100135.8951</v>
      </c>
      <c r="AM1268" t="n">
        <v>88351.5977</v>
      </c>
      <c r="AN1268" t="n">
        <v>0.99</v>
      </c>
      <c r="AO1268" t="inlineStr">
        <is>
          <t>Critical</t>
        </is>
      </c>
      <c r="AP1268" t="inlineStr">
        <is>
          <t>On Track to Glide Path</t>
        </is>
      </c>
    </row>
    <row r="1269">
      <c r="A1269" t="inlineStr">
        <is>
          <t>SUP-0080</t>
        </is>
      </c>
      <c r="B1269" t="inlineStr">
        <is>
          <t>Packaging Supplier 080</t>
        </is>
      </c>
      <c r="C1269" t="inlineStr">
        <is>
          <t>Packaging</t>
        </is>
      </c>
      <c r="D1269" t="n">
        <v>2024</v>
      </c>
      <c r="E1269" t="n">
        <v>2019</v>
      </c>
      <c r="F1269" t="n">
        <v>2040</v>
      </c>
      <c r="G1269" t="n">
        <v>30742.1821</v>
      </c>
      <c r="H1269" t="n">
        <v>4986.301</v>
      </c>
      <c r="I1269" t="n">
        <v>3425.3642</v>
      </c>
      <c r="J1269" t="n">
        <v>20712.7584</v>
      </c>
      <c r="K1269" t="n">
        <v>30381184.14</v>
      </c>
      <c r="L1269" t="n">
        <v>132483784.12</v>
      </c>
      <c r="M1269" t="n">
        <v>30742.1821</v>
      </c>
      <c r="N1269" t="inlineStr">
        <is>
          <t>Provided Total Emissions</t>
        </is>
      </c>
      <c r="O1269" t="b">
        <v>1</v>
      </c>
      <c r="P1269" t="n">
        <v>0.004944</v>
      </c>
      <c r="Q1269" t="n">
        <v>0.05649</v>
      </c>
      <c r="R1269" t="n">
        <v>32820.7932</v>
      </c>
      <c r="S1269" t="n">
        <v>104590.6482</v>
      </c>
      <c r="T1269" t="n">
        <v>2078.6111</v>
      </c>
      <c r="U1269" t="n">
        <v>73848.46610000001</v>
      </c>
      <c r="V1269" t="n">
        <v>0.06761399999999999</v>
      </c>
      <c r="W1269" t="n">
        <v>2.402187</v>
      </c>
      <c r="X1269" t="inlineStr">
        <is>
          <t>High</t>
        </is>
      </c>
      <c r="Y1269" t="inlineStr">
        <is>
          <t>None</t>
        </is>
      </c>
      <c r="Z1269" t="inlineStr">
        <is>
          <t>Valid</t>
        </is>
      </c>
      <c r="AA1269" t="n">
        <v>2028</v>
      </c>
      <c r="AB1269" t="inlineStr">
        <is>
          <t>Supplier Target Pathway</t>
        </is>
      </c>
      <c r="AC1269" t="n">
        <v>38285.5647</v>
      </c>
      <c r="AD1269" t="n">
        <v>11780.4683</v>
      </c>
      <c r="AE1269" t="n">
        <v>26926.2377</v>
      </c>
      <c r="AF1269" t="n">
        <v>26926.2377</v>
      </c>
      <c r="AG1269" t="n">
        <v>11359.327</v>
      </c>
      <c r="AH1269" t="n">
        <v>0.00088628</v>
      </c>
      <c r="AI1269" t="n">
        <v>0.2967</v>
      </c>
      <c r="AJ1269" t="n">
        <v>15145.7694</v>
      </c>
      <c r="AK1269" t="n">
        <v>1262.1474</v>
      </c>
      <c r="AL1269" t="n">
        <v>73209.6574</v>
      </c>
      <c r="AM1269" t="n">
        <v>115277.8354</v>
      </c>
      <c r="AN1269" t="n">
        <v>0.99</v>
      </c>
      <c r="AO1269" t="inlineStr">
        <is>
          <t>Critical</t>
        </is>
      </c>
      <c r="AP1269" t="inlineStr">
        <is>
          <t>On Track to Glide Path</t>
        </is>
      </c>
    </row>
    <row r="1270">
      <c r="A1270" t="inlineStr">
        <is>
          <t>SUP-0080</t>
        </is>
      </c>
      <c r="B1270" t="inlineStr">
        <is>
          <t>Packaging Supplier 080</t>
        </is>
      </c>
      <c r="C1270" t="inlineStr">
        <is>
          <t>Packaging</t>
        </is>
      </c>
      <c r="D1270" t="n">
        <v>2024</v>
      </c>
      <c r="E1270" t="n">
        <v>2019</v>
      </c>
      <c r="F1270" t="n">
        <v>2040</v>
      </c>
      <c r="G1270" t="n">
        <v>30742.1821</v>
      </c>
      <c r="H1270" t="n">
        <v>4986.301</v>
      </c>
      <c r="I1270" t="n">
        <v>3425.3642</v>
      </c>
      <c r="J1270" t="n">
        <v>20712.7584</v>
      </c>
      <c r="K1270" t="n">
        <v>30381184.14</v>
      </c>
      <c r="L1270" t="n">
        <v>132483784.12</v>
      </c>
      <c r="M1270" t="n">
        <v>30742.1821</v>
      </c>
      <c r="N1270" t="inlineStr">
        <is>
          <t>Provided Total Emissions</t>
        </is>
      </c>
      <c r="O1270" t="b">
        <v>1</v>
      </c>
      <c r="P1270" t="n">
        <v>0.004944</v>
      </c>
      <c r="Q1270" t="n">
        <v>0.05649</v>
      </c>
      <c r="R1270" t="n">
        <v>32820.7932</v>
      </c>
      <c r="S1270" t="n">
        <v>104590.6482</v>
      </c>
      <c r="T1270" t="n">
        <v>2078.6111</v>
      </c>
      <c r="U1270" t="n">
        <v>73848.46610000001</v>
      </c>
      <c r="V1270" t="n">
        <v>0.06761399999999999</v>
      </c>
      <c r="W1270" t="n">
        <v>2.402187</v>
      </c>
      <c r="X1270" t="inlineStr">
        <is>
          <t>High</t>
        </is>
      </c>
      <c r="Y1270" t="inlineStr">
        <is>
          <t>None</t>
        </is>
      </c>
      <c r="Z1270" t="inlineStr">
        <is>
          <t>Valid</t>
        </is>
      </c>
      <c r="AA1270" t="n">
        <v>2029</v>
      </c>
      <c r="AB1270" t="inlineStr">
        <is>
          <t>Supplier Target Pathway</t>
        </is>
      </c>
      <c r="AC1270" t="n">
        <v>38285.5647</v>
      </c>
      <c r="AD1270" t="n">
        <v>11780.4683</v>
      </c>
      <c r="AE1270" t="n">
        <v>25664.0902</v>
      </c>
      <c r="AF1270" t="n">
        <v>25664.0902</v>
      </c>
      <c r="AG1270" t="n">
        <v>12621.4745</v>
      </c>
      <c r="AH1270" t="n">
        <v>0.00084474</v>
      </c>
      <c r="AI1270" t="n">
        <v>0.329667</v>
      </c>
      <c r="AJ1270" t="n">
        <v>13883.6219</v>
      </c>
      <c r="AK1270" t="n">
        <v>1262.1474</v>
      </c>
      <c r="AL1270" t="n">
        <v>47545.5672</v>
      </c>
      <c r="AM1270" t="n">
        <v>140941.9256</v>
      </c>
      <c r="AN1270" t="n">
        <v>0.99</v>
      </c>
      <c r="AO1270" t="inlineStr">
        <is>
          <t>Critical</t>
        </is>
      </c>
      <c r="AP1270" t="inlineStr">
        <is>
          <t>On Track to Glide Path</t>
        </is>
      </c>
    </row>
    <row r="1271">
      <c r="A1271" t="inlineStr">
        <is>
          <t>SUP-0080</t>
        </is>
      </c>
      <c r="B1271" t="inlineStr">
        <is>
          <t>Packaging Supplier 080</t>
        </is>
      </c>
      <c r="C1271" t="inlineStr">
        <is>
          <t>Packaging</t>
        </is>
      </c>
      <c r="D1271" t="n">
        <v>2024</v>
      </c>
      <c r="E1271" t="n">
        <v>2019</v>
      </c>
      <c r="F1271" t="n">
        <v>2040</v>
      </c>
      <c r="G1271" t="n">
        <v>30742.1821</v>
      </c>
      <c r="H1271" t="n">
        <v>4986.301</v>
      </c>
      <c r="I1271" t="n">
        <v>3425.3642</v>
      </c>
      <c r="J1271" t="n">
        <v>20712.7584</v>
      </c>
      <c r="K1271" t="n">
        <v>30381184.14</v>
      </c>
      <c r="L1271" t="n">
        <v>132483784.12</v>
      </c>
      <c r="M1271" t="n">
        <v>30742.1821</v>
      </c>
      <c r="N1271" t="inlineStr">
        <is>
          <t>Provided Total Emissions</t>
        </is>
      </c>
      <c r="O1271" t="b">
        <v>1</v>
      </c>
      <c r="P1271" t="n">
        <v>0.004944</v>
      </c>
      <c r="Q1271" t="n">
        <v>0.05649</v>
      </c>
      <c r="R1271" t="n">
        <v>32820.7932</v>
      </c>
      <c r="S1271" t="n">
        <v>104590.6482</v>
      </c>
      <c r="T1271" t="n">
        <v>2078.6111</v>
      </c>
      <c r="U1271" t="n">
        <v>73848.46610000001</v>
      </c>
      <c r="V1271" t="n">
        <v>0.06761399999999999</v>
      </c>
      <c r="W1271" t="n">
        <v>2.402187</v>
      </c>
      <c r="X1271" t="inlineStr">
        <is>
          <t>High</t>
        </is>
      </c>
      <c r="Y1271" t="inlineStr">
        <is>
          <t>None</t>
        </is>
      </c>
      <c r="Z1271" t="inlineStr">
        <is>
          <t>Valid</t>
        </is>
      </c>
      <c r="AA1271" t="n">
        <v>2030</v>
      </c>
      <c r="AB1271" t="inlineStr">
        <is>
          <t>Supplier Target Pathway</t>
        </is>
      </c>
      <c r="AC1271" t="n">
        <v>38285.5647</v>
      </c>
      <c r="AD1271" t="n">
        <v>11780.4683</v>
      </c>
      <c r="AE1271" t="n">
        <v>24401.9428</v>
      </c>
      <c r="AF1271" t="n">
        <v>24401.9428</v>
      </c>
      <c r="AG1271" t="n">
        <v>13883.6219</v>
      </c>
      <c r="AH1271" t="n">
        <v>0.00080319</v>
      </c>
      <c r="AI1271" t="n">
        <v>0.362633</v>
      </c>
      <c r="AJ1271" t="n">
        <v>12621.4745</v>
      </c>
      <c r="AK1271" t="n">
        <v>1262.1474</v>
      </c>
      <c r="AL1271" t="n">
        <v>23143.6244</v>
      </c>
      <c r="AM1271" t="n">
        <v>165343.8684</v>
      </c>
      <c r="AN1271" t="n">
        <v>0.99</v>
      </c>
      <c r="AO1271" t="inlineStr">
        <is>
          <t>Critical</t>
        </is>
      </c>
      <c r="AP1271" t="inlineStr">
        <is>
          <t>On Track to Glide Path</t>
        </is>
      </c>
    </row>
    <row r="1272">
      <c r="A1272" t="inlineStr">
        <is>
          <t>SUP-0080</t>
        </is>
      </c>
      <c r="B1272" t="inlineStr">
        <is>
          <t>Packaging Supplier 080</t>
        </is>
      </c>
      <c r="C1272" t="inlineStr">
        <is>
          <t>Packaging</t>
        </is>
      </c>
      <c r="D1272" t="n">
        <v>2024</v>
      </c>
      <c r="E1272" t="n">
        <v>2019</v>
      </c>
      <c r="F1272" t="n">
        <v>2040</v>
      </c>
      <c r="G1272" t="n">
        <v>30742.1821</v>
      </c>
      <c r="H1272" t="n">
        <v>4986.301</v>
      </c>
      <c r="I1272" t="n">
        <v>3425.3642</v>
      </c>
      <c r="J1272" t="n">
        <v>20712.7584</v>
      </c>
      <c r="K1272" t="n">
        <v>30381184.14</v>
      </c>
      <c r="L1272" t="n">
        <v>132483784.12</v>
      </c>
      <c r="M1272" t="n">
        <v>30742.1821</v>
      </c>
      <c r="N1272" t="inlineStr">
        <is>
          <t>Provided Total Emissions</t>
        </is>
      </c>
      <c r="O1272" t="b">
        <v>1</v>
      </c>
      <c r="P1272" t="n">
        <v>0.004944</v>
      </c>
      <c r="Q1272" t="n">
        <v>0.05649</v>
      </c>
      <c r="R1272" t="n">
        <v>32820.7932</v>
      </c>
      <c r="S1272" t="n">
        <v>104590.6482</v>
      </c>
      <c r="T1272" t="n">
        <v>2078.6111</v>
      </c>
      <c r="U1272" t="n">
        <v>73848.46610000001</v>
      </c>
      <c r="V1272" t="n">
        <v>0.06761399999999999</v>
      </c>
      <c r="W1272" t="n">
        <v>2.402187</v>
      </c>
      <c r="X1272" t="inlineStr">
        <is>
          <t>High</t>
        </is>
      </c>
      <c r="Y1272" t="inlineStr">
        <is>
          <t>None</t>
        </is>
      </c>
      <c r="Z1272" t="inlineStr">
        <is>
          <t>Valid</t>
        </is>
      </c>
      <c r="AA1272" t="n">
        <v>2031</v>
      </c>
      <c r="AB1272" t="inlineStr">
        <is>
          <t>Supplier Target Pathway</t>
        </is>
      </c>
      <c r="AC1272" t="n">
        <v>38285.5647</v>
      </c>
      <c r="AD1272" t="n">
        <v>11780.4683</v>
      </c>
      <c r="AE1272" t="n">
        <v>23139.7953</v>
      </c>
      <c r="AF1272" t="n">
        <v>23139.7953</v>
      </c>
      <c r="AG1272" t="n">
        <v>15145.7694</v>
      </c>
      <c r="AH1272" t="n">
        <v>0.00076165</v>
      </c>
      <c r="AI1272" t="n">
        <v>0.3956</v>
      </c>
      <c r="AJ1272" t="n">
        <v>11359.327</v>
      </c>
      <c r="AK1272" t="n">
        <v>1262.1474</v>
      </c>
      <c r="AL1272" t="n">
        <v>3.8291</v>
      </c>
      <c r="AM1272" t="n">
        <v>188483.6637</v>
      </c>
      <c r="AN1272" t="n">
        <v>0.99</v>
      </c>
      <c r="AO1272" t="inlineStr">
        <is>
          <t>Critical</t>
        </is>
      </c>
      <c r="AP1272" t="inlineStr">
        <is>
          <t>On Track to Glide Path</t>
        </is>
      </c>
    </row>
    <row r="1273">
      <c r="A1273" t="inlineStr">
        <is>
          <t>SUP-0080</t>
        </is>
      </c>
      <c r="B1273" t="inlineStr">
        <is>
          <t>Packaging Supplier 080</t>
        </is>
      </c>
      <c r="C1273" t="inlineStr">
        <is>
          <t>Packaging</t>
        </is>
      </c>
      <c r="D1273" t="n">
        <v>2024</v>
      </c>
      <c r="E1273" t="n">
        <v>2019</v>
      </c>
      <c r="F1273" t="n">
        <v>2040</v>
      </c>
      <c r="G1273" t="n">
        <v>30742.1821</v>
      </c>
      <c r="H1273" t="n">
        <v>4986.301</v>
      </c>
      <c r="I1273" t="n">
        <v>3425.3642</v>
      </c>
      <c r="J1273" t="n">
        <v>20712.7584</v>
      </c>
      <c r="K1273" t="n">
        <v>30381184.14</v>
      </c>
      <c r="L1273" t="n">
        <v>132483784.12</v>
      </c>
      <c r="M1273" t="n">
        <v>30742.1821</v>
      </c>
      <c r="N1273" t="inlineStr">
        <is>
          <t>Provided Total Emissions</t>
        </is>
      </c>
      <c r="O1273" t="b">
        <v>1</v>
      </c>
      <c r="P1273" t="n">
        <v>0.004944</v>
      </c>
      <c r="Q1273" t="n">
        <v>0.05649</v>
      </c>
      <c r="R1273" t="n">
        <v>32820.7932</v>
      </c>
      <c r="S1273" t="n">
        <v>104590.6482</v>
      </c>
      <c r="T1273" t="n">
        <v>2078.6111</v>
      </c>
      <c r="U1273" t="n">
        <v>73848.46610000001</v>
      </c>
      <c r="V1273" t="n">
        <v>0.06761399999999999</v>
      </c>
      <c r="W1273" t="n">
        <v>2.402187</v>
      </c>
      <c r="X1273" t="inlineStr">
        <is>
          <t>High</t>
        </is>
      </c>
      <c r="Y1273" t="inlineStr">
        <is>
          <t>None</t>
        </is>
      </c>
      <c r="Z1273" t="inlineStr">
        <is>
          <t>Valid</t>
        </is>
      </c>
      <c r="AA1273" t="n">
        <v>2032</v>
      </c>
      <c r="AB1273" t="inlineStr">
        <is>
          <t>Supplier Target Pathway</t>
        </is>
      </c>
      <c r="AC1273" t="n">
        <v>38285.5647</v>
      </c>
      <c r="AD1273" t="n">
        <v>11780.4683</v>
      </c>
      <c r="AE1273" t="n">
        <v>21877.6479</v>
      </c>
      <c r="AF1273" t="n">
        <v>21877.6479</v>
      </c>
      <c r="AG1273" t="n">
        <v>16407.9168</v>
      </c>
      <c r="AH1273" t="n">
        <v>0.00072011</v>
      </c>
      <c r="AI1273" t="n">
        <v>0.428567</v>
      </c>
      <c r="AJ1273" t="n">
        <v>10097.1796</v>
      </c>
      <c r="AK1273" t="n">
        <v>1262.1474</v>
      </c>
      <c r="AL1273" t="n">
        <v>-21873.8188</v>
      </c>
      <c r="AM1273" t="n">
        <v>210361.3116</v>
      </c>
      <c r="AN1273" t="n">
        <v>0.99</v>
      </c>
      <c r="AO1273" t="inlineStr">
        <is>
          <t>Critical</t>
        </is>
      </c>
      <c r="AP1273" t="inlineStr">
        <is>
          <t>On Track to Glide Path</t>
        </is>
      </c>
    </row>
    <row r="1274">
      <c r="A1274" t="inlineStr">
        <is>
          <t>SUP-0080</t>
        </is>
      </c>
      <c r="B1274" t="inlineStr">
        <is>
          <t>Packaging Supplier 080</t>
        </is>
      </c>
      <c r="C1274" t="inlineStr">
        <is>
          <t>Packaging</t>
        </is>
      </c>
      <c r="D1274" t="n">
        <v>2024</v>
      </c>
      <c r="E1274" t="n">
        <v>2019</v>
      </c>
      <c r="F1274" t="n">
        <v>2040</v>
      </c>
      <c r="G1274" t="n">
        <v>30742.1821</v>
      </c>
      <c r="H1274" t="n">
        <v>4986.301</v>
      </c>
      <c r="I1274" t="n">
        <v>3425.3642</v>
      </c>
      <c r="J1274" t="n">
        <v>20712.7584</v>
      </c>
      <c r="K1274" t="n">
        <v>30381184.14</v>
      </c>
      <c r="L1274" t="n">
        <v>132483784.12</v>
      </c>
      <c r="M1274" t="n">
        <v>30742.1821</v>
      </c>
      <c r="N1274" t="inlineStr">
        <is>
          <t>Provided Total Emissions</t>
        </is>
      </c>
      <c r="O1274" t="b">
        <v>1</v>
      </c>
      <c r="P1274" t="n">
        <v>0.004944</v>
      </c>
      <c r="Q1274" t="n">
        <v>0.05649</v>
      </c>
      <c r="R1274" t="n">
        <v>32820.7932</v>
      </c>
      <c r="S1274" t="n">
        <v>104590.6482</v>
      </c>
      <c r="T1274" t="n">
        <v>2078.6111</v>
      </c>
      <c r="U1274" t="n">
        <v>73848.46610000001</v>
      </c>
      <c r="V1274" t="n">
        <v>0.06761399999999999</v>
      </c>
      <c r="W1274" t="n">
        <v>2.402187</v>
      </c>
      <c r="X1274" t="inlineStr">
        <is>
          <t>High</t>
        </is>
      </c>
      <c r="Y1274" t="inlineStr">
        <is>
          <t>None</t>
        </is>
      </c>
      <c r="Z1274" t="inlineStr">
        <is>
          <t>Valid</t>
        </is>
      </c>
      <c r="AA1274" t="n">
        <v>2033</v>
      </c>
      <c r="AB1274" t="inlineStr">
        <is>
          <t>Supplier Target Pathway</t>
        </is>
      </c>
      <c r="AC1274" t="n">
        <v>38285.5647</v>
      </c>
      <c r="AD1274" t="n">
        <v>11780.4683</v>
      </c>
      <c r="AE1274" t="n">
        <v>20615.5004</v>
      </c>
      <c r="AF1274" t="n">
        <v>20615.5004</v>
      </c>
      <c r="AG1274" t="n">
        <v>17670.0643</v>
      </c>
      <c r="AH1274" t="n">
        <v>0.00067856</v>
      </c>
      <c r="AI1274" t="n">
        <v>0.461533</v>
      </c>
      <c r="AJ1274" t="n">
        <v>8835.0321</v>
      </c>
      <c r="AK1274" t="n">
        <v>1262.1474</v>
      </c>
      <c r="AL1274" t="n">
        <v>-42489.3192</v>
      </c>
      <c r="AM1274" t="n">
        <v>230976.812</v>
      </c>
      <c r="AN1274" t="n">
        <v>0.99</v>
      </c>
      <c r="AO1274" t="inlineStr">
        <is>
          <t>Critical</t>
        </is>
      </c>
      <c r="AP1274" t="inlineStr">
        <is>
          <t>On Track to Glide Path</t>
        </is>
      </c>
    </row>
    <row r="1275">
      <c r="A1275" t="inlineStr">
        <is>
          <t>SUP-0080</t>
        </is>
      </c>
      <c r="B1275" t="inlineStr">
        <is>
          <t>Packaging Supplier 080</t>
        </is>
      </c>
      <c r="C1275" t="inlineStr">
        <is>
          <t>Packaging</t>
        </is>
      </c>
      <c r="D1275" t="n">
        <v>2024</v>
      </c>
      <c r="E1275" t="n">
        <v>2019</v>
      </c>
      <c r="F1275" t="n">
        <v>2040</v>
      </c>
      <c r="G1275" t="n">
        <v>30742.1821</v>
      </c>
      <c r="H1275" t="n">
        <v>4986.301</v>
      </c>
      <c r="I1275" t="n">
        <v>3425.3642</v>
      </c>
      <c r="J1275" t="n">
        <v>20712.7584</v>
      </c>
      <c r="K1275" t="n">
        <v>30381184.14</v>
      </c>
      <c r="L1275" t="n">
        <v>132483784.12</v>
      </c>
      <c r="M1275" t="n">
        <v>30742.1821</v>
      </c>
      <c r="N1275" t="inlineStr">
        <is>
          <t>Provided Total Emissions</t>
        </is>
      </c>
      <c r="O1275" t="b">
        <v>1</v>
      </c>
      <c r="P1275" t="n">
        <v>0.004944</v>
      </c>
      <c r="Q1275" t="n">
        <v>0.05649</v>
      </c>
      <c r="R1275" t="n">
        <v>32820.7932</v>
      </c>
      <c r="S1275" t="n">
        <v>104590.6482</v>
      </c>
      <c r="T1275" t="n">
        <v>2078.6111</v>
      </c>
      <c r="U1275" t="n">
        <v>73848.46610000001</v>
      </c>
      <c r="V1275" t="n">
        <v>0.06761399999999999</v>
      </c>
      <c r="W1275" t="n">
        <v>2.402187</v>
      </c>
      <c r="X1275" t="inlineStr">
        <is>
          <t>High</t>
        </is>
      </c>
      <c r="Y1275" t="inlineStr">
        <is>
          <t>None</t>
        </is>
      </c>
      <c r="Z1275" t="inlineStr">
        <is>
          <t>Valid</t>
        </is>
      </c>
      <c r="AA1275" t="n">
        <v>2034</v>
      </c>
      <c r="AB1275" t="inlineStr">
        <is>
          <t>Supplier Target Pathway</t>
        </is>
      </c>
      <c r="AC1275" t="n">
        <v>38285.5647</v>
      </c>
      <c r="AD1275" t="n">
        <v>11780.4683</v>
      </c>
      <c r="AE1275" t="n">
        <v>19353.353</v>
      </c>
      <c r="AF1275" t="n">
        <v>19353.353</v>
      </c>
      <c r="AG1275" t="n">
        <v>18932.2117</v>
      </c>
      <c r="AH1275" t="n">
        <v>0.00063702</v>
      </c>
      <c r="AI1275" t="n">
        <v>0.4945</v>
      </c>
      <c r="AJ1275" t="n">
        <v>7572.8847</v>
      </c>
      <c r="AK1275" t="n">
        <v>1262.1474</v>
      </c>
      <c r="AL1275" t="n">
        <v>-61842.6722</v>
      </c>
      <c r="AM1275" t="n">
        <v>250330.165</v>
      </c>
      <c r="AN1275" t="n">
        <v>0.99</v>
      </c>
      <c r="AO1275" t="inlineStr">
        <is>
          <t>Critical</t>
        </is>
      </c>
      <c r="AP1275" t="inlineStr">
        <is>
          <t>On Track to Glide Path</t>
        </is>
      </c>
    </row>
    <row r="1276">
      <c r="A1276" t="inlineStr">
        <is>
          <t>SUP-0080</t>
        </is>
      </c>
      <c r="B1276" t="inlineStr">
        <is>
          <t>Packaging Supplier 080</t>
        </is>
      </c>
      <c r="C1276" t="inlineStr">
        <is>
          <t>Packaging</t>
        </is>
      </c>
      <c r="D1276" t="n">
        <v>2024</v>
      </c>
      <c r="E1276" t="n">
        <v>2019</v>
      </c>
      <c r="F1276" t="n">
        <v>2040</v>
      </c>
      <c r="G1276" t="n">
        <v>30742.1821</v>
      </c>
      <c r="H1276" t="n">
        <v>4986.301</v>
      </c>
      <c r="I1276" t="n">
        <v>3425.3642</v>
      </c>
      <c r="J1276" t="n">
        <v>20712.7584</v>
      </c>
      <c r="K1276" t="n">
        <v>30381184.14</v>
      </c>
      <c r="L1276" t="n">
        <v>132483784.12</v>
      </c>
      <c r="M1276" t="n">
        <v>30742.1821</v>
      </c>
      <c r="N1276" t="inlineStr">
        <is>
          <t>Provided Total Emissions</t>
        </is>
      </c>
      <c r="O1276" t="b">
        <v>1</v>
      </c>
      <c r="P1276" t="n">
        <v>0.004944</v>
      </c>
      <c r="Q1276" t="n">
        <v>0.05649</v>
      </c>
      <c r="R1276" t="n">
        <v>32820.7932</v>
      </c>
      <c r="S1276" t="n">
        <v>104590.6482</v>
      </c>
      <c r="T1276" t="n">
        <v>2078.6111</v>
      </c>
      <c r="U1276" t="n">
        <v>73848.46610000001</v>
      </c>
      <c r="V1276" t="n">
        <v>0.06761399999999999</v>
      </c>
      <c r="W1276" t="n">
        <v>2.402187</v>
      </c>
      <c r="X1276" t="inlineStr">
        <is>
          <t>High</t>
        </is>
      </c>
      <c r="Y1276" t="inlineStr">
        <is>
          <t>None</t>
        </is>
      </c>
      <c r="Z1276" t="inlineStr">
        <is>
          <t>Valid</t>
        </is>
      </c>
      <c r="AA1276" t="n">
        <v>2035</v>
      </c>
      <c r="AB1276" t="inlineStr">
        <is>
          <t>Supplier Target Pathway</t>
        </is>
      </c>
      <c r="AC1276" t="n">
        <v>38285.5647</v>
      </c>
      <c r="AD1276" t="n">
        <v>11780.4683</v>
      </c>
      <c r="AE1276" t="n">
        <v>18091.2055</v>
      </c>
      <c r="AF1276" t="n">
        <v>18091.2055</v>
      </c>
      <c r="AG1276" t="n">
        <v>20194.3592</v>
      </c>
      <c r="AH1276" t="n">
        <v>0.00059547</v>
      </c>
      <c r="AI1276" t="n">
        <v>0.527467</v>
      </c>
      <c r="AJ1276" t="n">
        <v>6310.7372</v>
      </c>
      <c r="AK1276" t="n">
        <v>1262.1474</v>
      </c>
      <c r="AL1276" t="n">
        <v>-79933.8777</v>
      </c>
      <c r="AM1276" t="n">
        <v>268421.3705</v>
      </c>
      <c r="AN1276" t="n">
        <v>0.99</v>
      </c>
      <c r="AO1276" t="inlineStr">
        <is>
          <t>Critical</t>
        </is>
      </c>
      <c r="AP1276" t="inlineStr">
        <is>
          <t>On Track to Glide Path</t>
        </is>
      </c>
    </row>
    <row r="1277">
      <c r="A1277" t="inlineStr">
        <is>
          <t>SUP-0080</t>
        </is>
      </c>
      <c r="B1277" t="inlineStr">
        <is>
          <t>Packaging Supplier 080</t>
        </is>
      </c>
      <c r="C1277" t="inlineStr">
        <is>
          <t>Packaging</t>
        </is>
      </c>
      <c r="D1277" t="n">
        <v>2024</v>
      </c>
      <c r="E1277" t="n">
        <v>2019</v>
      </c>
      <c r="F1277" t="n">
        <v>2040</v>
      </c>
      <c r="G1277" t="n">
        <v>30742.1821</v>
      </c>
      <c r="H1277" t="n">
        <v>4986.301</v>
      </c>
      <c r="I1277" t="n">
        <v>3425.3642</v>
      </c>
      <c r="J1277" t="n">
        <v>20712.7584</v>
      </c>
      <c r="K1277" t="n">
        <v>30381184.14</v>
      </c>
      <c r="L1277" t="n">
        <v>132483784.12</v>
      </c>
      <c r="M1277" t="n">
        <v>30742.1821</v>
      </c>
      <c r="N1277" t="inlineStr">
        <is>
          <t>Provided Total Emissions</t>
        </is>
      </c>
      <c r="O1277" t="b">
        <v>1</v>
      </c>
      <c r="P1277" t="n">
        <v>0.004944</v>
      </c>
      <c r="Q1277" t="n">
        <v>0.05649</v>
      </c>
      <c r="R1277" t="n">
        <v>32820.7932</v>
      </c>
      <c r="S1277" t="n">
        <v>104590.6482</v>
      </c>
      <c r="T1277" t="n">
        <v>2078.6111</v>
      </c>
      <c r="U1277" t="n">
        <v>73848.46610000001</v>
      </c>
      <c r="V1277" t="n">
        <v>0.06761399999999999</v>
      </c>
      <c r="W1277" t="n">
        <v>2.402187</v>
      </c>
      <c r="X1277" t="inlineStr">
        <is>
          <t>High</t>
        </is>
      </c>
      <c r="Y1277" t="inlineStr">
        <is>
          <t>None</t>
        </is>
      </c>
      <c r="Z1277" t="inlineStr">
        <is>
          <t>Valid</t>
        </is>
      </c>
      <c r="AA1277" t="n">
        <v>2036</v>
      </c>
      <c r="AB1277" t="inlineStr">
        <is>
          <t>Supplier Target Pathway</t>
        </is>
      </c>
      <c r="AC1277" t="n">
        <v>38285.5647</v>
      </c>
      <c r="AD1277" t="n">
        <v>11780.4683</v>
      </c>
      <c r="AE1277" t="n">
        <v>16829.0581</v>
      </c>
      <c r="AF1277" t="n">
        <v>16829.0581</v>
      </c>
      <c r="AG1277" t="n">
        <v>21456.5066</v>
      </c>
      <c r="AH1277" t="n">
        <v>0.00055393</v>
      </c>
      <c r="AI1277" t="n">
        <v>0.560433</v>
      </c>
      <c r="AJ1277" t="n">
        <v>5048.5898</v>
      </c>
      <c r="AK1277" t="n">
        <v>1262.1474</v>
      </c>
      <c r="AL1277" t="n">
        <v>-96762.93580000001</v>
      </c>
      <c r="AM1277" t="n">
        <v>285250.4286</v>
      </c>
      <c r="AN1277" t="n">
        <v>0.99</v>
      </c>
      <c r="AO1277" t="inlineStr">
        <is>
          <t>Critical</t>
        </is>
      </c>
      <c r="AP1277" t="inlineStr">
        <is>
          <t>On Track to Glide Path</t>
        </is>
      </c>
    </row>
    <row r="1278">
      <c r="A1278" t="inlineStr">
        <is>
          <t>SUP-0080</t>
        </is>
      </c>
      <c r="B1278" t="inlineStr">
        <is>
          <t>Packaging Supplier 080</t>
        </is>
      </c>
      <c r="C1278" t="inlineStr">
        <is>
          <t>Packaging</t>
        </is>
      </c>
      <c r="D1278" t="n">
        <v>2024</v>
      </c>
      <c r="E1278" t="n">
        <v>2019</v>
      </c>
      <c r="F1278" t="n">
        <v>2040</v>
      </c>
      <c r="G1278" t="n">
        <v>30742.1821</v>
      </c>
      <c r="H1278" t="n">
        <v>4986.301</v>
      </c>
      <c r="I1278" t="n">
        <v>3425.3642</v>
      </c>
      <c r="J1278" t="n">
        <v>20712.7584</v>
      </c>
      <c r="K1278" t="n">
        <v>30381184.14</v>
      </c>
      <c r="L1278" t="n">
        <v>132483784.12</v>
      </c>
      <c r="M1278" t="n">
        <v>30742.1821</v>
      </c>
      <c r="N1278" t="inlineStr">
        <is>
          <t>Provided Total Emissions</t>
        </is>
      </c>
      <c r="O1278" t="b">
        <v>1</v>
      </c>
      <c r="P1278" t="n">
        <v>0.004944</v>
      </c>
      <c r="Q1278" t="n">
        <v>0.05649</v>
      </c>
      <c r="R1278" t="n">
        <v>32820.7932</v>
      </c>
      <c r="S1278" t="n">
        <v>104590.6482</v>
      </c>
      <c r="T1278" t="n">
        <v>2078.6111</v>
      </c>
      <c r="U1278" t="n">
        <v>73848.46610000001</v>
      </c>
      <c r="V1278" t="n">
        <v>0.06761399999999999</v>
      </c>
      <c r="W1278" t="n">
        <v>2.402187</v>
      </c>
      <c r="X1278" t="inlineStr">
        <is>
          <t>High</t>
        </is>
      </c>
      <c r="Y1278" t="inlineStr">
        <is>
          <t>None</t>
        </is>
      </c>
      <c r="Z1278" t="inlineStr">
        <is>
          <t>Valid</t>
        </is>
      </c>
      <c r="AA1278" t="n">
        <v>2037</v>
      </c>
      <c r="AB1278" t="inlineStr">
        <is>
          <t>Supplier Target Pathway</t>
        </is>
      </c>
      <c r="AC1278" t="n">
        <v>38285.5647</v>
      </c>
      <c r="AD1278" t="n">
        <v>11780.4683</v>
      </c>
      <c r="AE1278" t="n">
        <v>15566.9106</v>
      </c>
      <c r="AF1278" t="n">
        <v>15566.9106</v>
      </c>
      <c r="AG1278" t="n">
        <v>22718.6541</v>
      </c>
      <c r="AH1278" t="n">
        <v>0.00051239</v>
      </c>
      <c r="AI1278" t="n">
        <v>0.5934</v>
      </c>
      <c r="AJ1278" t="n">
        <v>3786.4423</v>
      </c>
      <c r="AK1278" t="n">
        <v>1262.1474</v>
      </c>
      <c r="AL1278" t="n">
        <v>-112329.8464</v>
      </c>
      <c r="AM1278" t="n">
        <v>300817.3392</v>
      </c>
      <c r="AN1278" t="n">
        <v>0.99</v>
      </c>
      <c r="AO1278" t="inlineStr">
        <is>
          <t>High</t>
        </is>
      </c>
      <c r="AP1278" t="inlineStr">
        <is>
          <t>On Track to Glide Path</t>
        </is>
      </c>
    </row>
    <row r="1279">
      <c r="A1279" t="inlineStr">
        <is>
          <t>SUP-0080</t>
        </is>
      </c>
      <c r="B1279" t="inlineStr">
        <is>
          <t>Packaging Supplier 080</t>
        </is>
      </c>
      <c r="C1279" t="inlineStr">
        <is>
          <t>Packaging</t>
        </is>
      </c>
      <c r="D1279" t="n">
        <v>2024</v>
      </c>
      <c r="E1279" t="n">
        <v>2019</v>
      </c>
      <c r="F1279" t="n">
        <v>2040</v>
      </c>
      <c r="G1279" t="n">
        <v>30742.1821</v>
      </c>
      <c r="H1279" t="n">
        <v>4986.301</v>
      </c>
      <c r="I1279" t="n">
        <v>3425.3642</v>
      </c>
      <c r="J1279" t="n">
        <v>20712.7584</v>
      </c>
      <c r="K1279" t="n">
        <v>30381184.14</v>
      </c>
      <c r="L1279" t="n">
        <v>132483784.12</v>
      </c>
      <c r="M1279" t="n">
        <v>30742.1821</v>
      </c>
      <c r="N1279" t="inlineStr">
        <is>
          <t>Provided Total Emissions</t>
        </is>
      </c>
      <c r="O1279" t="b">
        <v>1</v>
      </c>
      <c r="P1279" t="n">
        <v>0.004944</v>
      </c>
      <c r="Q1279" t="n">
        <v>0.05649</v>
      </c>
      <c r="R1279" t="n">
        <v>32820.7932</v>
      </c>
      <c r="S1279" t="n">
        <v>104590.6482</v>
      </c>
      <c r="T1279" t="n">
        <v>2078.6111</v>
      </c>
      <c r="U1279" t="n">
        <v>73848.46610000001</v>
      </c>
      <c r="V1279" t="n">
        <v>0.06761399999999999</v>
      </c>
      <c r="W1279" t="n">
        <v>2.402187</v>
      </c>
      <c r="X1279" t="inlineStr">
        <is>
          <t>High</t>
        </is>
      </c>
      <c r="Y1279" t="inlineStr">
        <is>
          <t>None</t>
        </is>
      </c>
      <c r="Z1279" t="inlineStr">
        <is>
          <t>Valid</t>
        </is>
      </c>
      <c r="AA1279" t="n">
        <v>2038</v>
      </c>
      <c r="AB1279" t="inlineStr">
        <is>
          <t>Supplier Target Pathway</t>
        </is>
      </c>
      <c r="AC1279" t="n">
        <v>38285.5647</v>
      </c>
      <c r="AD1279" t="n">
        <v>11780.4683</v>
      </c>
      <c r="AE1279" t="n">
        <v>14304.7632</v>
      </c>
      <c r="AF1279" t="n">
        <v>14304.7632</v>
      </c>
      <c r="AG1279" t="n">
        <v>23980.8015</v>
      </c>
      <c r="AH1279" t="n">
        <v>0.00047084</v>
      </c>
      <c r="AI1279" t="n">
        <v>0.626367</v>
      </c>
      <c r="AJ1279" t="n">
        <v>2524.2949</v>
      </c>
      <c r="AK1279" t="n">
        <v>1262.1474</v>
      </c>
      <c r="AL1279" t="n">
        <v>-126634.6096</v>
      </c>
      <c r="AM1279" t="n">
        <v>315122.1024</v>
      </c>
      <c r="AN1279" t="n">
        <v>0.99</v>
      </c>
      <c r="AO1279" t="inlineStr">
        <is>
          <t>High</t>
        </is>
      </c>
      <c r="AP1279" t="inlineStr">
        <is>
          <t>On Track to Glide Path</t>
        </is>
      </c>
    </row>
    <row r="1280">
      <c r="A1280" t="inlineStr">
        <is>
          <t>SUP-0080</t>
        </is>
      </c>
      <c r="B1280" t="inlineStr">
        <is>
          <t>Packaging Supplier 080</t>
        </is>
      </c>
      <c r="C1280" t="inlineStr">
        <is>
          <t>Packaging</t>
        </is>
      </c>
      <c r="D1280" t="n">
        <v>2024</v>
      </c>
      <c r="E1280" t="n">
        <v>2019</v>
      </c>
      <c r="F1280" t="n">
        <v>2040</v>
      </c>
      <c r="G1280" t="n">
        <v>30742.1821</v>
      </c>
      <c r="H1280" t="n">
        <v>4986.301</v>
      </c>
      <c r="I1280" t="n">
        <v>3425.3642</v>
      </c>
      <c r="J1280" t="n">
        <v>20712.7584</v>
      </c>
      <c r="K1280" t="n">
        <v>30381184.14</v>
      </c>
      <c r="L1280" t="n">
        <v>132483784.12</v>
      </c>
      <c r="M1280" t="n">
        <v>30742.1821</v>
      </c>
      <c r="N1280" t="inlineStr">
        <is>
          <t>Provided Total Emissions</t>
        </is>
      </c>
      <c r="O1280" t="b">
        <v>1</v>
      </c>
      <c r="P1280" t="n">
        <v>0.004944</v>
      </c>
      <c r="Q1280" t="n">
        <v>0.05649</v>
      </c>
      <c r="R1280" t="n">
        <v>32820.7932</v>
      </c>
      <c r="S1280" t="n">
        <v>104590.6482</v>
      </c>
      <c r="T1280" t="n">
        <v>2078.6111</v>
      </c>
      <c r="U1280" t="n">
        <v>73848.46610000001</v>
      </c>
      <c r="V1280" t="n">
        <v>0.06761399999999999</v>
      </c>
      <c r="W1280" t="n">
        <v>2.402187</v>
      </c>
      <c r="X1280" t="inlineStr">
        <is>
          <t>High</t>
        </is>
      </c>
      <c r="Y1280" t="inlineStr">
        <is>
          <t>None</t>
        </is>
      </c>
      <c r="Z1280" t="inlineStr">
        <is>
          <t>Valid</t>
        </is>
      </c>
      <c r="AA1280" t="n">
        <v>2039</v>
      </c>
      <c r="AB1280" t="inlineStr">
        <is>
          <t>Supplier Target Pathway</t>
        </is>
      </c>
      <c r="AC1280" t="n">
        <v>38285.5647</v>
      </c>
      <c r="AD1280" t="n">
        <v>11780.4683</v>
      </c>
      <c r="AE1280" t="n">
        <v>13042.6157</v>
      </c>
      <c r="AF1280" t="n">
        <v>13042.6157</v>
      </c>
      <c r="AG1280" t="n">
        <v>25242.949</v>
      </c>
      <c r="AH1280" t="n">
        <v>0.0004293</v>
      </c>
      <c r="AI1280" t="n">
        <v>0.6593329999999999</v>
      </c>
      <c r="AJ1280" t="n">
        <v>1262.1474</v>
      </c>
      <c r="AK1280" t="n">
        <v>1262.1474</v>
      </c>
      <c r="AL1280" t="n">
        <v>-139677.2253</v>
      </c>
      <c r="AM1280" t="n">
        <v>328164.7181</v>
      </c>
      <c r="AN1280" t="n">
        <v>0.99</v>
      </c>
      <c r="AO1280" t="inlineStr">
        <is>
          <t>Medium</t>
        </is>
      </c>
      <c r="AP1280" t="inlineStr">
        <is>
          <t>On Track to Glide Path</t>
        </is>
      </c>
    </row>
    <row r="1281">
      <c r="A1281" t="inlineStr">
        <is>
          <t>SUP-0080</t>
        </is>
      </c>
      <c r="B1281" t="inlineStr">
        <is>
          <t>Packaging Supplier 080</t>
        </is>
      </c>
      <c r="C1281" t="inlineStr">
        <is>
          <t>Packaging</t>
        </is>
      </c>
      <c r="D1281" t="n">
        <v>2024</v>
      </c>
      <c r="E1281" t="n">
        <v>2019</v>
      </c>
      <c r="F1281" t="n">
        <v>2040</v>
      </c>
      <c r="G1281" t="n">
        <v>30742.1821</v>
      </c>
      <c r="H1281" t="n">
        <v>4986.301</v>
      </c>
      <c r="I1281" t="n">
        <v>3425.3642</v>
      </c>
      <c r="J1281" t="n">
        <v>20712.7584</v>
      </c>
      <c r="K1281" t="n">
        <v>30381184.14</v>
      </c>
      <c r="L1281" t="n">
        <v>132483784.12</v>
      </c>
      <c r="M1281" t="n">
        <v>30742.1821</v>
      </c>
      <c r="N1281" t="inlineStr">
        <is>
          <t>Provided Total Emissions</t>
        </is>
      </c>
      <c r="O1281" t="b">
        <v>1</v>
      </c>
      <c r="P1281" t="n">
        <v>0.004944</v>
      </c>
      <c r="Q1281" t="n">
        <v>0.05649</v>
      </c>
      <c r="R1281" t="n">
        <v>32820.7932</v>
      </c>
      <c r="S1281" t="n">
        <v>104590.6482</v>
      </c>
      <c r="T1281" t="n">
        <v>2078.6111</v>
      </c>
      <c r="U1281" t="n">
        <v>73848.46610000001</v>
      </c>
      <c r="V1281" t="n">
        <v>0.06761399999999999</v>
      </c>
      <c r="W1281" t="n">
        <v>2.402187</v>
      </c>
      <c r="X1281" t="inlineStr">
        <is>
          <t>High</t>
        </is>
      </c>
      <c r="Y1281" t="inlineStr">
        <is>
          <t>None</t>
        </is>
      </c>
      <c r="Z1281" t="inlineStr">
        <is>
          <t>Valid</t>
        </is>
      </c>
      <c r="AA1281" t="n">
        <v>2040</v>
      </c>
      <c r="AB1281" t="inlineStr">
        <is>
          <t>Supplier Target Pathway</t>
        </is>
      </c>
      <c r="AC1281" t="n">
        <v>38285.5647</v>
      </c>
      <c r="AD1281" t="n">
        <v>11780.4683</v>
      </c>
      <c r="AE1281" t="n">
        <v>11780.4683</v>
      </c>
      <c r="AF1281" t="n">
        <v>11780.4683</v>
      </c>
      <c r="AG1281" t="n">
        <v>26505.0964</v>
      </c>
      <c r="AH1281" t="n">
        <v>0.00038776</v>
      </c>
      <c r="AI1281" t="n">
        <v>0.6923</v>
      </c>
      <c r="AJ1281" t="n">
        <v>0</v>
      </c>
      <c r="AK1281" t="n">
        <v>1262.1474</v>
      </c>
      <c r="AL1281" t="n">
        <v>-151457.6936</v>
      </c>
      <c r="AM1281" t="n">
        <v>339945.1864</v>
      </c>
      <c r="AN1281" t="n">
        <v>0.99</v>
      </c>
      <c r="AO1281" t="inlineStr">
        <is>
          <t>Low</t>
        </is>
      </c>
      <c r="AP1281" t="inlineStr">
        <is>
          <t>On Track</t>
        </is>
      </c>
    </row>
    <row r="1282">
      <c r="A1282" t="inlineStr">
        <is>
          <t>SUP-0081</t>
        </is>
      </c>
      <c r="B1282" t="inlineStr">
        <is>
          <t>Textiles Supplier 081</t>
        </is>
      </c>
      <c r="C1282" t="inlineStr">
        <is>
          <t>Textiles</t>
        </is>
      </c>
      <c r="D1282" t="n">
        <v>2024</v>
      </c>
      <c r="E1282" t="n">
        <v>2015</v>
      </c>
      <c r="F1282" t="n">
        <v>2030</v>
      </c>
      <c r="G1282" t="n">
        <v>1605.4681</v>
      </c>
      <c r="H1282" t="n">
        <v>373.6896</v>
      </c>
      <c r="I1282" t="n">
        <v>220.4625</v>
      </c>
      <c r="J1282" t="n">
        <v>1125.1031</v>
      </c>
      <c r="K1282" t="n">
        <v>8578168.279999999</v>
      </c>
      <c r="L1282" t="n">
        <v>47650478.58</v>
      </c>
      <c r="M1282" t="n">
        <v>1605.4681</v>
      </c>
      <c r="N1282" t="inlineStr">
        <is>
          <t>Provided Total Emissions</t>
        </is>
      </c>
      <c r="O1282" t="b">
        <v>1</v>
      </c>
      <c r="P1282" t="n">
        <v>-0.025816</v>
      </c>
      <c r="Q1282" t="n">
        <v>-0.005218</v>
      </c>
      <c r="R1282" t="n">
        <v>2506.6266</v>
      </c>
      <c r="S1282" t="n">
        <v>8264.022499999999</v>
      </c>
      <c r="T1282" t="n">
        <v>901.1585</v>
      </c>
      <c r="U1282" t="n">
        <v>6658.5544</v>
      </c>
      <c r="V1282" t="n">
        <v>0.561306</v>
      </c>
      <c r="W1282" t="n">
        <v>4.147422</v>
      </c>
      <c r="X1282" t="inlineStr">
        <is>
          <t>High</t>
        </is>
      </c>
      <c r="Y1282" t="inlineStr">
        <is>
          <t>None</t>
        </is>
      </c>
      <c r="Z1282" t="inlineStr">
        <is>
          <t>Valid</t>
        </is>
      </c>
      <c r="AA1282" t="n">
        <v>2025</v>
      </c>
      <c r="AB1282" t="inlineStr">
        <is>
          <t>Industry Haircut Pathway</t>
        </is>
      </c>
      <c r="AC1282" t="n">
        <v>2031.5668</v>
      </c>
      <c r="AD1282" t="n">
        <v>1387.357</v>
      </c>
      <c r="AE1282" t="n">
        <v>1602.0936</v>
      </c>
      <c r="AF1282" t="n">
        <v>1602.0936</v>
      </c>
      <c r="AG1282" t="n">
        <v>429.4732</v>
      </c>
      <c r="AH1282" t="n">
        <v>0.00018676</v>
      </c>
      <c r="AI1282" t="n">
        <v>0.2114</v>
      </c>
      <c r="AJ1282" t="n">
        <v>214.7366</v>
      </c>
      <c r="AK1282" t="n">
        <v>42.9473</v>
      </c>
      <c r="AL1282" t="n">
        <v>6722.0484</v>
      </c>
      <c r="AM1282" t="n">
        <v>1602.0936</v>
      </c>
      <c r="AN1282" t="n">
        <v>0.95</v>
      </c>
      <c r="AO1282" t="inlineStr">
        <is>
          <t>High</t>
        </is>
      </c>
      <c r="AP1282" t="inlineStr">
        <is>
          <t>On Track to Glide Path</t>
        </is>
      </c>
    </row>
    <row r="1283">
      <c r="A1283" t="inlineStr">
        <is>
          <t>SUP-0081</t>
        </is>
      </c>
      <c r="B1283" t="inlineStr">
        <is>
          <t>Textiles Supplier 081</t>
        </is>
      </c>
      <c r="C1283" t="inlineStr">
        <is>
          <t>Textiles</t>
        </is>
      </c>
      <c r="D1283" t="n">
        <v>2024</v>
      </c>
      <c r="E1283" t="n">
        <v>2015</v>
      </c>
      <c r="F1283" t="n">
        <v>2030</v>
      </c>
      <c r="G1283" t="n">
        <v>1605.4681</v>
      </c>
      <c r="H1283" t="n">
        <v>373.6896</v>
      </c>
      <c r="I1283" t="n">
        <v>220.4625</v>
      </c>
      <c r="J1283" t="n">
        <v>1125.1031</v>
      </c>
      <c r="K1283" t="n">
        <v>8578168.279999999</v>
      </c>
      <c r="L1283" t="n">
        <v>47650478.58</v>
      </c>
      <c r="M1283" t="n">
        <v>1605.4681</v>
      </c>
      <c r="N1283" t="inlineStr">
        <is>
          <t>Provided Total Emissions</t>
        </is>
      </c>
      <c r="O1283" t="b">
        <v>1</v>
      </c>
      <c r="P1283" t="n">
        <v>-0.025816</v>
      </c>
      <c r="Q1283" t="n">
        <v>-0.005218</v>
      </c>
      <c r="R1283" t="n">
        <v>2506.6266</v>
      </c>
      <c r="S1283" t="n">
        <v>8264.022499999999</v>
      </c>
      <c r="T1283" t="n">
        <v>901.1585</v>
      </c>
      <c r="U1283" t="n">
        <v>6658.5544</v>
      </c>
      <c r="V1283" t="n">
        <v>0.561306</v>
      </c>
      <c r="W1283" t="n">
        <v>4.147422</v>
      </c>
      <c r="X1283" t="inlineStr">
        <is>
          <t>High</t>
        </is>
      </c>
      <c r="Y1283" t="inlineStr">
        <is>
          <t>None</t>
        </is>
      </c>
      <c r="Z1283" t="inlineStr">
        <is>
          <t>Valid</t>
        </is>
      </c>
      <c r="AA1283" t="n">
        <v>2026</v>
      </c>
      <c r="AB1283" t="inlineStr">
        <is>
          <t>Industry Haircut Pathway</t>
        </is>
      </c>
      <c r="AC1283" t="n">
        <v>2031.5668</v>
      </c>
      <c r="AD1283" t="n">
        <v>1387.357</v>
      </c>
      <c r="AE1283" t="n">
        <v>1559.1463</v>
      </c>
      <c r="AF1283" t="n">
        <v>1559.1463</v>
      </c>
      <c r="AG1283" t="n">
        <v>472.4205</v>
      </c>
      <c r="AH1283" t="n">
        <v>0.00018176</v>
      </c>
      <c r="AI1283" t="n">
        <v>0.23254</v>
      </c>
      <c r="AJ1283" t="n">
        <v>171.7893</v>
      </c>
      <c r="AK1283" t="n">
        <v>42.9473</v>
      </c>
      <c r="AL1283" t="n">
        <v>5162.9021</v>
      </c>
      <c r="AM1283" t="n">
        <v>3161.2399</v>
      </c>
      <c r="AN1283" t="n">
        <v>0.95</v>
      </c>
      <c r="AO1283" t="inlineStr">
        <is>
          <t>Medium</t>
        </is>
      </c>
      <c r="AP1283" t="inlineStr">
        <is>
          <t>On Track to Glide Path</t>
        </is>
      </c>
    </row>
    <row r="1284">
      <c r="A1284" t="inlineStr">
        <is>
          <t>SUP-0081</t>
        </is>
      </c>
      <c r="B1284" t="inlineStr">
        <is>
          <t>Textiles Supplier 081</t>
        </is>
      </c>
      <c r="C1284" t="inlineStr">
        <is>
          <t>Textiles</t>
        </is>
      </c>
      <c r="D1284" t="n">
        <v>2024</v>
      </c>
      <c r="E1284" t="n">
        <v>2015</v>
      </c>
      <c r="F1284" t="n">
        <v>2030</v>
      </c>
      <c r="G1284" t="n">
        <v>1605.4681</v>
      </c>
      <c r="H1284" t="n">
        <v>373.6896</v>
      </c>
      <c r="I1284" t="n">
        <v>220.4625</v>
      </c>
      <c r="J1284" t="n">
        <v>1125.1031</v>
      </c>
      <c r="K1284" t="n">
        <v>8578168.279999999</v>
      </c>
      <c r="L1284" t="n">
        <v>47650478.58</v>
      </c>
      <c r="M1284" t="n">
        <v>1605.4681</v>
      </c>
      <c r="N1284" t="inlineStr">
        <is>
          <t>Provided Total Emissions</t>
        </is>
      </c>
      <c r="O1284" t="b">
        <v>1</v>
      </c>
      <c r="P1284" t="n">
        <v>-0.025816</v>
      </c>
      <c r="Q1284" t="n">
        <v>-0.005218</v>
      </c>
      <c r="R1284" t="n">
        <v>2506.6266</v>
      </c>
      <c r="S1284" t="n">
        <v>8264.022499999999</v>
      </c>
      <c r="T1284" t="n">
        <v>901.1585</v>
      </c>
      <c r="U1284" t="n">
        <v>6658.5544</v>
      </c>
      <c r="V1284" t="n">
        <v>0.561306</v>
      </c>
      <c r="W1284" t="n">
        <v>4.147422</v>
      </c>
      <c r="X1284" t="inlineStr">
        <is>
          <t>High</t>
        </is>
      </c>
      <c r="Y1284" t="inlineStr">
        <is>
          <t>None</t>
        </is>
      </c>
      <c r="Z1284" t="inlineStr">
        <is>
          <t>Valid</t>
        </is>
      </c>
      <c r="AA1284" t="n">
        <v>2027</v>
      </c>
      <c r="AB1284" t="inlineStr">
        <is>
          <t>Industry Haircut Pathway</t>
        </is>
      </c>
      <c r="AC1284" t="n">
        <v>2031.5668</v>
      </c>
      <c r="AD1284" t="n">
        <v>1387.357</v>
      </c>
      <c r="AE1284" t="n">
        <v>1516.1989</v>
      </c>
      <c r="AF1284" t="n">
        <v>1516.1989</v>
      </c>
      <c r="AG1284" t="n">
        <v>515.3679</v>
      </c>
      <c r="AH1284" t="n">
        <v>0.00017675</v>
      </c>
      <c r="AI1284" t="n">
        <v>0.25368</v>
      </c>
      <c r="AJ1284" t="n">
        <v>128.842</v>
      </c>
      <c r="AK1284" t="n">
        <v>42.9473</v>
      </c>
      <c r="AL1284" t="n">
        <v>3646.7032</v>
      </c>
      <c r="AM1284" t="n">
        <v>4677.4388</v>
      </c>
      <c r="AN1284" t="n">
        <v>0.95</v>
      </c>
      <c r="AO1284" t="inlineStr">
        <is>
          <t>Medium</t>
        </is>
      </c>
      <c r="AP1284" t="inlineStr">
        <is>
          <t>On Track to Glide Path</t>
        </is>
      </c>
    </row>
    <row r="1285">
      <c r="A1285" t="inlineStr">
        <is>
          <t>SUP-0081</t>
        </is>
      </c>
      <c r="B1285" t="inlineStr">
        <is>
          <t>Textiles Supplier 081</t>
        </is>
      </c>
      <c r="C1285" t="inlineStr">
        <is>
          <t>Textiles</t>
        </is>
      </c>
      <c r="D1285" t="n">
        <v>2024</v>
      </c>
      <c r="E1285" t="n">
        <v>2015</v>
      </c>
      <c r="F1285" t="n">
        <v>2030</v>
      </c>
      <c r="G1285" t="n">
        <v>1605.4681</v>
      </c>
      <c r="H1285" t="n">
        <v>373.6896</v>
      </c>
      <c r="I1285" t="n">
        <v>220.4625</v>
      </c>
      <c r="J1285" t="n">
        <v>1125.1031</v>
      </c>
      <c r="K1285" t="n">
        <v>8578168.279999999</v>
      </c>
      <c r="L1285" t="n">
        <v>47650478.58</v>
      </c>
      <c r="M1285" t="n">
        <v>1605.4681</v>
      </c>
      <c r="N1285" t="inlineStr">
        <is>
          <t>Provided Total Emissions</t>
        </is>
      </c>
      <c r="O1285" t="b">
        <v>1</v>
      </c>
      <c r="P1285" t="n">
        <v>-0.025816</v>
      </c>
      <c r="Q1285" t="n">
        <v>-0.005218</v>
      </c>
      <c r="R1285" t="n">
        <v>2506.6266</v>
      </c>
      <c r="S1285" t="n">
        <v>8264.022499999999</v>
      </c>
      <c r="T1285" t="n">
        <v>901.1585</v>
      </c>
      <c r="U1285" t="n">
        <v>6658.5544</v>
      </c>
      <c r="V1285" t="n">
        <v>0.561306</v>
      </c>
      <c r="W1285" t="n">
        <v>4.147422</v>
      </c>
      <c r="X1285" t="inlineStr">
        <is>
          <t>High</t>
        </is>
      </c>
      <c r="Y1285" t="inlineStr">
        <is>
          <t>None</t>
        </is>
      </c>
      <c r="Z1285" t="inlineStr">
        <is>
          <t>Valid</t>
        </is>
      </c>
      <c r="AA1285" t="n">
        <v>2028</v>
      </c>
      <c r="AB1285" t="inlineStr">
        <is>
          <t>Industry Haircut Pathway</t>
        </is>
      </c>
      <c r="AC1285" t="n">
        <v>2031.5668</v>
      </c>
      <c r="AD1285" t="n">
        <v>1387.357</v>
      </c>
      <c r="AE1285" t="n">
        <v>1473.2516</v>
      </c>
      <c r="AF1285" t="n">
        <v>1473.2516</v>
      </c>
      <c r="AG1285" t="n">
        <v>558.3152</v>
      </c>
      <c r="AH1285" t="n">
        <v>0.00017174</v>
      </c>
      <c r="AI1285" t="n">
        <v>0.27482</v>
      </c>
      <c r="AJ1285" t="n">
        <v>85.8946</v>
      </c>
      <c r="AK1285" t="n">
        <v>42.9473</v>
      </c>
      <c r="AL1285" t="n">
        <v>2173.4516</v>
      </c>
      <c r="AM1285" t="n">
        <v>6150.6904</v>
      </c>
      <c r="AN1285" t="n">
        <v>0.95</v>
      </c>
      <c r="AO1285" t="inlineStr">
        <is>
          <t>Medium</t>
        </is>
      </c>
      <c r="AP1285" t="inlineStr">
        <is>
          <t>On Track to Glide Path</t>
        </is>
      </c>
    </row>
    <row r="1286">
      <c r="A1286" t="inlineStr">
        <is>
          <t>SUP-0081</t>
        </is>
      </c>
      <c r="B1286" t="inlineStr">
        <is>
          <t>Textiles Supplier 081</t>
        </is>
      </c>
      <c r="C1286" t="inlineStr">
        <is>
          <t>Textiles</t>
        </is>
      </c>
      <c r="D1286" t="n">
        <v>2024</v>
      </c>
      <c r="E1286" t="n">
        <v>2015</v>
      </c>
      <c r="F1286" t="n">
        <v>2030</v>
      </c>
      <c r="G1286" t="n">
        <v>1605.4681</v>
      </c>
      <c r="H1286" t="n">
        <v>373.6896</v>
      </c>
      <c r="I1286" t="n">
        <v>220.4625</v>
      </c>
      <c r="J1286" t="n">
        <v>1125.1031</v>
      </c>
      <c r="K1286" t="n">
        <v>8578168.279999999</v>
      </c>
      <c r="L1286" t="n">
        <v>47650478.58</v>
      </c>
      <c r="M1286" t="n">
        <v>1605.4681</v>
      </c>
      <c r="N1286" t="inlineStr">
        <is>
          <t>Provided Total Emissions</t>
        </is>
      </c>
      <c r="O1286" t="b">
        <v>1</v>
      </c>
      <c r="P1286" t="n">
        <v>-0.025816</v>
      </c>
      <c r="Q1286" t="n">
        <v>-0.005218</v>
      </c>
      <c r="R1286" t="n">
        <v>2506.6266</v>
      </c>
      <c r="S1286" t="n">
        <v>8264.022499999999</v>
      </c>
      <c r="T1286" t="n">
        <v>901.1585</v>
      </c>
      <c r="U1286" t="n">
        <v>6658.5544</v>
      </c>
      <c r="V1286" t="n">
        <v>0.561306</v>
      </c>
      <c r="W1286" t="n">
        <v>4.147422</v>
      </c>
      <c r="X1286" t="inlineStr">
        <is>
          <t>High</t>
        </is>
      </c>
      <c r="Y1286" t="inlineStr">
        <is>
          <t>None</t>
        </is>
      </c>
      <c r="Z1286" t="inlineStr">
        <is>
          <t>Valid</t>
        </is>
      </c>
      <c r="AA1286" t="n">
        <v>2029</v>
      </c>
      <c r="AB1286" t="inlineStr">
        <is>
          <t>Industry Haircut Pathway</t>
        </is>
      </c>
      <c r="AC1286" t="n">
        <v>2031.5668</v>
      </c>
      <c r="AD1286" t="n">
        <v>1387.357</v>
      </c>
      <c r="AE1286" t="n">
        <v>1430.3043</v>
      </c>
      <c r="AF1286" t="n">
        <v>1430.3043</v>
      </c>
      <c r="AG1286" t="n">
        <v>601.2625</v>
      </c>
      <c r="AH1286" t="n">
        <v>0.00016674</v>
      </c>
      <c r="AI1286" t="n">
        <v>0.29596</v>
      </c>
      <c r="AJ1286" t="n">
        <v>42.9473</v>
      </c>
      <c r="AK1286" t="n">
        <v>42.9473</v>
      </c>
      <c r="AL1286" t="n">
        <v>743.1473</v>
      </c>
      <c r="AM1286" t="n">
        <v>7580.9947</v>
      </c>
      <c r="AN1286" t="n">
        <v>0.95</v>
      </c>
      <c r="AO1286" t="inlineStr">
        <is>
          <t>Medium</t>
        </is>
      </c>
      <c r="AP1286" t="inlineStr">
        <is>
          <t>On Track to Glide Path</t>
        </is>
      </c>
    </row>
    <row r="1287">
      <c r="A1287" t="inlineStr">
        <is>
          <t>SUP-0081</t>
        </is>
      </c>
      <c r="B1287" t="inlineStr">
        <is>
          <t>Textiles Supplier 081</t>
        </is>
      </c>
      <c r="C1287" t="inlineStr">
        <is>
          <t>Textiles</t>
        </is>
      </c>
      <c r="D1287" t="n">
        <v>2024</v>
      </c>
      <c r="E1287" t="n">
        <v>2015</v>
      </c>
      <c r="F1287" t="n">
        <v>2030</v>
      </c>
      <c r="G1287" t="n">
        <v>1605.4681</v>
      </c>
      <c r="H1287" t="n">
        <v>373.6896</v>
      </c>
      <c r="I1287" t="n">
        <v>220.4625</v>
      </c>
      <c r="J1287" t="n">
        <v>1125.1031</v>
      </c>
      <c r="K1287" t="n">
        <v>8578168.279999999</v>
      </c>
      <c r="L1287" t="n">
        <v>47650478.58</v>
      </c>
      <c r="M1287" t="n">
        <v>1605.4681</v>
      </c>
      <c r="N1287" t="inlineStr">
        <is>
          <t>Provided Total Emissions</t>
        </is>
      </c>
      <c r="O1287" t="b">
        <v>1</v>
      </c>
      <c r="P1287" t="n">
        <v>-0.025816</v>
      </c>
      <c r="Q1287" t="n">
        <v>-0.005218</v>
      </c>
      <c r="R1287" t="n">
        <v>2506.6266</v>
      </c>
      <c r="S1287" t="n">
        <v>8264.022499999999</v>
      </c>
      <c r="T1287" t="n">
        <v>901.1585</v>
      </c>
      <c r="U1287" t="n">
        <v>6658.5544</v>
      </c>
      <c r="V1287" t="n">
        <v>0.561306</v>
      </c>
      <c r="W1287" t="n">
        <v>4.147422</v>
      </c>
      <c r="X1287" t="inlineStr">
        <is>
          <t>High</t>
        </is>
      </c>
      <c r="Y1287" t="inlineStr">
        <is>
          <t>None</t>
        </is>
      </c>
      <c r="Z1287" t="inlineStr">
        <is>
          <t>Valid</t>
        </is>
      </c>
      <c r="AA1287" t="n">
        <v>2030</v>
      </c>
      <c r="AB1287" t="inlineStr">
        <is>
          <t>Industry Haircut Pathway</t>
        </is>
      </c>
      <c r="AC1287" t="n">
        <v>2031.5668</v>
      </c>
      <c r="AD1287" t="n">
        <v>1387.357</v>
      </c>
      <c r="AE1287" t="n">
        <v>1387.357</v>
      </c>
      <c r="AF1287" t="n">
        <v>1387.357</v>
      </c>
      <c r="AG1287" t="n">
        <v>644.2098</v>
      </c>
      <c r="AH1287" t="n">
        <v>0.00016173</v>
      </c>
      <c r="AI1287" t="n">
        <v>0.3171</v>
      </c>
      <c r="AJ1287" t="n">
        <v>0</v>
      </c>
      <c r="AK1287" t="n">
        <v>42.9473</v>
      </c>
      <c r="AL1287" t="n">
        <v>-644.2097</v>
      </c>
      <c r="AM1287" t="n">
        <v>8968.351699999999</v>
      </c>
      <c r="AN1287" t="n">
        <v>0.95</v>
      </c>
      <c r="AO1287" t="inlineStr">
        <is>
          <t>Low</t>
        </is>
      </c>
      <c r="AP1287" t="inlineStr">
        <is>
          <t>On Track</t>
        </is>
      </c>
    </row>
    <row r="1288">
      <c r="A1288" t="inlineStr">
        <is>
          <t>SUP-0081</t>
        </is>
      </c>
      <c r="B1288" t="inlineStr">
        <is>
          <t>Textiles Supplier 081</t>
        </is>
      </c>
      <c r="C1288" t="inlineStr">
        <is>
          <t>Textiles</t>
        </is>
      </c>
      <c r="D1288" t="n">
        <v>2024</v>
      </c>
      <c r="E1288" t="n">
        <v>2015</v>
      </c>
      <c r="F1288" t="n">
        <v>2030</v>
      </c>
      <c r="G1288" t="n">
        <v>1605.4681</v>
      </c>
      <c r="H1288" t="n">
        <v>373.6896</v>
      </c>
      <c r="I1288" t="n">
        <v>220.4625</v>
      </c>
      <c r="J1288" t="n">
        <v>1125.1031</v>
      </c>
      <c r="K1288" t="n">
        <v>8578168.279999999</v>
      </c>
      <c r="L1288" t="n">
        <v>47650478.58</v>
      </c>
      <c r="M1288" t="n">
        <v>1605.4681</v>
      </c>
      <c r="N1288" t="inlineStr">
        <is>
          <t>Provided Total Emissions</t>
        </is>
      </c>
      <c r="O1288" t="b">
        <v>1</v>
      </c>
      <c r="P1288" t="n">
        <v>-0.025816</v>
      </c>
      <c r="Q1288" t="n">
        <v>-0.005218</v>
      </c>
      <c r="R1288" t="n">
        <v>2506.6266</v>
      </c>
      <c r="S1288" t="n">
        <v>8264.022499999999</v>
      </c>
      <c r="T1288" t="n">
        <v>901.1585</v>
      </c>
      <c r="U1288" t="n">
        <v>6658.5544</v>
      </c>
      <c r="V1288" t="n">
        <v>0.561306</v>
      </c>
      <c r="W1288" t="n">
        <v>4.147422</v>
      </c>
      <c r="X1288" t="inlineStr">
        <is>
          <t>High</t>
        </is>
      </c>
      <c r="Y1288" t="inlineStr">
        <is>
          <t>None</t>
        </is>
      </c>
      <c r="Z1288" t="inlineStr">
        <is>
          <t>Valid</t>
        </is>
      </c>
      <c r="AA1288" t="n">
        <v>2031</v>
      </c>
      <c r="AB1288" t="inlineStr">
        <is>
          <t>Industry Haircut Pathway</t>
        </is>
      </c>
      <c r="AC1288" t="n">
        <v>2031.5668</v>
      </c>
      <c r="AD1288" t="n">
        <v>1387.357</v>
      </c>
      <c r="AE1288" t="n">
        <v>1387.357</v>
      </c>
      <c r="AF1288" t="n">
        <v>1387.357</v>
      </c>
      <c r="AG1288" t="n">
        <v>644.2098</v>
      </c>
      <c r="AH1288" t="n">
        <v>0.00016173</v>
      </c>
      <c r="AI1288" t="n">
        <v>0.3171</v>
      </c>
      <c r="AJ1288" t="n">
        <v>0</v>
      </c>
      <c r="AK1288" t="n">
        <v>42.9473</v>
      </c>
      <c r="AL1288" t="n">
        <v>-2031.5667</v>
      </c>
      <c r="AM1288" t="n">
        <v>10355.7087</v>
      </c>
      <c r="AN1288" t="n">
        <v>0.95</v>
      </c>
      <c r="AO1288" t="inlineStr">
        <is>
          <t>Low</t>
        </is>
      </c>
      <c r="AP1288" t="inlineStr">
        <is>
          <t>On Track</t>
        </is>
      </c>
    </row>
    <row r="1289">
      <c r="A1289" t="inlineStr">
        <is>
          <t>SUP-0081</t>
        </is>
      </c>
      <c r="B1289" t="inlineStr">
        <is>
          <t>Textiles Supplier 081</t>
        </is>
      </c>
      <c r="C1289" t="inlineStr">
        <is>
          <t>Textiles</t>
        </is>
      </c>
      <c r="D1289" t="n">
        <v>2024</v>
      </c>
      <c r="E1289" t="n">
        <v>2015</v>
      </c>
      <c r="F1289" t="n">
        <v>2030</v>
      </c>
      <c r="G1289" t="n">
        <v>1605.4681</v>
      </c>
      <c r="H1289" t="n">
        <v>373.6896</v>
      </c>
      <c r="I1289" t="n">
        <v>220.4625</v>
      </c>
      <c r="J1289" t="n">
        <v>1125.1031</v>
      </c>
      <c r="K1289" t="n">
        <v>8578168.279999999</v>
      </c>
      <c r="L1289" t="n">
        <v>47650478.58</v>
      </c>
      <c r="M1289" t="n">
        <v>1605.4681</v>
      </c>
      <c r="N1289" t="inlineStr">
        <is>
          <t>Provided Total Emissions</t>
        </is>
      </c>
      <c r="O1289" t="b">
        <v>1</v>
      </c>
      <c r="P1289" t="n">
        <v>-0.025816</v>
      </c>
      <c r="Q1289" t="n">
        <v>-0.005218</v>
      </c>
      <c r="R1289" t="n">
        <v>2506.6266</v>
      </c>
      <c r="S1289" t="n">
        <v>8264.022499999999</v>
      </c>
      <c r="T1289" t="n">
        <v>901.1585</v>
      </c>
      <c r="U1289" t="n">
        <v>6658.5544</v>
      </c>
      <c r="V1289" t="n">
        <v>0.561306</v>
      </c>
      <c r="W1289" t="n">
        <v>4.147422</v>
      </c>
      <c r="X1289" t="inlineStr">
        <is>
          <t>High</t>
        </is>
      </c>
      <c r="Y1289" t="inlineStr">
        <is>
          <t>None</t>
        </is>
      </c>
      <c r="Z1289" t="inlineStr">
        <is>
          <t>Valid</t>
        </is>
      </c>
      <c r="AA1289" t="n">
        <v>2032</v>
      </c>
      <c r="AB1289" t="inlineStr">
        <is>
          <t>Industry Haircut Pathway</t>
        </is>
      </c>
      <c r="AC1289" t="n">
        <v>2031.5668</v>
      </c>
      <c r="AD1289" t="n">
        <v>1387.357</v>
      </c>
      <c r="AE1289" t="n">
        <v>1387.357</v>
      </c>
      <c r="AF1289" t="n">
        <v>1387.357</v>
      </c>
      <c r="AG1289" t="n">
        <v>644.2098</v>
      </c>
      <c r="AH1289" t="n">
        <v>0.00016173</v>
      </c>
      <c r="AI1289" t="n">
        <v>0.3171</v>
      </c>
      <c r="AJ1289" t="n">
        <v>0</v>
      </c>
      <c r="AK1289" t="n">
        <v>42.9473</v>
      </c>
      <c r="AL1289" t="n">
        <v>-3418.9237</v>
      </c>
      <c r="AM1289" t="n">
        <v>11743.0657</v>
      </c>
      <c r="AN1289" t="n">
        <v>0.95</v>
      </c>
      <c r="AO1289" t="inlineStr">
        <is>
          <t>Low</t>
        </is>
      </c>
      <c r="AP1289" t="inlineStr">
        <is>
          <t>On Track</t>
        </is>
      </c>
    </row>
    <row r="1290">
      <c r="A1290" t="inlineStr">
        <is>
          <t>SUP-0081</t>
        </is>
      </c>
      <c r="B1290" t="inlineStr">
        <is>
          <t>Textiles Supplier 081</t>
        </is>
      </c>
      <c r="C1290" t="inlineStr">
        <is>
          <t>Textiles</t>
        </is>
      </c>
      <c r="D1290" t="n">
        <v>2024</v>
      </c>
      <c r="E1290" t="n">
        <v>2015</v>
      </c>
      <c r="F1290" t="n">
        <v>2030</v>
      </c>
      <c r="G1290" t="n">
        <v>1605.4681</v>
      </c>
      <c r="H1290" t="n">
        <v>373.6896</v>
      </c>
      <c r="I1290" t="n">
        <v>220.4625</v>
      </c>
      <c r="J1290" t="n">
        <v>1125.1031</v>
      </c>
      <c r="K1290" t="n">
        <v>8578168.279999999</v>
      </c>
      <c r="L1290" t="n">
        <v>47650478.58</v>
      </c>
      <c r="M1290" t="n">
        <v>1605.4681</v>
      </c>
      <c r="N1290" t="inlineStr">
        <is>
          <t>Provided Total Emissions</t>
        </is>
      </c>
      <c r="O1290" t="b">
        <v>1</v>
      </c>
      <c r="P1290" t="n">
        <v>-0.025816</v>
      </c>
      <c r="Q1290" t="n">
        <v>-0.005218</v>
      </c>
      <c r="R1290" t="n">
        <v>2506.6266</v>
      </c>
      <c r="S1290" t="n">
        <v>8264.022499999999</v>
      </c>
      <c r="T1290" t="n">
        <v>901.1585</v>
      </c>
      <c r="U1290" t="n">
        <v>6658.5544</v>
      </c>
      <c r="V1290" t="n">
        <v>0.561306</v>
      </c>
      <c r="W1290" t="n">
        <v>4.147422</v>
      </c>
      <c r="X1290" t="inlineStr">
        <is>
          <t>High</t>
        </is>
      </c>
      <c r="Y1290" t="inlineStr">
        <is>
          <t>None</t>
        </is>
      </c>
      <c r="Z1290" t="inlineStr">
        <is>
          <t>Valid</t>
        </is>
      </c>
      <c r="AA1290" t="n">
        <v>2033</v>
      </c>
      <c r="AB1290" t="inlineStr">
        <is>
          <t>Industry Haircut Pathway</t>
        </is>
      </c>
      <c r="AC1290" t="n">
        <v>2031.5668</v>
      </c>
      <c r="AD1290" t="n">
        <v>1387.357</v>
      </c>
      <c r="AE1290" t="n">
        <v>1387.357</v>
      </c>
      <c r="AF1290" t="n">
        <v>1387.357</v>
      </c>
      <c r="AG1290" t="n">
        <v>644.2098</v>
      </c>
      <c r="AH1290" t="n">
        <v>0.00016173</v>
      </c>
      <c r="AI1290" t="n">
        <v>0.3171</v>
      </c>
      <c r="AJ1290" t="n">
        <v>0</v>
      </c>
      <c r="AK1290" t="n">
        <v>42.9473</v>
      </c>
      <c r="AL1290" t="n">
        <v>-4806.2807</v>
      </c>
      <c r="AM1290" t="n">
        <v>13130.4227</v>
      </c>
      <c r="AN1290" t="n">
        <v>0.95</v>
      </c>
      <c r="AO1290" t="inlineStr">
        <is>
          <t>Low</t>
        </is>
      </c>
      <c r="AP1290" t="inlineStr">
        <is>
          <t>On Track</t>
        </is>
      </c>
    </row>
    <row r="1291">
      <c r="A1291" t="inlineStr">
        <is>
          <t>SUP-0081</t>
        </is>
      </c>
      <c r="B1291" t="inlineStr">
        <is>
          <t>Textiles Supplier 081</t>
        </is>
      </c>
      <c r="C1291" t="inlineStr">
        <is>
          <t>Textiles</t>
        </is>
      </c>
      <c r="D1291" t="n">
        <v>2024</v>
      </c>
      <c r="E1291" t="n">
        <v>2015</v>
      </c>
      <c r="F1291" t="n">
        <v>2030</v>
      </c>
      <c r="G1291" t="n">
        <v>1605.4681</v>
      </c>
      <c r="H1291" t="n">
        <v>373.6896</v>
      </c>
      <c r="I1291" t="n">
        <v>220.4625</v>
      </c>
      <c r="J1291" t="n">
        <v>1125.1031</v>
      </c>
      <c r="K1291" t="n">
        <v>8578168.279999999</v>
      </c>
      <c r="L1291" t="n">
        <v>47650478.58</v>
      </c>
      <c r="M1291" t="n">
        <v>1605.4681</v>
      </c>
      <c r="N1291" t="inlineStr">
        <is>
          <t>Provided Total Emissions</t>
        </is>
      </c>
      <c r="O1291" t="b">
        <v>1</v>
      </c>
      <c r="P1291" t="n">
        <v>-0.025816</v>
      </c>
      <c r="Q1291" t="n">
        <v>-0.005218</v>
      </c>
      <c r="R1291" t="n">
        <v>2506.6266</v>
      </c>
      <c r="S1291" t="n">
        <v>8264.022499999999</v>
      </c>
      <c r="T1291" t="n">
        <v>901.1585</v>
      </c>
      <c r="U1291" t="n">
        <v>6658.5544</v>
      </c>
      <c r="V1291" t="n">
        <v>0.561306</v>
      </c>
      <c r="W1291" t="n">
        <v>4.147422</v>
      </c>
      <c r="X1291" t="inlineStr">
        <is>
          <t>High</t>
        </is>
      </c>
      <c r="Y1291" t="inlineStr">
        <is>
          <t>None</t>
        </is>
      </c>
      <c r="Z1291" t="inlineStr">
        <is>
          <t>Valid</t>
        </is>
      </c>
      <c r="AA1291" t="n">
        <v>2034</v>
      </c>
      <c r="AB1291" t="inlineStr">
        <is>
          <t>Industry Haircut Pathway</t>
        </is>
      </c>
      <c r="AC1291" t="n">
        <v>2031.5668</v>
      </c>
      <c r="AD1291" t="n">
        <v>1387.357</v>
      </c>
      <c r="AE1291" t="n">
        <v>1387.357</v>
      </c>
      <c r="AF1291" t="n">
        <v>1387.357</v>
      </c>
      <c r="AG1291" t="n">
        <v>644.2098</v>
      </c>
      <c r="AH1291" t="n">
        <v>0.00016173</v>
      </c>
      <c r="AI1291" t="n">
        <v>0.3171</v>
      </c>
      <c r="AJ1291" t="n">
        <v>0</v>
      </c>
      <c r="AK1291" t="n">
        <v>42.9473</v>
      </c>
      <c r="AL1291" t="n">
        <v>-6193.6377</v>
      </c>
      <c r="AM1291" t="n">
        <v>14517.7797</v>
      </c>
      <c r="AN1291" t="n">
        <v>0.95</v>
      </c>
      <c r="AO1291" t="inlineStr">
        <is>
          <t>Low</t>
        </is>
      </c>
      <c r="AP1291" t="inlineStr">
        <is>
          <t>On Track</t>
        </is>
      </c>
    </row>
    <row r="1292">
      <c r="A1292" t="inlineStr">
        <is>
          <t>SUP-0081</t>
        </is>
      </c>
      <c r="B1292" t="inlineStr">
        <is>
          <t>Textiles Supplier 081</t>
        </is>
      </c>
      <c r="C1292" t="inlineStr">
        <is>
          <t>Textiles</t>
        </is>
      </c>
      <c r="D1292" t="n">
        <v>2024</v>
      </c>
      <c r="E1292" t="n">
        <v>2015</v>
      </c>
      <c r="F1292" t="n">
        <v>2030</v>
      </c>
      <c r="G1292" t="n">
        <v>1605.4681</v>
      </c>
      <c r="H1292" t="n">
        <v>373.6896</v>
      </c>
      <c r="I1292" t="n">
        <v>220.4625</v>
      </c>
      <c r="J1292" t="n">
        <v>1125.1031</v>
      </c>
      <c r="K1292" t="n">
        <v>8578168.279999999</v>
      </c>
      <c r="L1292" t="n">
        <v>47650478.58</v>
      </c>
      <c r="M1292" t="n">
        <v>1605.4681</v>
      </c>
      <c r="N1292" t="inlineStr">
        <is>
          <t>Provided Total Emissions</t>
        </is>
      </c>
      <c r="O1292" t="b">
        <v>1</v>
      </c>
      <c r="P1292" t="n">
        <v>-0.025816</v>
      </c>
      <c r="Q1292" t="n">
        <v>-0.005218</v>
      </c>
      <c r="R1292" t="n">
        <v>2506.6266</v>
      </c>
      <c r="S1292" t="n">
        <v>8264.022499999999</v>
      </c>
      <c r="T1292" t="n">
        <v>901.1585</v>
      </c>
      <c r="U1292" t="n">
        <v>6658.5544</v>
      </c>
      <c r="V1292" t="n">
        <v>0.561306</v>
      </c>
      <c r="W1292" t="n">
        <v>4.147422</v>
      </c>
      <c r="X1292" t="inlineStr">
        <is>
          <t>High</t>
        </is>
      </c>
      <c r="Y1292" t="inlineStr">
        <is>
          <t>None</t>
        </is>
      </c>
      <c r="Z1292" t="inlineStr">
        <is>
          <t>Valid</t>
        </is>
      </c>
      <c r="AA1292" t="n">
        <v>2035</v>
      </c>
      <c r="AB1292" t="inlineStr">
        <is>
          <t>Industry Haircut Pathway</t>
        </is>
      </c>
      <c r="AC1292" t="n">
        <v>2031.5668</v>
      </c>
      <c r="AD1292" t="n">
        <v>1387.357</v>
      </c>
      <c r="AE1292" t="n">
        <v>1387.357</v>
      </c>
      <c r="AF1292" t="n">
        <v>1387.357</v>
      </c>
      <c r="AG1292" t="n">
        <v>644.2098</v>
      </c>
      <c r="AH1292" t="n">
        <v>0.00016173</v>
      </c>
      <c r="AI1292" t="n">
        <v>0.3171</v>
      </c>
      <c r="AJ1292" t="n">
        <v>0</v>
      </c>
      <c r="AK1292" t="n">
        <v>42.9473</v>
      </c>
      <c r="AL1292" t="n">
        <v>-7580.9947</v>
      </c>
      <c r="AM1292" t="n">
        <v>15905.1367</v>
      </c>
      <c r="AN1292" t="n">
        <v>0.95</v>
      </c>
      <c r="AO1292" t="inlineStr">
        <is>
          <t>Low</t>
        </is>
      </c>
      <c r="AP1292" t="inlineStr">
        <is>
          <t>On Track</t>
        </is>
      </c>
    </row>
    <row r="1293">
      <c r="A1293" t="inlineStr">
        <is>
          <t>SUP-0081</t>
        </is>
      </c>
      <c r="B1293" t="inlineStr">
        <is>
          <t>Textiles Supplier 081</t>
        </is>
      </c>
      <c r="C1293" t="inlineStr">
        <is>
          <t>Textiles</t>
        </is>
      </c>
      <c r="D1293" t="n">
        <v>2024</v>
      </c>
      <c r="E1293" t="n">
        <v>2015</v>
      </c>
      <c r="F1293" t="n">
        <v>2030</v>
      </c>
      <c r="G1293" t="n">
        <v>1605.4681</v>
      </c>
      <c r="H1293" t="n">
        <v>373.6896</v>
      </c>
      <c r="I1293" t="n">
        <v>220.4625</v>
      </c>
      <c r="J1293" t="n">
        <v>1125.1031</v>
      </c>
      <c r="K1293" t="n">
        <v>8578168.279999999</v>
      </c>
      <c r="L1293" t="n">
        <v>47650478.58</v>
      </c>
      <c r="M1293" t="n">
        <v>1605.4681</v>
      </c>
      <c r="N1293" t="inlineStr">
        <is>
          <t>Provided Total Emissions</t>
        </is>
      </c>
      <c r="O1293" t="b">
        <v>1</v>
      </c>
      <c r="P1293" t="n">
        <v>-0.025816</v>
      </c>
      <c r="Q1293" t="n">
        <v>-0.005218</v>
      </c>
      <c r="R1293" t="n">
        <v>2506.6266</v>
      </c>
      <c r="S1293" t="n">
        <v>8264.022499999999</v>
      </c>
      <c r="T1293" t="n">
        <v>901.1585</v>
      </c>
      <c r="U1293" t="n">
        <v>6658.5544</v>
      </c>
      <c r="V1293" t="n">
        <v>0.561306</v>
      </c>
      <c r="W1293" t="n">
        <v>4.147422</v>
      </c>
      <c r="X1293" t="inlineStr">
        <is>
          <t>High</t>
        </is>
      </c>
      <c r="Y1293" t="inlineStr">
        <is>
          <t>None</t>
        </is>
      </c>
      <c r="Z1293" t="inlineStr">
        <is>
          <t>Valid</t>
        </is>
      </c>
      <c r="AA1293" t="n">
        <v>2036</v>
      </c>
      <c r="AB1293" t="inlineStr">
        <is>
          <t>Industry Haircut Pathway</t>
        </is>
      </c>
      <c r="AC1293" t="n">
        <v>2031.5668</v>
      </c>
      <c r="AD1293" t="n">
        <v>1387.357</v>
      </c>
      <c r="AE1293" t="n">
        <v>1387.357</v>
      </c>
      <c r="AF1293" t="n">
        <v>1387.357</v>
      </c>
      <c r="AG1293" t="n">
        <v>644.2098</v>
      </c>
      <c r="AH1293" t="n">
        <v>0.00016173</v>
      </c>
      <c r="AI1293" t="n">
        <v>0.3171</v>
      </c>
      <c r="AJ1293" t="n">
        <v>0</v>
      </c>
      <c r="AK1293" t="n">
        <v>42.9473</v>
      </c>
      <c r="AL1293" t="n">
        <v>-8968.351699999999</v>
      </c>
      <c r="AM1293" t="n">
        <v>17292.4937</v>
      </c>
      <c r="AN1293" t="n">
        <v>0.95</v>
      </c>
      <c r="AO1293" t="inlineStr">
        <is>
          <t>Low</t>
        </is>
      </c>
      <c r="AP1293" t="inlineStr">
        <is>
          <t>On Track</t>
        </is>
      </c>
    </row>
    <row r="1294">
      <c r="A1294" t="inlineStr">
        <is>
          <t>SUP-0081</t>
        </is>
      </c>
      <c r="B1294" t="inlineStr">
        <is>
          <t>Textiles Supplier 081</t>
        </is>
      </c>
      <c r="C1294" t="inlineStr">
        <is>
          <t>Textiles</t>
        </is>
      </c>
      <c r="D1294" t="n">
        <v>2024</v>
      </c>
      <c r="E1294" t="n">
        <v>2015</v>
      </c>
      <c r="F1294" t="n">
        <v>2030</v>
      </c>
      <c r="G1294" t="n">
        <v>1605.4681</v>
      </c>
      <c r="H1294" t="n">
        <v>373.6896</v>
      </c>
      <c r="I1294" t="n">
        <v>220.4625</v>
      </c>
      <c r="J1294" t="n">
        <v>1125.1031</v>
      </c>
      <c r="K1294" t="n">
        <v>8578168.279999999</v>
      </c>
      <c r="L1294" t="n">
        <v>47650478.58</v>
      </c>
      <c r="M1294" t="n">
        <v>1605.4681</v>
      </c>
      <c r="N1294" t="inlineStr">
        <is>
          <t>Provided Total Emissions</t>
        </is>
      </c>
      <c r="O1294" t="b">
        <v>1</v>
      </c>
      <c r="P1294" t="n">
        <v>-0.025816</v>
      </c>
      <c r="Q1294" t="n">
        <v>-0.005218</v>
      </c>
      <c r="R1294" t="n">
        <v>2506.6266</v>
      </c>
      <c r="S1294" t="n">
        <v>8264.022499999999</v>
      </c>
      <c r="T1294" t="n">
        <v>901.1585</v>
      </c>
      <c r="U1294" t="n">
        <v>6658.5544</v>
      </c>
      <c r="V1294" t="n">
        <v>0.561306</v>
      </c>
      <c r="W1294" t="n">
        <v>4.147422</v>
      </c>
      <c r="X1294" t="inlineStr">
        <is>
          <t>High</t>
        </is>
      </c>
      <c r="Y1294" t="inlineStr">
        <is>
          <t>None</t>
        </is>
      </c>
      <c r="Z1294" t="inlineStr">
        <is>
          <t>Valid</t>
        </is>
      </c>
      <c r="AA1294" t="n">
        <v>2037</v>
      </c>
      <c r="AB1294" t="inlineStr">
        <is>
          <t>Industry Haircut Pathway</t>
        </is>
      </c>
      <c r="AC1294" t="n">
        <v>2031.5668</v>
      </c>
      <c r="AD1294" t="n">
        <v>1387.357</v>
      </c>
      <c r="AE1294" t="n">
        <v>1387.357</v>
      </c>
      <c r="AF1294" t="n">
        <v>1387.357</v>
      </c>
      <c r="AG1294" t="n">
        <v>644.2098</v>
      </c>
      <c r="AH1294" t="n">
        <v>0.00016173</v>
      </c>
      <c r="AI1294" t="n">
        <v>0.3171</v>
      </c>
      <c r="AJ1294" t="n">
        <v>0</v>
      </c>
      <c r="AK1294" t="n">
        <v>42.9473</v>
      </c>
      <c r="AL1294" t="n">
        <v>-10355.7087</v>
      </c>
      <c r="AM1294" t="n">
        <v>18679.8507</v>
      </c>
      <c r="AN1294" t="n">
        <v>0.95</v>
      </c>
      <c r="AO1294" t="inlineStr">
        <is>
          <t>Low</t>
        </is>
      </c>
      <c r="AP1294" t="inlineStr">
        <is>
          <t>On Track</t>
        </is>
      </c>
    </row>
    <row r="1295">
      <c r="A1295" t="inlineStr">
        <is>
          <t>SUP-0081</t>
        </is>
      </c>
      <c r="B1295" t="inlineStr">
        <is>
          <t>Textiles Supplier 081</t>
        </is>
      </c>
      <c r="C1295" t="inlineStr">
        <is>
          <t>Textiles</t>
        </is>
      </c>
      <c r="D1295" t="n">
        <v>2024</v>
      </c>
      <c r="E1295" t="n">
        <v>2015</v>
      </c>
      <c r="F1295" t="n">
        <v>2030</v>
      </c>
      <c r="G1295" t="n">
        <v>1605.4681</v>
      </c>
      <c r="H1295" t="n">
        <v>373.6896</v>
      </c>
      <c r="I1295" t="n">
        <v>220.4625</v>
      </c>
      <c r="J1295" t="n">
        <v>1125.1031</v>
      </c>
      <c r="K1295" t="n">
        <v>8578168.279999999</v>
      </c>
      <c r="L1295" t="n">
        <v>47650478.58</v>
      </c>
      <c r="M1295" t="n">
        <v>1605.4681</v>
      </c>
      <c r="N1295" t="inlineStr">
        <is>
          <t>Provided Total Emissions</t>
        </is>
      </c>
      <c r="O1295" t="b">
        <v>1</v>
      </c>
      <c r="P1295" t="n">
        <v>-0.025816</v>
      </c>
      <c r="Q1295" t="n">
        <v>-0.005218</v>
      </c>
      <c r="R1295" t="n">
        <v>2506.6266</v>
      </c>
      <c r="S1295" t="n">
        <v>8264.022499999999</v>
      </c>
      <c r="T1295" t="n">
        <v>901.1585</v>
      </c>
      <c r="U1295" t="n">
        <v>6658.5544</v>
      </c>
      <c r="V1295" t="n">
        <v>0.561306</v>
      </c>
      <c r="W1295" t="n">
        <v>4.147422</v>
      </c>
      <c r="X1295" t="inlineStr">
        <is>
          <t>High</t>
        </is>
      </c>
      <c r="Y1295" t="inlineStr">
        <is>
          <t>None</t>
        </is>
      </c>
      <c r="Z1295" t="inlineStr">
        <is>
          <t>Valid</t>
        </is>
      </c>
      <c r="AA1295" t="n">
        <v>2038</v>
      </c>
      <c r="AB1295" t="inlineStr">
        <is>
          <t>Industry Haircut Pathway</t>
        </is>
      </c>
      <c r="AC1295" t="n">
        <v>2031.5668</v>
      </c>
      <c r="AD1295" t="n">
        <v>1387.357</v>
      </c>
      <c r="AE1295" t="n">
        <v>1387.357</v>
      </c>
      <c r="AF1295" t="n">
        <v>1387.357</v>
      </c>
      <c r="AG1295" t="n">
        <v>644.2098</v>
      </c>
      <c r="AH1295" t="n">
        <v>0.00016173</v>
      </c>
      <c r="AI1295" t="n">
        <v>0.3171</v>
      </c>
      <c r="AJ1295" t="n">
        <v>0</v>
      </c>
      <c r="AK1295" t="n">
        <v>42.9473</v>
      </c>
      <c r="AL1295" t="n">
        <v>-11743.0657</v>
      </c>
      <c r="AM1295" t="n">
        <v>20067.2077</v>
      </c>
      <c r="AN1295" t="n">
        <v>0.95</v>
      </c>
      <c r="AO1295" t="inlineStr">
        <is>
          <t>Low</t>
        </is>
      </c>
      <c r="AP1295" t="inlineStr">
        <is>
          <t>On Track</t>
        </is>
      </c>
    </row>
    <row r="1296">
      <c r="A1296" t="inlineStr">
        <is>
          <t>SUP-0081</t>
        </is>
      </c>
      <c r="B1296" t="inlineStr">
        <is>
          <t>Textiles Supplier 081</t>
        </is>
      </c>
      <c r="C1296" t="inlineStr">
        <is>
          <t>Textiles</t>
        </is>
      </c>
      <c r="D1296" t="n">
        <v>2024</v>
      </c>
      <c r="E1296" t="n">
        <v>2015</v>
      </c>
      <c r="F1296" t="n">
        <v>2030</v>
      </c>
      <c r="G1296" t="n">
        <v>1605.4681</v>
      </c>
      <c r="H1296" t="n">
        <v>373.6896</v>
      </c>
      <c r="I1296" t="n">
        <v>220.4625</v>
      </c>
      <c r="J1296" t="n">
        <v>1125.1031</v>
      </c>
      <c r="K1296" t="n">
        <v>8578168.279999999</v>
      </c>
      <c r="L1296" t="n">
        <v>47650478.58</v>
      </c>
      <c r="M1296" t="n">
        <v>1605.4681</v>
      </c>
      <c r="N1296" t="inlineStr">
        <is>
          <t>Provided Total Emissions</t>
        </is>
      </c>
      <c r="O1296" t="b">
        <v>1</v>
      </c>
      <c r="P1296" t="n">
        <v>-0.025816</v>
      </c>
      <c r="Q1296" t="n">
        <v>-0.005218</v>
      </c>
      <c r="R1296" t="n">
        <v>2506.6266</v>
      </c>
      <c r="S1296" t="n">
        <v>8264.022499999999</v>
      </c>
      <c r="T1296" t="n">
        <v>901.1585</v>
      </c>
      <c r="U1296" t="n">
        <v>6658.5544</v>
      </c>
      <c r="V1296" t="n">
        <v>0.561306</v>
      </c>
      <c r="W1296" t="n">
        <v>4.147422</v>
      </c>
      <c r="X1296" t="inlineStr">
        <is>
          <t>High</t>
        </is>
      </c>
      <c r="Y1296" t="inlineStr">
        <is>
          <t>None</t>
        </is>
      </c>
      <c r="Z1296" t="inlineStr">
        <is>
          <t>Valid</t>
        </is>
      </c>
      <c r="AA1296" t="n">
        <v>2039</v>
      </c>
      <c r="AB1296" t="inlineStr">
        <is>
          <t>Industry Haircut Pathway</t>
        </is>
      </c>
      <c r="AC1296" t="n">
        <v>2031.5668</v>
      </c>
      <c r="AD1296" t="n">
        <v>1387.357</v>
      </c>
      <c r="AE1296" t="n">
        <v>1387.357</v>
      </c>
      <c r="AF1296" t="n">
        <v>1387.357</v>
      </c>
      <c r="AG1296" t="n">
        <v>644.2098</v>
      </c>
      <c r="AH1296" t="n">
        <v>0.00016173</v>
      </c>
      <c r="AI1296" t="n">
        <v>0.3171</v>
      </c>
      <c r="AJ1296" t="n">
        <v>0</v>
      </c>
      <c r="AK1296" t="n">
        <v>42.9473</v>
      </c>
      <c r="AL1296" t="n">
        <v>-13130.4227</v>
      </c>
      <c r="AM1296" t="n">
        <v>21454.5647</v>
      </c>
      <c r="AN1296" t="n">
        <v>0.95</v>
      </c>
      <c r="AO1296" t="inlineStr">
        <is>
          <t>Low</t>
        </is>
      </c>
      <c r="AP1296" t="inlineStr">
        <is>
          <t>On Track</t>
        </is>
      </c>
    </row>
    <row r="1297">
      <c r="A1297" t="inlineStr">
        <is>
          <t>SUP-0081</t>
        </is>
      </c>
      <c r="B1297" t="inlineStr">
        <is>
          <t>Textiles Supplier 081</t>
        </is>
      </c>
      <c r="C1297" t="inlineStr">
        <is>
          <t>Textiles</t>
        </is>
      </c>
      <c r="D1297" t="n">
        <v>2024</v>
      </c>
      <c r="E1297" t="n">
        <v>2015</v>
      </c>
      <c r="F1297" t="n">
        <v>2030</v>
      </c>
      <c r="G1297" t="n">
        <v>1605.4681</v>
      </c>
      <c r="H1297" t="n">
        <v>373.6896</v>
      </c>
      <c r="I1297" t="n">
        <v>220.4625</v>
      </c>
      <c r="J1297" t="n">
        <v>1125.1031</v>
      </c>
      <c r="K1297" t="n">
        <v>8578168.279999999</v>
      </c>
      <c r="L1297" t="n">
        <v>47650478.58</v>
      </c>
      <c r="M1297" t="n">
        <v>1605.4681</v>
      </c>
      <c r="N1297" t="inlineStr">
        <is>
          <t>Provided Total Emissions</t>
        </is>
      </c>
      <c r="O1297" t="b">
        <v>1</v>
      </c>
      <c r="P1297" t="n">
        <v>-0.025816</v>
      </c>
      <c r="Q1297" t="n">
        <v>-0.005218</v>
      </c>
      <c r="R1297" t="n">
        <v>2506.6266</v>
      </c>
      <c r="S1297" t="n">
        <v>8264.022499999999</v>
      </c>
      <c r="T1297" t="n">
        <v>901.1585</v>
      </c>
      <c r="U1297" t="n">
        <v>6658.5544</v>
      </c>
      <c r="V1297" t="n">
        <v>0.561306</v>
      </c>
      <c r="W1297" t="n">
        <v>4.147422</v>
      </c>
      <c r="X1297" t="inlineStr">
        <is>
          <t>High</t>
        </is>
      </c>
      <c r="Y1297" t="inlineStr">
        <is>
          <t>None</t>
        </is>
      </c>
      <c r="Z1297" t="inlineStr">
        <is>
          <t>Valid</t>
        </is>
      </c>
      <c r="AA1297" t="n">
        <v>2040</v>
      </c>
      <c r="AB1297" t="inlineStr">
        <is>
          <t>Industry Haircut Pathway</t>
        </is>
      </c>
      <c r="AC1297" t="n">
        <v>2031.5668</v>
      </c>
      <c r="AD1297" t="n">
        <v>1387.357</v>
      </c>
      <c r="AE1297" t="n">
        <v>1387.357</v>
      </c>
      <c r="AF1297" t="n">
        <v>1387.357</v>
      </c>
      <c r="AG1297" t="n">
        <v>644.2098</v>
      </c>
      <c r="AH1297" t="n">
        <v>0.00016173</v>
      </c>
      <c r="AI1297" t="n">
        <v>0.3171</v>
      </c>
      <c r="AJ1297" t="n">
        <v>0</v>
      </c>
      <c r="AK1297" t="n">
        <v>42.9473</v>
      </c>
      <c r="AL1297" t="n">
        <v>-14517.7797</v>
      </c>
      <c r="AM1297" t="n">
        <v>22841.9217</v>
      </c>
      <c r="AN1297" t="n">
        <v>0.95</v>
      </c>
      <c r="AO1297" t="inlineStr">
        <is>
          <t>Low</t>
        </is>
      </c>
      <c r="AP1297" t="inlineStr">
        <is>
          <t>On Track</t>
        </is>
      </c>
    </row>
    <row r="1298">
      <c r="A1298" t="inlineStr">
        <is>
          <t>SUP-0082</t>
        </is>
      </c>
      <c r="B1298" t="inlineStr">
        <is>
          <t>Packaging Supplier 082</t>
        </is>
      </c>
      <c r="C1298" t="inlineStr">
        <is>
          <t>Packaging</t>
        </is>
      </c>
      <c r="D1298" t="n">
        <v>2024</v>
      </c>
      <c r="E1298" t="n">
        <v>2018</v>
      </c>
      <c r="F1298" t="n">
        <v>2030</v>
      </c>
      <c r="G1298" t="n">
        <v>40116.1832</v>
      </c>
      <c r="H1298" t="n">
        <v>9713.481400000001</v>
      </c>
      <c r="I1298" t="n">
        <v>2930.5859</v>
      </c>
      <c r="J1298" t="n">
        <v>25125.5516</v>
      </c>
      <c r="K1298" t="n">
        <v>28407683.17</v>
      </c>
      <c r="L1298" t="n">
        <v>189393402.34</v>
      </c>
      <c r="M1298" t="n">
        <v>40116.1832</v>
      </c>
      <c r="N1298" t="inlineStr">
        <is>
          <t>Provided Total Emissions</t>
        </is>
      </c>
      <c r="O1298" t="b">
        <v>1</v>
      </c>
      <c r="P1298" t="n">
        <v>0.053285</v>
      </c>
      <c r="Q1298" t="n">
        <v>0.052337</v>
      </c>
      <c r="R1298" t="n">
        <v>30688.8201</v>
      </c>
      <c r="S1298" t="n">
        <v>149518.5154</v>
      </c>
      <c r="T1298" t="n">
        <v>-9427.3631</v>
      </c>
      <c r="U1298" t="n">
        <v>109402.3322</v>
      </c>
      <c r="V1298" t="n">
        <v>-0.235001</v>
      </c>
      <c r="W1298" t="n">
        <v>2.727137</v>
      </c>
      <c r="X1298" t="inlineStr">
        <is>
          <t>High</t>
        </is>
      </c>
      <c r="Y1298" t="inlineStr">
        <is>
          <t>None</t>
        </is>
      </c>
      <c r="Z1298" t="inlineStr">
        <is>
          <t>Valid</t>
        </is>
      </c>
      <c r="AA1298" t="n">
        <v>2025</v>
      </c>
      <c r="AB1298" t="inlineStr">
        <is>
          <t>Supplier Target Pathway</t>
        </is>
      </c>
      <c r="AC1298" t="n">
        <v>24374.3341</v>
      </c>
      <c r="AD1298" t="n">
        <v>15426.5161</v>
      </c>
      <c r="AE1298" t="n">
        <v>19154.7736</v>
      </c>
      <c r="AF1298" t="n">
        <v>19154.7736</v>
      </c>
      <c r="AG1298" t="n">
        <v>5219.5605</v>
      </c>
      <c r="AH1298" t="n">
        <v>0.00067428</v>
      </c>
      <c r="AI1298" t="n">
        <v>0.214142</v>
      </c>
      <c r="AJ1298" t="n">
        <v>3728.2575</v>
      </c>
      <c r="AK1298" t="n">
        <v>745.6515000000001</v>
      </c>
      <c r="AL1298" t="n">
        <v>73404.323</v>
      </c>
      <c r="AM1298" t="n">
        <v>19154.7736</v>
      </c>
      <c r="AN1298" t="n">
        <v>0.99</v>
      </c>
      <c r="AO1298" t="inlineStr">
        <is>
          <t>High</t>
        </is>
      </c>
      <c r="AP1298" t="inlineStr">
        <is>
          <t>On Track to Glide Path</t>
        </is>
      </c>
    </row>
    <row r="1299">
      <c r="A1299" t="inlineStr">
        <is>
          <t>SUP-0082</t>
        </is>
      </c>
      <c r="B1299" t="inlineStr">
        <is>
          <t>Packaging Supplier 082</t>
        </is>
      </c>
      <c r="C1299" t="inlineStr">
        <is>
          <t>Packaging</t>
        </is>
      </c>
      <c r="D1299" t="n">
        <v>2024</v>
      </c>
      <c r="E1299" t="n">
        <v>2018</v>
      </c>
      <c r="F1299" t="n">
        <v>2030</v>
      </c>
      <c r="G1299" t="n">
        <v>40116.1832</v>
      </c>
      <c r="H1299" t="n">
        <v>9713.481400000001</v>
      </c>
      <c r="I1299" t="n">
        <v>2930.5859</v>
      </c>
      <c r="J1299" t="n">
        <v>25125.5516</v>
      </c>
      <c r="K1299" t="n">
        <v>28407683.17</v>
      </c>
      <c r="L1299" t="n">
        <v>189393402.34</v>
      </c>
      <c r="M1299" t="n">
        <v>40116.1832</v>
      </c>
      <c r="N1299" t="inlineStr">
        <is>
          <t>Provided Total Emissions</t>
        </is>
      </c>
      <c r="O1299" t="b">
        <v>1</v>
      </c>
      <c r="P1299" t="n">
        <v>0.053285</v>
      </c>
      <c r="Q1299" t="n">
        <v>0.052337</v>
      </c>
      <c r="R1299" t="n">
        <v>30688.8201</v>
      </c>
      <c r="S1299" t="n">
        <v>149518.5154</v>
      </c>
      <c r="T1299" t="n">
        <v>-9427.3631</v>
      </c>
      <c r="U1299" t="n">
        <v>109402.3322</v>
      </c>
      <c r="V1299" t="n">
        <v>-0.235001</v>
      </c>
      <c r="W1299" t="n">
        <v>2.727137</v>
      </c>
      <c r="X1299" t="inlineStr">
        <is>
          <t>High</t>
        </is>
      </c>
      <c r="Y1299" t="inlineStr">
        <is>
          <t>None</t>
        </is>
      </c>
      <c r="Z1299" t="inlineStr">
        <is>
          <t>Valid</t>
        </is>
      </c>
      <c r="AA1299" t="n">
        <v>2026</v>
      </c>
      <c r="AB1299" t="inlineStr">
        <is>
          <t>Supplier Target Pathway</t>
        </is>
      </c>
      <c r="AC1299" t="n">
        <v>24374.3341</v>
      </c>
      <c r="AD1299" t="n">
        <v>15426.5161</v>
      </c>
      <c r="AE1299" t="n">
        <v>18409.1221</v>
      </c>
      <c r="AF1299" t="n">
        <v>18409.1221</v>
      </c>
      <c r="AG1299" t="n">
        <v>5965.212</v>
      </c>
      <c r="AH1299" t="n">
        <v>0.00064803</v>
      </c>
      <c r="AI1299" t="n">
        <v>0.244733</v>
      </c>
      <c r="AJ1299" t="n">
        <v>2982.606</v>
      </c>
      <c r="AK1299" t="n">
        <v>745.6515000000001</v>
      </c>
      <c r="AL1299" t="n">
        <v>54995.2009</v>
      </c>
      <c r="AM1299" t="n">
        <v>37563.8957</v>
      </c>
      <c r="AN1299" t="n">
        <v>0.99</v>
      </c>
      <c r="AO1299" t="inlineStr">
        <is>
          <t>High</t>
        </is>
      </c>
      <c r="AP1299" t="inlineStr">
        <is>
          <t>On Track to Glide Path</t>
        </is>
      </c>
    </row>
    <row r="1300">
      <c r="A1300" t="inlineStr">
        <is>
          <t>SUP-0082</t>
        </is>
      </c>
      <c r="B1300" t="inlineStr">
        <is>
          <t>Packaging Supplier 082</t>
        </is>
      </c>
      <c r="C1300" t="inlineStr">
        <is>
          <t>Packaging</t>
        </is>
      </c>
      <c r="D1300" t="n">
        <v>2024</v>
      </c>
      <c r="E1300" t="n">
        <v>2018</v>
      </c>
      <c r="F1300" t="n">
        <v>2030</v>
      </c>
      <c r="G1300" t="n">
        <v>40116.1832</v>
      </c>
      <c r="H1300" t="n">
        <v>9713.481400000001</v>
      </c>
      <c r="I1300" t="n">
        <v>2930.5859</v>
      </c>
      <c r="J1300" t="n">
        <v>25125.5516</v>
      </c>
      <c r="K1300" t="n">
        <v>28407683.17</v>
      </c>
      <c r="L1300" t="n">
        <v>189393402.34</v>
      </c>
      <c r="M1300" t="n">
        <v>40116.1832</v>
      </c>
      <c r="N1300" t="inlineStr">
        <is>
          <t>Provided Total Emissions</t>
        </is>
      </c>
      <c r="O1300" t="b">
        <v>1</v>
      </c>
      <c r="P1300" t="n">
        <v>0.053285</v>
      </c>
      <c r="Q1300" t="n">
        <v>0.052337</v>
      </c>
      <c r="R1300" t="n">
        <v>30688.8201</v>
      </c>
      <c r="S1300" t="n">
        <v>149518.5154</v>
      </c>
      <c r="T1300" t="n">
        <v>-9427.3631</v>
      </c>
      <c r="U1300" t="n">
        <v>109402.3322</v>
      </c>
      <c r="V1300" t="n">
        <v>-0.235001</v>
      </c>
      <c r="W1300" t="n">
        <v>2.727137</v>
      </c>
      <c r="X1300" t="inlineStr">
        <is>
          <t>High</t>
        </is>
      </c>
      <c r="Y1300" t="inlineStr">
        <is>
          <t>None</t>
        </is>
      </c>
      <c r="Z1300" t="inlineStr">
        <is>
          <t>Valid</t>
        </is>
      </c>
      <c r="AA1300" t="n">
        <v>2027</v>
      </c>
      <c r="AB1300" t="inlineStr">
        <is>
          <t>Supplier Target Pathway</t>
        </is>
      </c>
      <c r="AC1300" t="n">
        <v>24374.3341</v>
      </c>
      <c r="AD1300" t="n">
        <v>15426.5161</v>
      </c>
      <c r="AE1300" t="n">
        <v>17663.4706</v>
      </c>
      <c r="AF1300" t="n">
        <v>17663.4706</v>
      </c>
      <c r="AG1300" t="n">
        <v>6710.8635</v>
      </c>
      <c r="AH1300" t="n">
        <v>0.0006217800000000001</v>
      </c>
      <c r="AI1300" t="n">
        <v>0.275325</v>
      </c>
      <c r="AJ1300" t="n">
        <v>2236.9545</v>
      </c>
      <c r="AK1300" t="n">
        <v>745.6515000000001</v>
      </c>
      <c r="AL1300" t="n">
        <v>37331.7303</v>
      </c>
      <c r="AM1300" t="n">
        <v>55227.3663</v>
      </c>
      <c r="AN1300" t="n">
        <v>0.99</v>
      </c>
      <c r="AO1300" t="inlineStr">
        <is>
          <t>Medium</t>
        </is>
      </c>
      <c r="AP1300" t="inlineStr">
        <is>
          <t>On Track to Glide Path</t>
        </is>
      </c>
    </row>
    <row r="1301">
      <c r="A1301" t="inlineStr">
        <is>
          <t>SUP-0082</t>
        </is>
      </c>
      <c r="B1301" t="inlineStr">
        <is>
          <t>Packaging Supplier 082</t>
        </is>
      </c>
      <c r="C1301" t="inlineStr">
        <is>
          <t>Packaging</t>
        </is>
      </c>
      <c r="D1301" t="n">
        <v>2024</v>
      </c>
      <c r="E1301" t="n">
        <v>2018</v>
      </c>
      <c r="F1301" t="n">
        <v>2030</v>
      </c>
      <c r="G1301" t="n">
        <v>40116.1832</v>
      </c>
      <c r="H1301" t="n">
        <v>9713.481400000001</v>
      </c>
      <c r="I1301" t="n">
        <v>2930.5859</v>
      </c>
      <c r="J1301" t="n">
        <v>25125.5516</v>
      </c>
      <c r="K1301" t="n">
        <v>28407683.17</v>
      </c>
      <c r="L1301" t="n">
        <v>189393402.34</v>
      </c>
      <c r="M1301" t="n">
        <v>40116.1832</v>
      </c>
      <c r="N1301" t="inlineStr">
        <is>
          <t>Provided Total Emissions</t>
        </is>
      </c>
      <c r="O1301" t="b">
        <v>1</v>
      </c>
      <c r="P1301" t="n">
        <v>0.053285</v>
      </c>
      <c r="Q1301" t="n">
        <v>0.052337</v>
      </c>
      <c r="R1301" t="n">
        <v>30688.8201</v>
      </c>
      <c r="S1301" t="n">
        <v>149518.5154</v>
      </c>
      <c r="T1301" t="n">
        <v>-9427.3631</v>
      </c>
      <c r="U1301" t="n">
        <v>109402.3322</v>
      </c>
      <c r="V1301" t="n">
        <v>-0.235001</v>
      </c>
      <c r="W1301" t="n">
        <v>2.727137</v>
      </c>
      <c r="X1301" t="inlineStr">
        <is>
          <t>High</t>
        </is>
      </c>
      <c r="Y1301" t="inlineStr">
        <is>
          <t>None</t>
        </is>
      </c>
      <c r="Z1301" t="inlineStr">
        <is>
          <t>Valid</t>
        </is>
      </c>
      <c r="AA1301" t="n">
        <v>2028</v>
      </c>
      <c r="AB1301" t="inlineStr">
        <is>
          <t>Supplier Target Pathway</t>
        </is>
      </c>
      <c r="AC1301" t="n">
        <v>24374.3341</v>
      </c>
      <c r="AD1301" t="n">
        <v>15426.5161</v>
      </c>
      <c r="AE1301" t="n">
        <v>16917.8191</v>
      </c>
      <c r="AF1301" t="n">
        <v>16917.8191</v>
      </c>
      <c r="AG1301" t="n">
        <v>7456.515</v>
      </c>
      <c r="AH1301" t="n">
        <v>0.00059554</v>
      </c>
      <c r="AI1301" t="n">
        <v>0.305917</v>
      </c>
      <c r="AJ1301" t="n">
        <v>1491.303</v>
      </c>
      <c r="AK1301" t="n">
        <v>745.6515000000001</v>
      </c>
      <c r="AL1301" t="n">
        <v>20413.9112</v>
      </c>
      <c r="AM1301" t="n">
        <v>72145.1854</v>
      </c>
      <c r="AN1301" t="n">
        <v>0.99</v>
      </c>
      <c r="AO1301" t="inlineStr">
        <is>
          <t>Medium</t>
        </is>
      </c>
      <c r="AP1301" t="inlineStr">
        <is>
          <t>On Track to Glide Path</t>
        </is>
      </c>
    </row>
    <row r="1302">
      <c r="A1302" t="inlineStr">
        <is>
          <t>SUP-0082</t>
        </is>
      </c>
      <c r="B1302" t="inlineStr">
        <is>
          <t>Packaging Supplier 082</t>
        </is>
      </c>
      <c r="C1302" t="inlineStr">
        <is>
          <t>Packaging</t>
        </is>
      </c>
      <c r="D1302" t="n">
        <v>2024</v>
      </c>
      <c r="E1302" t="n">
        <v>2018</v>
      </c>
      <c r="F1302" t="n">
        <v>2030</v>
      </c>
      <c r="G1302" t="n">
        <v>40116.1832</v>
      </c>
      <c r="H1302" t="n">
        <v>9713.481400000001</v>
      </c>
      <c r="I1302" t="n">
        <v>2930.5859</v>
      </c>
      <c r="J1302" t="n">
        <v>25125.5516</v>
      </c>
      <c r="K1302" t="n">
        <v>28407683.17</v>
      </c>
      <c r="L1302" t="n">
        <v>189393402.34</v>
      </c>
      <c r="M1302" t="n">
        <v>40116.1832</v>
      </c>
      <c r="N1302" t="inlineStr">
        <is>
          <t>Provided Total Emissions</t>
        </is>
      </c>
      <c r="O1302" t="b">
        <v>1</v>
      </c>
      <c r="P1302" t="n">
        <v>0.053285</v>
      </c>
      <c r="Q1302" t="n">
        <v>0.052337</v>
      </c>
      <c r="R1302" t="n">
        <v>30688.8201</v>
      </c>
      <c r="S1302" t="n">
        <v>149518.5154</v>
      </c>
      <c r="T1302" t="n">
        <v>-9427.3631</v>
      </c>
      <c r="U1302" t="n">
        <v>109402.3322</v>
      </c>
      <c r="V1302" t="n">
        <v>-0.235001</v>
      </c>
      <c r="W1302" t="n">
        <v>2.727137</v>
      </c>
      <c r="X1302" t="inlineStr">
        <is>
          <t>High</t>
        </is>
      </c>
      <c r="Y1302" t="inlineStr">
        <is>
          <t>None</t>
        </is>
      </c>
      <c r="Z1302" t="inlineStr">
        <is>
          <t>Valid</t>
        </is>
      </c>
      <c r="AA1302" t="n">
        <v>2029</v>
      </c>
      <c r="AB1302" t="inlineStr">
        <is>
          <t>Supplier Target Pathway</t>
        </is>
      </c>
      <c r="AC1302" t="n">
        <v>24374.3341</v>
      </c>
      <c r="AD1302" t="n">
        <v>15426.5161</v>
      </c>
      <c r="AE1302" t="n">
        <v>16172.1676</v>
      </c>
      <c r="AF1302" t="n">
        <v>16172.1676</v>
      </c>
      <c r="AG1302" t="n">
        <v>8202.166499999999</v>
      </c>
      <c r="AH1302" t="n">
        <v>0.00056929</v>
      </c>
      <c r="AI1302" t="n">
        <v>0.336508</v>
      </c>
      <c r="AJ1302" t="n">
        <v>745.6515000000001</v>
      </c>
      <c r="AK1302" t="n">
        <v>745.6515000000001</v>
      </c>
      <c r="AL1302" t="n">
        <v>4241.7436</v>
      </c>
      <c r="AM1302" t="n">
        <v>88317.353</v>
      </c>
      <c r="AN1302" t="n">
        <v>0.99</v>
      </c>
      <c r="AO1302" t="inlineStr">
        <is>
          <t>Medium</t>
        </is>
      </c>
      <c r="AP1302" t="inlineStr">
        <is>
          <t>On Track to Glide Path</t>
        </is>
      </c>
    </row>
    <row r="1303">
      <c r="A1303" t="inlineStr">
        <is>
          <t>SUP-0082</t>
        </is>
      </c>
      <c r="B1303" t="inlineStr">
        <is>
          <t>Packaging Supplier 082</t>
        </is>
      </c>
      <c r="C1303" t="inlineStr">
        <is>
          <t>Packaging</t>
        </is>
      </c>
      <c r="D1303" t="n">
        <v>2024</v>
      </c>
      <c r="E1303" t="n">
        <v>2018</v>
      </c>
      <c r="F1303" t="n">
        <v>2030</v>
      </c>
      <c r="G1303" t="n">
        <v>40116.1832</v>
      </c>
      <c r="H1303" t="n">
        <v>9713.481400000001</v>
      </c>
      <c r="I1303" t="n">
        <v>2930.5859</v>
      </c>
      <c r="J1303" t="n">
        <v>25125.5516</v>
      </c>
      <c r="K1303" t="n">
        <v>28407683.17</v>
      </c>
      <c r="L1303" t="n">
        <v>189393402.34</v>
      </c>
      <c r="M1303" t="n">
        <v>40116.1832</v>
      </c>
      <c r="N1303" t="inlineStr">
        <is>
          <t>Provided Total Emissions</t>
        </is>
      </c>
      <c r="O1303" t="b">
        <v>1</v>
      </c>
      <c r="P1303" t="n">
        <v>0.053285</v>
      </c>
      <c r="Q1303" t="n">
        <v>0.052337</v>
      </c>
      <c r="R1303" t="n">
        <v>30688.8201</v>
      </c>
      <c r="S1303" t="n">
        <v>149518.5154</v>
      </c>
      <c r="T1303" t="n">
        <v>-9427.3631</v>
      </c>
      <c r="U1303" t="n">
        <v>109402.3322</v>
      </c>
      <c r="V1303" t="n">
        <v>-0.235001</v>
      </c>
      <c r="W1303" t="n">
        <v>2.727137</v>
      </c>
      <c r="X1303" t="inlineStr">
        <is>
          <t>High</t>
        </is>
      </c>
      <c r="Y1303" t="inlineStr">
        <is>
          <t>None</t>
        </is>
      </c>
      <c r="Z1303" t="inlineStr">
        <is>
          <t>Valid</t>
        </is>
      </c>
      <c r="AA1303" t="n">
        <v>2030</v>
      </c>
      <c r="AB1303" t="inlineStr">
        <is>
          <t>Supplier Target Pathway</t>
        </is>
      </c>
      <c r="AC1303" t="n">
        <v>24374.3341</v>
      </c>
      <c r="AD1303" t="n">
        <v>15426.5161</v>
      </c>
      <c r="AE1303" t="n">
        <v>15426.5161</v>
      </c>
      <c r="AF1303" t="n">
        <v>15426.5161</v>
      </c>
      <c r="AG1303" t="n">
        <v>8947.817999999999</v>
      </c>
      <c r="AH1303" t="n">
        <v>0.00054304</v>
      </c>
      <c r="AI1303" t="n">
        <v>0.3671</v>
      </c>
      <c r="AJ1303" t="n">
        <v>0</v>
      </c>
      <c r="AK1303" t="n">
        <v>745.6515000000001</v>
      </c>
      <c r="AL1303" t="n">
        <v>-11184.7725</v>
      </c>
      <c r="AM1303" t="n">
        <v>103743.8691</v>
      </c>
      <c r="AN1303" t="n">
        <v>0.99</v>
      </c>
      <c r="AO1303" t="inlineStr">
        <is>
          <t>Low</t>
        </is>
      </c>
      <c r="AP1303" t="inlineStr">
        <is>
          <t>On Track</t>
        </is>
      </c>
    </row>
    <row r="1304">
      <c r="A1304" t="inlineStr">
        <is>
          <t>SUP-0082</t>
        </is>
      </c>
      <c r="B1304" t="inlineStr">
        <is>
          <t>Packaging Supplier 082</t>
        </is>
      </c>
      <c r="C1304" t="inlineStr">
        <is>
          <t>Packaging</t>
        </is>
      </c>
      <c r="D1304" t="n">
        <v>2024</v>
      </c>
      <c r="E1304" t="n">
        <v>2018</v>
      </c>
      <c r="F1304" t="n">
        <v>2030</v>
      </c>
      <c r="G1304" t="n">
        <v>40116.1832</v>
      </c>
      <c r="H1304" t="n">
        <v>9713.481400000001</v>
      </c>
      <c r="I1304" t="n">
        <v>2930.5859</v>
      </c>
      <c r="J1304" t="n">
        <v>25125.5516</v>
      </c>
      <c r="K1304" t="n">
        <v>28407683.17</v>
      </c>
      <c r="L1304" t="n">
        <v>189393402.34</v>
      </c>
      <c r="M1304" t="n">
        <v>40116.1832</v>
      </c>
      <c r="N1304" t="inlineStr">
        <is>
          <t>Provided Total Emissions</t>
        </is>
      </c>
      <c r="O1304" t="b">
        <v>1</v>
      </c>
      <c r="P1304" t="n">
        <v>0.053285</v>
      </c>
      <c r="Q1304" t="n">
        <v>0.052337</v>
      </c>
      <c r="R1304" t="n">
        <v>30688.8201</v>
      </c>
      <c r="S1304" t="n">
        <v>149518.5154</v>
      </c>
      <c r="T1304" t="n">
        <v>-9427.3631</v>
      </c>
      <c r="U1304" t="n">
        <v>109402.3322</v>
      </c>
      <c r="V1304" t="n">
        <v>-0.235001</v>
      </c>
      <c r="W1304" t="n">
        <v>2.727137</v>
      </c>
      <c r="X1304" t="inlineStr">
        <is>
          <t>High</t>
        </is>
      </c>
      <c r="Y1304" t="inlineStr">
        <is>
          <t>None</t>
        </is>
      </c>
      <c r="Z1304" t="inlineStr">
        <is>
          <t>Valid</t>
        </is>
      </c>
      <c r="AA1304" t="n">
        <v>2031</v>
      </c>
      <c r="AB1304" t="inlineStr">
        <is>
          <t>Supplier Target Pathway</t>
        </is>
      </c>
      <c r="AC1304" t="n">
        <v>24374.3341</v>
      </c>
      <c r="AD1304" t="n">
        <v>15426.5161</v>
      </c>
      <c r="AE1304" t="n">
        <v>15426.5161</v>
      </c>
      <c r="AF1304" t="n">
        <v>15426.5161</v>
      </c>
      <c r="AG1304" t="n">
        <v>8947.817999999999</v>
      </c>
      <c r="AH1304" t="n">
        <v>0.00054304</v>
      </c>
      <c r="AI1304" t="n">
        <v>0.3671</v>
      </c>
      <c r="AJ1304" t="n">
        <v>0</v>
      </c>
      <c r="AK1304" t="n">
        <v>745.6515000000001</v>
      </c>
      <c r="AL1304" t="n">
        <v>-26611.2886</v>
      </c>
      <c r="AM1304" t="n">
        <v>119170.3852</v>
      </c>
      <c r="AN1304" t="n">
        <v>0.99</v>
      </c>
      <c r="AO1304" t="inlineStr">
        <is>
          <t>Low</t>
        </is>
      </c>
      <c r="AP1304" t="inlineStr">
        <is>
          <t>On Track</t>
        </is>
      </c>
    </row>
    <row r="1305">
      <c r="A1305" t="inlineStr">
        <is>
          <t>SUP-0082</t>
        </is>
      </c>
      <c r="B1305" t="inlineStr">
        <is>
          <t>Packaging Supplier 082</t>
        </is>
      </c>
      <c r="C1305" t="inlineStr">
        <is>
          <t>Packaging</t>
        </is>
      </c>
      <c r="D1305" t="n">
        <v>2024</v>
      </c>
      <c r="E1305" t="n">
        <v>2018</v>
      </c>
      <c r="F1305" t="n">
        <v>2030</v>
      </c>
      <c r="G1305" t="n">
        <v>40116.1832</v>
      </c>
      <c r="H1305" t="n">
        <v>9713.481400000001</v>
      </c>
      <c r="I1305" t="n">
        <v>2930.5859</v>
      </c>
      <c r="J1305" t="n">
        <v>25125.5516</v>
      </c>
      <c r="K1305" t="n">
        <v>28407683.17</v>
      </c>
      <c r="L1305" t="n">
        <v>189393402.34</v>
      </c>
      <c r="M1305" t="n">
        <v>40116.1832</v>
      </c>
      <c r="N1305" t="inlineStr">
        <is>
          <t>Provided Total Emissions</t>
        </is>
      </c>
      <c r="O1305" t="b">
        <v>1</v>
      </c>
      <c r="P1305" t="n">
        <v>0.053285</v>
      </c>
      <c r="Q1305" t="n">
        <v>0.052337</v>
      </c>
      <c r="R1305" t="n">
        <v>30688.8201</v>
      </c>
      <c r="S1305" t="n">
        <v>149518.5154</v>
      </c>
      <c r="T1305" t="n">
        <v>-9427.3631</v>
      </c>
      <c r="U1305" t="n">
        <v>109402.3322</v>
      </c>
      <c r="V1305" t="n">
        <v>-0.235001</v>
      </c>
      <c r="W1305" t="n">
        <v>2.727137</v>
      </c>
      <c r="X1305" t="inlineStr">
        <is>
          <t>High</t>
        </is>
      </c>
      <c r="Y1305" t="inlineStr">
        <is>
          <t>None</t>
        </is>
      </c>
      <c r="Z1305" t="inlineStr">
        <is>
          <t>Valid</t>
        </is>
      </c>
      <c r="AA1305" t="n">
        <v>2032</v>
      </c>
      <c r="AB1305" t="inlineStr">
        <is>
          <t>Supplier Target Pathway</t>
        </is>
      </c>
      <c r="AC1305" t="n">
        <v>24374.3341</v>
      </c>
      <c r="AD1305" t="n">
        <v>15426.5161</v>
      </c>
      <c r="AE1305" t="n">
        <v>15426.5161</v>
      </c>
      <c r="AF1305" t="n">
        <v>15426.5161</v>
      </c>
      <c r="AG1305" t="n">
        <v>8947.817999999999</v>
      </c>
      <c r="AH1305" t="n">
        <v>0.00054304</v>
      </c>
      <c r="AI1305" t="n">
        <v>0.3671</v>
      </c>
      <c r="AJ1305" t="n">
        <v>0</v>
      </c>
      <c r="AK1305" t="n">
        <v>745.6515000000001</v>
      </c>
      <c r="AL1305" t="n">
        <v>-42037.8047</v>
      </c>
      <c r="AM1305" t="n">
        <v>134596.9013</v>
      </c>
      <c r="AN1305" t="n">
        <v>0.99</v>
      </c>
      <c r="AO1305" t="inlineStr">
        <is>
          <t>Low</t>
        </is>
      </c>
      <c r="AP1305" t="inlineStr">
        <is>
          <t>On Track</t>
        </is>
      </c>
    </row>
    <row r="1306">
      <c r="A1306" t="inlineStr">
        <is>
          <t>SUP-0082</t>
        </is>
      </c>
      <c r="B1306" t="inlineStr">
        <is>
          <t>Packaging Supplier 082</t>
        </is>
      </c>
      <c r="C1306" t="inlineStr">
        <is>
          <t>Packaging</t>
        </is>
      </c>
      <c r="D1306" t="n">
        <v>2024</v>
      </c>
      <c r="E1306" t="n">
        <v>2018</v>
      </c>
      <c r="F1306" t="n">
        <v>2030</v>
      </c>
      <c r="G1306" t="n">
        <v>40116.1832</v>
      </c>
      <c r="H1306" t="n">
        <v>9713.481400000001</v>
      </c>
      <c r="I1306" t="n">
        <v>2930.5859</v>
      </c>
      <c r="J1306" t="n">
        <v>25125.5516</v>
      </c>
      <c r="K1306" t="n">
        <v>28407683.17</v>
      </c>
      <c r="L1306" t="n">
        <v>189393402.34</v>
      </c>
      <c r="M1306" t="n">
        <v>40116.1832</v>
      </c>
      <c r="N1306" t="inlineStr">
        <is>
          <t>Provided Total Emissions</t>
        </is>
      </c>
      <c r="O1306" t="b">
        <v>1</v>
      </c>
      <c r="P1306" t="n">
        <v>0.053285</v>
      </c>
      <c r="Q1306" t="n">
        <v>0.052337</v>
      </c>
      <c r="R1306" t="n">
        <v>30688.8201</v>
      </c>
      <c r="S1306" t="n">
        <v>149518.5154</v>
      </c>
      <c r="T1306" t="n">
        <v>-9427.3631</v>
      </c>
      <c r="U1306" t="n">
        <v>109402.3322</v>
      </c>
      <c r="V1306" t="n">
        <v>-0.235001</v>
      </c>
      <c r="W1306" t="n">
        <v>2.727137</v>
      </c>
      <c r="X1306" t="inlineStr">
        <is>
          <t>High</t>
        </is>
      </c>
      <c r="Y1306" t="inlineStr">
        <is>
          <t>None</t>
        </is>
      </c>
      <c r="Z1306" t="inlineStr">
        <is>
          <t>Valid</t>
        </is>
      </c>
      <c r="AA1306" t="n">
        <v>2033</v>
      </c>
      <c r="AB1306" t="inlineStr">
        <is>
          <t>Supplier Target Pathway</t>
        </is>
      </c>
      <c r="AC1306" t="n">
        <v>24374.3341</v>
      </c>
      <c r="AD1306" t="n">
        <v>15426.5161</v>
      </c>
      <c r="AE1306" t="n">
        <v>15426.5161</v>
      </c>
      <c r="AF1306" t="n">
        <v>15426.5161</v>
      </c>
      <c r="AG1306" t="n">
        <v>8947.817999999999</v>
      </c>
      <c r="AH1306" t="n">
        <v>0.00054304</v>
      </c>
      <c r="AI1306" t="n">
        <v>0.3671</v>
      </c>
      <c r="AJ1306" t="n">
        <v>0</v>
      </c>
      <c r="AK1306" t="n">
        <v>745.6515000000001</v>
      </c>
      <c r="AL1306" t="n">
        <v>-57464.3208</v>
      </c>
      <c r="AM1306" t="n">
        <v>150023.4174</v>
      </c>
      <c r="AN1306" t="n">
        <v>0.99</v>
      </c>
      <c r="AO1306" t="inlineStr">
        <is>
          <t>Low</t>
        </is>
      </c>
      <c r="AP1306" t="inlineStr">
        <is>
          <t>On Track</t>
        </is>
      </c>
    </row>
    <row r="1307">
      <c r="A1307" t="inlineStr">
        <is>
          <t>SUP-0082</t>
        </is>
      </c>
      <c r="B1307" t="inlineStr">
        <is>
          <t>Packaging Supplier 082</t>
        </is>
      </c>
      <c r="C1307" t="inlineStr">
        <is>
          <t>Packaging</t>
        </is>
      </c>
      <c r="D1307" t="n">
        <v>2024</v>
      </c>
      <c r="E1307" t="n">
        <v>2018</v>
      </c>
      <c r="F1307" t="n">
        <v>2030</v>
      </c>
      <c r="G1307" t="n">
        <v>40116.1832</v>
      </c>
      <c r="H1307" t="n">
        <v>9713.481400000001</v>
      </c>
      <c r="I1307" t="n">
        <v>2930.5859</v>
      </c>
      <c r="J1307" t="n">
        <v>25125.5516</v>
      </c>
      <c r="K1307" t="n">
        <v>28407683.17</v>
      </c>
      <c r="L1307" t="n">
        <v>189393402.34</v>
      </c>
      <c r="M1307" t="n">
        <v>40116.1832</v>
      </c>
      <c r="N1307" t="inlineStr">
        <is>
          <t>Provided Total Emissions</t>
        </is>
      </c>
      <c r="O1307" t="b">
        <v>1</v>
      </c>
      <c r="P1307" t="n">
        <v>0.053285</v>
      </c>
      <c r="Q1307" t="n">
        <v>0.052337</v>
      </c>
      <c r="R1307" t="n">
        <v>30688.8201</v>
      </c>
      <c r="S1307" t="n">
        <v>149518.5154</v>
      </c>
      <c r="T1307" t="n">
        <v>-9427.3631</v>
      </c>
      <c r="U1307" t="n">
        <v>109402.3322</v>
      </c>
      <c r="V1307" t="n">
        <v>-0.235001</v>
      </c>
      <c r="W1307" t="n">
        <v>2.727137</v>
      </c>
      <c r="X1307" t="inlineStr">
        <is>
          <t>High</t>
        </is>
      </c>
      <c r="Y1307" t="inlineStr">
        <is>
          <t>None</t>
        </is>
      </c>
      <c r="Z1307" t="inlineStr">
        <is>
          <t>Valid</t>
        </is>
      </c>
      <c r="AA1307" t="n">
        <v>2034</v>
      </c>
      <c r="AB1307" t="inlineStr">
        <is>
          <t>Supplier Target Pathway</t>
        </is>
      </c>
      <c r="AC1307" t="n">
        <v>24374.3341</v>
      </c>
      <c r="AD1307" t="n">
        <v>15426.5161</v>
      </c>
      <c r="AE1307" t="n">
        <v>15426.5161</v>
      </c>
      <c r="AF1307" t="n">
        <v>15426.5161</v>
      </c>
      <c r="AG1307" t="n">
        <v>8947.817999999999</v>
      </c>
      <c r="AH1307" t="n">
        <v>0.00054304</v>
      </c>
      <c r="AI1307" t="n">
        <v>0.3671</v>
      </c>
      <c r="AJ1307" t="n">
        <v>0</v>
      </c>
      <c r="AK1307" t="n">
        <v>745.6515000000001</v>
      </c>
      <c r="AL1307" t="n">
        <v>-72890.83689999999</v>
      </c>
      <c r="AM1307" t="n">
        <v>165449.9335</v>
      </c>
      <c r="AN1307" t="n">
        <v>0.99</v>
      </c>
      <c r="AO1307" t="inlineStr">
        <is>
          <t>Low</t>
        </is>
      </c>
      <c r="AP1307" t="inlineStr">
        <is>
          <t>On Track</t>
        </is>
      </c>
    </row>
    <row r="1308">
      <c r="A1308" t="inlineStr">
        <is>
          <t>SUP-0082</t>
        </is>
      </c>
      <c r="B1308" t="inlineStr">
        <is>
          <t>Packaging Supplier 082</t>
        </is>
      </c>
      <c r="C1308" t="inlineStr">
        <is>
          <t>Packaging</t>
        </is>
      </c>
      <c r="D1308" t="n">
        <v>2024</v>
      </c>
      <c r="E1308" t="n">
        <v>2018</v>
      </c>
      <c r="F1308" t="n">
        <v>2030</v>
      </c>
      <c r="G1308" t="n">
        <v>40116.1832</v>
      </c>
      <c r="H1308" t="n">
        <v>9713.481400000001</v>
      </c>
      <c r="I1308" t="n">
        <v>2930.5859</v>
      </c>
      <c r="J1308" t="n">
        <v>25125.5516</v>
      </c>
      <c r="K1308" t="n">
        <v>28407683.17</v>
      </c>
      <c r="L1308" t="n">
        <v>189393402.34</v>
      </c>
      <c r="M1308" t="n">
        <v>40116.1832</v>
      </c>
      <c r="N1308" t="inlineStr">
        <is>
          <t>Provided Total Emissions</t>
        </is>
      </c>
      <c r="O1308" t="b">
        <v>1</v>
      </c>
      <c r="P1308" t="n">
        <v>0.053285</v>
      </c>
      <c r="Q1308" t="n">
        <v>0.052337</v>
      </c>
      <c r="R1308" t="n">
        <v>30688.8201</v>
      </c>
      <c r="S1308" t="n">
        <v>149518.5154</v>
      </c>
      <c r="T1308" t="n">
        <v>-9427.3631</v>
      </c>
      <c r="U1308" t="n">
        <v>109402.3322</v>
      </c>
      <c r="V1308" t="n">
        <v>-0.235001</v>
      </c>
      <c r="W1308" t="n">
        <v>2.727137</v>
      </c>
      <c r="X1308" t="inlineStr">
        <is>
          <t>High</t>
        </is>
      </c>
      <c r="Y1308" t="inlineStr">
        <is>
          <t>None</t>
        </is>
      </c>
      <c r="Z1308" t="inlineStr">
        <is>
          <t>Valid</t>
        </is>
      </c>
      <c r="AA1308" t="n">
        <v>2035</v>
      </c>
      <c r="AB1308" t="inlineStr">
        <is>
          <t>Supplier Target Pathway</t>
        </is>
      </c>
      <c r="AC1308" t="n">
        <v>24374.3341</v>
      </c>
      <c r="AD1308" t="n">
        <v>15426.5161</v>
      </c>
      <c r="AE1308" t="n">
        <v>15426.5161</v>
      </c>
      <c r="AF1308" t="n">
        <v>15426.5161</v>
      </c>
      <c r="AG1308" t="n">
        <v>8947.817999999999</v>
      </c>
      <c r="AH1308" t="n">
        <v>0.00054304</v>
      </c>
      <c r="AI1308" t="n">
        <v>0.3671</v>
      </c>
      <c r="AJ1308" t="n">
        <v>0</v>
      </c>
      <c r="AK1308" t="n">
        <v>745.6515000000001</v>
      </c>
      <c r="AL1308" t="n">
        <v>-88317.353</v>
      </c>
      <c r="AM1308" t="n">
        <v>180876.4496</v>
      </c>
      <c r="AN1308" t="n">
        <v>0.99</v>
      </c>
      <c r="AO1308" t="inlineStr">
        <is>
          <t>Low</t>
        </is>
      </c>
      <c r="AP1308" t="inlineStr">
        <is>
          <t>On Track</t>
        </is>
      </c>
    </row>
    <row r="1309">
      <c r="A1309" t="inlineStr">
        <is>
          <t>SUP-0082</t>
        </is>
      </c>
      <c r="B1309" t="inlineStr">
        <is>
          <t>Packaging Supplier 082</t>
        </is>
      </c>
      <c r="C1309" t="inlineStr">
        <is>
          <t>Packaging</t>
        </is>
      </c>
      <c r="D1309" t="n">
        <v>2024</v>
      </c>
      <c r="E1309" t="n">
        <v>2018</v>
      </c>
      <c r="F1309" t="n">
        <v>2030</v>
      </c>
      <c r="G1309" t="n">
        <v>40116.1832</v>
      </c>
      <c r="H1309" t="n">
        <v>9713.481400000001</v>
      </c>
      <c r="I1309" t="n">
        <v>2930.5859</v>
      </c>
      <c r="J1309" t="n">
        <v>25125.5516</v>
      </c>
      <c r="K1309" t="n">
        <v>28407683.17</v>
      </c>
      <c r="L1309" t="n">
        <v>189393402.34</v>
      </c>
      <c r="M1309" t="n">
        <v>40116.1832</v>
      </c>
      <c r="N1309" t="inlineStr">
        <is>
          <t>Provided Total Emissions</t>
        </is>
      </c>
      <c r="O1309" t="b">
        <v>1</v>
      </c>
      <c r="P1309" t="n">
        <v>0.053285</v>
      </c>
      <c r="Q1309" t="n">
        <v>0.052337</v>
      </c>
      <c r="R1309" t="n">
        <v>30688.8201</v>
      </c>
      <c r="S1309" t="n">
        <v>149518.5154</v>
      </c>
      <c r="T1309" t="n">
        <v>-9427.3631</v>
      </c>
      <c r="U1309" t="n">
        <v>109402.3322</v>
      </c>
      <c r="V1309" t="n">
        <v>-0.235001</v>
      </c>
      <c r="W1309" t="n">
        <v>2.727137</v>
      </c>
      <c r="X1309" t="inlineStr">
        <is>
          <t>High</t>
        </is>
      </c>
      <c r="Y1309" t="inlineStr">
        <is>
          <t>None</t>
        </is>
      </c>
      <c r="Z1309" t="inlineStr">
        <is>
          <t>Valid</t>
        </is>
      </c>
      <c r="AA1309" t="n">
        <v>2036</v>
      </c>
      <c r="AB1309" t="inlineStr">
        <is>
          <t>Supplier Target Pathway</t>
        </is>
      </c>
      <c r="AC1309" t="n">
        <v>24374.3341</v>
      </c>
      <c r="AD1309" t="n">
        <v>15426.5161</v>
      </c>
      <c r="AE1309" t="n">
        <v>15426.5161</v>
      </c>
      <c r="AF1309" t="n">
        <v>15426.5161</v>
      </c>
      <c r="AG1309" t="n">
        <v>8947.817999999999</v>
      </c>
      <c r="AH1309" t="n">
        <v>0.00054304</v>
      </c>
      <c r="AI1309" t="n">
        <v>0.3671</v>
      </c>
      <c r="AJ1309" t="n">
        <v>0</v>
      </c>
      <c r="AK1309" t="n">
        <v>745.6515000000001</v>
      </c>
      <c r="AL1309" t="n">
        <v>-103743.8691</v>
      </c>
      <c r="AM1309" t="n">
        <v>196302.9657</v>
      </c>
      <c r="AN1309" t="n">
        <v>0.99</v>
      </c>
      <c r="AO1309" t="inlineStr">
        <is>
          <t>Low</t>
        </is>
      </c>
      <c r="AP1309" t="inlineStr">
        <is>
          <t>On Track</t>
        </is>
      </c>
    </row>
    <row r="1310">
      <c r="A1310" t="inlineStr">
        <is>
          <t>SUP-0082</t>
        </is>
      </c>
      <c r="B1310" t="inlineStr">
        <is>
          <t>Packaging Supplier 082</t>
        </is>
      </c>
      <c r="C1310" t="inlineStr">
        <is>
          <t>Packaging</t>
        </is>
      </c>
      <c r="D1310" t="n">
        <v>2024</v>
      </c>
      <c r="E1310" t="n">
        <v>2018</v>
      </c>
      <c r="F1310" t="n">
        <v>2030</v>
      </c>
      <c r="G1310" t="n">
        <v>40116.1832</v>
      </c>
      <c r="H1310" t="n">
        <v>9713.481400000001</v>
      </c>
      <c r="I1310" t="n">
        <v>2930.5859</v>
      </c>
      <c r="J1310" t="n">
        <v>25125.5516</v>
      </c>
      <c r="K1310" t="n">
        <v>28407683.17</v>
      </c>
      <c r="L1310" t="n">
        <v>189393402.34</v>
      </c>
      <c r="M1310" t="n">
        <v>40116.1832</v>
      </c>
      <c r="N1310" t="inlineStr">
        <is>
          <t>Provided Total Emissions</t>
        </is>
      </c>
      <c r="O1310" t="b">
        <v>1</v>
      </c>
      <c r="P1310" t="n">
        <v>0.053285</v>
      </c>
      <c r="Q1310" t="n">
        <v>0.052337</v>
      </c>
      <c r="R1310" t="n">
        <v>30688.8201</v>
      </c>
      <c r="S1310" t="n">
        <v>149518.5154</v>
      </c>
      <c r="T1310" t="n">
        <v>-9427.3631</v>
      </c>
      <c r="U1310" t="n">
        <v>109402.3322</v>
      </c>
      <c r="V1310" t="n">
        <v>-0.235001</v>
      </c>
      <c r="W1310" t="n">
        <v>2.727137</v>
      </c>
      <c r="X1310" t="inlineStr">
        <is>
          <t>High</t>
        </is>
      </c>
      <c r="Y1310" t="inlineStr">
        <is>
          <t>None</t>
        </is>
      </c>
      <c r="Z1310" t="inlineStr">
        <is>
          <t>Valid</t>
        </is>
      </c>
      <c r="AA1310" t="n">
        <v>2037</v>
      </c>
      <c r="AB1310" t="inlineStr">
        <is>
          <t>Supplier Target Pathway</t>
        </is>
      </c>
      <c r="AC1310" t="n">
        <v>24374.3341</v>
      </c>
      <c r="AD1310" t="n">
        <v>15426.5161</v>
      </c>
      <c r="AE1310" t="n">
        <v>15426.5161</v>
      </c>
      <c r="AF1310" t="n">
        <v>15426.5161</v>
      </c>
      <c r="AG1310" t="n">
        <v>8947.817999999999</v>
      </c>
      <c r="AH1310" t="n">
        <v>0.00054304</v>
      </c>
      <c r="AI1310" t="n">
        <v>0.3671</v>
      </c>
      <c r="AJ1310" t="n">
        <v>0</v>
      </c>
      <c r="AK1310" t="n">
        <v>745.6515000000001</v>
      </c>
      <c r="AL1310" t="n">
        <v>-119170.3852</v>
      </c>
      <c r="AM1310" t="n">
        <v>211729.4818</v>
      </c>
      <c r="AN1310" t="n">
        <v>0.99</v>
      </c>
      <c r="AO1310" t="inlineStr">
        <is>
          <t>Low</t>
        </is>
      </c>
      <c r="AP1310" t="inlineStr">
        <is>
          <t>On Track</t>
        </is>
      </c>
    </row>
    <row r="1311">
      <c r="A1311" t="inlineStr">
        <is>
          <t>SUP-0082</t>
        </is>
      </c>
      <c r="B1311" t="inlineStr">
        <is>
          <t>Packaging Supplier 082</t>
        </is>
      </c>
      <c r="C1311" t="inlineStr">
        <is>
          <t>Packaging</t>
        </is>
      </c>
      <c r="D1311" t="n">
        <v>2024</v>
      </c>
      <c r="E1311" t="n">
        <v>2018</v>
      </c>
      <c r="F1311" t="n">
        <v>2030</v>
      </c>
      <c r="G1311" t="n">
        <v>40116.1832</v>
      </c>
      <c r="H1311" t="n">
        <v>9713.481400000001</v>
      </c>
      <c r="I1311" t="n">
        <v>2930.5859</v>
      </c>
      <c r="J1311" t="n">
        <v>25125.5516</v>
      </c>
      <c r="K1311" t="n">
        <v>28407683.17</v>
      </c>
      <c r="L1311" t="n">
        <v>189393402.34</v>
      </c>
      <c r="M1311" t="n">
        <v>40116.1832</v>
      </c>
      <c r="N1311" t="inlineStr">
        <is>
          <t>Provided Total Emissions</t>
        </is>
      </c>
      <c r="O1311" t="b">
        <v>1</v>
      </c>
      <c r="P1311" t="n">
        <v>0.053285</v>
      </c>
      <c r="Q1311" t="n">
        <v>0.052337</v>
      </c>
      <c r="R1311" t="n">
        <v>30688.8201</v>
      </c>
      <c r="S1311" t="n">
        <v>149518.5154</v>
      </c>
      <c r="T1311" t="n">
        <v>-9427.3631</v>
      </c>
      <c r="U1311" t="n">
        <v>109402.3322</v>
      </c>
      <c r="V1311" t="n">
        <v>-0.235001</v>
      </c>
      <c r="W1311" t="n">
        <v>2.727137</v>
      </c>
      <c r="X1311" t="inlineStr">
        <is>
          <t>High</t>
        </is>
      </c>
      <c r="Y1311" t="inlineStr">
        <is>
          <t>None</t>
        </is>
      </c>
      <c r="Z1311" t="inlineStr">
        <is>
          <t>Valid</t>
        </is>
      </c>
      <c r="AA1311" t="n">
        <v>2038</v>
      </c>
      <c r="AB1311" t="inlineStr">
        <is>
          <t>Supplier Target Pathway</t>
        </is>
      </c>
      <c r="AC1311" t="n">
        <v>24374.3341</v>
      </c>
      <c r="AD1311" t="n">
        <v>15426.5161</v>
      </c>
      <c r="AE1311" t="n">
        <v>15426.5161</v>
      </c>
      <c r="AF1311" t="n">
        <v>15426.5161</v>
      </c>
      <c r="AG1311" t="n">
        <v>8947.817999999999</v>
      </c>
      <c r="AH1311" t="n">
        <v>0.00054304</v>
      </c>
      <c r="AI1311" t="n">
        <v>0.3671</v>
      </c>
      <c r="AJ1311" t="n">
        <v>0</v>
      </c>
      <c r="AK1311" t="n">
        <v>745.6515000000001</v>
      </c>
      <c r="AL1311" t="n">
        <v>-134596.9013</v>
      </c>
      <c r="AM1311" t="n">
        <v>227155.9979</v>
      </c>
      <c r="AN1311" t="n">
        <v>0.99</v>
      </c>
      <c r="AO1311" t="inlineStr">
        <is>
          <t>Low</t>
        </is>
      </c>
      <c r="AP1311" t="inlineStr">
        <is>
          <t>On Track</t>
        </is>
      </c>
    </row>
    <row r="1312">
      <c r="A1312" t="inlineStr">
        <is>
          <t>SUP-0082</t>
        </is>
      </c>
      <c r="B1312" t="inlineStr">
        <is>
          <t>Packaging Supplier 082</t>
        </is>
      </c>
      <c r="C1312" t="inlineStr">
        <is>
          <t>Packaging</t>
        </is>
      </c>
      <c r="D1312" t="n">
        <v>2024</v>
      </c>
      <c r="E1312" t="n">
        <v>2018</v>
      </c>
      <c r="F1312" t="n">
        <v>2030</v>
      </c>
      <c r="G1312" t="n">
        <v>40116.1832</v>
      </c>
      <c r="H1312" t="n">
        <v>9713.481400000001</v>
      </c>
      <c r="I1312" t="n">
        <v>2930.5859</v>
      </c>
      <c r="J1312" t="n">
        <v>25125.5516</v>
      </c>
      <c r="K1312" t="n">
        <v>28407683.17</v>
      </c>
      <c r="L1312" t="n">
        <v>189393402.34</v>
      </c>
      <c r="M1312" t="n">
        <v>40116.1832</v>
      </c>
      <c r="N1312" t="inlineStr">
        <is>
          <t>Provided Total Emissions</t>
        </is>
      </c>
      <c r="O1312" t="b">
        <v>1</v>
      </c>
      <c r="P1312" t="n">
        <v>0.053285</v>
      </c>
      <c r="Q1312" t="n">
        <v>0.052337</v>
      </c>
      <c r="R1312" t="n">
        <v>30688.8201</v>
      </c>
      <c r="S1312" t="n">
        <v>149518.5154</v>
      </c>
      <c r="T1312" t="n">
        <v>-9427.3631</v>
      </c>
      <c r="U1312" t="n">
        <v>109402.3322</v>
      </c>
      <c r="V1312" t="n">
        <v>-0.235001</v>
      </c>
      <c r="W1312" t="n">
        <v>2.727137</v>
      </c>
      <c r="X1312" t="inlineStr">
        <is>
          <t>High</t>
        </is>
      </c>
      <c r="Y1312" t="inlineStr">
        <is>
          <t>None</t>
        </is>
      </c>
      <c r="Z1312" t="inlineStr">
        <is>
          <t>Valid</t>
        </is>
      </c>
      <c r="AA1312" t="n">
        <v>2039</v>
      </c>
      <c r="AB1312" t="inlineStr">
        <is>
          <t>Supplier Target Pathway</t>
        </is>
      </c>
      <c r="AC1312" t="n">
        <v>24374.3341</v>
      </c>
      <c r="AD1312" t="n">
        <v>15426.5161</v>
      </c>
      <c r="AE1312" t="n">
        <v>15426.5161</v>
      </c>
      <c r="AF1312" t="n">
        <v>15426.5161</v>
      </c>
      <c r="AG1312" t="n">
        <v>8947.817999999999</v>
      </c>
      <c r="AH1312" t="n">
        <v>0.00054304</v>
      </c>
      <c r="AI1312" t="n">
        <v>0.3671</v>
      </c>
      <c r="AJ1312" t="n">
        <v>0</v>
      </c>
      <c r="AK1312" t="n">
        <v>745.6515000000001</v>
      </c>
      <c r="AL1312" t="n">
        <v>-150023.4174</v>
      </c>
      <c r="AM1312" t="n">
        <v>242582.514</v>
      </c>
      <c r="AN1312" t="n">
        <v>0.99</v>
      </c>
      <c r="AO1312" t="inlineStr">
        <is>
          <t>Low</t>
        </is>
      </c>
      <c r="AP1312" t="inlineStr">
        <is>
          <t>On Track</t>
        </is>
      </c>
    </row>
    <row r="1313">
      <c r="A1313" t="inlineStr">
        <is>
          <t>SUP-0082</t>
        </is>
      </c>
      <c r="B1313" t="inlineStr">
        <is>
          <t>Packaging Supplier 082</t>
        </is>
      </c>
      <c r="C1313" t="inlineStr">
        <is>
          <t>Packaging</t>
        </is>
      </c>
      <c r="D1313" t="n">
        <v>2024</v>
      </c>
      <c r="E1313" t="n">
        <v>2018</v>
      </c>
      <c r="F1313" t="n">
        <v>2030</v>
      </c>
      <c r="G1313" t="n">
        <v>40116.1832</v>
      </c>
      <c r="H1313" t="n">
        <v>9713.481400000001</v>
      </c>
      <c r="I1313" t="n">
        <v>2930.5859</v>
      </c>
      <c r="J1313" t="n">
        <v>25125.5516</v>
      </c>
      <c r="K1313" t="n">
        <v>28407683.17</v>
      </c>
      <c r="L1313" t="n">
        <v>189393402.34</v>
      </c>
      <c r="M1313" t="n">
        <v>40116.1832</v>
      </c>
      <c r="N1313" t="inlineStr">
        <is>
          <t>Provided Total Emissions</t>
        </is>
      </c>
      <c r="O1313" t="b">
        <v>1</v>
      </c>
      <c r="P1313" t="n">
        <v>0.053285</v>
      </c>
      <c r="Q1313" t="n">
        <v>0.052337</v>
      </c>
      <c r="R1313" t="n">
        <v>30688.8201</v>
      </c>
      <c r="S1313" t="n">
        <v>149518.5154</v>
      </c>
      <c r="T1313" t="n">
        <v>-9427.3631</v>
      </c>
      <c r="U1313" t="n">
        <v>109402.3322</v>
      </c>
      <c r="V1313" t="n">
        <v>-0.235001</v>
      </c>
      <c r="W1313" t="n">
        <v>2.727137</v>
      </c>
      <c r="X1313" t="inlineStr">
        <is>
          <t>High</t>
        </is>
      </c>
      <c r="Y1313" t="inlineStr">
        <is>
          <t>None</t>
        </is>
      </c>
      <c r="Z1313" t="inlineStr">
        <is>
          <t>Valid</t>
        </is>
      </c>
      <c r="AA1313" t="n">
        <v>2040</v>
      </c>
      <c r="AB1313" t="inlineStr">
        <is>
          <t>Supplier Target Pathway</t>
        </is>
      </c>
      <c r="AC1313" t="n">
        <v>24374.3341</v>
      </c>
      <c r="AD1313" t="n">
        <v>15426.5161</v>
      </c>
      <c r="AE1313" t="n">
        <v>15426.5161</v>
      </c>
      <c r="AF1313" t="n">
        <v>15426.5161</v>
      </c>
      <c r="AG1313" t="n">
        <v>8947.817999999999</v>
      </c>
      <c r="AH1313" t="n">
        <v>0.00054304</v>
      </c>
      <c r="AI1313" t="n">
        <v>0.3671</v>
      </c>
      <c r="AJ1313" t="n">
        <v>0</v>
      </c>
      <c r="AK1313" t="n">
        <v>745.6515000000001</v>
      </c>
      <c r="AL1313" t="n">
        <v>-165449.9335</v>
      </c>
      <c r="AM1313" t="n">
        <v>258009.0301</v>
      </c>
      <c r="AN1313" t="n">
        <v>0.99</v>
      </c>
      <c r="AO1313" t="inlineStr">
        <is>
          <t>Low</t>
        </is>
      </c>
      <c r="AP1313" t="inlineStr">
        <is>
          <t>On Track</t>
        </is>
      </c>
    </row>
    <row r="1314">
      <c r="A1314" t="inlineStr">
        <is>
          <t>SUP-0083</t>
        </is>
      </c>
      <c r="B1314" t="inlineStr">
        <is>
          <t>Logistics Supplier 083</t>
        </is>
      </c>
      <c r="C1314" t="inlineStr">
        <is>
          <t>Logistics</t>
        </is>
      </c>
      <c r="D1314" t="n">
        <v>2024</v>
      </c>
      <c r="E1314" t="n">
        <v>2015</v>
      </c>
      <c r="F1314" t="n">
        <v>2040</v>
      </c>
      <c r="G1314" t="n">
        <v>3352.7019</v>
      </c>
      <c r="H1314" t="n">
        <v>807.0083</v>
      </c>
      <c r="I1314" t="n">
        <v>435.321</v>
      </c>
      <c r="J1314" t="n">
        <v>2288.8372</v>
      </c>
      <c r="K1314" t="n">
        <v>19985712.58</v>
      </c>
      <c r="L1314" t="n">
        <v>60606542.27</v>
      </c>
      <c r="M1314" t="n">
        <v>3352.7019</v>
      </c>
      <c r="N1314" t="inlineStr">
        <is>
          <t>Provided Total Emissions</t>
        </is>
      </c>
      <c r="O1314" t="b">
        <v>1</v>
      </c>
      <c r="P1314" t="n">
        <v>-0.040587</v>
      </c>
      <c r="Q1314" t="n">
        <v>-0.03379</v>
      </c>
      <c r="R1314" t="n">
        <v>4466.6069</v>
      </c>
      <c r="S1314" t="n">
        <v>28962.0484</v>
      </c>
      <c r="T1314" t="n">
        <v>1113.905</v>
      </c>
      <c r="U1314" t="n">
        <v>25609.3465</v>
      </c>
      <c r="V1314" t="n">
        <v>0.332241</v>
      </c>
      <c r="W1314" t="n">
        <v>7.63842</v>
      </c>
      <c r="X1314" t="inlineStr">
        <is>
          <t>High</t>
        </is>
      </c>
      <c r="Y1314" t="inlineStr">
        <is>
          <t>None</t>
        </is>
      </c>
      <c r="Z1314" t="inlineStr">
        <is>
          <t>Valid</t>
        </is>
      </c>
      <c r="AA1314" t="n">
        <v>2025</v>
      </c>
      <c r="AB1314" t="inlineStr">
        <is>
          <t>Industry Haircut Pathway</t>
        </is>
      </c>
      <c r="AC1314" t="n">
        <v>4867.926</v>
      </c>
      <c r="AD1314" t="n">
        <v>2620.8914</v>
      </c>
      <c r="AE1314" t="n">
        <v>3969.1121</v>
      </c>
      <c r="AF1314" t="n">
        <v>3969.1121</v>
      </c>
      <c r="AG1314" t="n">
        <v>898.8139</v>
      </c>
      <c r="AH1314" t="n">
        <v>0.0001986</v>
      </c>
      <c r="AI1314" t="n">
        <v>0.18464</v>
      </c>
      <c r="AJ1314" t="n">
        <v>1348.2208</v>
      </c>
      <c r="AK1314" t="n">
        <v>89.8814</v>
      </c>
      <c r="AL1314" t="n">
        <v>37965.1503</v>
      </c>
      <c r="AM1314" t="n">
        <v>3969.1121</v>
      </c>
      <c r="AN1314" t="n">
        <v>0.95</v>
      </c>
      <c r="AO1314" t="inlineStr">
        <is>
          <t>Critical</t>
        </is>
      </c>
      <c r="AP1314" t="inlineStr">
        <is>
          <t>On Track to Glide Path</t>
        </is>
      </c>
    </row>
    <row r="1315">
      <c r="A1315" t="inlineStr">
        <is>
          <t>SUP-0083</t>
        </is>
      </c>
      <c r="B1315" t="inlineStr">
        <is>
          <t>Logistics Supplier 083</t>
        </is>
      </c>
      <c r="C1315" t="inlineStr">
        <is>
          <t>Logistics</t>
        </is>
      </c>
      <c r="D1315" t="n">
        <v>2024</v>
      </c>
      <c r="E1315" t="n">
        <v>2015</v>
      </c>
      <c r="F1315" t="n">
        <v>2040</v>
      </c>
      <c r="G1315" t="n">
        <v>3352.7019</v>
      </c>
      <c r="H1315" t="n">
        <v>807.0083</v>
      </c>
      <c r="I1315" t="n">
        <v>435.321</v>
      </c>
      <c r="J1315" t="n">
        <v>2288.8372</v>
      </c>
      <c r="K1315" t="n">
        <v>19985712.58</v>
      </c>
      <c r="L1315" t="n">
        <v>60606542.27</v>
      </c>
      <c r="M1315" t="n">
        <v>3352.7019</v>
      </c>
      <c r="N1315" t="inlineStr">
        <is>
          <t>Provided Total Emissions</t>
        </is>
      </c>
      <c r="O1315" t="b">
        <v>1</v>
      </c>
      <c r="P1315" t="n">
        <v>-0.040587</v>
      </c>
      <c r="Q1315" t="n">
        <v>-0.03379</v>
      </c>
      <c r="R1315" t="n">
        <v>4466.6069</v>
      </c>
      <c r="S1315" t="n">
        <v>28962.0484</v>
      </c>
      <c r="T1315" t="n">
        <v>1113.905</v>
      </c>
      <c r="U1315" t="n">
        <v>25609.3465</v>
      </c>
      <c r="V1315" t="n">
        <v>0.332241</v>
      </c>
      <c r="W1315" t="n">
        <v>7.63842</v>
      </c>
      <c r="X1315" t="inlineStr">
        <is>
          <t>High</t>
        </is>
      </c>
      <c r="Y1315" t="inlineStr">
        <is>
          <t>None</t>
        </is>
      </c>
      <c r="Z1315" t="inlineStr">
        <is>
          <t>Valid</t>
        </is>
      </c>
      <c r="AA1315" t="n">
        <v>2026</v>
      </c>
      <c r="AB1315" t="inlineStr">
        <is>
          <t>Industry Haircut Pathway</t>
        </is>
      </c>
      <c r="AC1315" t="n">
        <v>4867.926</v>
      </c>
      <c r="AD1315" t="n">
        <v>2620.8914</v>
      </c>
      <c r="AE1315" t="n">
        <v>3879.2308</v>
      </c>
      <c r="AF1315" t="n">
        <v>3879.2308</v>
      </c>
      <c r="AG1315" t="n">
        <v>988.6952</v>
      </c>
      <c r="AH1315" t="n">
        <v>0.0001941</v>
      </c>
      <c r="AI1315" t="n">
        <v>0.203104</v>
      </c>
      <c r="AJ1315" t="n">
        <v>1258.3394</v>
      </c>
      <c r="AK1315" t="n">
        <v>89.8814</v>
      </c>
      <c r="AL1315" t="n">
        <v>34085.9195</v>
      </c>
      <c r="AM1315" t="n">
        <v>7848.3429</v>
      </c>
      <c r="AN1315" t="n">
        <v>0.95</v>
      </c>
      <c r="AO1315" t="inlineStr">
        <is>
          <t>Critical</t>
        </is>
      </c>
      <c r="AP1315" t="inlineStr">
        <is>
          <t>On Track to Glide Path</t>
        </is>
      </c>
    </row>
    <row r="1316">
      <c r="A1316" t="inlineStr">
        <is>
          <t>SUP-0083</t>
        </is>
      </c>
      <c r="B1316" t="inlineStr">
        <is>
          <t>Logistics Supplier 083</t>
        </is>
      </c>
      <c r="C1316" t="inlineStr">
        <is>
          <t>Logistics</t>
        </is>
      </c>
      <c r="D1316" t="n">
        <v>2024</v>
      </c>
      <c r="E1316" t="n">
        <v>2015</v>
      </c>
      <c r="F1316" t="n">
        <v>2040</v>
      </c>
      <c r="G1316" t="n">
        <v>3352.7019</v>
      </c>
      <c r="H1316" t="n">
        <v>807.0083</v>
      </c>
      <c r="I1316" t="n">
        <v>435.321</v>
      </c>
      <c r="J1316" t="n">
        <v>2288.8372</v>
      </c>
      <c r="K1316" t="n">
        <v>19985712.58</v>
      </c>
      <c r="L1316" t="n">
        <v>60606542.27</v>
      </c>
      <c r="M1316" t="n">
        <v>3352.7019</v>
      </c>
      <c r="N1316" t="inlineStr">
        <is>
          <t>Provided Total Emissions</t>
        </is>
      </c>
      <c r="O1316" t="b">
        <v>1</v>
      </c>
      <c r="P1316" t="n">
        <v>-0.040587</v>
      </c>
      <c r="Q1316" t="n">
        <v>-0.03379</v>
      </c>
      <c r="R1316" t="n">
        <v>4466.6069</v>
      </c>
      <c r="S1316" t="n">
        <v>28962.0484</v>
      </c>
      <c r="T1316" t="n">
        <v>1113.905</v>
      </c>
      <c r="U1316" t="n">
        <v>25609.3465</v>
      </c>
      <c r="V1316" t="n">
        <v>0.332241</v>
      </c>
      <c r="W1316" t="n">
        <v>7.63842</v>
      </c>
      <c r="X1316" t="inlineStr">
        <is>
          <t>High</t>
        </is>
      </c>
      <c r="Y1316" t="inlineStr">
        <is>
          <t>None</t>
        </is>
      </c>
      <c r="Z1316" t="inlineStr">
        <is>
          <t>Valid</t>
        </is>
      </c>
      <c r="AA1316" t="n">
        <v>2027</v>
      </c>
      <c r="AB1316" t="inlineStr">
        <is>
          <t>Industry Haircut Pathway</t>
        </is>
      </c>
      <c r="AC1316" t="n">
        <v>4867.926</v>
      </c>
      <c r="AD1316" t="n">
        <v>2620.8914</v>
      </c>
      <c r="AE1316" t="n">
        <v>3789.3494</v>
      </c>
      <c r="AF1316" t="n">
        <v>3789.3494</v>
      </c>
      <c r="AG1316" t="n">
        <v>1078.5766</v>
      </c>
      <c r="AH1316" t="n">
        <v>0.0001896</v>
      </c>
      <c r="AI1316" t="n">
        <v>0.221568</v>
      </c>
      <c r="AJ1316" t="n">
        <v>1168.458</v>
      </c>
      <c r="AK1316" t="n">
        <v>89.8814</v>
      </c>
      <c r="AL1316" t="n">
        <v>30296.5701</v>
      </c>
      <c r="AM1316" t="n">
        <v>11637.6923</v>
      </c>
      <c r="AN1316" t="n">
        <v>0.95</v>
      </c>
      <c r="AO1316" t="inlineStr">
        <is>
          <t>Critical</t>
        </is>
      </c>
      <c r="AP1316" t="inlineStr">
        <is>
          <t>On Track to Glide Path</t>
        </is>
      </c>
    </row>
    <row r="1317">
      <c r="A1317" t="inlineStr">
        <is>
          <t>SUP-0083</t>
        </is>
      </c>
      <c r="B1317" t="inlineStr">
        <is>
          <t>Logistics Supplier 083</t>
        </is>
      </c>
      <c r="C1317" t="inlineStr">
        <is>
          <t>Logistics</t>
        </is>
      </c>
      <c r="D1317" t="n">
        <v>2024</v>
      </c>
      <c r="E1317" t="n">
        <v>2015</v>
      </c>
      <c r="F1317" t="n">
        <v>2040</v>
      </c>
      <c r="G1317" t="n">
        <v>3352.7019</v>
      </c>
      <c r="H1317" t="n">
        <v>807.0083</v>
      </c>
      <c r="I1317" t="n">
        <v>435.321</v>
      </c>
      <c r="J1317" t="n">
        <v>2288.8372</v>
      </c>
      <c r="K1317" t="n">
        <v>19985712.58</v>
      </c>
      <c r="L1317" t="n">
        <v>60606542.27</v>
      </c>
      <c r="M1317" t="n">
        <v>3352.7019</v>
      </c>
      <c r="N1317" t="inlineStr">
        <is>
          <t>Provided Total Emissions</t>
        </is>
      </c>
      <c r="O1317" t="b">
        <v>1</v>
      </c>
      <c r="P1317" t="n">
        <v>-0.040587</v>
      </c>
      <c r="Q1317" t="n">
        <v>-0.03379</v>
      </c>
      <c r="R1317" t="n">
        <v>4466.6069</v>
      </c>
      <c r="S1317" t="n">
        <v>28962.0484</v>
      </c>
      <c r="T1317" t="n">
        <v>1113.905</v>
      </c>
      <c r="U1317" t="n">
        <v>25609.3465</v>
      </c>
      <c r="V1317" t="n">
        <v>0.332241</v>
      </c>
      <c r="W1317" t="n">
        <v>7.63842</v>
      </c>
      <c r="X1317" t="inlineStr">
        <is>
          <t>High</t>
        </is>
      </c>
      <c r="Y1317" t="inlineStr">
        <is>
          <t>None</t>
        </is>
      </c>
      <c r="Z1317" t="inlineStr">
        <is>
          <t>Valid</t>
        </is>
      </c>
      <c r="AA1317" t="n">
        <v>2028</v>
      </c>
      <c r="AB1317" t="inlineStr">
        <is>
          <t>Industry Haircut Pathway</t>
        </is>
      </c>
      <c r="AC1317" t="n">
        <v>4867.926</v>
      </c>
      <c r="AD1317" t="n">
        <v>2620.8914</v>
      </c>
      <c r="AE1317" t="n">
        <v>3699.468</v>
      </c>
      <c r="AF1317" t="n">
        <v>3699.468</v>
      </c>
      <c r="AG1317" t="n">
        <v>1168.458</v>
      </c>
      <c r="AH1317" t="n">
        <v>0.00018511</v>
      </c>
      <c r="AI1317" t="n">
        <v>0.240032</v>
      </c>
      <c r="AJ1317" t="n">
        <v>1078.5766</v>
      </c>
      <c r="AK1317" t="n">
        <v>89.8814</v>
      </c>
      <c r="AL1317" t="n">
        <v>26597.1021</v>
      </c>
      <c r="AM1317" t="n">
        <v>15337.1603</v>
      </c>
      <c r="AN1317" t="n">
        <v>0.95</v>
      </c>
      <c r="AO1317" t="inlineStr">
        <is>
          <t>Critical</t>
        </is>
      </c>
      <c r="AP1317" t="inlineStr">
        <is>
          <t>On Track to Glide Path</t>
        </is>
      </c>
    </row>
    <row r="1318">
      <c r="A1318" t="inlineStr">
        <is>
          <t>SUP-0083</t>
        </is>
      </c>
      <c r="B1318" t="inlineStr">
        <is>
          <t>Logistics Supplier 083</t>
        </is>
      </c>
      <c r="C1318" t="inlineStr">
        <is>
          <t>Logistics</t>
        </is>
      </c>
      <c r="D1318" t="n">
        <v>2024</v>
      </c>
      <c r="E1318" t="n">
        <v>2015</v>
      </c>
      <c r="F1318" t="n">
        <v>2040</v>
      </c>
      <c r="G1318" t="n">
        <v>3352.7019</v>
      </c>
      <c r="H1318" t="n">
        <v>807.0083</v>
      </c>
      <c r="I1318" t="n">
        <v>435.321</v>
      </c>
      <c r="J1318" t="n">
        <v>2288.8372</v>
      </c>
      <c r="K1318" t="n">
        <v>19985712.58</v>
      </c>
      <c r="L1318" t="n">
        <v>60606542.27</v>
      </c>
      <c r="M1318" t="n">
        <v>3352.7019</v>
      </c>
      <c r="N1318" t="inlineStr">
        <is>
          <t>Provided Total Emissions</t>
        </is>
      </c>
      <c r="O1318" t="b">
        <v>1</v>
      </c>
      <c r="P1318" t="n">
        <v>-0.040587</v>
      </c>
      <c r="Q1318" t="n">
        <v>-0.03379</v>
      </c>
      <c r="R1318" t="n">
        <v>4466.6069</v>
      </c>
      <c r="S1318" t="n">
        <v>28962.0484</v>
      </c>
      <c r="T1318" t="n">
        <v>1113.905</v>
      </c>
      <c r="U1318" t="n">
        <v>25609.3465</v>
      </c>
      <c r="V1318" t="n">
        <v>0.332241</v>
      </c>
      <c r="W1318" t="n">
        <v>7.63842</v>
      </c>
      <c r="X1318" t="inlineStr">
        <is>
          <t>High</t>
        </is>
      </c>
      <c r="Y1318" t="inlineStr">
        <is>
          <t>None</t>
        </is>
      </c>
      <c r="Z1318" t="inlineStr">
        <is>
          <t>Valid</t>
        </is>
      </c>
      <c r="AA1318" t="n">
        <v>2029</v>
      </c>
      <c r="AB1318" t="inlineStr">
        <is>
          <t>Industry Haircut Pathway</t>
        </is>
      </c>
      <c r="AC1318" t="n">
        <v>4867.926</v>
      </c>
      <c r="AD1318" t="n">
        <v>2620.8914</v>
      </c>
      <c r="AE1318" t="n">
        <v>3609.5866</v>
      </c>
      <c r="AF1318" t="n">
        <v>3609.5866</v>
      </c>
      <c r="AG1318" t="n">
        <v>1258.3394</v>
      </c>
      <c r="AH1318" t="n">
        <v>0.00018061</v>
      </c>
      <c r="AI1318" t="n">
        <v>0.258496</v>
      </c>
      <c r="AJ1318" t="n">
        <v>988.6952</v>
      </c>
      <c r="AK1318" t="n">
        <v>89.8814</v>
      </c>
      <c r="AL1318" t="n">
        <v>22987.5155</v>
      </c>
      <c r="AM1318" t="n">
        <v>18946.7469</v>
      </c>
      <c r="AN1318" t="n">
        <v>0.95</v>
      </c>
      <c r="AO1318" t="inlineStr">
        <is>
          <t>Critical</t>
        </is>
      </c>
      <c r="AP1318" t="inlineStr">
        <is>
          <t>On Track to Glide Path</t>
        </is>
      </c>
    </row>
    <row r="1319">
      <c r="A1319" t="inlineStr">
        <is>
          <t>SUP-0083</t>
        </is>
      </c>
      <c r="B1319" t="inlineStr">
        <is>
          <t>Logistics Supplier 083</t>
        </is>
      </c>
      <c r="C1319" t="inlineStr">
        <is>
          <t>Logistics</t>
        </is>
      </c>
      <c r="D1319" t="n">
        <v>2024</v>
      </c>
      <c r="E1319" t="n">
        <v>2015</v>
      </c>
      <c r="F1319" t="n">
        <v>2040</v>
      </c>
      <c r="G1319" t="n">
        <v>3352.7019</v>
      </c>
      <c r="H1319" t="n">
        <v>807.0083</v>
      </c>
      <c r="I1319" t="n">
        <v>435.321</v>
      </c>
      <c r="J1319" t="n">
        <v>2288.8372</v>
      </c>
      <c r="K1319" t="n">
        <v>19985712.58</v>
      </c>
      <c r="L1319" t="n">
        <v>60606542.27</v>
      </c>
      <c r="M1319" t="n">
        <v>3352.7019</v>
      </c>
      <c r="N1319" t="inlineStr">
        <is>
          <t>Provided Total Emissions</t>
        </is>
      </c>
      <c r="O1319" t="b">
        <v>1</v>
      </c>
      <c r="P1319" t="n">
        <v>-0.040587</v>
      </c>
      <c r="Q1319" t="n">
        <v>-0.03379</v>
      </c>
      <c r="R1319" t="n">
        <v>4466.6069</v>
      </c>
      <c r="S1319" t="n">
        <v>28962.0484</v>
      </c>
      <c r="T1319" t="n">
        <v>1113.905</v>
      </c>
      <c r="U1319" t="n">
        <v>25609.3465</v>
      </c>
      <c r="V1319" t="n">
        <v>0.332241</v>
      </c>
      <c r="W1319" t="n">
        <v>7.63842</v>
      </c>
      <c r="X1319" t="inlineStr">
        <is>
          <t>High</t>
        </is>
      </c>
      <c r="Y1319" t="inlineStr">
        <is>
          <t>None</t>
        </is>
      </c>
      <c r="Z1319" t="inlineStr">
        <is>
          <t>Valid</t>
        </is>
      </c>
      <c r="AA1319" t="n">
        <v>2030</v>
      </c>
      <c r="AB1319" t="inlineStr">
        <is>
          <t>Industry Haircut Pathway</t>
        </is>
      </c>
      <c r="AC1319" t="n">
        <v>4867.926</v>
      </c>
      <c r="AD1319" t="n">
        <v>2620.8914</v>
      </c>
      <c r="AE1319" t="n">
        <v>3519.7052</v>
      </c>
      <c r="AF1319" t="n">
        <v>3519.7052</v>
      </c>
      <c r="AG1319" t="n">
        <v>1348.2208</v>
      </c>
      <c r="AH1319" t="n">
        <v>0.00017611</v>
      </c>
      <c r="AI1319" t="n">
        <v>0.27696</v>
      </c>
      <c r="AJ1319" t="n">
        <v>898.8139</v>
      </c>
      <c r="AK1319" t="n">
        <v>89.8814</v>
      </c>
      <c r="AL1319" t="n">
        <v>19467.8103</v>
      </c>
      <c r="AM1319" t="n">
        <v>22466.4521</v>
      </c>
      <c r="AN1319" t="n">
        <v>0.95</v>
      </c>
      <c r="AO1319" t="inlineStr">
        <is>
          <t>High</t>
        </is>
      </c>
      <c r="AP1319" t="inlineStr">
        <is>
          <t>On Track to Glide Path</t>
        </is>
      </c>
    </row>
    <row r="1320">
      <c r="A1320" t="inlineStr">
        <is>
          <t>SUP-0083</t>
        </is>
      </c>
      <c r="B1320" t="inlineStr">
        <is>
          <t>Logistics Supplier 083</t>
        </is>
      </c>
      <c r="C1320" t="inlineStr">
        <is>
          <t>Logistics</t>
        </is>
      </c>
      <c r="D1320" t="n">
        <v>2024</v>
      </c>
      <c r="E1320" t="n">
        <v>2015</v>
      </c>
      <c r="F1320" t="n">
        <v>2040</v>
      </c>
      <c r="G1320" t="n">
        <v>3352.7019</v>
      </c>
      <c r="H1320" t="n">
        <v>807.0083</v>
      </c>
      <c r="I1320" t="n">
        <v>435.321</v>
      </c>
      <c r="J1320" t="n">
        <v>2288.8372</v>
      </c>
      <c r="K1320" t="n">
        <v>19985712.58</v>
      </c>
      <c r="L1320" t="n">
        <v>60606542.27</v>
      </c>
      <c r="M1320" t="n">
        <v>3352.7019</v>
      </c>
      <c r="N1320" t="inlineStr">
        <is>
          <t>Provided Total Emissions</t>
        </is>
      </c>
      <c r="O1320" t="b">
        <v>1</v>
      </c>
      <c r="P1320" t="n">
        <v>-0.040587</v>
      </c>
      <c r="Q1320" t="n">
        <v>-0.03379</v>
      </c>
      <c r="R1320" t="n">
        <v>4466.6069</v>
      </c>
      <c r="S1320" t="n">
        <v>28962.0484</v>
      </c>
      <c r="T1320" t="n">
        <v>1113.905</v>
      </c>
      <c r="U1320" t="n">
        <v>25609.3465</v>
      </c>
      <c r="V1320" t="n">
        <v>0.332241</v>
      </c>
      <c r="W1320" t="n">
        <v>7.63842</v>
      </c>
      <c r="X1320" t="inlineStr">
        <is>
          <t>High</t>
        </is>
      </c>
      <c r="Y1320" t="inlineStr">
        <is>
          <t>None</t>
        </is>
      </c>
      <c r="Z1320" t="inlineStr">
        <is>
          <t>Valid</t>
        </is>
      </c>
      <c r="AA1320" t="n">
        <v>2031</v>
      </c>
      <c r="AB1320" t="inlineStr">
        <is>
          <t>Industry Haircut Pathway</t>
        </is>
      </c>
      <c r="AC1320" t="n">
        <v>4867.926</v>
      </c>
      <c r="AD1320" t="n">
        <v>2620.8914</v>
      </c>
      <c r="AE1320" t="n">
        <v>3429.8238</v>
      </c>
      <c r="AF1320" t="n">
        <v>3429.8238</v>
      </c>
      <c r="AG1320" t="n">
        <v>1438.1022</v>
      </c>
      <c r="AH1320" t="n">
        <v>0.00017161</v>
      </c>
      <c r="AI1320" t="n">
        <v>0.295424</v>
      </c>
      <c r="AJ1320" t="n">
        <v>808.9325</v>
      </c>
      <c r="AK1320" t="n">
        <v>89.8814</v>
      </c>
      <c r="AL1320" t="n">
        <v>16037.9865</v>
      </c>
      <c r="AM1320" t="n">
        <v>25896.2759</v>
      </c>
      <c r="AN1320" t="n">
        <v>0.95</v>
      </c>
      <c r="AO1320" t="inlineStr">
        <is>
          <t>High</t>
        </is>
      </c>
      <c r="AP1320" t="inlineStr">
        <is>
          <t>On Track to Glide Path</t>
        </is>
      </c>
    </row>
    <row r="1321">
      <c r="A1321" t="inlineStr">
        <is>
          <t>SUP-0083</t>
        </is>
      </c>
      <c r="B1321" t="inlineStr">
        <is>
          <t>Logistics Supplier 083</t>
        </is>
      </c>
      <c r="C1321" t="inlineStr">
        <is>
          <t>Logistics</t>
        </is>
      </c>
      <c r="D1321" t="n">
        <v>2024</v>
      </c>
      <c r="E1321" t="n">
        <v>2015</v>
      </c>
      <c r="F1321" t="n">
        <v>2040</v>
      </c>
      <c r="G1321" t="n">
        <v>3352.7019</v>
      </c>
      <c r="H1321" t="n">
        <v>807.0083</v>
      </c>
      <c r="I1321" t="n">
        <v>435.321</v>
      </c>
      <c r="J1321" t="n">
        <v>2288.8372</v>
      </c>
      <c r="K1321" t="n">
        <v>19985712.58</v>
      </c>
      <c r="L1321" t="n">
        <v>60606542.27</v>
      </c>
      <c r="M1321" t="n">
        <v>3352.7019</v>
      </c>
      <c r="N1321" t="inlineStr">
        <is>
          <t>Provided Total Emissions</t>
        </is>
      </c>
      <c r="O1321" t="b">
        <v>1</v>
      </c>
      <c r="P1321" t="n">
        <v>-0.040587</v>
      </c>
      <c r="Q1321" t="n">
        <v>-0.03379</v>
      </c>
      <c r="R1321" t="n">
        <v>4466.6069</v>
      </c>
      <c r="S1321" t="n">
        <v>28962.0484</v>
      </c>
      <c r="T1321" t="n">
        <v>1113.905</v>
      </c>
      <c r="U1321" t="n">
        <v>25609.3465</v>
      </c>
      <c r="V1321" t="n">
        <v>0.332241</v>
      </c>
      <c r="W1321" t="n">
        <v>7.63842</v>
      </c>
      <c r="X1321" t="inlineStr">
        <is>
          <t>High</t>
        </is>
      </c>
      <c r="Y1321" t="inlineStr">
        <is>
          <t>None</t>
        </is>
      </c>
      <c r="Z1321" t="inlineStr">
        <is>
          <t>Valid</t>
        </is>
      </c>
      <c r="AA1321" t="n">
        <v>2032</v>
      </c>
      <c r="AB1321" t="inlineStr">
        <is>
          <t>Industry Haircut Pathway</t>
        </is>
      </c>
      <c r="AC1321" t="n">
        <v>4867.926</v>
      </c>
      <c r="AD1321" t="n">
        <v>2620.8914</v>
      </c>
      <c r="AE1321" t="n">
        <v>3339.9424</v>
      </c>
      <c r="AF1321" t="n">
        <v>3339.9424</v>
      </c>
      <c r="AG1321" t="n">
        <v>1527.9836</v>
      </c>
      <c r="AH1321" t="n">
        <v>0.00016712</v>
      </c>
      <c r="AI1321" t="n">
        <v>0.313888</v>
      </c>
      <c r="AJ1321" t="n">
        <v>719.0511</v>
      </c>
      <c r="AK1321" t="n">
        <v>89.8814</v>
      </c>
      <c r="AL1321" t="n">
        <v>12698.0441</v>
      </c>
      <c r="AM1321" t="n">
        <v>29236.2183</v>
      </c>
      <c r="AN1321" t="n">
        <v>0.95</v>
      </c>
      <c r="AO1321" t="inlineStr">
        <is>
          <t>High</t>
        </is>
      </c>
      <c r="AP1321" t="inlineStr">
        <is>
          <t>On Track to Glide Path</t>
        </is>
      </c>
    </row>
    <row r="1322">
      <c r="A1322" t="inlineStr">
        <is>
          <t>SUP-0083</t>
        </is>
      </c>
      <c r="B1322" t="inlineStr">
        <is>
          <t>Logistics Supplier 083</t>
        </is>
      </c>
      <c r="C1322" t="inlineStr">
        <is>
          <t>Logistics</t>
        </is>
      </c>
      <c r="D1322" t="n">
        <v>2024</v>
      </c>
      <c r="E1322" t="n">
        <v>2015</v>
      </c>
      <c r="F1322" t="n">
        <v>2040</v>
      </c>
      <c r="G1322" t="n">
        <v>3352.7019</v>
      </c>
      <c r="H1322" t="n">
        <v>807.0083</v>
      </c>
      <c r="I1322" t="n">
        <v>435.321</v>
      </c>
      <c r="J1322" t="n">
        <v>2288.8372</v>
      </c>
      <c r="K1322" t="n">
        <v>19985712.58</v>
      </c>
      <c r="L1322" t="n">
        <v>60606542.27</v>
      </c>
      <c r="M1322" t="n">
        <v>3352.7019</v>
      </c>
      <c r="N1322" t="inlineStr">
        <is>
          <t>Provided Total Emissions</t>
        </is>
      </c>
      <c r="O1322" t="b">
        <v>1</v>
      </c>
      <c r="P1322" t="n">
        <v>-0.040587</v>
      </c>
      <c r="Q1322" t="n">
        <v>-0.03379</v>
      </c>
      <c r="R1322" t="n">
        <v>4466.6069</v>
      </c>
      <c r="S1322" t="n">
        <v>28962.0484</v>
      </c>
      <c r="T1322" t="n">
        <v>1113.905</v>
      </c>
      <c r="U1322" t="n">
        <v>25609.3465</v>
      </c>
      <c r="V1322" t="n">
        <v>0.332241</v>
      </c>
      <c r="W1322" t="n">
        <v>7.63842</v>
      </c>
      <c r="X1322" t="inlineStr">
        <is>
          <t>High</t>
        </is>
      </c>
      <c r="Y1322" t="inlineStr">
        <is>
          <t>None</t>
        </is>
      </c>
      <c r="Z1322" t="inlineStr">
        <is>
          <t>Valid</t>
        </is>
      </c>
      <c r="AA1322" t="n">
        <v>2033</v>
      </c>
      <c r="AB1322" t="inlineStr">
        <is>
          <t>Industry Haircut Pathway</t>
        </is>
      </c>
      <c r="AC1322" t="n">
        <v>4867.926</v>
      </c>
      <c r="AD1322" t="n">
        <v>2620.8914</v>
      </c>
      <c r="AE1322" t="n">
        <v>3250.0611</v>
      </c>
      <c r="AF1322" t="n">
        <v>3250.0611</v>
      </c>
      <c r="AG1322" t="n">
        <v>1617.8649</v>
      </c>
      <c r="AH1322" t="n">
        <v>0.00016262</v>
      </c>
      <c r="AI1322" t="n">
        <v>0.332352</v>
      </c>
      <c r="AJ1322" t="n">
        <v>629.1697</v>
      </c>
      <c r="AK1322" t="n">
        <v>89.8814</v>
      </c>
      <c r="AL1322" t="n">
        <v>9447.983</v>
      </c>
      <c r="AM1322" t="n">
        <v>32486.2794</v>
      </c>
      <c r="AN1322" t="n">
        <v>0.95</v>
      </c>
      <c r="AO1322" t="inlineStr">
        <is>
          <t>High</t>
        </is>
      </c>
      <c r="AP1322" t="inlineStr">
        <is>
          <t>On Track to Glide Path</t>
        </is>
      </c>
    </row>
    <row r="1323">
      <c r="A1323" t="inlineStr">
        <is>
          <t>SUP-0083</t>
        </is>
      </c>
      <c r="B1323" t="inlineStr">
        <is>
          <t>Logistics Supplier 083</t>
        </is>
      </c>
      <c r="C1323" t="inlineStr">
        <is>
          <t>Logistics</t>
        </is>
      </c>
      <c r="D1323" t="n">
        <v>2024</v>
      </c>
      <c r="E1323" t="n">
        <v>2015</v>
      </c>
      <c r="F1323" t="n">
        <v>2040</v>
      </c>
      <c r="G1323" t="n">
        <v>3352.7019</v>
      </c>
      <c r="H1323" t="n">
        <v>807.0083</v>
      </c>
      <c r="I1323" t="n">
        <v>435.321</v>
      </c>
      <c r="J1323" t="n">
        <v>2288.8372</v>
      </c>
      <c r="K1323" t="n">
        <v>19985712.58</v>
      </c>
      <c r="L1323" t="n">
        <v>60606542.27</v>
      </c>
      <c r="M1323" t="n">
        <v>3352.7019</v>
      </c>
      <c r="N1323" t="inlineStr">
        <is>
          <t>Provided Total Emissions</t>
        </is>
      </c>
      <c r="O1323" t="b">
        <v>1</v>
      </c>
      <c r="P1323" t="n">
        <v>-0.040587</v>
      </c>
      <c r="Q1323" t="n">
        <v>-0.03379</v>
      </c>
      <c r="R1323" t="n">
        <v>4466.6069</v>
      </c>
      <c r="S1323" t="n">
        <v>28962.0484</v>
      </c>
      <c r="T1323" t="n">
        <v>1113.905</v>
      </c>
      <c r="U1323" t="n">
        <v>25609.3465</v>
      </c>
      <c r="V1323" t="n">
        <v>0.332241</v>
      </c>
      <c r="W1323" t="n">
        <v>7.63842</v>
      </c>
      <c r="X1323" t="inlineStr">
        <is>
          <t>High</t>
        </is>
      </c>
      <c r="Y1323" t="inlineStr">
        <is>
          <t>None</t>
        </is>
      </c>
      <c r="Z1323" t="inlineStr">
        <is>
          <t>Valid</t>
        </is>
      </c>
      <c r="AA1323" t="n">
        <v>2034</v>
      </c>
      <c r="AB1323" t="inlineStr">
        <is>
          <t>Industry Haircut Pathway</t>
        </is>
      </c>
      <c r="AC1323" t="n">
        <v>4867.926</v>
      </c>
      <c r="AD1323" t="n">
        <v>2620.8914</v>
      </c>
      <c r="AE1323" t="n">
        <v>3160.1797</v>
      </c>
      <c r="AF1323" t="n">
        <v>3160.1797</v>
      </c>
      <c r="AG1323" t="n">
        <v>1707.7463</v>
      </c>
      <c r="AH1323" t="n">
        <v>0.00015812</v>
      </c>
      <c r="AI1323" t="n">
        <v>0.350816</v>
      </c>
      <c r="AJ1323" t="n">
        <v>539.2883</v>
      </c>
      <c r="AK1323" t="n">
        <v>89.8814</v>
      </c>
      <c r="AL1323" t="n">
        <v>6287.8033</v>
      </c>
      <c r="AM1323" t="n">
        <v>35646.4591</v>
      </c>
      <c r="AN1323" t="n">
        <v>0.95</v>
      </c>
      <c r="AO1323" t="inlineStr">
        <is>
          <t>High</t>
        </is>
      </c>
      <c r="AP1323" t="inlineStr">
        <is>
          <t>On Track to Glide Path</t>
        </is>
      </c>
    </row>
    <row r="1324">
      <c r="A1324" t="inlineStr">
        <is>
          <t>SUP-0083</t>
        </is>
      </c>
      <c r="B1324" t="inlineStr">
        <is>
          <t>Logistics Supplier 083</t>
        </is>
      </c>
      <c r="C1324" t="inlineStr">
        <is>
          <t>Logistics</t>
        </is>
      </c>
      <c r="D1324" t="n">
        <v>2024</v>
      </c>
      <c r="E1324" t="n">
        <v>2015</v>
      </c>
      <c r="F1324" t="n">
        <v>2040</v>
      </c>
      <c r="G1324" t="n">
        <v>3352.7019</v>
      </c>
      <c r="H1324" t="n">
        <v>807.0083</v>
      </c>
      <c r="I1324" t="n">
        <v>435.321</v>
      </c>
      <c r="J1324" t="n">
        <v>2288.8372</v>
      </c>
      <c r="K1324" t="n">
        <v>19985712.58</v>
      </c>
      <c r="L1324" t="n">
        <v>60606542.27</v>
      </c>
      <c r="M1324" t="n">
        <v>3352.7019</v>
      </c>
      <c r="N1324" t="inlineStr">
        <is>
          <t>Provided Total Emissions</t>
        </is>
      </c>
      <c r="O1324" t="b">
        <v>1</v>
      </c>
      <c r="P1324" t="n">
        <v>-0.040587</v>
      </c>
      <c r="Q1324" t="n">
        <v>-0.03379</v>
      </c>
      <c r="R1324" t="n">
        <v>4466.6069</v>
      </c>
      <c r="S1324" t="n">
        <v>28962.0484</v>
      </c>
      <c r="T1324" t="n">
        <v>1113.905</v>
      </c>
      <c r="U1324" t="n">
        <v>25609.3465</v>
      </c>
      <c r="V1324" t="n">
        <v>0.332241</v>
      </c>
      <c r="W1324" t="n">
        <v>7.63842</v>
      </c>
      <c r="X1324" t="inlineStr">
        <is>
          <t>High</t>
        </is>
      </c>
      <c r="Y1324" t="inlineStr">
        <is>
          <t>None</t>
        </is>
      </c>
      <c r="Z1324" t="inlineStr">
        <is>
          <t>Valid</t>
        </is>
      </c>
      <c r="AA1324" t="n">
        <v>2035</v>
      </c>
      <c r="AB1324" t="inlineStr">
        <is>
          <t>Industry Haircut Pathway</t>
        </is>
      </c>
      <c r="AC1324" t="n">
        <v>4867.926</v>
      </c>
      <c r="AD1324" t="n">
        <v>2620.8914</v>
      </c>
      <c r="AE1324" t="n">
        <v>3070.2983</v>
      </c>
      <c r="AF1324" t="n">
        <v>3070.2983</v>
      </c>
      <c r="AG1324" t="n">
        <v>1797.6277</v>
      </c>
      <c r="AH1324" t="n">
        <v>0.00015362</v>
      </c>
      <c r="AI1324" t="n">
        <v>0.36928</v>
      </c>
      <c r="AJ1324" t="n">
        <v>449.4069</v>
      </c>
      <c r="AK1324" t="n">
        <v>89.8814</v>
      </c>
      <c r="AL1324" t="n">
        <v>3217.505</v>
      </c>
      <c r="AM1324" t="n">
        <v>38716.7574</v>
      </c>
      <c r="AN1324" t="n">
        <v>0.95</v>
      </c>
      <c r="AO1324" t="inlineStr">
        <is>
          <t>High</t>
        </is>
      </c>
      <c r="AP1324" t="inlineStr">
        <is>
          <t>On Track to Glide Path</t>
        </is>
      </c>
    </row>
    <row r="1325">
      <c r="A1325" t="inlineStr">
        <is>
          <t>SUP-0083</t>
        </is>
      </c>
      <c r="B1325" t="inlineStr">
        <is>
          <t>Logistics Supplier 083</t>
        </is>
      </c>
      <c r="C1325" t="inlineStr">
        <is>
          <t>Logistics</t>
        </is>
      </c>
      <c r="D1325" t="n">
        <v>2024</v>
      </c>
      <c r="E1325" t="n">
        <v>2015</v>
      </c>
      <c r="F1325" t="n">
        <v>2040</v>
      </c>
      <c r="G1325" t="n">
        <v>3352.7019</v>
      </c>
      <c r="H1325" t="n">
        <v>807.0083</v>
      </c>
      <c r="I1325" t="n">
        <v>435.321</v>
      </c>
      <c r="J1325" t="n">
        <v>2288.8372</v>
      </c>
      <c r="K1325" t="n">
        <v>19985712.58</v>
      </c>
      <c r="L1325" t="n">
        <v>60606542.27</v>
      </c>
      <c r="M1325" t="n">
        <v>3352.7019</v>
      </c>
      <c r="N1325" t="inlineStr">
        <is>
          <t>Provided Total Emissions</t>
        </is>
      </c>
      <c r="O1325" t="b">
        <v>1</v>
      </c>
      <c r="P1325" t="n">
        <v>-0.040587</v>
      </c>
      <c r="Q1325" t="n">
        <v>-0.03379</v>
      </c>
      <c r="R1325" t="n">
        <v>4466.6069</v>
      </c>
      <c r="S1325" t="n">
        <v>28962.0484</v>
      </c>
      <c r="T1325" t="n">
        <v>1113.905</v>
      </c>
      <c r="U1325" t="n">
        <v>25609.3465</v>
      </c>
      <c r="V1325" t="n">
        <v>0.332241</v>
      </c>
      <c r="W1325" t="n">
        <v>7.63842</v>
      </c>
      <c r="X1325" t="inlineStr">
        <is>
          <t>High</t>
        </is>
      </c>
      <c r="Y1325" t="inlineStr">
        <is>
          <t>None</t>
        </is>
      </c>
      <c r="Z1325" t="inlineStr">
        <is>
          <t>Valid</t>
        </is>
      </c>
      <c r="AA1325" t="n">
        <v>2036</v>
      </c>
      <c r="AB1325" t="inlineStr">
        <is>
          <t>Industry Haircut Pathway</t>
        </is>
      </c>
      <c r="AC1325" t="n">
        <v>4867.926</v>
      </c>
      <c r="AD1325" t="n">
        <v>2620.8914</v>
      </c>
      <c r="AE1325" t="n">
        <v>2980.4169</v>
      </c>
      <c r="AF1325" t="n">
        <v>2980.4169</v>
      </c>
      <c r="AG1325" t="n">
        <v>1887.5091</v>
      </c>
      <c r="AH1325" t="n">
        <v>0.00014913</v>
      </c>
      <c r="AI1325" t="n">
        <v>0.387744</v>
      </c>
      <c r="AJ1325" t="n">
        <v>359.5255</v>
      </c>
      <c r="AK1325" t="n">
        <v>89.8814</v>
      </c>
      <c r="AL1325" t="n">
        <v>237.0881</v>
      </c>
      <c r="AM1325" t="n">
        <v>41697.1743</v>
      </c>
      <c r="AN1325" t="n">
        <v>0.95</v>
      </c>
      <c r="AO1325" t="inlineStr">
        <is>
          <t>Medium</t>
        </is>
      </c>
      <c r="AP1325" t="inlineStr">
        <is>
          <t>On Track to Glide Path</t>
        </is>
      </c>
    </row>
    <row r="1326">
      <c r="A1326" t="inlineStr">
        <is>
          <t>SUP-0083</t>
        </is>
      </c>
      <c r="B1326" t="inlineStr">
        <is>
          <t>Logistics Supplier 083</t>
        </is>
      </c>
      <c r="C1326" t="inlineStr">
        <is>
          <t>Logistics</t>
        </is>
      </c>
      <c r="D1326" t="n">
        <v>2024</v>
      </c>
      <c r="E1326" t="n">
        <v>2015</v>
      </c>
      <c r="F1326" t="n">
        <v>2040</v>
      </c>
      <c r="G1326" t="n">
        <v>3352.7019</v>
      </c>
      <c r="H1326" t="n">
        <v>807.0083</v>
      </c>
      <c r="I1326" t="n">
        <v>435.321</v>
      </c>
      <c r="J1326" t="n">
        <v>2288.8372</v>
      </c>
      <c r="K1326" t="n">
        <v>19985712.58</v>
      </c>
      <c r="L1326" t="n">
        <v>60606542.27</v>
      </c>
      <c r="M1326" t="n">
        <v>3352.7019</v>
      </c>
      <c r="N1326" t="inlineStr">
        <is>
          <t>Provided Total Emissions</t>
        </is>
      </c>
      <c r="O1326" t="b">
        <v>1</v>
      </c>
      <c r="P1326" t="n">
        <v>-0.040587</v>
      </c>
      <c r="Q1326" t="n">
        <v>-0.03379</v>
      </c>
      <c r="R1326" t="n">
        <v>4466.6069</v>
      </c>
      <c r="S1326" t="n">
        <v>28962.0484</v>
      </c>
      <c r="T1326" t="n">
        <v>1113.905</v>
      </c>
      <c r="U1326" t="n">
        <v>25609.3465</v>
      </c>
      <c r="V1326" t="n">
        <v>0.332241</v>
      </c>
      <c r="W1326" t="n">
        <v>7.63842</v>
      </c>
      <c r="X1326" t="inlineStr">
        <is>
          <t>High</t>
        </is>
      </c>
      <c r="Y1326" t="inlineStr">
        <is>
          <t>None</t>
        </is>
      </c>
      <c r="Z1326" t="inlineStr">
        <is>
          <t>Valid</t>
        </is>
      </c>
      <c r="AA1326" t="n">
        <v>2037</v>
      </c>
      <c r="AB1326" t="inlineStr">
        <is>
          <t>Industry Haircut Pathway</t>
        </is>
      </c>
      <c r="AC1326" t="n">
        <v>4867.926</v>
      </c>
      <c r="AD1326" t="n">
        <v>2620.8914</v>
      </c>
      <c r="AE1326" t="n">
        <v>2890.5355</v>
      </c>
      <c r="AF1326" t="n">
        <v>2890.5355</v>
      </c>
      <c r="AG1326" t="n">
        <v>1977.3905</v>
      </c>
      <c r="AH1326" t="n">
        <v>0.00014463</v>
      </c>
      <c r="AI1326" t="n">
        <v>0.406208</v>
      </c>
      <c r="AJ1326" t="n">
        <v>269.6442</v>
      </c>
      <c r="AK1326" t="n">
        <v>89.8814</v>
      </c>
      <c r="AL1326" t="n">
        <v>-2653.4474</v>
      </c>
      <c r="AM1326" t="n">
        <v>44587.7098</v>
      </c>
      <c r="AN1326" t="n">
        <v>0.95</v>
      </c>
      <c r="AO1326" t="inlineStr">
        <is>
          <t>Medium</t>
        </is>
      </c>
      <c r="AP1326" t="inlineStr">
        <is>
          <t>On Track to Glide Path</t>
        </is>
      </c>
    </row>
    <row r="1327">
      <c r="A1327" t="inlineStr">
        <is>
          <t>SUP-0083</t>
        </is>
      </c>
      <c r="B1327" t="inlineStr">
        <is>
          <t>Logistics Supplier 083</t>
        </is>
      </c>
      <c r="C1327" t="inlineStr">
        <is>
          <t>Logistics</t>
        </is>
      </c>
      <c r="D1327" t="n">
        <v>2024</v>
      </c>
      <c r="E1327" t="n">
        <v>2015</v>
      </c>
      <c r="F1327" t="n">
        <v>2040</v>
      </c>
      <c r="G1327" t="n">
        <v>3352.7019</v>
      </c>
      <c r="H1327" t="n">
        <v>807.0083</v>
      </c>
      <c r="I1327" t="n">
        <v>435.321</v>
      </c>
      <c r="J1327" t="n">
        <v>2288.8372</v>
      </c>
      <c r="K1327" t="n">
        <v>19985712.58</v>
      </c>
      <c r="L1327" t="n">
        <v>60606542.27</v>
      </c>
      <c r="M1327" t="n">
        <v>3352.7019</v>
      </c>
      <c r="N1327" t="inlineStr">
        <is>
          <t>Provided Total Emissions</t>
        </is>
      </c>
      <c r="O1327" t="b">
        <v>1</v>
      </c>
      <c r="P1327" t="n">
        <v>-0.040587</v>
      </c>
      <c r="Q1327" t="n">
        <v>-0.03379</v>
      </c>
      <c r="R1327" t="n">
        <v>4466.6069</v>
      </c>
      <c r="S1327" t="n">
        <v>28962.0484</v>
      </c>
      <c r="T1327" t="n">
        <v>1113.905</v>
      </c>
      <c r="U1327" t="n">
        <v>25609.3465</v>
      </c>
      <c r="V1327" t="n">
        <v>0.332241</v>
      </c>
      <c r="W1327" t="n">
        <v>7.63842</v>
      </c>
      <c r="X1327" t="inlineStr">
        <is>
          <t>High</t>
        </is>
      </c>
      <c r="Y1327" t="inlineStr">
        <is>
          <t>None</t>
        </is>
      </c>
      <c r="Z1327" t="inlineStr">
        <is>
          <t>Valid</t>
        </is>
      </c>
      <c r="AA1327" t="n">
        <v>2038</v>
      </c>
      <c r="AB1327" t="inlineStr">
        <is>
          <t>Industry Haircut Pathway</t>
        </is>
      </c>
      <c r="AC1327" t="n">
        <v>4867.926</v>
      </c>
      <c r="AD1327" t="n">
        <v>2620.8914</v>
      </c>
      <c r="AE1327" t="n">
        <v>2800.6541</v>
      </c>
      <c r="AF1327" t="n">
        <v>2800.6541</v>
      </c>
      <c r="AG1327" t="n">
        <v>2067.2719</v>
      </c>
      <c r="AH1327" t="n">
        <v>0.00014013</v>
      </c>
      <c r="AI1327" t="n">
        <v>0.424672</v>
      </c>
      <c r="AJ1327" t="n">
        <v>179.7628</v>
      </c>
      <c r="AK1327" t="n">
        <v>89.8814</v>
      </c>
      <c r="AL1327" t="n">
        <v>-5454.1015</v>
      </c>
      <c r="AM1327" t="n">
        <v>47388.3639</v>
      </c>
      <c r="AN1327" t="n">
        <v>0.95</v>
      </c>
      <c r="AO1327" t="inlineStr">
        <is>
          <t>Medium</t>
        </is>
      </c>
      <c r="AP1327" t="inlineStr">
        <is>
          <t>On Track to Glide Path</t>
        </is>
      </c>
    </row>
    <row r="1328">
      <c r="A1328" t="inlineStr">
        <is>
          <t>SUP-0083</t>
        </is>
      </c>
      <c r="B1328" t="inlineStr">
        <is>
          <t>Logistics Supplier 083</t>
        </is>
      </c>
      <c r="C1328" t="inlineStr">
        <is>
          <t>Logistics</t>
        </is>
      </c>
      <c r="D1328" t="n">
        <v>2024</v>
      </c>
      <c r="E1328" t="n">
        <v>2015</v>
      </c>
      <c r="F1328" t="n">
        <v>2040</v>
      </c>
      <c r="G1328" t="n">
        <v>3352.7019</v>
      </c>
      <c r="H1328" t="n">
        <v>807.0083</v>
      </c>
      <c r="I1328" t="n">
        <v>435.321</v>
      </c>
      <c r="J1328" t="n">
        <v>2288.8372</v>
      </c>
      <c r="K1328" t="n">
        <v>19985712.58</v>
      </c>
      <c r="L1328" t="n">
        <v>60606542.27</v>
      </c>
      <c r="M1328" t="n">
        <v>3352.7019</v>
      </c>
      <c r="N1328" t="inlineStr">
        <is>
          <t>Provided Total Emissions</t>
        </is>
      </c>
      <c r="O1328" t="b">
        <v>1</v>
      </c>
      <c r="P1328" t="n">
        <v>-0.040587</v>
      </c>
      <c r="Q1328" t="n">
        <v>-0.03379</v>
      </c>
      <c r="R1328" t="n">
        <v>4466.6069</v>
      </c>
      <c r="S1328" t="n">
        <v>28962.0484</v>
      </c>
      <c r="T1328" t="n">
        <v>1113.905</v>
      </c>
      <c r="U1328" t="n">
        <v>25609.3465</v>
      </c>
      <c r="V1328" t="n">
        <v>0.332241</v>
      </c>
      <c r="W1328" t="n">
        <v>7.63842</v>
      </c>
      <c r="X1328" t="inlineStr">
        <is>
          <t>High</t>
        </is>
      </c>
      <c r="Y1328" t="inlineStr">
        <is>
          <t>None</t>
        </is>
      </c>
      <c r="Z1328" t="inlineStr">
        <is>
          <t>Valid</t>
        </is>
      </c>
      <c r="AA1328" t="n">
        <v>2039</v>
      </c>
      <c r="AB1328" t="inlineStr">
        <is>
          <t>Industry Haircut Pathway</t>
        </is>
      </c>
      <c r="AC1328" t="n">
        <v>4867.926</v>
      </c>
      <c r="AD1328" t="n">
        <v>2620.8914</v>
      </c>
      <c r="AE1328" t="n">
        <v>2710.7727</v>
      </c>
      <c r="AF1328" t="n">
        <v>2710.7727</v>
      </c>
      <c r="AG1328" t="n">
        <v>2157.1533</v>
      </c>
      <c r="AH1328" t="n">
        <v>0.00013564</v>
      </c>
      <c r="AI1328" t="n">
        <v>0.443136</v>
      </c>
      <c r="AJ1328" t="n">
        <v>89.8814</v>
      </c>
      <c r="AK1328" t="n">
        <v>89.8814</v>
      </c>
      <c r="AL1328" t="n">
        <v>-8164.8742</v>
      </c>
      <c r="AM1328" t="n">
        <v>50099.1366</v>
      </c>
      <c r="AN1328" t="n">
        <v>0.95</v>
      </c>
      <c r="AO1328" t="inlineStr">
        <is>
          <t>Medium</t>
        </is>
      </c>
      <c r="AP1328" t="inlineStr">
        <is>
          <t>On Track to Glide Path</t>
        </is>
      </c>
    </row>
    <row r="1329">
      <c r="A1329" t="inlineStr">
        <is>
          <t>SUP-0083</t>
        </is>
      </c>
      <c r="B1329" t="inlineStr">
        <is>
          <t>Logistics Supplier 083</t>
        </is>
      </c>
      <c r="C1329" t="inlineStr">
        <is>
          <t>Logistics</t>
        </is>
      </c>
      <c r="D1329" t="n">
        <v>2024</v>
      </c>
      <c r="E1329" t="n">
        <v>2015</v>
      </c>
      <c r="F1329" t="n">
        <v>2040</v>
      </c>
      <c r="G1329" t="n">
        <v>3352.7019</v>
      </c>
      <c r="H1329" t="n">
        <v>807.0083</v>
      </c>
      <c r="I1329" t="n">
        <v>435.321</v>
      </c>
      <c r="J1329" t="n">
        <v>2288.8372</v>
      </c>
      <c r="K1329" t="n">
        <v>19985712.58</v>
      </c>
      <c r="L1329" t="n">
        <v>60606542.27</v>
      </c>
      <c r="M1329" t="n">
        <v>3352.7019</v>
      </c>
      <c r="N1329" t="inlineStr">
        <is>
          <t>Provided Total Emissions</t>
        </is>
      </c>
      <c r="O1329" t="b">
        <v>1</v>
      </c>
      <c r="P1329" t="n">
        <v>-0.040587</v>
      </c>
      <c r="Q1329" t="n">
        <v>-0.03379</v>
      </c>
      <c r="R1329" t="n">
        <v>4466.6069</v>
      </c>
      <c r="S1329" t="n">
        <v>28962.0484</v>
      </c>
      <c r="T1329" t="n">
        <v>1113.905</v>
      </c>
      <c r="U1329" t="n">
        <v>25609.3465</v>
      </c>
      <c r="V1329" t="n">
        <v>0.332241</v>
      </c>
      <c r="W1329" t="n">
        <v>7.63842</v>
      </c>
      <c r="X1329" t="inlineStr">
        <is>
          <t>High</t>
        </is>
      </c>
      <c r="Y1329" t="inlineStr">
        <is>
          <t>None</t>
        </is>
      </c>
      <c r="Z1329" t="inlineStr">
        <is>
          <t>Valid</t>
        </is>
      </c>
      <c r="AA1329" t="n">
        <v>2040</v>
      </c>
      <c r="AB1329" t="inlineStr">
        <is>
          <t>Industry Haircut Pathway</t>
        </is>
      </c>
      <c r="AC1329" t="n">
        <v>4867.926</v>
      </c>
      <c r="AD1329" t="n">
        <v>2620.8914</v>
      </c>
      <c r="AE1329" t="n">
        <v>2620.8914</v>
      </c>
      <c r="AF1329" t="n">
        <v>2620.8914</v>
      </c>
      <c r="AG1329" t="n">
        <v>2247.0346</v>
      </c>
      <c r="AH1329" t="n">
        <v>0.00013114</v>
      </c>
      <c r="AI1329" t="n">
        <v>0.4616</v>
      </c>
      <c r="AJ1329" t="n">
        <v>0</v>
      </c>
      <c r="AK1329" t="n">
        <v>89.8814</v>
      </c>
      <c r="AL1329" t="n">
        <v>-10785.7656</v>
      </c>
      <c r="AM1329" t="n">
        <v>52720.028</v>
      </c>
      <c r="AN1329" t="n">
        <v>0.95</v>
      </c>
      <c r="AO1329" t="inlineStr">
        <is>
          <t>Low</t>
        </is>
      </c>
      <c r="AP1329" t="inlineStr">
        <is>
          <t>On Track</t>
        </is>
      </c>
    </row>
    <row r="1330">
      <c r="A1330" t="inlineStr">
        <is>
          <t>SUP-0084</t>
        </is>
      </c>
      <c r="B1330" t="inlineStr">
        <is>
          <t>Chemicals Supplier 084</t>
        </is>
      </c>
      <c r="C1330" t="inlineStr">
        <is>
          <t>Chemicals</t>
        </is>
      </c>
      <c r="D1330" t="n">
        <v>2024</v>
      </c>
      <c r="E1330" t="n">
        <v>2015</v>
      </c>
      <c r="F1330" t="n">
        <v>2035</v>
      </c>
      <c r="G1330" t="n">
        <v>12713.5887</v>
      </c>
      <c r="H1330" t="n">
        <v>1567.4043</v>
      </c>
      <c r="I1330" t="n">
        <v>2553.4607</v>
      </c>
      <c r="J1330" t="n">
        <v>8946.1412</v>
      </c>
      <c r="K1330" t="n">
        <v>22962377.36</v>
      </c>
      <c r="L1330" t="n">
        <v>196940775.83</v>
      </c>
      <c r="M1330" t="n">
        <v>12713.5887</v>
      </c>
      <c r="N1330" t="inlineStr">
        <is>
          <t>Provided Total Emissions</t>
        </is>
      </c>
      <c r="O1330" t="b">
        <v>1</v>
      </c>
      <c r="P1330" t="n">
        <v>-0.019226</v>
      </c>
      <c r="Q1330" t="n">
        <v>0.036925</v>
      </c>
      <c r="R1330" t="n">
        <v>22996.5913</v>
      </c>
      <c r="S1330" t="n">
        <v>92806.37119999999</v>
      </c>
      <c r="T1330" t="n">
        <v>10283.0026</v>
      </c>
      <c r="U1330" t="n">
        <v>80092.7825</v>
      </c>
      <c r="V1330" t="n">
        <v>0.80882</v>
      </c>
      <c r="W1330" t="n">
        <v>6.299778</v>
      </c>
      <c r="X1330" t="inlineStr">
        <is>
          <t>High</t>
        </is>
      </c>
      <c r="Y1330" t="inlineStr">
        <is>
          <t>None</t>
        </is>
      </c>
      <c r="Z1330" t="inlineStr">
        <is>
          <t>Valid</t>
        </is>
      </c>
      <c r="AA1330" t="n">
        <v>2025</v>
      </c>
      <c r="AB1330" t="inlineStr">
        <is>
          <t>Industry Haircut Pathway</t>
        </is>
      </c>
      <c r="AC1330" t="n">
        <v>15140.7785</v>
      </c>
      <c r="AD1330" t="n">
        <v>7223.6654</v>
      </c>
      <c r="AE1330" t="n">
        <v>11182.222</v>
      </c>
      <c r="AF1330" t="n">
        <v>11182.222</v>
      </c>
      <c r="AG1330" t="n">
        <v>3958.5565</v>
      </c>
      <c r="AH1330" t="n">
        <v>0.00048698</v>
      </c>
      <c r="AI1330" t="n">
        <v>0.26145</v>
      </c>
      <c r="AJ1330" t="n">
        <v>3958.5565</v>
      </c>
      <c r="AK1330" t="n">
        <v>395.8557</v>
      </c>
      <c r="AL1330" t="n">
        <v>68278.0974</v>
      </c>
      <c r="AM1330" t="n">
        <v>11182.222</v>
      </c>
      <c r="AN1330" t="n">
        <v>0.95</v>
      </c>
      <c r="AO1330" t="inlineStr">
        <is>
          <t>Critical</t>
        </is>
      </c>
      <c r="AP1330" t="inlineStr">
        <is>
          <t>On Track to Glide Path</t>
        </is>
      </c>
    </row>
    <row r="1331">
      <c r="A1331" t="inlineStr">
        <is>
          <t>SUP-0084</t>
        </is>
      </c>
      <c r="B1331" t="inlineStr">
        <is>
          <t>Chemicals Supplier 084</t>
        </is>
      </c>
      <c r="C1331" t="inlineStr">
        <is>
          <t>Chemicals</t>
        </is>
      </c>
      <c r="D1331" t="n">
        <v>2024</v>
      </c>
      <c r="E1331" t="n">
        <v>2015</v>
      </c>
      <c r="F1331" t="n">
        <v>2035</v>
      </c>
      <c r="G1331" t="n">
        <v>12713.5887</v>
      </c>
      <c r="H1331" t="n">
        <v>1567.4043</v>
      </c>
      <c r="I1331" t="n">
        <v>2553.4607</v>
      </c>
      <c r="J1331" t="n">
        <v>8946.1412</v>
      </c>
      <c r="K1331" t="n">
        <v>22962377.36</v>
      </c>
      <c r="L1331" t="n">
        <v>196940775.83</v>
      </c>
      <c r="M1331" t="n">
        <v>12713.5887</v>
      </c>
      <c r="N1331" t="inlineStr">
        <is>
          <t>Provided Total Emissions</t>
        </is>
      </c>
      <c r="O1331" t="b">
        <v>1</v>
      </c>
      <c r="P1331" t="n">
        <v>-0.019226</v>
      </c>
      <c r="Q1331" t="n">
        <v>0.036925</v>
      </c>
      <c r="R1331" t="n">
        <v>22996.5913</v>
      </c>
      <c r="S1331" t="n">
        <v>92806.37119999999</v>
      </c>
      <c r="T1331" t="n">
        <v>10283.0026</v>
      </c>
      <c r="U1331" t="n">
        <v>80092.7825</v>
      </c>
      <c r="V1331" t="n">
        <v>0.80882</v>
      </c>
      <c r="W1331" t="n">
        <v>6.299778</v>
      </c>
      <c r="X1331" t="inlineStr">
        <is>
          <t>High</t>
        </is>
      </c>
      <c r="Y1331" t="inlineStr">
        <is>
          <t>None</t>
        </is>
      </c>
      <c r="Z1331" t="inlineStr">
        <is>
          <t>Valid</t>
        </is>
      </c>
      <c r="AA1331" t="n">
        <v>2026</v>
      </c>
      <c r="AB1331" t="inlineStr">
        <is>
          <t>Industry Haircut Pathway</t>
        </is>
      </c>
      <c r="AC1331" t="n">
        <v>15140.7785</v>
      </c>
      <c r="AD1331" t="n">
        <v>7223.6654</v>
      </c>
      <c r="AE1331" t="n">
        <v>10786.3663</v>
      </c>
      <c r="AF1331" t="n">
        <v>10786.3663</v>
      </c>
      <c r="AG1331" t="n">
        <v>4354.4122</v>
      </c>
      <c r="AH1331" t="n">
        <v>0.00046974</v>
      </c>
      <c r="AI1331" t="n">
        <v>0.287595</v>
      </c>
      <c r="AJ1331" t="n">
        <v>3562.7009</v>
      </c>
      <c r="AK1331" t="n">
        <v>395.8557</v>
      </c>
      <c r="AL1331" t="n">
        <v>57491.7311</v>
      </c>
      <c r="AM1331" t="n">
        <v>21968.5883</v>
      </c>
      <c r="AN1331" t="n">
        <v>0.95</v>
      </c>
      <c r="AO1331" t="inlineStr">
        <is>
          <t>Critical</t>
        </is>
      </c>
      <c r="AP1331" t="inlineStr">
        <is>
          <t>On Track to Glide Path</t>
        </is>
      </c>
    </row>
    <row r="1332">
      <c r="A1332" t="inlineStr">
        <is>
          <t>SUP-0084</t>
        </is>
      </c>
      <c r="B1332" t="inlineStr">
        <is>
          <t>Chemicals Supplier 084</t>
        </is>
      </c>
      <c r="C1332" t="inlineStr">
        <is>
          <t>Chemicals</t>
        </is>
      </c>
      <c r="D1332" t="n">
        <v>2024</v>
      </c>
      <c r="E1332" t="n">
        <v>2015</v>
      </c>
      <c r="F1332" t="n">
        <v>2035</v>
      </c>
      <c r="G1332" t="n">
        <v>12713.5887</v>
      </c>
      <c r="H1332" t="n">
        <v>1567.4043</v>
      </c>
      <c r="I1332" t="n">
        <v>2553.4607</v>
      </c>
      <c r="J1332" t="n">
        <v>8946.1412</v>
      </c>
      <c r="K1332" t="n">
        <v>22962377.36</v>
      </c>
      <c r="L1332" t="n">
        <v>196940775.83</v>
      </c>
      <c r="M1332" t="n">
        <v>12713.5887</v>
      </c>
      <c r="N1332" t="inlineStr">
        <is>
          <t>Provided Total Emissions</t>
        </is>
      </c>
      <c r="O1332" t="b">
        <v>1</v>
      </c>
      <c r="P1332" t="n">
        <v>-0.019226</v>
      </c>
      <c r="Q1332" t="n">
        <v>0.036925</v>
      </c>
      <c r="R1332" t="n">
        <v>22996.5913</v>
      </c>
      <c r="S1332" t="n">
        <v>92806.37119999999</v>
      </c>
      <c r="T1332" t="n">
        <v>10283.0026</v>
      </c>
      <c r="U1332" t="n">
        <v>80092.7825</v>
      </c>
      <c r="V1332" t="n">
        <v>0.80882</v>
      </c>
      <c r="W1332" t="n">
        <v>6.299778</v>
      </c>
      <c r="X1332" t="inlineStr">
        <is>
          <t>High</t>
        </is>
      </c>
      <c r="Y1332" t="inlineStr">
        <is>
          <t>None</t>
        </is>
      </c>
      <c r="Z1332" t="inlineStr">
        <is>
          <t>Valid</t>
        </is>
      </c>
      <c r="AA1332" t="n">
        <v>2027</v>
      </c>
      <c r="AB1332" t="inlineStr">
        <is>
          <t>Industry Haircut Pathway</t>
        </is>
      </c>
      <c r="AC1332" t="n">
        <v>15140.7785</v>
      </c>
      <c r="AD1332" t="n">
        <v>7223.6654</v>
      </c>
      <c r="AE1332" t="n">
        <v>10390.5107</v>
      </c>
      <c r="AF1332" t="n">
        <v>10390.5107</v>
      </c>
      <c r="AG1332" t="n">
        <v>4750.2678</v>
      </c>
      <c r="AH1332" t="n">
        <v>0.0004525</v>
      </c>
      <c r="AI1332" t="n">
        <v>0.31374</v>
      </c>
      <c r="AJ1332" t="n">
        <v>3166.8452</v>
      </c>
      <c r="AK1332" t="n">
        <v>395.8557</v>
      </c>
      <c r="AL1332" t="n">
        <v>47101.2204</v>
      </c>
      <c r="AM1332" t="n">
        <v>32359.099</v>
      </c>
      <c r="AN1332" t="n">
        <v>0.95</v>
      </c>
      <c r="AO1332" t="inlineStr">
        <is>
          <t>Critical</t>
        </is>
      </c>
      <c r="AP1332" t="inlineStr">
        <is>
          <t>On Track to Glide Path</t>
        </is>
      </c>
    </row>
    <row r="1333">
      <c r="A1333" t="inlineStr">
        <is>
          <t>SUP-0084</t>
        </is>
      </c>
      <c r="B1333" t="inlineStr">
        <is>
          <t>Chemicals Supplier 084</t>
        </is>
      </c>
      <c r="C1333" t="inlineStr">
        <is>
          <t>Chemicals</t>
        </is>
      </c>
      <c r="D1333" t="n">
        <v>2024</v>
      </c>
      <c r="E1333" t="n">
        <v>2015</v>
      </c>
      <c r="F1333" t="n">
        <v>2035</v>
      </c>
      <c r="G1333" t="n">
        <v>12713.5887</v>
      </c>
      <c r="H1333" t="n">
        <v>1567.4043</v>
      </c>
      <c r="I1333" t="n">
        <v>2553.4607</v>
      </c>
      <c r="J1333" t="n">
        <v>8946.1412</v>
      </c>
      <c r="K1333" t="n">
        <v>22962377.36</v>
      </c>
      <c r="L1333" t="n">
        <v>196940775.83</v>
      </c>
      <c r="M1333" t="n">
        <v>12713.5887</v>
      </c>
      <c r="N1333" t="inlineStr">
        <is>
          <t>Provided Total Emissions</t>
        </is>
      </c>
      <c r="O1333" t="b">
        <v>1</v>
      </c>
      <c r="P1333" t="n">
        <v>-0.019226</v>
      </c>
      <c r="Q1333" t="n">
        <v>0.036925</v>
      </c>
      <c r="R1333" t="n">
        <v>22996.5913</v>
      </c>
      <c r="S1333" t="n">
        <v>92806.37119999999</v>
      </c>
      <c r="T1333" t="n">
        <v>10283.0026</v>
      </c>
      <c r="U1333" t="n">
        <v>80092.7825</v>
      </c>
      <c r="V1333" t="n">
        <v>0.80882</v>
      </c>
      <c r="W1333" t="n">
        <v>6.299778</v>
      </c>
      <c r="X1333" t="inlineStr">
        <is>
          <t>High</t>
        </is>
      </c>
      <c r="Y1333" t="inlineStr">
        <is>
          <t>None</t>
        </is>
      </c>
      <c r="Z1333" t="inlineStr">
        <is>
          <t>Valid</t>
        </is>
      </c>
      <c r="AA1333" t="n">
        <v>2028</v>
      </c>
      <c r="AB1333" t="inlineStr">
        <is>
          <t>Industry Haircut Pathway</t>
        </is>
      </c>
      <c r="AC1333" t="n">
        <v>15140.7785</v>
      </c>
      <c r="AD1333" t="n">
        <v>7223.6654</v>
      </c>
      <c r="AE1333" t="n">
        <v>9994.655000000001</v>
      </c>
      <c r="AF1333" t="n">
        <v>9994.655000000001</v>
      </c>
      <c r="AG1333" t="n">
        <v>5146.1235</v>
      </c>
      <c r="AH1333" t="n">
        <v>0.00043526</v>
      </c>
      <c r="AI1333" t="n">
        <v>0.339885</v>
      </c>
      <c r="AJ1333" t="n">
        <v>2770.9896</v>
      </c>
      <c r="AK1333" t="n">
        <v>395.8557</v>
      </c>
      <c r="AL1333" t="n">
        <v>37106.5654</v>
      </c>
      <c r="AM1333" t="n">
        <v>42353.754</v>
      </c>
      <c r="AN1333" t="n">
        <v>0.95</v>
      </c>
      <c r="AO1333" t="inlineStr">
        <is>
          <t>Critical</t>
        </is>
      </c>
      <c r="AP1333" t="inlineStr">
        <is>
          <t>On Track to Glide Path</t>
        </is>
      </c>
    </row>
    <row r="1334">
      <c r="A1334" t="inlineStr">
        <is>
          <t>SUP-0084</t>
        </is>
      </c>
      <c r="B1334" t="inlineStr">
        <is>
          <t>Chemicals Supplier 084</t>
        </is>
      </c>
      <c r="C1334" t="inlineStr">
        <is>
          <t>Chemicals</t>
        </is>
      </c>
      <c r="D1334" t="n">
        <v>2024</v>
      </c>
      <c r="E1334" t="n">
        <v>2015</v>
      </c>
      <c r="F1334" t="n">
        <v>2035</v>
      </c>
      <c r="G1334" t="n">
        <v>12713.5887</v>
      </c>
      <c r="H1334" t="n">
        <v>1567.4043</v>
      </c>
      <c r="I1334" t="n">
        <v>2553.4607</v>
      </c>
      <c r="J1334" t="n">
        <v>8946.1412</v>
      </c>
      <c r="K1334" t="n">
        <v>22962377.36</v>
      </c>
      <c r="L1334" t="n">
        <v>196940775.83</v>
      </c>
      <c r="M1334" t="n">
        <v>12713.5887</v>
      </c>
      <c r="N1334" t="inlineStr">
        <is>
          <t>Provided Total Emissions</t>
        </is>
      </c>
      <c r="O1334" t="b">
        <v>1</v>
      </c>
      <c r="P1334" t="n">
        <v>-0.019226</v>
      </c>
      <c r="Q1334" t="n">
        <v>0.036925</v>
      </c>
      <c r="R1334" t="n">
        <v>22996.5913</v>
      </c>
      <c r="S1334" t="n">
        <v>92806.37119999999</v>
      </c>
      <c r="T1334" t="n">
        <v>10283.0026</v>
      </c>
      <c r="U1334" t="n">
        <v>80092.7825</v>
      </c>
      <c r="V1334" t="n">
        <v>0.80882</v>
      </c>
      <c r="W1334" t="n">
        <v>6.299778</v>
      </c>
      <c r="X1334" t="inlineStr">
        <is>
          <t>High</t>
        </is>
      </c>
      <c r="Y1334" t="inlineStr">
        <is>
          <t>None</t>
        </is>
      </c>
      <c r="Z1334" t="inlineStr">
        <is>
          <t>Valid</t>
        </is>
      </c>
      <c r="AA1334" t="n">
        <v>2029</v>
      </c>
      <c r="AB1334" t="inlineStr">
        <is>
          <t>Industry Haircut Pathway</t>
        </is>
      </c>
      <c r="AC1334" t="n">
        <v>15140.7785</v>
      </c>
      <c r="AD1334" t="n">
        <v>7223.6654</v>
      </c>
      <c r="AE1334" t="n">
        <v>9598.799300000001</v>
      </c>
      <c r="AF1334" t="n">
        <v>9598.799300000001</v>
      </c>
      <c r="AG1334" t="n">
        <v>5541.9792</v>
      </c>
      <c r="AH1334" t="n">
        <v>0.00041802</v>
      </c>
      <c r="AI1334" t="n">
        <v>0.36603</v>
      </c>
      <c r="AJ1334" t="n">
        <v>2375.1339</v>
      </c>
      <c r="AK1334" t="n">
        <v>395.8557</v>
      </c>
      <c r="AL1334" t="n">
        <v>27507.7661</v>
      </c>
      <c r="AM1334" t="n">
        <v>51952.5533</v>
      </c>
      <c r="AN1334" t="n">
        <v>0.95</v>
      </c>
      <c r="AO1334" t="inlineStr">
        <is>
          <t>High</t>
        </is>
      </c>
      <c r="AP1334" t="inlineStr">
        <is>
          <t>On Track to Glide Path</t>
        </is>
      </c>
    </row>
    <row r="1335">
      <c r="A1335" t="inlineStr">
        <is>
          <t>SUP-0084</t>
        </is>
      </c>
      <c r="B1335" t="inlineStr">
        <is>
          <t>Chemicals Supplier 084</t>
        </is>
      </c>
      <c r="C1335" t="inlineStr">
        <is>
          <t>Chemicals</t>
        </is>
      </c>
      <c r="D1335" t="n">
        <v>2024</v>
      </c>
      <c r="E1335" t="n">
        <v>2015</v>
      </c>
      <c r="F1335" t="n">
        <v>2035</v>
      </c>
      <c r="G1335" t="n">
        <v>12713.5887</v>
      </c>
      <c r="H1335" t="n">
        <v>1567.4043</v>
      </c>
      <c r="I1335" t="n">
        <v>2553.4607</v>
      </c>
      <c r="J1335" t="n">
        <v>8946.1412</v>
      </c>
      <c r="K1335" t="n">
        <v>22962377.36</v>
      </c>
      <c r="L1335" t="n">
        <v>196940775.83</v>
      </c>
      <c r="M1335" t="n">
        <v>12713.5887</v>
      </c>
      <c r="N1335" t="inlineStr">
        <is>
          <t>Provided Total Emissions</t>
        </is>
      </c>
      <c r="O1335" t="b">
        <v>1</v>
      </c>
      <c r="P1335" t="n">
        <v>-0.019226</v>
      </c>
      <c r="Q1335" t="n">
        <v>0.036925</v>
      </c>
      <c r="R1335" t="n">
        <v>22996.5913</v>
      </c>
      <c r="S1335" t="n">
        <v>92806.37119999999</v>
      </c>
      <c r="T1335" t="n">
        <v>10283.0026</v>
      </c>
      <c r="U1335" t="n">
        <v>80092.7825</v>
      </c>
      <c r="V1335" t="n">
        <v>0.80882</v>
      </c>
      <c r="W1335" t="n">
        <v>6.299778</v>
      </c>
      <c r="X1335" t="inlineStr">
        <is>
          <t>High</t>
        </is>
      </c>
      <c r="Y1335" t="inlineStr">
        <is>
          <t>None</t>
        </is>
      </c>
      <c r="Z1335" t="inlineStr">
        <is>
          <t>Valid</t>
        </is>
      </c>
      <c r="AA1335" t="n">
        <v>2030</v>
      </c>
      <c r="AB1335" t="inlineStr">
        <is>
          <t>Industry Haircut Pathway</t>
        </is>
      </c>
      <c r="AC1335" t="n">
        <v>15140.7785</v>
      </c>
      <c r="AD1335" t="n">
        <v>7223.6654</v>
      </c>
      <c r="AE1335" t="n">
        <v>9202.9437</v>
      </c>
      <c r="AF1335" t="n">
        <v>9202.9437</v>
      </c>
      <c r="AG1335" t="n">
        <v>5937.8348</v>
      </c>
      <c r="AH1335" t="n">
        <v>0.00040078</v>
      </c>
      <c r="AI1335" t="n">
        <v>0.392175</v>
      </c>
      <c r="AJ1335" t="n">
        <v>1979.2783</v>
      </c>
      <c r="AK1335" t="n">
        <v>395.8557</v>
      </c>
      <c r="AL1335" t="n">
        <v>18304.8224</v>
      </c>
      <c r="AM1335" t="n">
        <v>61155.497</v>
      </c>
      <c r="AN1335" t="n">
        <v>0.95</v>
      </c>
      <c r="AO1335" t="inlineStr">
        <is>
          <t>High</t>
        </is>
      </c>
      <c r="AP1335" t="inlineStr">
        <is>
          <t>On Track to Glide Path</t>
        </is>
      </c>
    </row>
    <row r="1336">
      <c r="A1336" t="inlineStr">
        <is>
          <t>SUP-0084</t>
        </is>
      </c>
      <c r="B1336" t="inlineStr">
        <is>
          <t>Chemicals Supplier 084</t>
        </is>
      </c>
      <c r="C1336" t="inlineStr">
        <is>
          <t>Chemicals</t>
        </is>
      </c>
      <c r="D1336" t="n">
        <v>2024</v>
      </c>
      <c r="E1336" t="n">
        <v>2015</v>
      </c>
      <c r="F1336" t="n">
        <v>2035</v>
      </c>
      <c r="G1336" t="n">
        <v>12713.5887</v>
      </c>
      <c r="H1336" t="n">
        <v>1567.4043</v>
      </c>
      <c r="I1336" t="n">
        <v>2553.4607</v>
      </c>
      <c r="J1336" t="n">
        <v>8946.1412</v>
      </c>
      <c r="K1336" t="n">
        <v>22962377.36</v>
      </c>
      <c r="L1336" t="n">
        <v>196940775.83</v>
      </c>
      <c r="M1336" t="n">
        <v>12713.5887</v>
      </c>
      <c r="N1336" t="inlineStr">
        <is>
          <t>Provided Total Emissions</t>
        </is>
      </c>
      <c r="O1336" t="b">
        <v>1</v>
      </c>
      <c r="P1336" t="n">
        <v>-0.019226</v>
      </c>
      <c r="Q1336" t="n">
        <v>0.036925</v>
      </c>
      <c r="R1336" t="n">
        <v>22996.5913</v>
      </c>
      <c r="S1336" t="n">
        <v>92806.37119999999</v>
      </c>
      <c r="T1336" t="n">
        <v>10283.0026</v>
      </c>
      <c r="U1336" t="n">
        <v>80092.7825</v>
      </c>
      <c r="V1336" t="n">
        <v>0.80882</v>
      </c>
      <c r="W1336" t="n">
        <v>6.299778</v>
      </c>
      <c r="X1336" t="inlineStr">
        <is>
          <t>High</t>
        </is>
      </c>
      <c r="Y1336" t="inlineStr">
        <is>
          <t>None</t>
        </is>
      </c>
      <c r="Z1336" t="inlineStr">
        <is>
          <t>Valid</t>
        </is>
      </c>
      <c r="AA1336" t="n">
        <v>2031</v>
      </c>
      <c r="AB1336" t="inlineStr">
        <is>
          <t>Industry Haircut Pathway</t>
        </is>
      </c>
      <c r="AC1336" t="n">
        <v>15140.7785</v>
      </c>
      <c r="AD1336" t="n">
        <v>7223.6654</v>
      </c>
      <c r="AE1336" t="n">
        <v>8807.088</v>
      </c>
      <c r="AF1336" t="n">
        <v>8807.088</v>
      </c>
      <c r="AG1336" t="n">
        <v>6333.6905</v>
      </c>
      <c r="AH1336" t="n">
        <v>0.00038354</v>
      </c>
      <c r="AI1336" t="n">
        <v>0.41832</v>
      </c>
      <c r="AJ1336" t="n">
        <v>1583.4226</v>
      </c>
      <c r="AK1336" t="n">
        <v>395.8557</v>
      </c>
      <c r="AL1336" t="n">
        <v>9497.734399999999</v>
      </c>
      <c r="AM1336" t="n">
        <v>69962.58500000001</v>
      </c>
      <c r="AN1336" t="n">
        <v>0.95</v>
      </c>
      <c r="AO1336" t="inlineStr">
        <is>
          <t>High</t>
        </is>
      </c>
      <c r="AP1336" t="inlineStr">
        <is>
          <t>On Track to Glide Path</t>
        </is>
      </c>
    </row>
    <row r="1337">
      <c r="A1337" t="inlineStr">
        <is>
          <t>SUP-0084</t>
        </is>
      </c>
      <c r="B1337" t="inlineStr">
        <is>
          <t>Chemicals Supplier 084</t>
        </is>
      </c>
      <c r="C1337" t="inlineStr">
        <is>
          <t>Chemicals</t>
        </is>
      </c>
      <c r="D1337" t="n">
        <v>2024</v>
      </c>
      <c r="E1337" t="n">
        <v>2015</v>
      </c>
      <c r="F1337" t="n">
        <v>2035</v>
      </c>
      <c r="G1337" t="n">
        <v>12713.5887</v>
      </c>
      <c r="H1337" t="n">
        <v>1567.4043</v>
      </c>
      <c r="I1337" t="n">
        <v>2553.4607</v>
      </c>
      <c r="J1337" t="n">
        <v>8946.1412</v>
      </c>
      <c r="K1337" t="n">
        <v>22962377.36</v>
      </c>
      <c r="L1337" t="n">
        <v>196940775.83</v>
      </c>
      <c r="M1337" t="n">
        <v>12713.5887</v>
      </c>
      <c r="N1337" t="inlineStr">
        <is>
          <t>Provided Total Emissions</t>
        </is>
      </c>
      <c r="O1337" t="b">
        <v>1</v>
      </c>
      <c r="P1337" t="n">
        <v>-0.019226</v>
      </c>
      <c r="Q1337" t="n">
        <v>0.036925</v>
      </c>
      <c r="R1337" t="n">
        <v>22996.5913</v>
      </c>
      <c r="S1337" t="n">
        <v>92806.37119999999</v>
      </c>
      <c r="T1337" t="n">
        <v>10283.0026</v>
      </c>
      <c r="U1337" t="n">
        <v>80092.7825</v>
      </c>
      <c r="V1337" t="n">
        <v>0.80882</v>
      </c>
      <c r="W1337" t="n">
        <v>6.299778</v>
      </c>
      <c r="X1337" t="inlineStr">
        <is>
          <t>High</t>
        </is>
      </c>
      <c r="Y1337" t="inlineStr">
        <is>
          <t>None</t>
        </is>
      </c>
      <c r="Z1337" t="inlineStr">
        <is>
          <t>Valid</t>
        </is>
      </c>
      <c r="AA1337" t="n">
        <v>2032</v>
      </c>
      <c r="AB1337" t="inlineStr">
        <is>
          <t>Industry Haircut Pathway</t>
        </is>
      </c>
      <c r="AC1337" t="n">
        <v>15140.7785</v>
      </c>
      <c r="AD1337" t="n">
        <v>7223.6654</v>
      </c>
      <c r="AE1337" t="n">
        <v>8411.232400000001</v>
      </c>
      <c r="AF1337" t="n">
        <v>8411.232400000001</v>
      </c>
      <c r="AG1337" t="n">
        <v>6729.5461</v>
      </c>
      <c r="AH1337" t="n">
        <v>0.0003663</v>
      </c>
      <c r="AI1337" t="n">
        <v>0.444465</v>
      </c>
      <c r="AJ1337" t="n">
        <v>1187.567</v>
      </c>
      <c r="AK1337" t="n">
        <v>395.8557</v>
      </c>
      <c r="AL1337" t="n">
        <v>1086.502</v>
      </c>
      <c r="AM1337" t="n">
        <v>78373.8174</v>
      </c>
      <c r="AN1337" t="n">
        <v>0.95</v>
      </c>
      <c r="AO1337" t="inlineStr">
        <is>
          <t>High</t>
        </is>
      </c>
      <c r="AP1337" t="inlineStr">
        <is>
          <t>On Track to Glide Path</t>
        </is>
      </c>
    </row>
    <row r="1338">
      <c r="A1338" t="inlineStr">
        <is>
          <t>SUP-0084</t>
        </is>
      </c>
      <c r="B1338" t="inlineStr">
        <is>
          <t>Chemicals Supplier 084</t>
        </is>
      </c>
      <c r="C1338" t="inlineStr">
        <is>
          <t>Chemicals</t>
        </is>
      </c>
      <c r="D1338" t="n">
        <v>2024</v>
      </c>
      <c r="E1338" t="n">
        <v>2015</v>
      </c>
      <c r="F1338" t="n">
        <v>2035</v>
      </c>
      <c r="G1338" t="n">
        <v>12713.5887</v>
      </c>
      <c r="H1338" t="n">
        <v>1567.4043</v>
      </c>
      <c r="I1338" t="n">
        <v>2553.4607</v>
      </c>
      <c r="J1338" t="n">
        <v>8946.1412</v>
      </c>
      <c r="K1338" t="n">
        <v>22962377.36</v>
      </c>
      <c r="L1338" t="n">
        <v>196940775.83</v>
      </c>
      <c r="M1338" t="n">
        <v>12713.5887</v>
      </c>
      <c r="N1338" t="inlineStr">
        <is>
          <t>Provided Total Emissions</t>
        </is>
      </c>
      <c r="O1338" t="b">
        <v>1</v>
      </c>
      <c r="P1338" t="n">
        <v>-0.019226</v>
      </c>
      <c r="Q1338" t="n">
        <v>0.036925</v>
      </c>
      <c r="R1338" t="n">
        <v>22996.5913</v>
      </c>
      <c r="S1338" t="n">
        <v>92806.37119999999</v>
      </c>
      <c r="T1338" t="n">
        <v>10283.0026</v>
      </c>
      <c r="U1338" t="n">
        <v>80092.7825</v>
      </c>
      <c r="V1338" t="n">
        <v>0.80882</v>
      </c>
      <c r="W1338" t="n">
        <v>6.299778</v>
      </c>
      <c r="X1338" t="inlineStr">
        <is>
          <t>High</t>
        </is>
      </c>
      <c r="Y1338" t="inlineStr">
        <is>
          <t>None</t>
        </is>
      </c>
      <c r="Z1338" t="inlineStr">
        <is>
          <t>Valid</t>
        </is>
      </c>
      <c r="AA1338" t="n">
        <v>2033</v>
      </c>
      <c r="AB1338" t="inlineStr">
        <is>
          <t>Industry Haircut Pathway</t>
        </is>
      </c>
      <c r="AC1338" t="n">
        <v>15140.7785</v>
      </c>
      <c r="AD1338" t="n">
        <v>7223.6654</v>
      </c>
      <c r="AE1338" t="n">
        <v>8015.3767</v>
      </c>
      <c r="AF1338" t="n">
        <v>8015.3767</v>
      </c>
      <c r="AG1338" t="n">
        <v>7125.4018</v>
      </c>
      <c r="AH1338" t="n">
        <v>0.00034907</v>
      </c>
      <c r="AI1338" t="n">
        <v>0.47061</v>
      </c>
      <c r="AJ1338" t="n">
        <v>791.7113000000001</v>
      </c>
      <c r="AK1338" t="n">
        <v>395.8557</v>
      </c>
      <c r="AL1338" t="n">
        <v>-6928.8747</v>
      </c>
      <c r="AM1338" t="n">
        <v>86389.19409999999</v>
      </c>
      <c r="AN1338" t="n">
        <v>0.95</v>
      </c>
      <c r="AO1338" t="inlineStr">
        <is>
          <t>Medium</t>
        </is>
      </c>
      <c r="AP1338" t="inlineStr">
        <is>
          <t>On Track to Glide Path</t>
        </is>
      </c>
    </row>
    <row r="1339">
      <c r="A1339" t="inlineStr">
        <is>
          <t>SUP-0084</t>
        </is>
      </c>
      <c r="B1339" t="inlineStr">
        <is>
          <t>Chemicals Supplier 084</t>
        </is>
      </c>
      <c r="C1339" t="inlineStr">
        <is>
          <t>Chemicals</t>
        </is>
      </c>
      <c r="D1339" t="n">
        <v>2024</v>
      </c>
      <c r="E1339" t="n">
        <v>2015</v>
      </c>
      <c r="F1339" t="n">
        <v>2035</v>
      </c>
      <c r="G1339" t="n">
        <v>12713.5887</v>
      </c>
      <c r="H1339" t="n">
        <v>1567.4043</v>
      </c>
      <c r="I1339" t="n">
        <v>2553.4607</v>
      </c>
      <c r="J1339" t="n">
        <v>8946.1412</v>
      </c>
      <c r="K1339" t="n">
        <v>22962377.36</v>
      </c>
      <c r="L1339" t="n">
        <v>196940775.83</v>
      </c>
      <c r="M1339" t="n">
        <v>12713.5887</v>
      </c>
      <c r="N1339" t="inlineStr">
        <is>
          <t>Provided Total Emissions</t>
        </is>
      </c>
      <c r="O1339" t="b">
        <v>1</v>
      </c>
      <c r="P1339" t="n">
        <v>-0.019226</v>
      </c>
      <c r="Q1339" t="n">
        <v>0.036925</v>
      </c>
      <c r="R1339" t="n">
        <v>22996.5913</v>
      </c>
      <c r="S1339" t="n">
        <v>92806.37119999999</v>
      </c>
      <c r="T1339" t="n">
        <v>10283.0026</v>
      </c>
      <c r="U1339" t="n">
        <v>80092.7825</v>
      </c>
      <c r="V1339" t="n">
        <v>0.80882</v>
      </c>
      <c r="W1339" t="n">
        <v>6.299778</v>
      </c>
      <c r="X1339" t="inlineStr">
        <is>
          <t>High</t>
        </is>
      </c>
      <c r="Y1339" t="inlineStr">
        <is>
          <t>None</t>
        </is>
      </c>
      <c r="Z1339" t="inlineStr">
        <is>
          <t>Valid</t>
        </is>
      </c>
      <c r="AA1339" t="n">
        <v>2034</v>
      </c>
      <c r="AB1339" t="inlineStr">
        <is>
          <t>Industry Haircut Pathway</t>
        </is>
      </c>
      <c r="AC1339" t="n">
        <v>15140.7785</v>
      </c>
      <c r="AD1339" t="n">
        <v>7223.6654</v>
      </c>
      <c r="AE1339" t="n">
        <v>7619.5211</v>
      </c>
      <c r="AF1339" t="n">
        <v>7619.5211</v>
      </c>
      <c r="AG1339" t="n">
        <v>7521.2574</v>
      </c>
      <c r="AH1339" t="n">
        <v>0.00033183</v>
      </c>
      <c r="AI1339" t="n">
        <v>0.496755</v>
      </c>
      <c r="AJ1339" t="n">
        <v>395.8557</v>
      </c>
      <c r="AK1339" t="n">
        <v>395.8557</v>
      </c>
      <c r="AL1339" t="n">
        <v>-14548.3958</v>
      </c>
      <c r="AM1339" t="n">
        <v>94008.71520000001</v>
      </c>
      <c r="AN1339" t="n">
        <v>0.95</v>
      </c>
      <c r="AO1339" t="inlineStr">
        <is>
          <t>Medium</t>
        </is>
      </c>
      <c r="AP1339" t="inlineStr">
        <is>
          <t>On Track to Glide Path</t>
        </is>
      </c>
    </row>
    <row r="1340">
      <c r="A1340" t="inlineStr">
        <is>
          <t>SUP-0084</t>
        </is>
      </c>
      <c r="B1340" t="inlineStr">
        <is>
          <t>Chemicals Supplier 084</t>
        </is>
      </c>
      <c r="C1340" t="inlineStr">
        <is>
          <t>Chemicals</t>
        </is>
      </c>
      <c r="D1340" t="n">
        <v>2024</v>
      </c>
      <c r="E1340" t="n">
        <v>2015</v>
      </c>
      <c r="F1340" t="n">
        <v>2035</v>
      </c>
      <c r="G1340" t="n">
        <v>12713.5887</v>
      </c>
      <c r="H1340" t="n">
        <v>1567.4043</v>
      </c>
      <c r="I1340" t="n">
        <v>2553.4607</v>
      </c>
      <c r="J1340" t="n">
        <v>8946.1412</v>
      </c>
      <c r="K1340" t="n">
        <v>22962377.36</v>
      </c>
      <c r="L1340" t="n">
        <v>196940775.83</v>
      </c>
      <c r="M1340" t="n">
        <v>12713.5887</v>
      </c>
      <c r="N1340" t="inlineStr">
        <is>
          <t>Provided Total Emissions</t>
        </is>
      </c>
      <c r="O1340" t="b">
        <v>1</v>
      </c>
      <c r="P1340" t="n">
        <v>-0.019226</v>
      </c>
      <c r="Q1340" t="n">
        <v>0.036925</v>
      </c>
      <c r="R1340" t="n">
        <v>22996.5913</v>
      </c>
      <c r="S1340" t="n">
        <v>92806.37119999999</v>
      </c>
      <c r="T1340" t="n">
        <v>10283.0026</v>
      </c>
      <c r="U1340" t="n">
        <v>80092.7825</v>
      </c>
      <c r="V1340" t="n">
        <v>0.80882</v>
      </c>
      <c r="W1340" t="n">
        <v>6.299778</v>
      </c>
      <c r="X1340" t="inlineStr">
        <is>
          <t>High</t>
        </is>
      </c>
      <c r="Y1340" t="inlineStr">
        <is>
          <t>None</t>
        </is>
      </c>
      <c r="Z1340" t="inlineStr">
        <is>
          <t>Valid</t>
        </is>
      </c>
      <c r="AA1340" t="n">
        <v>2035</v>
      </c>
      <c r="AB1340" t="inlineStr">
        <is>
          <t>Industry Haircut Pathway</t>
        </is>
      </c>
      <c r="AC1340" t="n">
        <v>15140.7785</v>
      </c>
      <c r="AD1340" t="n">
        <v>7223.6654</v>
      </c>
      <c r="AE1340" t="n">
        <v>7223.6654</v>
      </c>
      <c r="AF1340" t="n">
        <v>7223.6654</v>
      </c>
      <c r="AG1340" t="n">
        <v>7917.1131</v>
      </c>
      <c r="AH1340" t="n">
        <v>0.00031459</v>
      </c>
      <c r="AI1340" t="n">
        <v>0.5229</v>
      </c>
      <c r="AJ1340" t="n">
        <v>0</v>
      </c>
      <c r="AK1340" t="n">
        <v>395.8557</v>
      </c>
      <c r="AL1340" t="n">
        <v>-21772.0612</v>
      </c>
      <c r="AM1340" t="n">
        <v>101232.3806</v>
      </c>
      <c r="AN1340" t="n">
        <v>0.95</v>
      </c>
      <c r="AO1340" t="inlineStr">
        <is>
          <t>Low</t>
        </is>
      </c>
      <c r="AP1340" t="inlineStr">
        <is>
          <t>On Track</t>
        </is>
      </c>
    </row>
    <row r="1341">
      <c r="A1341" t="inlineStr">
        <is>
          <t>SUP-0084</t>
        </is>
      </c>
      <c r="B1341" t="inlineStr">
        <is>
          <t>Chemicals Supplier 084</t>
        </is>
      </c>
      <c r="C1341" t="inlineStr">
        <is>
          <t>Chemicals</t>
        </is>
      </c>
      <c r="D1341" t="n">
        <v>2024</v>
      </c>
      <c r="E1341" t="n">
        <v>2015</v>
      </c>
      <c r="F1341" t="n">
        <v>2035</v>
      </c>
      <c r="G1341" t="n">
        <v>12713.5887</v>
      </c>
      <c r="H1341" t="n">
        <v>1567.4043</v>
      </c>
      <c r="I1341" t="n">
        <v>2553.4607</v>
      </c>
      <c r="J1341" t="n">
        <v>8946.1412</v>
      </c>
      <c r="K1341" t="n">
        <v>22962377.36</v>
      </c>
      <c r="L1341" t="n">
        <v>196940775.83</v>
      </c>
      <c r="M1341" t="n">
        <v>12713.5887</v>
      </c>
      <c r="N1341" t="inlineStr">
        <is>
          <t>Provided Total Emissions</t>
        </is>
      </c>
      <c r="O1341" t="b">
        <v>1</v>
      </c>
      <c r="P1341" t="n">
        <v>-0.019226</v>
      </c>
      <c r="Q1341" t="n">
        <v>0.036925</v>
      </c>
      <c r="R1341" t="n">
        <v>22996.5913</v>
      </c>
      <c r="S1341" t="n">
        <v>92806.37119999999</v>
      </c>
      <c r="T1341" t="n">
        <v>10283.0026</v>
      </c>
      <c r="U1341" t="n">
        <v>80092.7825</v>
      </c>
      <c r="V1341" t="n">
        <v>0.80882</v>
      </c>
      <c r="W1341" t="n">
        <v>6.299778</v>
      </c>
      <c r="X1341" t="inlineStr">
        <is>
          <t>High</t>
        </is>
      </c>
      <c r="Y1341" t="inlineStr">
        <is>
          <t>None</t>
        </is>
      </c>
      <c r="Z1341" t="inlineStr">
        <is>
          <t>Valid</t>
        </is>
      </c>
      <c r="AA1341" t="n">
        <v>2036</v>
      </c>
      <c r="AB1341" t="inlineStr">
        <is>
          <t>Industry Haircut Pathway</t>
        </is>
      </c>
      <c r="AC1341" t="n">
        <v>15140.7785</v>
      </c>
      <c r="AD1341" t="n">
        <v>7223.6654</v>
      </c>
      <c r="AE1341" t="n">
        <v>7223.6654</v>
      </c>
      <c r="AF1341" t="n">
        <v>7223.6654</v>
      </c>
      <c r="AG1341" t="n">
        <v>7917.1131</v>
      </c>
      <c r="AH1341" t="n">
        <v>0.00031459</v>
      </c>
      <c r="AI1341" t="n">
        <v>0.5229</v>
      </c>
      <c r="AJ1341" t="n">
        <v>0</v>
      </c>
      <c r="AK1341" t="n">
        <v>395.8557</v>
      </c>
      <c r="AL1341" t="n">
        <v>-28995.7266</v>
      </c>
      <c r="AM1341" t="n">
        <v>108456.046</v>
      </c>
      <c r="AN1341" t="n">
        <v>0.95</v>
      </c>
      <c r="AO1341" t="inlineStr">
        <is>
          <t>Low</t>
        </is>
      </c>
      <c r="AP1341" t="inlineStr">
        <is>
          <t>On Track</t>
        </is>
      </c>
    </row>
    <row r="1342">
      <c r="A1342" t="inlineStr">
        <is>
          <t>SUP-0084</t>
        </is>
      </c>
      <c r="B1342" t="inlineStr">
        <is>
          <t>Chemicals Supplier 084</t>
        </is>
      </c>
      <c r="C1342" t="inlineStr">
        <is>
          <t>Chemicals</t>
        </is>
      </c>
      <c r="D1342" t="n">
        <v>2024</v>
      </c>
      <c r="E1342" t="n">
        <v>2015</v>
      </c>
      <c r="F1342" t="n">
        <v>2035</v>
      </c>
      <c r="G1342" t="n">
        <v>12713.5887</v>
      </c>
      <c r="H1342" t="n">
        <v>1567.4043</v>
      </c>
      <c r="I1342" t="n">
        <v>2553.4607</v>
      </c>
      <c r="J1342" t="n">
        <v>8946.1412</v>
      </c>
      <c r="K1342" t="n">
        <v>22962377.36</v>
      </c>
      <c r="L1342" t="n">
        <v>196940775.83</v>
      </c>
      <c r="M1342" t="n">
        <v>12713.5887</v>
      </c>
      <c r="N1342" t="inlineStr">
        <is>
          <t>Provided Total Emissions</t>
        </is>
      </c>
      <c r="O1342" t="b">
        <v>1</v>
      </c>
      <c r="P1342" t="n">
        <v>-0.019226</v>
      </c>
      <c r="Q1342" t="n">
        <v>0.036925</v>
      </c>
      <c r="R1342" t="n">
        <v>22996.5913</v>
      </c>
      <c r="S1342" t="n">
        <v>92806.37119999999</v>
      </c>
      <c r="T1342" t="n">
        <v>10283.0026</v>
      </c>
      <c r="U1342" t="n">
        <v>80092.7825</v>
      </c>
      <c r="V1342" t="n">
        <v>0.80882</v>
      </c>
      <c r="W1342" t="n">
        <v>6.299778</v>
      </c>
      <c r="X1342" t="inlineStr">
        <is>
          <t>High</t>
        </is>
      </c>
      <c r="Y1342" t="inlineStr">
        <is>
          <t>None</t>
        </is>
      </c>
      <c r="Z1342" t="inlineStr">
        <is>
          <t>Valid</t>
        </is>
      </c>
      <c r="AA1342" t="n">
        <v>2037</v>
      </c>
      <c r="AB1342" t="inlineStr">
        <is>
          <t>Industry Haircut Pathway</t>
        </is>
      </c>
      <c r="AC1342" t="n">
        <v>15140.7785</v>
      </c>
      <c r="AD1342" t="n">
        <v>7223.6654</v>
      </c>
      <c r="AE1342" t="n">
        <v>7223.6654</v>
      </c>
      <c r="AF1342" t="n">
        <v>7223.6654</v>
      </c>
      <c r="AG1342" t="n">
        <v>7917.1131</v>
      </c>
      <c r="AH1342" t="n">
        <v>0.00031459</v>
      </c>
      <c r="AI1342" t="n">
        <v>0.5229</v>
      </c>
      <c r="AJ1342" t="n">
        <v>0</v>
      </c>
      <c r="AK1342" t="n">
        <v>395.8557</v>
      </c>
      <c r="AL1342" t="n">
        <v>-36219.392</v>
      </c>
      <c r="AM1342" t="n">
        <v>115679.7114</v>
      </c>
      <c r="AN1342" t="n">
        <v>0.95</v>
      </c>
      <c r="AO1342" t="inlineStr">
        <is>
          <t>Low</t>
        </is>
      </c>
      <c r="AP1342" t="inlineStr">
        <is>
          <t>On Track</t>
        </is>
      </c>
    </row>
    <row r="1343">
      <c r="A1343" t="inlineStr">
        <is>
          <t>SUP-0084</t>
        </is>
      </c>
      <c r="B1343" t="inlineStr">
        <is>
          <t>Chemicals Supplier 084</t>
        </is>
      </c>
      <c r="C1343" t="inlineStr">
        <is>
          <t>Chemicals</t>
        </is>
      </c>
      <c r="D1343" t="n">
        <v>2024</v>
      </c>
      <c r="E1343" t="n">
        <v>2015</v>
      </c>
      <c r="F1343" t="n">
        <v>2035</v>
      </c>
      <c r="G1343" t="n">
        <v>12713.5887</v>
      </c>
      <c r="H1343" t="n">
        <v>1567.4043</v>
      </c>
      <c r="I1343" t="n">
        <v>2553.4607</v>
      </c>
      <c r="J1343" t="n">
        <v>8946.1412</v>
      </c>
      <c r="K1343" t="n">
        <v>22962377.36</v>
      </c>
      <c r="L1343" t="n">
        <v>196940775.83</v>
      </c>
      <c r="M1343" t="n">
        <v>12713.5887</v>
      </c>
      <c r="N1343" t="inlineStr">
        <is>
          <t>Provided Total Emissions</t>
        </is>
      </c>
      <c r="O1343" t="b">
        <v>1</v>
      </c>
      <c r="P1343" t="n">
        <v>-0.019226</v>
      </c>
      <c r="Q1343" t="n">
        <v>0.036925</v>
      </c>
      <c r="R1343" t="n">
        <v>22996.5913</v>
      </c>
      <c r="S1343" t="n">
        <v>92806.37119999999</v>
      </c>
      <c r="T1343" t="n">
        <v>10283.0026</v>
      </c>
      <c r="U1343" t="n">
        <v>80092.7825</v>
      </c>
      <c r="V1343" t="n">
        <v>0.80882</v>
      </c>
      <c r="W1343" t="n">
        <v>6.299778</v>
      </c>
      <c r="X1343" t="inlineStr">
        <is>
          <t>High</t>
        </is>
      </c>
      <c r="Y1343" t="inlineStr">
        <is>
          <t>None</t>
        </is>
      </c>
      <c r="Z1343" t="inlineStr">
        <is>
          <t>Valid</t>
        </is>
      </c>
      <c r="AA1343" t="n">
        <v>2038</v>
      </c>
      <c r="AB1343" t="inlineStr">
        <is>
          <t>Industry Haircut Pathway</t>
        </is>
      </c>
      <c r="AC1343" t="n">
        <v>15140.7785</v>
      </c>
      <c r="AD1343" t="n">
        <v>7223.6654</v>
      </c>
      <c r="AE1343" t="n">
        <v>7223.6654</v>
      </c>
      <c r="AF1343" t="n">
        <v>7223.6654</v>
      </c>
      <c r="AG1343" t="n">
        <v>7917.1131</v>
      </c>
      <c r="AH1343" t="n">
        <v>0.00031459</v>
      </c>
      <c r="AI1343" t="n">
        <v>0.5229</v>
      </c>
      <c r="AJ1343" t="n">
        <v>0</v>
      </c>
      <c r="AK1343" t="n">
        <v>395.8557</v>
      </c>
      <c r="AL1343" t="n">
        <v>-43443.0574</v>
      </c>
      <c r="AM1343" t="n">
        <v>122903.3768</v>
      </c>
      <c r="AN1343" t="n">
        <v>0.95</v>
      </c>
      <c r="AO1343" t="inlineStr">
        <is>
          <t>Low</t>
        </is>
      </c>
      <c r="AP1343" t="inlineStr">
        <is>
          <t>On Track</t>
        </is>
      </c>
    </row>
    <row r="1344">
      <c r="A1344" t="inlineStr">
        <is>
          <t>SUP-0084</t>
        </is>
      </c>
      <c r="B1344" t="inlineStr">
        <is>
          <t>Chemicals Supplier 084</t>
        </is>
      </c>
      <c r="C1344" t="inlineStr">
        <is>
          <t>Chemicals</t>
        </is>
      </c>
      <c r="D1344" t="n">
        <v>2024</v>
      </c>
      <c r="E1344" t="n">
        <v>2015</v>
      </c>
      <c r="F1344" t="n">
        <v>2035</v>
      </c>
      <c r="G1344" t="n">
        <v>12713.5887</v>
      </c>
      <c r="H1344" t="n">
        <v>1567.4043</v>
      </c>
      <c r="I1344" t="n">
        <v>2553.4607</v>
      </c>
      <c r="J1344" t="n">
        <v>8946.1412</v>
      </c>
      <c r="K1344" t="n">
        <v>22962377.36</v>
      </c>
      <c r="L1344" t="n">
        <v>196940775.83</v>
      </c>
      <c r="M1344" t="n">
        <v>12713.5887</v>
      </c>
      <c r="N1344" t="inlineStr">
        <is>
          <t>Provided Total Emissions</t>
        </is>
      </c>
      <c r="O1344" t="b">
        <v>1</v>
      </c>
      <c r="P1344" t="n">
        <v>-0.019226</v>
      </c>
      <c r="Q1344" t="n">
        <v>0.036925</v>
      </c>
      <c r="R1344" t="n">
        <v>22996.5913</v>
      </c>
      <c r="S1344" t="n">
        <v>92806.37119999999</v>
      </c>
      <c r="T1344" t="n">
        <v>10283.0026</v>
      </c>
      <c r="U1344" t="n">
        <v>80092.7825</v>
      </c>
      <c r="V1344" t="n">
        <v>0.80882</v>
      </c>
      <c r="W1344" t="n">
        <v>6.299778</v>
      </c>
      <c r="X1344" t="inlineStr">
        <is>
          <t>High</t>
        </is>
      </c>
      <c r="Y1344" t="inlineStr">
        <is>
          <t>None</t>
        </is>
      </c>
      <c r="Z1344" t="inlineStr">
        <is>
          <t>Valid</t>
        </is>
      </c>
      <c r="AA1344" t="n">
        <v>2039</v>
      </c>
      <c r="AB1344" t="inlineStr">
        <is>
          <t>Industry Haircut Pathway</t>
        </is>
      </c>
      <c r="AC1344" t="n">
        <v>15140.7785</v>
      </c>
      <c r="AD1344" t="n">
        <v>7223.6654</v>
      </c>
      <c r="AE1344" t="n">
        <v>7223.6654</v>
      </c>
      <c r="AF1344" t="n">
        <v>7223.6654</v>
      </c>
      <c r="AG1344" t="n">
        <v>7917.1131</v>
      </c>
      <c r="AH1344" t="n">
        <v>0.00031459</v>
      </c>
      <c r="AI1344" t="n">
        <v>0.5229</v>
      </c>
      <c r="AJ1344" t="n">
        <v>0</v>
      </c>
      <c r="AK1344" t="n">
        <v>395.8557</v>
      </c>
      <c r="AL1344" t="n">
        <v>-50666.7228</v>
      </c>
      <c r="AM1344" t="n">
        <v>130127.0422</v>
      </c>
      <c r="AN1344" t="n">
        <v>0.95</v>
      </c>
      <c r="AO1344" t="inlineStr">
        <is>
          <t>Low</t>
        </is>
      </c>
      <c r="AP1344" t="inlineStr">
        <is>
          <t>On Track</t>
        </is>
      </c>
    </row>
    <row r="1345">
      <c r="A1345" t="inlineStr">
        <is>
          <t>SUP-0084</t>
        </is>
      </c>
      <c r="B1345" t="inlineStr">
        <is>
          <t>Chemicals Supplier 084</t>
        </is>
      </c>
      <c r="C1345" t="inlineStr">
        <is>
          <t>Chemicals</t>
        </is>
      </c>
      <c r="D1345" t="n">
        <v>2024</v>
      </c>
      <c r="E1345" t="n">
        <v>2015</v>
      </c>
      <c r="F1345" t="n">
        <v>2035</v>
      </c>
      <c r="G1345" t="n">
        <v>12713.5887</v>
      </c>
      <c r="H1345" t="n">
        <v>1567.4043</v>
      </c>
      <c r="I1345" t="n">
        <v>2553.4607</v>
      </c>
      <c r="J1345" t="n">
        <v>8946.1412</v>
      </c>
      <c r="K1345" t="n">
        <v>22962377.36</v>
      </c>
      <c r="L1345" t="n">
        <v>196940775.83</v>
      </c>
      <c r="M1345" t="n">
        <v>12713.5887</v>
      </c>
      <c r="N1345" t="inlineStr">
        <is>
          <t>Provided Total Emissions</t>
        </is>
      </c>
      <c r="O1345" t="b">
        <v>1</v>
      </c>
      <c r="P1345" t="n">
        <v>-0.019226</v>
      </c>
      <c r="Q1345" t="n">
        <v>0.036925</v>
      </c>
      <c r="R1345" t="n">
        <v>22996.5913</v>
      </c>
      <c r="S1345" t="n">
        <v>92806.37119999999</v>
      </c>
      <c r="T1345" t="n">
        <v>10283.0026</v>
      </c>
      <c r="U1345" t="n">
        <v>80092.7825</v>
      </c>
      <c r="V1345" t="n">
        <v>0.80882</v>
      </c>
      <c r="W1345" t="n">
        <v>6.299778</v>
      </c>
      <c r="X1345" t="inlineStr">
        <is>
          <t>High</t>
        </is>
      </c>
      <c r="Y1345" t="inlineStr">
        <is>
          <t>None</t>
        </is>
      </c>
      <c r="Z1345" t="inlineStr">
        <is>
          <t>Valid</t>
        </is>
      </c>
      <c r="AA1345" t="n">
        <v>2040</v>
      </c>
      <c r="AB1345" t="inlineStr">
        <is>
          <t>Industry Haircut Pathway</t>
        </is>
      </c>
      <c r="AC1345" t="n">
        <v>15140.7785</v>
      </c>
      <c r="AD1345" t="n">
        <v>7223.6654</v>
      </c>
      <c r="AE1345" t="n">
        <v>7223.6654</v>
      </c>
      <c r="AF1345" t="n">
        <v>7223.6654</v>
      </c>
      <c r="AG1345" t="n">
        <v>7917.1131</v>
      </c>
      <c r="AH1345" t="n">
        <v>0.00031459</v>
      </c>
      <c r="AI1345" t="n">
        <v>0.5229</v>
      </c>
      <c r="AJ1345" t="n">
        <v>0</v>
      </c>
      <c r="AK1345" t="n">
        <v>395.8557</v>
      </c>
      <c r="AL1345" t="n">
        <v>-57890.3882</v>
      </c>
      <c r="AM1345" t="n">
        <v>137350.7076</v>
      </c>
      <c r="AN1345" t="n">
        <v>0.95</v>
      </c>
      <c r="AO1345" t="inlineStr">
        <is>
          <t>Low</t>
        </is>
      </c>
      <c r="AP1345" t="inlineStr">
        <is>
          <t>On Track</t>
        </is>
      </c>
    </row>
    <row r="1346">
      <c r="A1346" t="inlineStr">
        <is>
          <t>SUP-0085</t>
        </is>
      </c>
      <c r="B1346" t="inlineStr">
        <is>
          <t>Textiles Supplier 085</t>
        </is>
      </c>
      <c r="C1346" t="inlineStr">
        <is>
          <t>Textiles</t>
        </is>
      </c>
      <c r="D1346" t="n">
        <v>2024</v>
      </c>
      <c r="E1346" t="n">
        <v>2015</v>
      </c>
      <c r="F1346" t="n">
        <v>2030</v>
      </c>
      <c r="G1346" t="n">
        <v>3589.5178</v>
      </c>
      <c r="H1346" t="n">
        <v>743.7755</v>
      </c>
      <c r="I1346" t="n">
        <v>449.8981</v>
      </c>
      <c r="J1346" t="n">
        <v>2587.5136</v>
      </c>
      <c r="K1346" t="n">
        <v>15414392.3</v>
      </c>
      <c r="L1346" t="n">
        <v>24182140.62</v>
      </c>
      <c r="M1346" t="n">
        <v>3589.5178</v>
      </c>
      <c r="N1346" t="inlineStr">
        <is>
          <t>Provided Total Emissions</t>
        </is>
      </c>
      <c r="O1346" t="b">
        <v>1</v>
      </c>
      <c r="P1346" t="n">
        <v>-0.097049</v>
      </c>
      <c r="Q1346" t="n">
        <v>-0.040856</v>
      </c>
      <c r="R1346" t="n">
        <v>4504.2396</v>
      </c>
      <c r="S1346" t="n">
        <v>4193.9086</v>
      </c>
      <c r="T1346" t="n">
        <v>914.7218</v>
      </c>
      <c r="U1346" t="n">
        <v>604.3908</v>
      </c>
      <c r="V1346" t="n">
        <v>0.254831</v>
      </c>
      <c r="W1346" t="n">
        <v>0.168377</v>
      </c>
      <c r="X1346" t="inlineStr">
        <is>
          <t>High</t>
        </is>
      </c>
      <c r="Y1346" t="inlineStr">
        <is>
          <t>None</t>
        </is>
      </c>
      <c r="Z1346" t="inlineStr">
        <is>
          <t>Valid</t>
        </is>
      </c>
      <c r="AA1346" t="n">
        <v>2025</v>
      </c>
      <c r="AB1346" t="inlineStr">
        <is>
          <t>Industry Haircut Pathway</t>
        </is>
      </c>
      <c r="AC1346" t="n">
        <v>8996.1567</v>
      </c>
      <c r="AD1346" t="n">
        <v>6143.4754</v>
      </c>
      <c r="AE1346" t="n">
        <v>7094.3692</v>
      </c>
      <c r="AF1346" t="n">
        <v>7094.3692</v>
      </c>
      <c r="AG1346" t="n">
        <v>1901.7875</v>
      </c>
      <c r="AH1346" t="n">
        <v>0.00046024</v>
      </c>
      <c r="AI1346" t="n">
        <v>0.2114</v>
      </c>
      <c r="AJ1346" t="n">
        <v>950.8938000000001</v>
      </c>
      <c r="AK1346" t="n">
        <v>190.1788</v>
      </c>
      <c r="AL1346" t="n">
        <v>29766.4832</v>
      </c>
      <c r="AM1346" t="n">
        <v>7094.3692</v>
      </c>
      <c r="AN1346" t="n">
        <v>0.95</v>
      </c>
      <c r="AO1346" t="inlineStr">
        <is>
          <t>High</t>
        </is>
      </c>
      <c r="AP1346" t="inlineStr">
        <is>
          <t>On Track to Glide Path</t>
        </is>
      </c>
    </row>
    <row r="1347">
      <c r="A1347" t="inlineStr">
        <is>
          <t>SUP-0085</t>
        </is>
      </c>
      <c r="B1347" t="inlineStr">
        <is>
          <t>Textiles Supplier 085</t>
        </is>
      </c>
      <c r="C1347" t="inlineStr">
        <is>
          <t>Textiles</t>
        </is>
      </c>
      <c r="D1347" t="n">
        <v>2024</v>
      </c>
      <c r="E1347" t="n">
        <v>2015</v>
      </c>
      <c r="F1347" t="n">
        <v>2030</v>
      </c>
      <c r="G1347" t="n">
        <v>3589.5178</v>
      </c>
      <c r="H1347" t="n">
        <v>743.7755</v>
      </c>
      <c r="I1347" t="n">
        <v>449.8981</v>
      </c>
      <c r="J1347" t="n">
        <v>2587.5136</v>
      </c>
      <c r="K1347" t="n">
        <v>15414392.3</v>
      </c>
      <c r="L1347" t="n">
        <v>24182140.62</v>
      </c>
      <c r="M1347" t="n">
        <v>3589.5178</v>
      </c>
      <c r="N1347" t="inlineStr">
        <is>
          <t>Provided Total Emissions</t>
        </is>
      </c>
      <c r="O1347" t="b">
        <v>1</v>
      </c>
      <c r="P1347" t="n">
        <v>-0.097049</v>
      </c>
      <c r="Q1347" t="n">
        <v>-0.040856</v>
      </c>
      <c r="R1347" t="n">
        <v>4504.2396</v>
      </c>
      <c r="S1347" t="n">
        <v>4193.9086</v>
      </c>
      <c r="T1347" t="n">
        <v>914.7218</v>
      </c>
      <c r="U1347" t="n">
        <v>604.3908</v>
      </c>
      <c r="V1347" t="n">
        <v>0.254831</v>
      </c>
      <c r="W1347" t="n">
        <v>0.168377</v>
      </c>
      <c r="X1347" t="inlineStr">
        <is>
          <t>High</t>
        </is>
      </c>
      <c r="Y1347" t="inlineStr">
        <is>
          <t>None</t>
        </is>
      </c>
      <c r="Z1347" t="inlineStr">
        <is>
          <t>Valid</t>
        </is>
      </c>
      <c r="AA1347" t="n">
        <v>2026</v>
      </c>
      <c r="AB1347" t="inlineStr">
        <is>
          <t>Industry Haircut Pathway</t>
        </is>
      </c>
      <c r="AC1347" t="n">
        <v>8996.1567</v>
      </c>
      <c r="AD1347" t="n">
        <v>6143.4754</v>
      </c>
      <c r="AE1347" t="n">
        <v>6904.1904</v>
      </c>
      <c r="AF1347" t="n">
        <v>6904.1904</v>
      </c>
      <c r="AG1347" t="n">
        <v>2091.9663</v>
      </c>
      <c r="AH1347" t="n">
        <v>0.00044791</v>
      </c>
      <c r="AI1347" t="n">
        <v>0.23254</v>
      </c>
      <c r="AJ1347" t="n">
        <v>760.715</v>
      </c>
      <c r="AK1347" t="n">
        <v>190.1788</v>
      </c>
      <c r="AL1347" t="n">
        <v>22862.2928</v>
      </c>
      <c r="AM1347" t="n">
        <v>13998.5596</v>
      </c>
      <c r="AN1347" t="n">
        <v>0.95</v>
      </c>
      <c r="AO1347" t="inlineStr">
        <is>
          <t>Medium</t>
        </is>
      </c>
      <c r="AP1347" t="inlineStr">
        <is>
          <t>On Track to Glide Path</t>
        </is>
      </c>
    </row>
    <row r="1348">
      <c r="A1348" t="inlineStr">
        <is>
          <t>SUP-0085</t>
        </is>
      </c>
      <c r="B1348" t="inlineStr">
        <is>
          <t>Textiles Supplier 085</t>
        </is>
      </c>
      <c r="C1348" t="inlineStr">
        <is>
          <t>Textiles</t>
        </is>
      </c>
      <c r="D1348" t="n">
        <v>2024</v>
      </c>
      <c r="E1348" t="n">
        <v>2015</v>
      </c>
      <c r="F1348" t="n">
        <v>2030</v>
      </c>
      <c r="G1348" t="n">
        <v>3589.5178</v>
      </c>
      <c r="H1348" t="n">
        <v>743.7755</v>
      </c>
      <c r="I1348" t="n">
        <v>449.8981</v>
      </c>
      <c r="J1348" t="n">
        <v>2587.5136</v>
      </c>
      <c r="K1348" t="n">
        <v>15414392.3</v>
      </c>
      <c r="L1348" t="n">
        <v>24182140.62</v>
      </c>
      <c r="M1348" t="n">
        <v>3589.5178</v>
      </c>
      <c r="N1348" t="inlineStr">
        <is>
          <t>Provided Total Emissions</t>
        </is>
      </c>
      <c r="O1348" t="b">
        <v>1</v>
      </c>
      <c r="P1348" t="n">
        <v>-0.097049</v>
      </c>
      <c r="Q1348" t="n">
        <v>-0.040856</v>
      </c>
      <c r="R1348" t="n">
        <v>4504.2396</v>
      </c>
      <c r="S1348" t="n">
        <v>4193.9086</v>
      </c>
      <c r="T1348" t="n">
        <v>914.7218</v>
      </c>
      <c r="U1348" t="n">
        <v>604.3908</v>
      </c>
      <c r="V1348" t="n">
        <v>0.254831</v>
      </c>
      <c r="W1348" t="n">
        <v>0.168377</v>
      </c>
      <c r="X1348" t="inlineStr">
        <is>
          <t>High</t>
        </is>
      </c>
      <c r="Y1348" t="inlineStr">
        <is>
          <t>None</t>
        </is>
      </c>
      <c r="Z1348" t="inlineStr">
        <is>
          <t>Valid</t>
        </is>
      </c>
      <c r="AA1348" t="n">
        <v>2027</v>
      </c>
      <c r="AB1348" t="inlineStr">
        <is>
          <t>Industry Haircut Pathway</t>
        </is>
      </c>
      <c r="AC1348" t="n">
        <v>8996.1567</v>
      </c>
      <c r="AD1348" t="n">
        <v>6143.4754</v>
      </c>
      <c r="AE1348" t="n">
        <v>6714.0117</v>
      </c>
      <c r="AF1348" t="n">
        <v>6714.0117</v>
      </c>
      <c r="AG1348" t="n">
        <v>2282.145</v>
      </c>
      <c r="AH1348" t="n">
        <v>0.00043557</v>
      </c>
      <c r="AI1348" t="n">
        <v>0.25368</v>
      </c>
      <c r="AJ1348" t="n">
        <v>570.5363</v>
      </c>
      <c r="AK1348" t="n">
        <v>190.1788</v>
      </c>
      <c r="AL1348" t="n">
        <v>16148.2811</v>
      </c>
      <c r="AM1348" t="n">
        <v>20712.5713</v>
      </c>
      <c r="AN1348" t="n">
        <v>0.95</v>
      </c>
      <c r="AO1348" t="inlineStr">
        <is>
          <t>Medium</t>
        </is>
      </c>
      <c r="AP1348" t="inlineStr">
        <is>
          <t>On Track to Glide Path</t>
        </is>
      </c>
    </row>
    <row r="1349">
      <c r="A1349" t="inlineStr">
        <is>
          <t>SUP-0085</t>
        </is>
      </c>
      <c r="B1349" t="inlineStr">
        <is>
          <t>Textiles Supplier 085</t>
        </is>
      </c>
      <c r="C1349" t="inlineStr">
        <is>
          <t>Textiles</t>
        </is>
      </c>
      <c r="D1349" t="n">
        <v>2024</v>
      </c>
      <c r="E1349" t="n">
        <v>2015</v>
      </c>
      <c r="F1349" t="n">
        <v>2030</v>
      </c>
      <c r="G1349" t="n">
        <v>3589.5178</v>
      </c>
      <c r="H1349" t="n">
        <v>743.7755</v>
      </c>
      <c r="I1349" t="n">
        <v>449.8981</v>
      </c>
      <c r="J1349" t="n">
        <v>2587.5136</v>
      </c>
      <c r="K1349" t="n">
        <v>15414392.3</v>
      </c>
      <c r="L1349" t="n">
        <v>24182140.62</v>
      </c>
      <c r="M1349" t="n">
        <v>3589.5178</v>
      </c>
      <c r="N1349" t="inlineStr">
        <is>
          <t>Provided Total Emissions</t>
        </is>
      </c>
      <c r="O1349" t="b">
        <v>1</v>
      </c>
      <c r="P1349" t="n">
        <v>-0.097049</v>
      </c>
      <c r="Q1349" t="n">
        <v>-0.040856</v>
      </c>
      <c r="R1349" t="n">
        <v>4504.2396</v>
      </c>
      <c r="S1349" t="n">
        <v>4193.9086</v>
      </c>
      <c r="T1349" t="n">
        <v>914.7218</v>
      </c>
      <c r="U1349" t="n">
        <v>604.3908</v>
      </c>
      <c r="V1349" t="n">
        <v>0.254831</v>
      </c>
      <c r="W1349" t="n">
        <v>0.168377</v>
      </c>
      <c r="X1349" t="inlineStr">
        <is>
          <t>High</t>
        </is>
      </c>
      <c r="Y1349" t="inlineStr">
        <is>
          <t>None</t>
        </is>
      </c>
      <c r="Z1349" t="inlineStr">
        <is>
          <t>Valid</t>
        </is>
      </c>
      <c r="AA1349" t="n">
        <v>2028</v>
      </c>
      <c r="AB1349" t="inlineStr">
        <is>
          <t>Industry Haircut Pathway</t>
        </is>
      </c>
      <c r="AC1349" t="n">
        <v>8996.1567</v>
      </c>
      <c r="AD1349" t="n">
        <v>6143.4754</v>
      </c>
      <c r="AE1349" t="n">
        <v>6523.8329</v>
      </c>
      <c r="AF1349" t="n">
        <v>6523.8329</v>
      </c>
      <c r="AG1349" t="n">
        <v>2472.3238</v>
      </c>
      <c r="AH1349" t="n">
        <v>0.00042323</v>
      </c>
      <c r="AI1349" t="n">
        <v>0.27482</v>
      </c>
      <c r="AJ1349" t="n">
        <v>380.3575</v>
      </c>
      <c r="AK1349" t="n">
        <v>190.1788</v>
      </c>
      <c r="AL1349" t="n">
        <v>9624.448200000001</v>
      </c>
      <c r="AM1349" t="n">
        <v>27236.4042</v>
      </c>
      <c r="AN1349" t="n">
        <v>0.95</v>
      </c>
      <c r="AO1349" t="inlineStr">
        <is>
          <t>Medium</t>
        </is>
      </c>
      <c r="AP1349" t="inlineStr">
        <is>
          <t>On Track to Glide Path</t>
        </is>
      </c>
    </row>
    <row r="1350">
      <c r="A1350" t="inlineStr">
        <is>
          <t>SUP-0085</t>
        </is>
      </c>
      <c r="B1350" t="inlineStr">
        <is>
          <t>Textiles Supplier 085</t>
        </is>
      </c>
      <c r="C1350" t="inlineStr">
        <is>
          <t>Textiles</t>
        </is>
      </c>
      <c r="D1350" t="n">
        <v>2024</v>
      </c>
      <c r="E1350" t="n">
        <v>2015</v>
      </c>
      <c r="F1350" t="n">
        <v>2030</v>
      </c>
      <c r="G1350" t="n">
        <v>3589.5178</v>
      </c>
      <c r="H1350" t="n">
        <v>743.7755</v>
      </c>
      <c r="I1350" t="n">
        <v>449.8981</v>
      </c>
      <c r="J1350" t="n">
        <v>2587.5136</v>
      </c>
      <c r="K1350" t="n">
        <v>15414392.3</v>
      </c>
      <c r="L1350" t="n">
        <v>24182140.62</v>
      </c>
      <c r="M1350" t="n">
        <v>3589.5178</v>
      </c>
      <c r="N1350" t="inlineStr">
        <is>
          <t>Provided Total Emissions</t>
        </is>
      </c>
      <c r="O1350" t="b">
        <v>1</v>
      </c>
      <c r="P1350" t="n">
        <v>-0.097049</v>
      </c>
      <c r="Q1350" t="n">
        <v>-0.040856</v>
      </c>
      <c r="R1350" t="n">
        <v>4504.2396</v>
      </c>
      <c r="S1350" t="n">
        <v>4193.9086</v>
      </c>
      <c r="T1350" t="n">
        <v>914.7218</v>
      </c>
      <c r="U1350" t="n">
        <v>604.3908</v>
      </c>
      <c r="V1350" t="n">
        <v>0.254831</v>
      </c>
      <c r="W1350" t="n">
        <v>0.168377</v>
      </c>
      <c r="X1350" t="inlineStr">
        <is>
          <t>High</t>
        </is>
      </c>
      <c r="Y1350" t="inlineStr">
        <is>
          <t>None</t>
        </is>
      </c>
      <c r="Z1350" t="inlineStr">
        <is>
          <t>Valid</t>
        </is>
      </c>
      <c r="AA1350" t="n">
        <v>2029</v>
      </c>
      <c r="AB1350" t="inlineStr">
        <is>
          <t>Industry Haircut Pathway</t>
        </is>
      </c>
      <c r="AC1350" t="n">
        <v>8996.1567</v>
      </c>
      <c r="AD1350" t="n">
        <v>6143.4754</v>
      </c>
      <c r="AE1350" t="n">
        <v>6333.6542</v>
      </c>
      <c r="AF1350" t="n">
        <v>6333.6542</v>
      </c>
      <c r="AG1350" t="n">
        <v>2662.5025</v>
      </c>
      <c r="AH1350" t="n">
        <v>0.00041089</v>
      </c>
      <c r="AI1350" t="n">
        <v>0.29596</v>
      </c>
      <c r="AJ1350" t="n">
        <v>190.1788</v>
      </c>
      <c r="AK1350" t="n">
        <v>190.1788</v>
      </c>
      <c r="AL1350" t="n">
        <v>3290.794</v>
      </c>
      <c r="AM1350" t="n">
        <v>33570.0584</v>
      </c>
      <c r="AN1350" t="n">
        <v>0.95</v>
      </c>
      <c r="AO1350" t="inlineStr">
        <is>
          <t>Medium</t>
        </is>
      </c>
      <c r="AP1350" t="inlineStr">
        <is>
          <t>On Track to Glide Path</t>
        </is>
      </c>
    </row>
    <row r="1351">
      <c r="A1351" t="inlineStr">
        <is>
          <t>SUP-0085</t>
        </is>
      </c>
      <c r="B1351" t="inlineStr">
        <is>
          <t>Textiles Supplier 085</t>
        </is>
      </c>
      <c r="C1351" t="inlineStr">
        <is>
          <t>Textiles</t>
        </is>
      </c>
      <c r="D1351" t="n">
        <v>2024</v>
      </c>
      <c r="E1351" t="n">
        <v>2015</v>
      </c>
      <c r="F1351" t="n">
        <v>2030</v>
      </c>
      <c r="G1351" t="n">
        <v>3589.5178</v>
      </c>
      <c r="H1351" t="n">
        <v>743.7755</v>
      </c>
      <c r="I1351" t="n">
        <v>449.8981</v>
      </c>
      <c r="J1351" t="n">
        <v>2587.5136</v>
      </c>
      <c r="K1351" t="n">
        <v>15414392.3</v>
      </c>
      <c r="L1351" t="n">
        <v>24182140.62</v>
      </c>
      <c r="M1351" t="n">
        <v>3589.5178</v>
      </c>
      <c r="N1351" t="inlineStr">
        <is>
          <t>Provided Total Emissions</t>
        </is>
      </c>
      <c r="O1351" t="b">
        <v>1</v>
      </c>
      <c r="P1351" t="n">
        <v>-0.097049</v>
      </c>
      <c r="Q1351" t="n">
        <v>-0.040856</v>
      </c>
      <c r="R1351" t="n">
        <v>4504.2396</v>
      </c>
      <c r="S1351" t="n">
        <v>4193.9086</v>
      </c>
      <c r="T1351" t="n">
        <v>914.7218</v>
      </c>
      <c r="U1351" t="n">
        <v>604.3908</v>
      </c>
      <c r="V1351" t="n">
        <v>0.254831</v>
      </c>
      <c r="W1351" t="n">
        <v>0.168377</v>
      </c>
      <c r="X1351" t="inlineStr">
        <is>
          <t>High</t>
        </is>
      </c>
      <c r="Y1351" t="inlineStr">
        <is>
          <t>None</t>
        </is>
      </c>
      <c r="Z1351" t="inlineStr">
        <is>
          <t>Valid</t>
        </is>
      </c>
      <c r="AA1351" t="n">
        <v>2030</v>
      </c>
      <c r="AB1351" t="inlineStr">
        <is>
          <t>Industry Haircut Pathway</t>
        </is>
      </c>
      <c r="AC1351" t="n">
        <v>8996.1567</v>
      </c>
      <c r="AD1351" t="n">
        <v>6143.4754</v>
      </c>
      <c r="AE1351" t="n">
        <v>6143.4754</v>
      </c>
      <c r="AF1351" t="n">
        <v>6143.4754</v>
      </c>
      <c r="AG1351" t="n">
        <v>2852.6813</v>
      </c>
      <c r="AH1351" t="n">
        <v>0.00039855</v>
      </c>
      <c r="AI1351" t="n">
        <v>0.3171</v>
      </c>
      <c r="AJ1351" t="n">
        <v>0</v>
      </c>
      <c r="AK1351" t="n">
        <v>190.1788</v>
      </c>
      <c r="AL1351" t="n">
        <v>-2852.6814</v>
      </c>
      <c r="AM1351" t="n">
        <v>39713.5338</v>
      </c>
      <c r="AN1351" t="n">
        <v>0.95</v>
      </c>
      <c r="AO1351" t="inlineStr">
        <is>
          <t>Low</t>
        </is>
      </c>
      <c r="AP1351" t="inlineStr">
        <is>
          <t>On Track</t>
        </is>
      </c>
    </row>
    <row r="1352">
      <c r="A1352" t="inlineStr">
        <is>
          <t>SUP-0085</t>
        </is>
      </c>
      <c r="B1352" t="inlineStr">
        <is>
          <t>Textiles Supplier 085</t>
        </is>
      </c>
      <c r="C1352" t="inlineStr">
        <is>
          <t>Textiles</t>
        </is>
      </c>
      <c r="D1352" t="n">
        <v>2024</v>
      </c>
      <c r="E1352" t="n">
        <v>2015</v>
      </c>
      <c r="F1352" t="n">
        <v>2030</v>
      </c>
      <c r="G1352" t="n">
        <v>3589.5178</v>
      </c>
      <c r="H1352" t="n">
        <v>743.7755</v>
      </c>
      <c r="I1352" t="n">
        <v>449.8981</v>
      </c>
      <c r="J1352" t="n">
        <v>2587.5136</v>
      </c>
      <c r="K1352" t="n">
        <v>15414392.3</v>
      </c>
      <c r="L1352" t="n">
        <v>24182140.62</v>
      </c>
      <c r="M1352" t="n">
        <v>3589.5178</v>
      </c>
      <c r="N1352" t="inlineStr">
        <is>
          <t>Provided Total Emissions</t>
        </is>
      </c>
      <c r="O1352" t="b">
        <v>1</v>
      </c>
      <c r="P1352" t="n">
        <v>-0.097049</v>
      </c>
      <c r="Q1352" t="n">
        <v>-0.040856</v>
      </c>
      <c r="R1352" t="n">
        <v>4504.2396</v>
      </c>
      <c r="S1352" t="n">
        <v>4193.9086</v>
      </c>
      <c r="T1352" t="n">
        <v>914.7218</v>
      </c>
      <c r="U1352" t="n">
        <v>604.3908</v>
      </c>
      <c r="V1352" t="n">
        <v>0.254831</v>
      </c>
      <c r="W1352" t="n">
        <v>0.168377</v>
      </c>
      <c r="X1352" t="inlineStr">
        <is>
          <t>High</t>
        </is>
      </c>
      <c r="Y1352" t="inlineStr">
        <is>
          <t>None</t>
        </is>
      </c>
      <c r="Z1352" t="inlineStr">
        <is>
          <t>Valid</t>
        </is>
      </c>
      <c r="AA1352" t="n">
        <v>2031</v>
      </c>
      <c r="AB1352" t="inlineStr">
        <is>
          <t>Industry Haircut Pathway</t>
        </is>
      </c>
      <c r="AC1352" t="n">
        <v>8996.1567</v>
      </c>
      <c r="AD1352" t="n">
        <v>6143.4754</v>
      </c>
      <c r="AE1352" t="n">
        <v>6143.4754</v>
      </c>
      <c r="AF1352" t="n">
        <v>6143.4754</v>
      </c>
      <c r="AG1352" t="n">
        <v>2852.6813</v>
      </c>
      <c r="AH1352" t="n">
        <v>0.00039855</v>
      </c>
      <c r="AI1352" t="n">
        <v>0.3171</v>
      </c>
      <c r="AJ1352" t="n">
        <v>0</v>
      </c>
      <c r="AK1352" t="n">
        <v>190.1788</v>
      </c>
      <c r="AL1352" t="n">
        <v>-8996.156800000001</v>
      </c>
      <c r="AM1352" t="n">
        <v>45857.0092</v>
      </c>
      <c r="AN1352" t="n">
        <v>0.95</v>
      </c>
      <c r="AO1352" t="inlineStr">
        <is>
          <t>Low</t>
        </is>
      </c>
      <c r="AP1352" t="inlineStr">
        <is>
          <t>On Track</t>
        </is>
      </c>
    </row>
    <row r="1353">
      <c r="A1353" t="inlineStr">
        <is>
          <t>SUP-0085</t>
        </is>
      </c>
      <c r="B1353" t="inlineStr">
        <is>
          <t>Textiles Supplier 085</t>
        </is>
      </c>
      <c r="C1353" t="inlineStr">
        <is>
          <t>Textiles</t>
        </is>
      </c>
      <c r="D1353" t="n">
        <v>2024</v>
      </c>
      <c r="E1353" t="n">
        <v>2015</v>
      </c>
      <c r="F1353" t="n">
        <v>2030</v>
      </c>
      <c r="G1353" t="n">
        <v>3589.5178</v>
      </c>
      <c r="H1353" t="n">
        <v>743.7755</v>
      </c>
      <c r="I1353" t="n">
        <v>449.8981</v>
      </c>
      <c r="J1353" t="n">
        <v>2587.5136</v>
      </c>
      <c r="K1353" t="n">
        <v>15414392.3</v>
      </c>
      <c r="L1353" t="n">
        <v>24182140.62</v>
      </c>
      <c r="M1353" t="n">
        <v>3589.5178</v>
      </c>
      <c r="N1353" t="inlineStr">
        <is>
          <t>Provided Total Emissions</t>
        </is>
      </c>
      <c r="O1353" t="b">
        <v>1</v>
      </c>
      <c r="P1353" t="n">
        <v>-0.097049</v>
      </c>
      <c r="Q1353" t="n">
        <v>-0.040856</v>
      </c>
      <c r="R1353" t="n">
        <v>4504.2396</v>
      </c>
      <c r="S1353" t="n">
        <v>4193.9086</v>
      </c>
      <c r="T1353" t="n">
        <v>914.7218</v>
      </c>
      <c r="U1353" t="n">
        <v>604.3908</v>
      </c>
      <c r="V1353" t="n">
        <v>0.254831</v>
      </c>
      <c r="W1353" t="n">
        <v>0.168377</v>
      </c>
      <c r="X1353" t="inlineStr">
        <is>
          <t>High</t>
        </is>
      </c>
      <c r="Y1353" t="inlineStr">
        <is>
          <t>None</t>
        </is>
      </c>
      <c r="Z1353" t="inlineStr">
        <is>
          <t>Valid</t>
        </is>
      </c>
      <c r="AA1353" t="n">
        <v>2032</v>
      </c>
      <c r="AB1353" t="inlineStr">
        <is>
          <t>Industry Haircut Pathway</t>
        </is>
      </c>
      <c r="AC1353" t="n">
        <v>8996.1567</v>
      </c>
      <c r="AD1353" t="n">
        <v>6143.4754</v>
      </c>
      <c r="AE1353" t="n">
        <v>6143.4754</v>
      </c>
      <c r="AF1353" t="n">
        <v>6143.4754</v>
      </c>
      <c r="AG1353" t="n">
        <v>2852.6813</v>
      </c>
      <c r="AH1353" t="n">
        <v>0.00039855</v>
      </c>
      <c r="AI1353" t="n">
        <v>0.3171</v>
      </c>
      <c r="AJ1353" t="n">
        <v>0</v>
      </c>
      <c r="AK1353" t="n">
        <v>190.1788</v>
      </c>
      <c r="AL1353" t="n">
        <v>-15139.6322</v>
      </c>
      <c r="AM1353" t="n">
        <v>52000.4846</v>
      </c>
      <c r="AN1353" t="n">
        <v>0.95</v>
      </c>
      <c r="AO1353" t="inlineStr">
        <is>
          <t>Low</t>
        </is>
      </c>
      <c r="AP1353" t="inlineStr">
        <is>
          <t>On Track</t>
        </is>
      </c>
    </row>
    <row r="1354">
      <c r="A1354" t="inlineStr">
        <is>
          <t>SUP-0085</t>
        </is>
      </c>
      <c r="B1354" t="inlineStr">
        <is>
          <t>Textiles Supplier 085</t>
        </is>
      </c>
      <c r="C1354" t="inlineStr">
        <is>
          <t>Textiles</t>
        </is>
      </c>
      <c r="D1354" t="n">
        <v>2024</v>
      </c>
      <c r="E1354" t="n">
        <v>2015</v>
      </c>
      <c r="F1354" t="n">
        <v>2030</v>
      </c>
      <c r="G1354" t="n">
        <v>3589.5178</v>
      </c>
      <c r="H1354" t="n">
        <v>743.7755</v>
      </c>
      <c r="I1354" t="n">
        <v>449.8981</v>
      </c>
      <c r="J1354" t="n">
        <v>2587.5136</v>
      </c>
      <c r="K1354" t="n">
        <v>15414392.3</v>
      </c>
      <c r="L1354" t="n">
        <v>24182140.62</v>
      </c>
      <c r="M1354" t="n">
        <v>3589.5178</v>
      </c>
      <c r="N1354" t="inlineStr">
        <is>
          <t>Provided Total Emissions</t>
        </is>
      </c>
      <c r="O1354" t="b">
        <v>1</v>
      </c>
      <c r="P1354" t="n">
        <v>-0.097049</v>
      </c>
      <c r="Q1354" t="n">
        <v>-0.040856</v>
      </c>
      <c r="R1354" t="n">
        <v>4504.2396</v>
      </c>
      <c r="S1354" t="n">
        <v>4193.9086</v>
      </c>
      <c r="T1354" t="n">
        <v>914.7218</v>
      </c>
      <c r="U1354" t="n">
        <v>604.3908</v>
      </c>
      <c r="V1354" t="n">
        <v>0.254831</v>
      </c>
      <c r="W1354" t="n">
        <v>0.168377</v>
      </c>
      <c r="X1354" t="inlineStr">
        <is>
          <t>High</t>
        </is>
      </c>
      <c r="Y1354" t="inlineStr">
        <is>
          <t>None</t>
        </is>
      </c>
      <c r="Z1354" t="inlineStr">
        <is>
          <t>Valid</t>
        </is>
      </c>
      <c r="AA1354" t="n">
        <v>2033</v>
      </c>
      <c r="AB1354" t="inlineStr">
        <is>
          <t>Industry Haircut Pathway</t>
        </is>
      </c>
      <c r="AC1354" t="n">
        <v>8996.1567</v>
      </c>
      <c r="AD1354" t="n">
        <v>6143.4754</v>
      </c>
      <c r="AE1354" t="n">
        <v>6143.4754</v>
      </c>
      <c r="AF1354" t="n">
        <v>6143.4754</v>
      </c>
      <c r="AG1354" t="n">
        <v>2852.6813</v>
      </c>
      <c r="AH1354" t="n">
        <v>0.00039855</v>
      </c>
      <c r="AI1354" t="n">
        <v>0.3171</v>
      </c>
      <c r="AJ1354" t="n">
        <v>0</v>
      </c>
      <c r="AK1354" t="n">
        <v>190.1788</v>
      </c>
      <c r="AL1354" t="n">
        <v>-21283.1076</v>
      </c>
      <c r="AM1354" t="n">
        <v>58143.96</v>
      </c>
      <c r="AN1354" t="n">
        <v>0.95</v>
      </c>
      <c r="AO1354" t="inlineStr">
        <is>
          <t>Low</t>
        </is>
      </c>
      <c r="AP1354" t="inlineStr">
        <is>
          <t>On Track</t>
        </is>
      </c>
    </row>
    <row r="1355">
      <c r="A1355" t="inlineStr">
        <is>
          <t>SUP-0085</t>
        </is>
      </c>
      <c r="B1355" t="inlineStr">
        <is>
          <t>Textiles Supplier 085</t>
        </is>
      </c>
      <c r="C1355" t="inlineStr">
        <is>
          <t>Textiles</t>
        </is>
      </c>
      <c r="D1355" t="n">
        <v>2024</v>
      </c>
      <c r="E1355" t="n">
        <v>2015</v>
      </c>
      <c r="F1355" t="n">
        <v>2030</v>
      </c>
      <c r="G1355" t="n">
        <v>3589.5178</v>
      </c>
      <c r="H1355" t="n">
        <v>743.7755</v>
      </c>
      <c r="I1355" t="n">
        <v>449.8981</v>
      </c>
      <c r="J1355" t="n">
        <v>2587.5136</v>
      </c>
      <c r="K1355" t="n">
        <v>15414392.3</v>
      </c>
      <c r="L1355" t="n">
        <v>24182140.62</v>
      </c>
      <c r="M1355" t="n">
        <v>3589.5178</v>
      </c>
      <c r="N1355" t="inlineStr">
        <is>
          <t>Provided Total Emissions</t>
        </is>
      </c>
      <c r="O1355" t="b">
        <v>1</v>
      </c>
      <c r="P1355" t="n">
        <v>-0.097049</v>
      </c>
      <c r="Q1355" t="n">
        <v>-0.040856</v>
      </c>
      <c r="R1355" t="n">
        <v>4504.2396</v>
      </c>
      <c r="S1355" t="n">
        <v>4193.9086</v>
      </c>
      <c r="T1355" t="n">
        <v>914.7218</v>
      </c>
      <c r="U1355" t="n">
        <v>604.3908</v>
      </c>
      <c r="V1355" t="n">
        <v>0.254831</v>
      </c>
      <c r="W1355" t="n">
        <v>0.168377</v>
      </c>
      <c r="X1355" t="inlineStr">
        <is>
          <t>High</t>
        </is>
      </c>
      <c r="Y1355" t="inlineStr">
        <is>
          <t>None</t>
        </is>
      </c>
      <c r="Z1355" t="inlineStr">
        <is>
          <t>Valid</t>
        </is>
      </c>
      <c r="AA1355" t="n">
        <v>2034</v>
      </c>
      <c r="AB1355" t="inlineStr">
        <is>
          <t>Industry Haircut Pathway</t>
        </is>
      </c>
      <c r="AC1355" t="n">
        <v>8996.1567</v>
      </c>
      <c r="AD1355" t="n">
        <v>6143.4754</v>
      </c>
      <c r="AE1355" t="n">
        <v>6143.4754</v>
      </c>
      <c r="AF1355" t="n">
        <v>6143.4754</v>
      </c>
      <c r="AG1355" t="n">
        <v>2852.6813</v>
      </c>
      <c r="AH1355" t="n">
        <v>0.00039855</v>
      </c>
      <c r="AI1355" t="n">
        <v>0.3171</v>
      </c>
      <c r="AJ1355" t="n">
        <v>0</v>
      </c>
      <c r="AK1355" t="n">
        <v>190.1788</v>
      </c>
      <c r="AL1355" t="n">
        <v>-27426.583</v>
      </c>
      <c r="AM1355" t="n">
        <v>64287.4354</v>
      </c>
      <c r="AN1355" t="n">
        <v>0.95</v>
      </c>
      <c r="AO1355" t="inlineStr">
        <is>
          <t>Low</t>
        </is>
      </c>
      <c r="AP1355" t="inlineStr">
        <is>
          <t>On Track</t>
        </is>
      </c>
    </row>
    <row r="1356">
      <c r="A1356" t="inlineStr">
        <is>
          <t>SUP-0085</t>
        </is>
      </c>
      <c r="B1356" t="inlineStr">
        <is>
          <t>Textiles Supplier 085</t>
        </is>
      </c>
      <c r="C1356" t="inlineStr">
        <is>
          <t>Textiles</t>
        </is>
      </c>
      <c r="D1356" t="n">
        <v>2024</v>
      </c>
      <c r="E1356" t="n">
        <v>2015</v>
      </c>
      <c r="F1356" t="n">
        <v>2030</v>
      </c>
      <c r="G1356" t="n">
        <v>3589.5178</v>
      </c>
      <c r="H1356" t="n">
        <v>743.7755</v>
      </c>
      <c r="I1356" t="n">
        <v>449.8981</v>
      </c>
      <c r="J1356" t="n">
        <v>2587.5136</v>
      </c>
      <c r="K1356" t="n">
        <v>15414392.3</v>
      </c>
      <c r="L1356" t="n">
        <v>24182140.62</v>
      </c>
      <c r="M1356" t="n">
        <v>3589.5178</v>
      </c>
      <c r="N1356" t="inlineStr">
        <is>
          <t>Provided Total Emissions</t>
        </is>
      </c>
      <c r="O1356" t="b">
        <v>1</v>
      </c>
      <c r="P1356" t="n">
        <v>-0.097049</v>
      </c>
      <c r="Q1356" t="n">
        <v>-0.040856</v>
      </c>
      <c r="R1356" t="n">
        <v>4504.2396</v>
      </c>
      <c r="S1356" t="n">
        <v>4193.9086</v>
      </c>
      <c r="T1356" t="n">
        <v>914.7218</v>
      </c>
      <c r="U1356" t="n">
        <v>604.3908</v>
      </c>
      <c r="V1356" t="n">
        <v>0.254831</v>
      </c>
      <c r="W1356" t="n">
        <v>0.168377</v>
      </c>
      <c r="X1356" t="inlineStr">
        <is>
          <t>High</t>
        </is>
      </c>
      <c r="Y1356" t="inlineStr">
        <is>
          <t>None</t>
        </is>
      </c>
      <c r="Z1356" t="inlineStr">
        <is>
          <t>Valid</t>
        </is>
      </c>
      <c r="AA1356" t="n">
        <v>2035</v>
      </c>
      <c r="AB1356" t="inlineStr">
        <is>
          <t>Industry Haircut Pathway</t>
        </is>
      </c>
      <c r="AC1356" t="n">
        <v>8996.1567</v>
      </c>
      <c r="AD1356" t="n">
        <v>6143.4754</v>
      </c>
      <c r="AE1356" t="n">
        <v>6143.4754</v>
      </c>
      <c r="AF1356" t="n">
        <v>6143.4754</v>
      </c>
      <c r="AG1356" t="n">
        <v>2852.6813</v>
      </c>
      <c r="AH1356" t="n">
        <v>0.00039855</v>
      </c>
      <c r="AI1356" t="n">
        <v>0.3171</v>
      </c>
      <c r="AJ1356" t="n">
        <v>0</v>
      </c>
      <c r="AK1356" t="n">
        <v>190.1788</v>
      </c>
      <c r="AL1356" t="n">
        <v>-33570.0584</v>
      </c>
      <c r="AM1356" t="n">
        <v>70430.9108</v>
      </c>
      <c r="AN1356" t="n">
        <v>0.95</v>
      </c>
      <c r="AO1356" t="inlineStr">
        <is>
          <t>Low</t>
        </is>
      </c>
      <c r="AP1356" t="inlineStr">
        <is>
          <t>On Track</t>
        </is>
      </c>
    </row>
    <row r="1357">
      <c r="A1357" t="inlineStr">
        <is>
          <t>SUP-0085</t>
        </is>
      </c>
      <c r="B1357" t="inlineStr">
        <is>
          <t>Textiles Supplier 085</t>
        </is>
      </c>
      <c r="C1357" t="inlineStr">
        <is>
          <t>Textiles</t>
        </is>
      </c>
      <c r="D1357" t="n">
        <v>2024</v>
      </c>
      <c r="E1357" t="n">
        <v>2015</v>
      </c>
      <c r="F1357" t="n">
        <v>2030</v>
      </c>
      <c r="G1357" t="n">
        <v>3589.5178</v>
      </c>
      <c r="H1357" t="n">
        <v>743.7755</v>
      </c>
      <c r="I1357" t="n">
        <v>449.8981</v>
      </c>
      <c r="J1357" t="n">
        <v>2587.5136</v>
      </c>
      <c r="K1357" t="n">
        <v>15414392.3</v>
      </c>
      <c r="L1357" t="n">
        <v>24182140.62</v>
      </c>
      <c r="M1357" t="n">
        <v>3589.5178</v>
      </c>
      <c r="N1357" t="inlineStr">
        <is>
          <t>Provided Total Emissions</t>
        </is>
      </c>
      <c r="O1357" t="b">
        <v>1</v>
      </c>
      <c r="P1357" t="n">
        <v>-0.097049</v>
      </c>
      <c r="Q1357" t="n">
        <v>-0.040856</v>
      </c>
      <c r="R1357" t="n">
        <v>4504.2396</v>
      </c>
      <c r="S1357" t="n">
        <v>4193.9086</v>
      </c>
      <c r="T1357" t="n">
        <v>914.7218</v>
      </c>
      <c r="U1357" t="n">
        <v>604.3908</v>
      </c>
      <c r="V1357" t="n">
        <v>0.254831</v>
      </c>
      <c r="W1357" t="n">
        <v>0.168377</v>
      </c>
      <c r="X1357" t="inlineStr">
        <is>
          <t>High</t>
        </is>
      </c>
      <c r="Y1357" t="inlineStr">
        <is>
          <t>None</t>
        </is>
      </c>
      <c r="Z1357" t="inlineStr">
        <is>
          <t>Valid</t>
        </is>
      </c>
      <c r="AA1357" t="n">
        <v>2036</v>
      </c>
      <c r="AB1357" t="inlineStr">
        <is>
          <t>Industry Haircut Pathway</t>
        </is>
      </c>
      <c r="AC1357" t="n">
        <v>8996.1567</v>
      </c>
      <c r="AD1357" t="n">
        <v>6143.4754</v>
      </c>
      <c r="AE1357" t="n">
        <v>6143.4754</v>
      </c>
      <c r="AF1357" t="n">
        <v>6143.4754</v>
      </c>
      <c r="AG1357" t="n">
        <v>2852.6813</v>
      </c>
      <c r="AH1357" t="n">
        <v>0.00039855</v>
      </c>
      <c r="AI1357" t="n">
        <v>0.3171</v>
      </c>
      <c r="AJ1357" t="n">
        <v>0</v>
      </c>
      <c r="AK1357" t="n">
        <v>190.1788</v>
      </c>
      <c r="AL1357" t="n">
        <v>-39713.5338</v>
      </c>
      <c r="AM1357" t="n">
        <v>76574.38619999999</v>
      </c>
      <c r="AN1357" t="n">
        <v>0.95</v>
      </c>
      <c r="AO1357" t="inlineStr">
        <is>
          <t>Low</t>
        </is>
      </c>
      <c r="AP1357" t="inlineStr">
        <is>
          <t>On Track</t>
        </is>
      </c>
    </row>
    <row r="1358">
      <c r="A1358" t="inlineStr">
        <is>
          <t>SUP-0085</t>
        </is>
      </c>
      <c r="B1358" t="inlineStr">
        <is>
          <t>Textiles Supplier 085</t>
        </is>
      </c>
      <c r="C1358" t="inlineStr">
        <is>
          <t>Textiles</t>
        </is>
      </c>
      <c r="D1358" t="n">
        <v>2024</v>
      </c>
      <c r="E1358" t="n">
        <v>2015</v>
      </c>
      <c r="F1358" t="n">
        <v>2030</v>
      </c>
      <c r="G1358" t="n">
        <v>3589.5178</v>
      </c>
      <c r="H1358" t="n">
        <v>743.7755</v>
      </c>
      <c r="I1358" t="n">
        <v>449.8981</v>
      </c>
      <c r="J1358" t="n">
        <v>2587.5136</v>
      </c>
      <c r="K1358" t="n">
        <v>15414392.3</v>
      </c>
      <c r="L1358" t="n">
        <v>24182140.62</v>
      </c>
      <c r="M1358" t="n">
        <v>3589.5178</v>
      </c>
      <c r="N1358" t="inlineStr">
        <is>
          <t>Provided Total Emissions</t>
        </is>
      </c>
      <c r="O1358" t="b">
        <v>1</v>
      </c>
      <c r="P1358" t="n">
        <v>-0.097049</v>
      </c>
      <c r="Q1358" t="n">
        <v>-0.040856</v>
      </c>
      <c r="R1358" t="n">
        <v>4504.2396</v>
      </c>
      <c r="S1358" t="n">
        <v>4193.9086</v>
      </c>
      <c r="T1358" t="n">
        <v>914.7218</v>
      </c>
      <c r="U1358" t="n">
        <v>604.3908</v>
      </c>
      <c r="V1358" t="n">
        <v>0.254831</v>
      </c>
      <c r="W1358" t="n">
        <v>0.168377</v>
      </c>
      <c r="X1358" t="inlineStr">
        <is>
          <t>High</t>
        </is>
      </c>
      <c r="Y1358" t="inlineStr">
        <is>
          <t>None</t>
        </is>
      </c>
      <c r="Z1358" t="inlineStr">
        <is>
          <t>Valid</t>
        </is>
      </c>
      <c r="AA1358" t="n">
        <v>2037</v>
      </c>
      <c r="AB1358" t="inlineStr">
        <is>
          <t>Industry Haircut Pathway</t>
        </is>
      </c>
      <c r="AC1358" t="n">
        <v>8996.1567</v>
      </c>
      <c r="AD1358" t="n">
        <v>6143.4754</v>
      </c>
      <c r="AE1358" t="n">
        <v>6143.4754</v>
      </c>
      <c r="AF1358" t="n">
        <v>6143.4754</v>
      </c>
      <c r="AG1358" t="n">
        <v>2852.6813</v>
      </c>
      <c r="AH1358" t="n">
        <v>0.00039855</v>
      </c>
      <c r="AI1358" t="n">
        <v>0.3171</v>
      </c>
      <c r="AJ1358" t="n">
        <v>0</v>
      </c>
      <c r="AK1358" t="n">
        <v>190.1788</v>
      </c>
      <c r="AL1358" t="n">
        <v>-45857.0092</v>
      </c>
      <c r="AM1358" t="n">
        <v>82717.8616</v>
      </c>
      <c r="AN1358" t="n">
        <v>0.95</v>
      </c>
      <c r="AO1358" t="inlineStr">
        <is>
          <t>Low</t>
        </is>
      </c>
      <c r="AP1358" t="inlineStr">
        <is>
          <t>On Track</t>
        </is>
      </c>
    </row>
    <row r="1359">
      <c r="A1359" t="inlineStr">
        <is>
          <t>SUP-0085</t>
        </is>
      </c>
      <c r="B1359" t="inlineStr">
        <is>
          <t>Textiles Supplier 085</t>
        </is>
      </c>
      <c r="C1359" t="inlineStr">
        <is>
          <t>Textiles</t>
        </is>
      </c>
      <c r="D1359" t="n">
        <v>2024</v>
      </c>
      <c r="E1359" t="n">
        <v>2015</v>
      </c>
      <c r="F1359" t="n">
        <v>2030</v>
      </c>
      <c r="G1359" t="n">
        <v>3589.5178</v>
      </c>
      <c r="H1359" t="n">
        <v>743.7755</v>
      </c>
      <c r="I1359" t="n">
        <v>449.8981</v>
      </c>
      <c r="J1359" t="n">
        <v>2587.5136</v>
      </c>
      <c r="K1359" t="n">
        <v>15414392.3</v>
      </c>
      <c r="L1359" t="n">
        <v>24182140.62</v>
      </c>
      <c r="M1359" t="n">
        <v>3589.5178</v>
      </c>
      <c r="N1359" t="inlineStr">
        <is>
          <t>Provided Total Emissions</t>
        </is>
      </c>
      <c r="O1359" t="b">
        <v>1</v>
      </c>
      <c r="P1359" t="n">
        <v>-0.097049</v>
      </c>
      <c r="Q1359" t="n">
        <v>-0.040856</v>
      </c>
      <c r="R1359" t="n">
        <v>4504.2396</v>
      </c>
      <c r="S1359" t="n">
        <v>4193.9086</v>
      </c>
      <c r="T1359" t="n">
        <v>914.7218</v>
      </c>
      <c r="U1359" t="n">
        <v>604.3908</v>
      </c>
      <c r="V1359" t="n">
        <v>0.254831</v>
      </c>
      <c r="W1359" t="n">
        <v>0.168377</v>
      </c>
      <c r="X1359" t="inlineStr">
        <is>
          <t>High</t>
        </is>
      </c>
      <c r="Y1359" t="inlineStr">
        <is>
          <t>None</t>
        </is>
      </c>
      <c r="Z1359" t="inlineStr">
        <is>
          <t>Valid</t>
        </is>
      </c>
      <c r="AA1359" t="n">
        <v>2038</v>
      </c>
      <c r="AB1359" t="inlineStr">
        <is>
          <t>Industry Haircut Pathway</t>
        </is>
      </c>
      <c r="AC1359" t="n">
        <v>8996.1567</v>
      </c>
      <c r="AD1359" t="n">
        <v>6143.4754</v>
      </c>
      <c r="AE1359" t="n">
        <v>6143.4754</v>
      </c>
      <c r="AF1359" t="n">
        <v>6143.4754</v>
      </c>
      <c r="AG1359" t="n">
        <v>2852.6813</v>
      </c>
      <c r="AH1359" t="n">
        <v>0.00039855</v>
      </c>
      <c r="AI1359" t="n">
        <v>0.3171</v>
      </c>
      <c r="AJ1359" t="n">
        <v>0</v>
      </c>
      <c r="AK1359" t="n">
        <v>190.1788</v>
      </c>
      <c r="AL1359" t="n">
        <v>-52000.4846</v>
      </c>
      <c r="AM1359" t="n">
        <v>88861.337</v>
      </c>
      <c r="AN1359" t="n">
        <v>0.95</v>
      </c>
      <c r="AO1359" t="inlineStr">
        <is>
          <t>Low</t>
        </is>
      </c>
      <c r="AP1359" t="inlineStr">
        <is>
          <t>On Track</t>
        </is>
      </c>
    </row>
    <row r="1360">
      <c r="A1360" t="inlineStr">
        <is>
          <t>SUP-0085</t>
        </is>
      </c>
      <c r="B1360" t="inlineStr">
        <is>
          <t>Textiles Supplier 085</t>
        </is>
      </c>
      <c r="C1360" t="inlineStr">
        <is>
          <t>Textiles</t>
        </is>
      </c>
      <c r="D1360" t="n">
        <v>2024</v>
      </c>
      <c r="E1360" t="n">
        <v>2015</v>
      </c>
      <c r="F1360" t="n">
        <v>2030</v>
      </c>
      <c r="G1360" t="n">
        <v>3589.5178</v>
      </c>
      <c r="H1360" t="n">
        <v>743.7755</v>
      </c>
      <c r="I1360" t="n">
        <v>449.8981</v>
      </c>
      <c r="J1360" t="n">
        <v>2587.5136</v>
      </c>
      <c r="K1360" t="n">
        <v>15414392.3</v>
      </c>
      <c r="L1360" t="n">
        <v>24182140.62</v>
      </c>
      <c r="M1360" t="n">
        <v>3589.5178</v>
      </c>
      <c r="N1360" t="inlineStr">
        <is>
          <t>Provided Total Emissions</t>
        </is>
      </c>
      <c r="O1360" t="b">
        <v>1</v>
      </c>
      <c r="P1360" t="n">
        <v>-0.097049</v>
      </c>
      <c r="Q1360" t="n">
        <v>-0.040856</v>
      </c>
      <c r="R1360" t="n">
        <v>4504.2396</v>
      </c>
      <c r="S1360" t="n">
        <v>4193.9086</v>
      </c>
      <c r="T1360" t="n">
        <v>914.7218</v>
      </c>
      <c r="U1360" t="n">
        <v>604.3908</v>
      </c>
      <c r="V1360" t="n">
        <v>0.254831</v>
      </c>
      <c r="W1360" t="n">
        <v>0.168377</v>
      </c>
      <c r="X1360" t="inlineStr">
        <is>
          <t>High</t>
        </is>
      </c>
      <c r="Y1360" t="inlineStr">
        <is>
          <t>None</t>
        </is>
      </c>
      <c r="Z1360" t="inlineStr">
        <is>
          <t>Valid</t>
        </is>
      </c>
      <c r="AA1360" t="n">
        <v>2039</v>
      </c>
      <c r="AB1360" t="inlineStr">
        <is>
          <t>Industry Haircut Pathway</t>
        </is>
      </c>
      <c r="AC1360" t="n">
        <v>8996.1567</v>
      </c>
      <c r="AD1360" t="n">
        <v>6143.4754</v>
      </c>
      <c r="AE1360" t="n">
        <v>6143.4754</v>
      </c>
      <c r="AF1360" t="n">
        <v>6143.4754</v>
      </c>
      <c r="AG1360" t="n">
        <v>2852.6813</v>
      </c>
      <c r="AH1360" t="n">
        <v>0.00039855</v>
      </c>
      <c r="AI1360" t="n">
        <v>0.3171</v>
      </c>
      <c r="AJ1360" t="n">
        <v>0</v>
      </c>
      <c r="AK1360" t="n">
        <v>190.1788</v>
      </c>
      <c r="AL1360" t="n">
        <v>-58143.96</v>
      </c>
      <c r="AM1360" t="n">
        <v>95004.8124</v>
      </c>
      <c r="AN1360" t="n">
        <v>0.95</v>
      </c>
      <c r="AO1360" t="inlineStr">
        <is>
          <t>Low</t>
        </is>
      </c>
      <c r="AP1360" t="inlineStr">
        <is>
          <t>On Track</t>
        </is>
      </c>
    </row>
    <row r="1361">
      <c r="A1361" t="inlineStr">
        <is>
          <t>SUP-0085</t>
        </is>
      </c>
      <c r="B1361" t="inlineStr">
        <is>
          <t>Textiles Supplier 085</t>
        </is>
      </c>
      <c r="C1361" t="inlineStr">
        <is>
          <t>Textiles</t>
        </is>
      </c>
      <c r="D1361" t="n">
        <v>2024</v>
      </c>
      <c r="E1361" t="n">
        <v>2015</v>
      </c>
      <c r="F1361" t="n">
        <v>2030</v>
      </c>
      <c r="G1361" t="n">
        <v>3589.5178</v>
      </c>
      <c r="H1361" t="n">
        <v>743.7755</v>
      </c>
      <c r="I1361" t="n">
        <v>449.8981</v>
      </c>
      <c r="J1361" t="n">
        <v>2587.5136</v>
      </c>
      <c r="K1361" t="n">
        <v>15414392.3</v>
      </c>
      <c r="L1361" t="n">
        <v>24182140.62</v>
      </c>
      <c r="M1361" t="n">
        <v>3589.5178</v>
      </c>
      <c r="N1361" t="inlineStr">
        <is>
          <t>Provided Total Emissions</t>
        </is>
      </c>
      <c r="O1361" t="b">
        <v>1</v>
      </c>
      <c r="P1361" t="n">
        <v>-0.097049</v>
      </c>
      <c r="Q1361" t="n">
        <v>-0.040856</v>
      </c>
      <c r="R1361" t="n">
        <v>4504.2396</v>
      </c>
      <c r="S1361" t="n">
        <v>4193.9086</v>
      </c>
      <c r="T1361" t="n">
        <v>914.7218</v>
      </c>
      <c r="U1361" t="n">
        <v>604.3908</v>
      </c>
      <c r="V1361" t="n">
        <v>0.254831</v>
      </c>
      <c r="W1361" t="n">
        <v>0.168377</v>
      </c>
      <c r="X1361" t="inlineStr">
        <is>
          <t>High</t>
        </is>
      </c>
      <c r="Y1361" t="inlineStr">
        <is>
          <t>None</t>
        </is>
      </c>
      <c r="Z1361" t="inlineStr">
        <is>
          <t>Valid</t>
        </is>
      </c>
      <c r="AA1361" t="n">
        <v>2040</v>
      </c>
      <c r="AB1361" t="inlineStr">
        <is>
          <t>Industry Haircut Pathway</t>
        </is>
      </c>
      <c r="AC1361" t="n">
        <v>8996.1567</v>
      </c>
      <c r="AD1361" t="n">
        <v>6143.4754</v>
      </c>
      <c r="AE1361" t="n">
        <v>6143.4754</v>
      </c>
      <c r="AF1361" t="n">
        <v>6143.4754</v>
      </c>
      <c r="AG1361" t="n">
        <v>2852.6813</v>
      </c>
      <c r="AH1361" t="n">
        <v>0.00039855</v>
      </c>
      <c r="AI1361" t="n">
        <v>0.3171</v>
      </c>
      <c r="AJ1361" t="n">
        <v>0</v>
      </c>
      <c r="AK1361" t="n">
        <v>190.1788</v>
      </c>
      <c r="AL1361" t="n">
        <v>-64287.4354</v>
      </c>
      <c r="AM1361" t="n">
        <v>101148.2878</v>
      </c>
      <c r="AN1361" t="n">
        <v>0.95</v>
      </c>
      <c r="AO1361" t="inlineStr">
        <is>
          <t>Low</t>
        </is>
      </c>
      <c r="AP1361" t="inlineStr">
        <is>
          <t>On Track</t>
        </is>
      </c>
    </row>
    <row r="1362">
      <c r="A1362" t="inlineStr">
        <is>
          <t>SUP-0086</t>
        </is>
      </c>
      <c r="B1362" t="inlineStr">
        <is>
          <t>Metals Supplier 086</t>
        </is>
      </c>
      <c r="C1362" t="inlineStr">
        <is>
          <t>Metals</t>
        </is>
      </c>
      <c r="D1362" t="n">
        <v>2024</v>
      </c>
      <c r="E1362" t="n">
        <v>2019</v>
      </c>
      <c r="F1362" t="n">
        <v>2035</v>
      </c>
      <c r="G1362" t="n">
        <v>2383.3585</v>
      </c>
      <c r="H1362" t="n">
        <v>221.0184</v>
      </c>
      <c r="I1362" t="n">
        <v>407.2962</v>
      </c>
      <c r="J1362" t="n">
        <v>1817.1955</v>
      </c>
      <c r="K1362" t="n">
        <v>1748766.21</v>
      </c>
      <c r="L1362" t="n">
        <v>3973976.01</v>
      </c>
      <c r="M1362" t="n">
        <v>2383.3585</v>
      </c>
      <c r="N1362" t="inlineStr">
        <is>
          <t>Provided Total Emissions</t>
        </is>
      </c>
      <c r="O1362" t="b">
        <v>1</v>
      </c>
      <c r="P1362" t="n">
        <v>-0.014859</v>
      </c>
      <c r="Q1362" t="n">
        <v>-0.001889</v>
      </c>
      <c r="R1362" t="n">
        <v>1760.9201</v>
      </c>
      <c r="S1362" t="n">
        <v>2583.4023</v>
      </c>
      <c r="T1362" t="n">
        <v>-622.4384</v>
      </c>
      <c r="U1362" t="n">
        <v>200.0438</v>
      </c>
      <c r="V1362" t="n">
        <v>-0.26116</v>
      </c>
      <c r="W1362" t="n">
        <v>0.08393399999999999</v>
      </c>
      <c r="X1362" t="inlineStr">
        <is>
          <t>High</t>
        </is>
      </c>
      <c r="Y1362" t="inlineStr">
        <is>
          <t>None</t>
        </is>
      </c>
      <c r="Z1362" t="inlineStr">
        <is>
          <t>Valid</t>
        </is>
      </c>
      <c r="AA1362" t="n">
        <v>2025</v>
      </c>
      <c r="AB1362" t="inlineStr">
        <is>
          <t>Supplier Target Pathway</t>
        </is>
      </c>
      <c r="AC1362" t="n">
        <v>2718.5047</v>
      </c>
      <c r="AD1362" t="n">
        <v>1588.4223</v>
      </c>
      <c r="AE1362" t="n">
        <v>2294.7238</v>
      </c>
      <c r="AF1362" t="n">
        <v>2294.7238</v>
      </c>
      <c r="AG1362" t="n">
        <v>423.7809</v>
      </c>
      <c r="AH1362" t="n">
        <v>0.0013122</v>
      </c>
      <c r="AI1362" t="n">
        <v>0.155887</v>
      </c>
      <c r="AJ1362" t="n">
        <v>706.3015</v>
      </c>
      <c r="AK1362" t="n">
        <v>70.6302</v>
      </c>
      <c r="AL1362" t="n">
        <v>15177.9215</v>
      </c>
      <c r="AM1362" t="n">
        <v>2294.7238</v>
      </c>
      <c r="AN1362" t="n">
        <v>0.99</v>
      </c>
      <c r="AO1362" t="inlineStr">
        <is>
          <t>Critical</t>
        </is>
      </c>
      <c r="AP1362" t="inlineStr">
        <is>
          <t>On Track to Glide Path</t>
        </is>
      </c>
    </row>
    <row r="1363">
      <c r="A1363" t="inlineStr">
        <is>
          <t>SUP-0086</t>
        </is>
      </c>
      <c r="B1363" t="inlineStr">
        <is>
          <t>Metals Supplier 086</t>
        </is>
      </c>
      <c r="C1363" t="inlineStr">
        <is>
          <t>Metals</t>
        </is>
      </c>
      <c r="D1363" t="n">
        <v>2024</v>
      </c>
      <c r="E1363" t="n">
        <v>2019</v>
      </c>
      <c r="F1363" t="n">
        <v>2035</v>
      </c>
      <c r="G1363" t="n">
        <v>2383.3585</v>
      </c>
      <c r="H1363" t="n">
        <v>221.0184</v>
      </c>
      <c r="I1363" t="n">
        <v>407.2962</v>
      </c>
      <c r="J1363" t="n">
        <v>1817.1955</v>
      </c>
      <c r="K1363" t="n">
        <v>1748766.21</v>
      </c>
      <c r="L1363" t="n">
        <v>3973976.01</v>
      </c>
      <c r="M1363" t="n">
        <v>2383.3585</v>
      </c>
      <c r="N1363" t="inlineStr">
        <is>
          <t>Provided Total Emissions</t>
        </is>
      </c>
      <c r="O1363" t="b">
        <v>1</v>
      </c>
      <c r="P1363" t="n">
        <v>-0.014859</v>
      </c>
      <c r="Q1363" t="n">
        <v>-0.001889</v>
      </c>
      <c r="R1363" t="n">
        <v>1760.9201</v>
      </c>
      <c r="S1363" t="n">
        <v>2583.4023</v>
      </c>
      <c r="T1363" t="n">
        <v>-622.4384</v>
      </c>
      <c r="U1363" t="n">
        <v>200.0438</v>
      </c>
      <c r="V1363" t="n">
        <v>-0.26116</v>
      </c>
      <c r="W1363" t="n">
        <v>0.08393399999999999</v>
      </c>
      <c r="X1363" t="inlineStr">
        <is>
          <t>High</t>
        </is>
      </c>
      <c r="Y1363" t="inlineStr">
        <is>
          <t>None</t>
        </is>
      </c>
      <c r="Z1363" t="inlineStr">
        <is>
          <t>Valid</t>
        </is>
      </c>
      <c r="AA1363" t="n">
        <v>2026</v>
      </c>
      <c r="AB1363" t="inlineStr">
        <is>
          <t>Supplier Target Pathway</t>
        </is>
      </c>
      <c r="AC1363" t="n">
        <v>2718.5047</v>
      </c>
      <c r="AD1363" t="n">
        <v>1588.4223</v>
      </c>
      <c r="AE1363" t="n">
        <v>2224.0936</v>
      </c>
      <c r="AF1363" t="n">
        <v>2224.0936</v>
      </c>
      <c r="AG1363" t="n">
        <v>494.4111</v>
      </c>
      <c r="AH1363" t="n">
        <v>0.00127181</v>
      </c>
      <c r="AI1363" t="n">
        <v>0.181869</v>
      </c>
      <c r="AJ1363" t="n">
        <v>635.6713999999999</v>
      </c>
      <c r="AK1363" t="n">
        <v>70.6302</v>
      </c>
      <c r="AL1363" t="n">
        <v>12953.8279</v>
      </c>
      <c r="AM1363" t="n">
        <v>4518.8174</v>
      </c>
      <c r="AN1363" t="n">
        <v>0.99</v>
      </c>
      <c r="AO1363" t="inlineStr">
        <is>
          <t>Critical</t>
        </is>
      </c>
      <c r="AP1363" t="inlineStr">
        <is>
          <t>On Track to Glide Path</t>
        </is>
      </c>
    </row>
    <row r="1364">
      <c r="A1364" t="inlineStr">
        <is>
          <t>SUP-0086</t>
        </is>
      </c>
      <c r="B1364" t="inlineStr">
        <is>
          <t>Metals Supplier 086</t>
        </is>
      </c>
      <c r="C1364" t="inlineStr">
        <is>
          <t>Metals</t>
        </is>
      </c>
      <c r="D1364" t="n">
        <v>2024</v>
      </c>
      <c r="E1364" t="n">
        <v>2019</v>
      </c>
      <c r="F1364" t="n">
        <v>2035</v>
      </c>
      <c r="G1364" t="n">
        <v>2383.3585</v>
      </c>
      <c r="H1364" t="n">
        <v>221.0184</v>
      </c>
      <c r="I1364" t="n">
        <v>407.2962</v>
      </c>
      <c r="J1364" t="n">
        <v>1817.1955</v>
      </c>
      <c r="K1364" t="n">
        <v>1748766.21</v>
      </c>
      <c r="L1364" t="n">
        <v>3973976.01</v>
      </c>
      <c r="M1364" t="n">
        <v>2383.3585</v>
      </c>
      <c r="N1364" t="inlineStr">
        <is>
          <t>Provided Total Emissions</t>
        </is>
      </c>
      <c r="O1364" t="b">
        <v>1</v>
      </c>
      <c r="P1364" t="n">
        <v>-0.014859</v>
      </c>
      <c r="Q1364" t="n">
        <v>-0.001889</v>
      </c>
      <c r="R1364" t="n">
        <v>1760.9201</v>
      </c>
      <c r="S1364" t="n">
        <v>2583.4023</v>
      </c>
      <c r="T1364" t="n">
        <v>-622.4384</v>
      </c>
      <c r="U1364" t="n">
        <v>200.0438</v>
      </c>
      <c r="V1364" t="n">
        <v>-0.26116</v>
      </c>
      <c r="W1364" t="n">
        <v>0.08393399999999999</v>
      </c>
      <c r="X1364" t="inlineStr">
        <is>
          <t>High</t>
        </is>
      </c>
      <c r="Y1364" t="inlineStr">
        <is>
          <t>None</t>
        </is>
      </c>
      <c r="Z1364" t="inlineStr">
        <is>
          <t>Valid</t>
        </is>
      </c>
      <c r="AA1364" t="n">
        <v>2027</v>
      </c>
      <c r="AB1364" t="inlineStr">
        <is>
          <t>Supplier Target Pathway</t>
        </is>
      </c>
      <c r="AC1364" t="n">
        <v>2718.5047</v>
      </c>
      <c r="AD1364" t="n">
        <v>1588.4223</v>
      </c>
      <c r="AE1364" t="n">
        <v>2153.4635</v>
      </c>
      <c r="AF1364" t="n">
        <v>2153.4635</v>
      </c>
      <c r="AG1364" t="n">
        <v>565.0412</v>
      </c>
      <c r="AH1364" t="n">
        <v>0.00123142</v>
      </c>
      <c r="AI1364" t="n">
        <v>0.20785</v>
      </c>
      <c r="AJ1364" t="n">
        <v>565.0412</v>
      </c>
      <c r="AK1364" t="n">
        <v>70.6302</v>
      </c>
      <c r="AL1364" t="n">
        <v>10800.3644</v>
      </c>
      <c r="AM1364" t="n">
        <v>6672.2809</v>
      </c>
      <c r="AN1364" t="n">
        <v>0.99</v>
      </c>
      <c r="AO1364" t="inlineStr">
        <is>
          <t>Critical</t>
        </is>
      </c>
      <c r="AP1364" t="inlineStr">
        <is>
          <t>On Track to Glide Path</t>
        </is>
      </c>
    </row>
    <row r="1365">
      <c r="A1365" t="inlineStr">
        <is>
          <t>SUP-0086</t>
        </is>
      </c>
      <c r="B1365" t="inlineStr">
        <is>
          <t>Metals Supplier 086</t>
        </is>
      </c>
      <c r="C1365" t="inlineStr">
        <is>
          <t>Metals</t>
        </is>
      </c>
      <c r="D1365" t="n">
        <v>2024</v>
      </c>
      <c r="E1365" t="n">
        <v>2019</v>
      </c>
      <c r="F1365" t="n">
        <v>2035</v>
      </c>
      <c r="G1365" t="n">
        <v>2383.3585</v>
      </c>
      <c r="H1365" t="n">
        <v>221.0184</v>
      </c>
      <c r="I1365" t="n">
        <v>407.2962</v>
      </c>
      <c r="J1365" t="n">
        <v>1817.1955</v>
      </c>
      <c r="K1365" t="n">
        <v>1748766.21</v>
      </c>
      <c r="L1365" t="n">
        <v>3973976.01</v>
      </c>
      <c r="M1365" t="n">
        <v>2383.3585</v>
      </c>
      <c r="N1365" t="inlineStr">
        <is>
          <t>Provided Total Emissions</t>
        </is>
      </c>
      <c r="O1365" t="b">
        <v>1</v>
      </c>
      <c r="P1365" t="n">
        <v>-0.014859</v>
      </c>
      <c r="Q1365" t="n">
        <v>-0.001889</v>
      </c>
      <c r="R1365" t="n">
        <v>1760.9201</v>
      </c>
      <c r="S1365" t="n">
        <v>2583.4023</v>
      </c>
      <c r="T1365" t="n">
        <v>-622.4384</v>
      </c>
      <c r="U1365" t="n">
        <v>200.0438</v>
      </c>
      <c r="V1365" t="n">
        <v>-0.26116</v>
      </c>
      <c r="W1365" t="n">
        <v>0.08393399999999999</v>
      </c>
      <c r="X1365" t="inlineStr">
        <is>
          <t>High</t>
        </is>
      </c>
      <c r="Y1365" t="inlineStr">
        <is>
          <t>None</t>
        </is>
      </c>
      <c r="Z1365" t="inlineStr">
        <is>
          <t>Valid</t>
        </is>
      </c>
      <c r="AA1365" t="n">
        <v>2028</v>
      </c>
      <c r="AB1365" t="inlineStr">
        <is>
          <t>Supplier Target Pathway</t>
        </is>
      </c>
      <c r="AC1365" t="n">
        <v>2718.5047</v>
      </c>
      <c r="AD1365" t="n">
        <v>1588.4223</v>
      </c>
      <c r="AE1365" t="n">
        <v>2082.8333</v>
      </c>
      <c r="AF1365" t="n">
        <v>2082.8333</v>
      </c>
      <c r="AG1365" t="n">
        <v>635.6713999999999</v>
      </c>
      <c r="AH1365" t="n">
        <v>0.00119103</v>
      </c>
      <c r="AI1365" t="n">
        <v>0.233831</v>
      </c>
      <c r="AJ1365" t="n">
        <v>494.4111</v>
      </c>
      <c r="AK1365" t="n">
        <v>70.6302</v>
      </c>
      <c r="AL1365" t="n">
        <v>8717.5311</v>
      </c>
      <c r="AM1365" t="n">
        <v>8755.1142</v>
      </c>
      <c r="AN1365" t="n">
        <v>0.99</v>
      </c>
      <c r="AO1365" t="inlineStr">
        <is>
          <t>High</t>
        </is>
      </c>
      <c r="AP1365" t="inlineStr">
        <is>
          <t>On Track to Glide Path</t>
        </is>
      </c>
    </row>
    <row r="1366">
      <c r="A1366" t="inlineStr">
        <is>
          <t>SUP-0086</t>
        </is>
      </c>
      <c r="B1366" t="inlineStr">
        <is>
          <t>Metals Supplier 086</t>
        </is>
      </c>
      <c r="C1366" t="inlineStr">
        <is>
          <t>Metals</t>
        </is>
      </c>
      <c r="D1366" t="n">
        <v>2024</v>
      </c>
      <c r="E1366" t="n">
        <v>2019</v>
      </c>
      <c r="F1366" t="n">
        <v>2035</v>
      </c>
      <c r="G1366" t="n">
        <v>2383.3585</v>
      </c>
      <c r="H1366" t="n">
        <v>221.0184</v>
      </c>
      <c r="I1366" t="n">
        <v>407.2962</v>
      </c>
      <c r="J1366" t="n">
        <v>1817.1955</v>
      </c>
      <c r="K1366" t="n">
        <v>1748766.21</v>
      </c>
      <c r="L1366" t="n">
        <v>3973976.01</v>
      </c>
      <c r="M1366" t="n">
        <v>2383.3585</v>
      </c>
      <c r="N1366" t="inlineStr">
        <is>
          <t>Provided Total Emissions</t>
        </is>
      </c>
      <c r="O1366" t="b">
        <v>1</v>
      </c>
      <c r="P1366" t="n">
        <v>-0.014859</v>
      </c>
      <c r="Q1366" t="n">
        <v>-0.001889</v>
      </c>
      <c r="R1366" t="n">
        <v>1760.9201</v>
      </c>
      <c r="S1366" t="n">
        <v>2583.4023</v>
      </c>
      <c r="T1366" t="n">
        <v>-622.4384</v>
      </c>
      <c r="U1366" t="n">
        <v>200.0438</v>
      </c>
      <c r="V1366" t="n">
        <v>-0.26116</v>
      </c>
      <c r="W1366" t="n">
        <v>0.08393399999999999</v>
      </c>
      <c r="X1366" t="inlineStr">
        <is>
          <t>High</t>
        </is>
      </c>
      <c r="Y1366" t="inlineStr">
        <is>
          <t>None</t>
        </is>
      </c>
      <c r="Z1366" t="inlineStr">
        <is>
          <t>Valid</t>
        </is>
      </c>
      <c r="AA1366" t="n">
        <v>2029</v>
      </c>
      <c r="AB1366" t="inlineStr">
        <is>
          <t>Supplier Target Pathway</t>
        </is>
      </c>
      <c r="AC1366" t="n">
        <v>2718.5047</v>
      </c>
      <c r="AD1366" t="n">
        <v>1588.4223</v>
      </c>
      <c r="AE1366" t="n">
        <v>2012.2032</v>
      </c>
      <c r="AF1366" t="n">
        <v>2012.2032</v>
      </c>
      <c r="AG1366" t="n">
        <v>706.3015</v>
      </c>
      <c r="AH1366" t="n">
        <v>0.00115064</v>
      </c>
      <c r="AI1366" t="n">
        <v>0.259813</v>
      </c>
      <c r="AJ1366" t="n">
        <v>423.7809</v>
      </c>
      <c r="AK1366" t="n">
        <v>70.6302</v>
      </c>
      <c r="AL1366" t="n">
        <v>6705.3279</v>
      </c>
      <c r="AM1366" t="n">
        <v>10767.3174</v>
      </c>
      <c r="AN1366" t="n">
        <v>0.99</v>
      </c>
      <c r="AO1366" t="inlineStr">
        <is>
          <t>High</t>
        </is>
      </c>
      <c r="AP1366" t="inlineStr">
        <is>
          <t>On Track to Glide Path</t>
        </is>
      </c>
    </row>
    <row r="1367">
      <c r="A1367" t="inlineStr">
        <is>
          <t>SUP-0086</t>
        </is>
      </c>
      <c r="B1367" t="inlineStr">
        <is>
          <t>Metals Supplier 086</t>
        </is>
      </c>
      <c r="C1367" t="inlineStr">
        <is>
          <t>Metals</t>
        </is>
      </c>
      <c r="D1367" t="n">
        <v>2024</v>
      </c>
      <c r="E1367" t="n">
        <v>2019</v>
      </c>
      <c r="F1367" t="n">
        <v>2035</v>
      </c>
      <c r="G1367" t="n">
        <v>2383.3585</v>
      </c>
      <c r="H1367" t="n">
        <v>221.0184</v>
      </c>
      <c r="I1367" t="n">
        <v>407.2962</v>
      </c>
      <c r="J1367" t="n">
        <v>1817.1955</v>
      </c>
      <c r="K1367" t="n">
        <v>1748766.21</v>
      </c>
      <c r="L1367" t="n">
        <v>3973976.01</v>
      </c>
      <c r="M1367" t="n">
        <v>2383.3585</v>
      </c>
      <c r="N1367" t="inlineStr">
        <is>
          <t>Provided Total Emissions</t>
        </is>
      </c>
      <c r="O1367" t="b">
        <v>1</v>
      </c>
      <c r="P1367" t="n">
        <v>-0.014859</v>
      </c>
      <c r="Q1367" t="n">
        <v>-0.001889</v>
      </c>
      <c r="R1367" t="n">
        <v>1760.9201</v>
      </c>
      <c r="S1367" t="n">
        <v>2583.4023</v>
      </c>
      <c r="T1367" t="n">
        <v>-622.4384</v>
      </c>
      <c r="U1367" t="n">
        <v>200.0438</v>
      </c>
      <c r="V1367" t="n">
        <v>-0.26116</v>
      </c>
      <c r="W1367" t="n">
        <v>0.08393399999999999</v>
      </c>
      <c r="X1367" t="inlineStr">
        <is>
          <t>High</t>
        </is>
      </c>
      <c r="Y1367" t="inlineStr">
        <is>
          <t>None</t>
        </is>
      </c>
      <c r="Z1367" t="inlineStr">
        <is>
          <t>Valid</t>
        </is>
      </c>
      <c r="AA1367" t="n">
        <v>2030</v>
      </c>
      <c r="AB1367" t="inlineStr">
        <is>
          <t>Supplier Target Pathway</t>
        </is>
      </c>
      <c r="AC1367" t="n">
        <v>2718.5047</v>
      </c>
      <c r="AD1367" t="n">
        <v>1588.4223</v>
      </c>
      <c r="AE1367" t="n">
        <v>1941.573</v>
      </c>
      <c r="AF1367" t="n">
        <v>1941.573</v>
      </c>
      <c r="AG1367" t="n">
        <v>776.9317</v>
      </c>
      <c r="AH1367" t="n">
        <v>0.00111025</v>
      </c>
      <c r="AI1367" t="n">
        <v>0.285794</v>
      </c>
      <c r="AJ1367" t="n">
        <v>353.1508</v>
      </c>
      <c r="AK1367" t="n">
        <v>70.6302</v>
      </c>
      <c r="AL1367" t="n">
        <v>4763.7549</v>
      </c>
      <c r="AM1367" t="n">
        <v>12708.8904</v>
      </c>
      <c r="AN1367" t="n">
        <v>0.99</v>
      </c>
      <c r="AO1367" t="inlineStr">
        <is>
          <t>High</t>
        </is>
      </c>
      <c r="AP1367" t="inlineStr">
        <is>
          <t>On Track to Glide Path</t>
        </is>
      </c>
    </row>
    <row r="1368">
      <c r="A1368" t="inlineStr">
        <is>
          <t>SUP-0086</t>
        </is>
      </c>
      <c r="B1368" t="inlineStr">
        <is>
          <t>Metals Supplier 086</t>
        </is>
      </c>
      <c r="C1368" t="inlineStr">
        <is>
          <t>Metals</t>
        </is>
      </c>
      <c r="D1368" t="n">
        <v>2024</v>
      </c>
      <c r="E1368" t="n">
        <v>2019</v>
      </c>
      <c r="F1368" t="n">
        <v>2035</v>
      </c>
      <c r="G1368" t="n">
        <v>2383.3585</v>
      </c>
      <c r="H1368" t="n">
        <v>221.0184</v>
      </c>
      <c r="I1368" t="n">
        <v>407.2962</v>
      </c>
      <c r="J1368" t="n">
        <v>1817.1955</v>
      </c>
      <c r="K1368" t="n">
        <v>1748766.21</v>
      </c>
      <c r="L1368" t="n">
        <v>3973976.01</v>
      </c>
      <c r="M1368" t="n">
        <v>2383.3585</v>
      </c>
      <c r="N1368" t="inlineStr">
        <is>
          <t>Provided Total Emissions</t>
        </is>
      </c>
      <c r="O1368" t="b">
        <v>1</v>
      </c>
      <c r="P1368" t="n">
        <v>-0.014859</v>
      </c>
      <c r="Q1368" t="n">
        <v>-0.001889</v>
      </c>
      <c r="R1368" t="n">
        <v>1760.9201</v>
      </c>
      <c r="S1368" t="n">
        <v>2583.4023</v>
      </c>
      <c r="T1368" t="n">
        <v>-622.4384</v>
      </c>
      <c r="U1368" t="n">
        <v>200.0438</v>
      </c>
      <c r="V1368" t="n">
        <v>-0.26116</v>
      </c>
      <c r="W1368" t="n">
        <v>0.08393399999999999</v>
      </c>
      <c r="X1368" t="inlineStr">
        <is>
          <t>High</t>
        </is>
      </c>
      <c r="Y1368" t="inlineStr">
        <is>
          <t>None</t>
        </is>
      </c>
      <c r="Z1368" t="inlineStr">
        <is>
          <t>Valid</t>
        </is>
      </c>
      <c r="AA1368" t="n">
        <v>2031</v>
      </c>
      <c r="AB1368" t="inlineStr">
        <is>
          <t>Supplier Target Pathway</t>
        </is>
      </c>
      <c r="AC1368" t="n">
        <v>2718.5047</v>
      </c>
      <c r="AD1368" t="n">
        <v>1588.4223</v>
      </c>
      <c r="AE1368" t="n">
        <v>1870.9429</v>
      </c>
      <c r="AF1368" t="n">
        <v>1870.9429</v>
      </c>
      <c r="AG1368" t="n">
        <v>847.5617999999999</v>
      </c>
      <c r="AH1368" t="n">
        <v>0.00106986</v>
      </c>
      <c r="AI1368" t="n">
        <v>0.311775</v>
      </c>
      <c r="AJ1368" t="n">
        <v>282.5206</v>
      </c>
      <c r="AK1368" t="n">
        <v>70.6302</v>
      </c>
      <c r="AL1368" t="n">
        <v>2892.812</v>
      </c>
      <c r="AM1368" t="n">
        <v>14579.8333</v>
      </c>
      <c r="AN1368" t="n">
        <v>0.99</v>
      </c>
      <c r="AO1368" t="inlineStr">
        <is>
          <t>High</t>
        </is>
      </c>
      <c r="AP1368" t="inlineStr">
        <is>
          <t>On Track to Glide Path</t>
        </is>
      </c>
    </row>
    <row r="1369">
      <c r="A1369" t="inlineStr">
        <is>
          <t>SUP-0086</t>
        </is>
      </c>
      <c r="B1369" t="inlineStr">
        <is>
          <t>Metals Supplier 086</t>
        </is>
      </c>
      <c r="C1369" t="inlineStr">
        <is>
          <t>Metals</t>
        </is>
      </c>
      <c r="D1369" t="n">
        <v>2024</v>
      </c>
      <c r="E1369" t="n">
        <v>2019</v>
      </c>
      <c r="F1369" t="n">
        <v>2035</v>
      </c>
      <c r="G1369" t="n">
        <v>2383.3585</v>
      </c>
      <c r="H1369" t="n">
        <v>221.0184</v>
      </c>
      <c r="I1369" t="n">
        <v>407.2962</v>
      </c>
      <c r="J1369" t="n">
        <v>1817.1955</v>
      </c>
      <c r="K1369" t="n">
        <v>1748766.21</v>
      </c>
      <c r="L1369" t="n">
        <v>3973976.01</v>
      </c>
      <c r="M1369" t="n">
        <v>2383.3585</v>
      </c>
      <c r="N1369" t="inlineStr">
        <is>
          <t>Provided Total Emissions</t>
        </is>
      </c>
      <c r="O1369" t="b">
        <v>1</v>
      </c>
      <c r="P1369" t="n">
        <v>-0.014859</v>
      </c>
      <c r="Q1369" t="n">
        <v>-0.001889</v>
      </c>
      <c r="R1369" t="n">
        <v>1760.9201</v>
      </c>
      <c r="S1369" t="n">
        <v>2583.4023</v>
      </c>
      <c r="T1369" t="n">
        <v>-622.4384</v>
      </c>
      <c r="U1369" t="n">
        <v>200.0438</v>
      </c>
      <c r="V1369" t="n">
        <v>-0.26116</v>
      </c>
      <c r="W1369" t="n">
        <v>0.08393399999999999</v>
      </c>
      <c r="X1369" t="inlineStr">
        <is>
          <t>High</t>
        </is>
      </c>
      <c r="Y1369" t="inlineStr">
        <is>
          <t>None</t>
        </is>
      </c>
      <c r="Z1369" t="inlineStr">
        <is>
          <t>Valid</t>
        </is>
      </c>
      <c r="AA1369" t="n">
        <v>2032</v>
      </c>
      <c r="AB1369" t="inlineStr">
        <is>
          <t>Supplier Target Pathway</t>
        </is>
      </c>
      <c r="AC1369" t="n">
        <v>2718.5047</v>
      </c>
      <c r="AD1369" t="n">
        <v>1588.4223</v>
      </c>
      <c r="AE1369" t="n">
        <v>1800.3127</v>
      </c>
      <c r="AF1369" t="n">
        <v>1800.3127</v>
      </c>
      <c r="AG1369" t="n">
        <v>918.192</v>
      </c>
      <c r="AH1369" t="n">
        <v>0.00102948</v>
      </c>
      <c r="AI1369" t="n">
        <v>0.337756</v>
      </c>
      <c r="AJ1369" t="n">
        <v>211.8905</v>
      </c>
      <c r="AK1369" t="n">
        <v>70.6302</v>
      </c>
      <c r="AL1369" t="n">
        <v>1092.4993</v>
      </c>
      <c r="AM1369" t="n">
        <v>16380.146</v>
      </c>
      <c r="AN1369" t="n">
        <v>0.99</v>
      </c>
      <c r="AO1369" t="inlineStr">
        <is>
          <t>Medium</t>
        </is>
      </c>
      <c r="AP1369" t="inlineStr">
        <is>
          <t>On Track to Glide Path</t>
        </is>
      </c>
    </row>
    <row r="1370">
      <c r="A1370" t="inlineStr">
        <is>
          <t>SUP-0086</t>
        </is>
      </c>
      <c r="B1370" t="inlineStr">
        <is>
          <t>Metals Supplier 086</t>
        </is>
      </c>
      <c r="C1370" t="inlineStr">
        <is>
          <t>Metals</t>
        </is>
      </c>
      <c r="D1370" t="n">
        <v>2024</v>
      </c>
      <c r="E1370" t="n">
        <v>2019</v>
      </c>
      <c r="F1370" t="n">
        <v>2035</v>
      </c>
      <c r="G1370" t="n">
        <v>2383.3585</v>
      </c>
      <c r="H1370" t="n">
        <v>221.0184</v>
      </c>
      <c r="I1370" t="n">
        <v>407.2962</v>
      </c>
      <c r="J1370" t="n">
        <v>1817.1955</v>
      </c>
      <c r="K1370" t="n">
        <v>1748766.21</v>
      </c>
      <c r="L1370" t="n">
        <v>3973976.01</v>
      </c>
      <c r="M1370" t="n">
        <v>2383.3585</v>
      </c>
      <c r="N1370" t="inlineStr">
        <is>
          <t>Provided Total Emissions</t>
        </is>
      </c>
      <c r="O1370" t="b">
        <v>1</v>
      </c>
      <c r="P1370" t="n">
        <v>-0.014859</v>
      </c>
      <c r="Q1370" t="n">
        <v>-0.001889</v>
      </c>
      <c r="R1370" t="n">
        <v>1760.9201</v>
      </c>
      <c r="S1370" t="n">
        <v>2583.4023</v>
      </c>
      <c r="T1370" t="n">
        <v>-622.4384</v>
      </c>
      <c r="U1370" t="n">
        <v>200.0438</v>
      </c>
      <c r="V1370" t="n">
        <v>-0.26116</v>
      </c>
      <c r="W1370" t="n">
        <v>0.08393399999999999</v>
      </c>
      <c r="X1370" t="inlineStr">
        <is>
          <t>High</t>
        </is>
      </c>
      <c r="Y1370" t="inlineStr">
        <is>
          <t>None</t>
        </is>
      </c>
      <c r="Z1370" t="inlineStr">
        <is>
          <t>Valid</t>
        </is>
      </c>
      <c r="AA1370" t="n">
        <v>2033</v>
      </c>
      <c r="AB1370" t="inlineStr">
        <is>
          <t>Supplier Target Pathway</t>
        </is>
      </c>
      <c r="AC1370" t="n">
        <v>2718.5047</v>
      </c>
      <c r="AD1370" t="n">
        <v>1588.4223</v>
      </c>
      <c r="AE1370" t="n">
        <v>1729.6826</v>
      </c>
      <c r="AF1370" t="n">
        <v>1729.6826</v>
      </c>
      <c r="AG1370" t="n">
        <v>988.8221</v>
      </c>
      <c r="AH1370" t="n">
        <v>0.00098909</v>
      </c>
      <c r="AI1370" t="n">
        <v>0.363737</v>
      </c>
      <c r="AJ1370" t="n">
        <v>141.2603</v>
      </c>
      <c r="AK1370" t="n">
        <v>70.6302</v>
      </c>
      <c r="AL1370" t="n">
        <v>-637.1833</v>
      </c>
      <c r="AM1370" t="n">
        <v>18109.8286</v>
      </c>
      <c r="AN1370" t="n">
        <v>0.99</v>
      </c>
      <c r="AO1370" t="inlineStr">
        <is>
          <t>Medium</t>
        </is>
      </c>
      <c r="AP1370" t="inlineStr">
        <is>
          <t>On Track to Glide Path</t>
        </is>
      </c>
    </row>
    <row r="1371">
      <c r="A1371" t="inlineStr">
        <is>
          <t>SUP-0086</t>
        </is>
      </c>
      <c r="B1371" t="inlineStr">
        <is>
          <t>Metals Supplier 086</t>
        </is>
      </c>
      <c r="C1371" t="inlineStr">
        <is>
          <t>Metals</t>
        </is>
      </c>
      <c r="D1371" t="n">
        <v>2024</v>
      </c>
      <c r="E1371" t="n">
        <v>2019</v>
      </c>
      <c r="F1371" t="n">
        <v>2035</v>
      </c>
      <c r="G1371" t="n">
        <v>2383.3585</v>
      </c>
      <c r="H1371" t="n">
        <v>221.0184</v>
      </c>
      <c r="I1371" t="n">
        <v>407.2962</v>
      </c>
      <c r="J1371" t="n">
        <v>1817.1955</v>
      </c>
      <c r="K1371" t="n">
        <v>1748766.21</v>
      </c>
      <c r="L1371" t="n">
        <v>3973976.01</v>
      </c>
      <c r="M1371" t="n">
        <v>2383.3585</v>
      </c>
      <c r="N1371" t="inlineStr">
        <is>
          <t>Provided Total Emissions</t>
        </is>
      </c>
      <c r="O1371" t="b">
        <v>1</v>
      </c>
      <c r="P1371" t="n">
        <v>-0.014859</v>
      </c>
      <c r="Q1371" t="n">
        <v>-0.001889</v>
      </c>
      <c r="R1371" t="n">
        <v>1760.9201</v>
      </c>
      <c r="S1371" t="n">
        <v>2583.4023</v>
      </c>
      <c r="T1371" t="n">
        <v>-622.4384</v>
      </c>
      <c r="U1371" t="n">
        <v>200.0438</v>
      </c>
      <c r="V1371" t="n">
        <v>-0.26116</v>
      </c>
      <c r="W1371" t="n">
        <v>0.08393399999999999</v>
      </c>
      <c r="X1371" t="inlineStr">
        <is>
          <t>High</t>
        </is>
      </c>
      <c r="Y1371" t="inlineStr">
        <is>
          <t>None</t>
        </is>
      </c>
      <c r="Z1371" t="inlineStr">
        <is>
          <t>Valid</t>
        </is>
      </c>
      <c r="AA1371" t="n">
        <v>2034</v>
      </c>
      <c r="AB1371" t="inlineStr">
        <is>
          <t>Supplier Target Pathway</t>
        </is>
      </c>
      <c r="AC1371" t="n">
        <v>2718.5047</v>
      </c>
      <c r="AD1371" t="n">
        <v>1588.4223</v>
      </c>
      <c r="AE1371" t="n">
        <v>1659.0524</v>
      </c>
      <c r="AF1371" t="n">
        <v>1659.0524</v>
      </c>
      <c r="AG1371" t="n">
        <v>1059.4523</v>
      </c>
      <c r="AH1371" t="n">
        <v>0.0009487</v>
      </c>
      <c r="AI1371" t="n">
        <v>0.389719</v>
      </c>
      <c r="AJ1371" t="n">
        <v>70.6302</v>
      </c>
      <c r="AK1371" t="n">
        <v>70.6302</v>
      </c>
      <c r="AL1371" t="n">
        <v>-2296.2357</v>
      </c>
      <c r="AM1371" t="n">
        <v>19768.881</v>
      </c>
      <c r="AN1371" t="n">
        <v>0.99</v>
      </c>
      <c r="AO1371" t="inlineStr">
        <is>
          <t>Medium</t>
        </is>
      </c>
      <c r="AP1371" t="inlineStr">
        <is>
          <t>On Track to Glide Path</t>
        </is>
      </c>
    </row>
    <row r="1372">
      <c r="A1372" t="inlineStr">
        <is>
          <t>SUP-0086</t>
        </is>
      </c>
      <c r="B1372" t="inlineStr">
        <is>
          <t>Metals Supplier 086</t>
        </is>
      </c>
      <c r="C1372" t="inlineStr">
        <is>
          <t>Metals</t>
        </is>
      </c>
      <c r="D1372" t="n">
        <v>2024</v>
      </c>
      <c r="E1372" t="n">
        <v>2019</v>
      </c>
      <c r="F1372" t="n">
        <v>2035</v>
      </c>
      <c r="G1372" t="n">
        <v>2383.3585</v>
      </c>
      <c r="H1372" t="n">
        <v>221.0184</v>
      </c>
      <c r="I1372" t="n">
        <v>407.2962</v>
      </c>
      <c r="J1372" t="n">
        <v>1817.1955</v>
      </c>
      <c r="K1372" t="n">
        <v>1748766.21</v>
      </c>
      <c r="L1372" t="n">
        <v>3973976.01</v>
      </c>
      <c r="M1372" t="n">
        <v>2383.3585</v>
      </c>
      <c r="N1372" t="inlineStr">
        <is>
          <t>Provided Total Emissions</t>
        </is>
      </c>
      <c r="O1372" t="b">
        <v>1</v>
      </c>
      <c r="P1372" t="n">
        <v>-0.014859</v>
      </c>
      <c r="Q1372" t="n">
        <v>-0.001889</v>
      </c>
      <c r="R1372" t="n">
        <v>1760.9201</v>
      </c>
      <c r="S1372" t="n">
        <v>2583.4023</v>
      </c>
      <c r="T1372" t="n">
        <v>-622.4384</v>
      </c>
      <c r="U1372" t="n">
        <v>200.0438</v>
      </c>
      <c r="V1372" t="n">
        <v>-0.26116</v>
      </c>
      <c r="W1372" t="n">
        <v>0.08393399999999999</v>
      </c>
      <c r="X1372" t="inlineStr">
        <is>
          <t>High</t>
        </is>
      </c>
      <c r="Y1372" t="inlineStr">
        <is>
          <t>None</t>
        </is>
      </c>
      <c r="Z1372" t="inlineStr">
        <is>
          <t>Valid</t>
        </is>
      </c>
      <c r="AA1372" t="n">
        <v>2035</v>
      </c>
      <c r="AB1372" t="inlineStr">
        <is>
          <t>Supplier Target Pathway</t>
        </is>
      </c>
      <c r="AC1372" t="n">
        <v>2718.5047</v>
      </c>
      <c r="AD1372" t="n">
        <v>1588.4223</v>
      </c>
      <c r="AE1372" t="n">
        <v>1588.4223</v>
      </c>
      <c r="AF1372" t="n">
        <v>1588.4223</v>
      </c>
      <c r="AG1372" t="n">
        <v>1130.0824</v>
      </c>
      <c r="AH1372" t="n">
        <v>0.00090831</v>
      </c>
      <c r="AI1372" t="n">
        <v>0.4157</v>
      </c>
      <c r="AJ1372" t="n">
        <v>0</v>
      </c>
      <c r="AK1372" t="n">
        <v>70.6302</v>
      </c>
      <c r="AL1372" t="n">
        <v>-3884.658</v>
      </c>
      <c r="AM1372" t="n">
        <v>21357.3033</v>
      </c>
      <c r="AN1372" t="n">
        <v>0.99</v>
      </c>
      <c r="AO1372" t="inlineStr">
        <is>
          <t>Low</t>
        </is>
      </c>
      <c r="AP1372" t="inlineStr">
        <is>
          <t>On Track</t>
        </is>
      </c>
    </row>
    <row r="1373">
      <c r="A1373" t="inlineStr">
        <is>
          <t>SUP-0086</t>
        </is>
      </c>
      <c r="B1373" t="inlineStr">
        <is>
          <t>Metals Supplier 086</t>
        </is>
      </c>
      <c r="C1373" t="inlineStr">
        <is>
          <t>Metals</t>
        </is>
      </c>
      <c r="D1373" t="n">
        <v>2024</v>
      </c>
      <c r="E1373" t="n">
        <v>2019</v>
      </c>
      <c r="F1373" t="n">
        <v>2035</v>
      </c>
      <c r="G1373" t="n">
        <v>2383.3585</v>
      </c>
      <c r="H1373" t="n">
        <v>221.0184</v>
      </c>
      <c r="I1373" t="n">
        <v>407.2962</v>
      </c>
      <c r="J1373" t="n">
        <v>1817.1955</v>
      </c>
      <c r="K1373" t="n">
        <v>1748766.21</v>
      </c>
      <c r="L1373" t="n">
        <v>3973976.01</v>
      </c>
      <c r="M1373" t="n">
        <v>2383.3585</v>
      </c>
      <c r="N1373" t="inlineStr">
        <is>
          <t>Provided Total Emissions</t>
        </is>
      </c>
      <c r="O1373" t="b">
        <v>1</v>
      </c>
      <c r="P1373" t="n">
        <v>-0.014859</v>
      </c>
      <c r="Q1373" t="n">
        <v>-0.001889</v>
      </c>
      <c r="R1373" t="n">
        <v>1760.9201</v>
      </c>
      <c r="S1373" t="n">
        <v>2583.4023</v>
      </c>
      <c r="T1373" t="n">
        <v>-622.4384</v>
      </c>
      <c r="U1373" t="n">
        <v>200.0438</v>
      </c>
      <c r="V1373" t="n">
        <v>-0.26116</v>
      </c>
      <c r="W1373" t="n">
        <v>0.08393399999999999</v>
      </c>
      <c r="X1373" t="inlineStr">
        <is>
          <t>High</t>
        </is>
      </c>
      <c r="Y1373" t="inlineStr">
        <is>
          <t>None</t>
        </is>
      </c>
      <c r="Z1373" t="inlineStr">
        <is>
          <t>Valid</t>
        </is>
      </c>
      <c r="AA1373" t="n">
        <v>2036</v>
      </c>
      <c r="AB1373" t="inlineStr">
        <is>
          <t>Supplier Target Pathway</t>
        </is>
      </c>
      <c r="AC1373" t="n">
        <v>2718.5047</v>
      </c>
      <c r="AD1373" t="n">
        <v>1588.4223</v>
      </c>
      <c r="AE1373" t="n">
        <v>1588.4223</v>
      </c>
      <c r="AF1373" t="n">
        <v>1588.4223</v>
      </c>
      <c r="AG1373" t="n">
        <v>1130.0824</v>
      </c>
      <c r="AH1373" t="n">
        <v>0.00090831</v>
      </c>
      <c r="AI1373" t="n">
        <v>0.4157</v>
      </c>
      <c r="AJ1373" t="n">
        <v>0</v>
      </c>
      <c r="AK1373" t="n">
        <v>70.6302</v>
      </c>
      <c r="AL1373" t="n">
        <v>-5473.0803</v>
      </c>
      <c r="AM1373" t="n">
        <v>22945.7256</v>
      </c>
      <c r="AN1373" t="n">
        <v>0.99</v>
      </c>
      <c r="AO1373" t="inlineStr">
        <is>
          <t>Low</t>
        </is>
      </c>
      <c r="AP1373" t="inlineStr">
        <is>
          <t>On Track</t>
        </is>
      </c>
    </row>
    <row r="1374">
      <c r="A1374" t="inlineStr">
        <is>
          <t>SUP-0086</t>
        </is>
      </c>
      <c r="B1374" t="inlineStr">
        <is>
          <t>Metals Supplier 086</t>
        </is>
      </c>
      <c r="C1374" t="inlineStr">
        <is>
          <t>Metals</t>
        </is>
      </c>
      <c r="D1374" t="n">
        <v>2024</v>
      </c>
      <c r="E1374" t="n">
        <v>2019</v>
      </c>
      <c r="F1374" t="n">
        <v>2035</v>
      </c>
      <c r="G1374" t="n">
        <v>2383.3585</v>
      </c>
      <c r="H1374" t="n">
        <v>221.0184</v>
      </c>
      <c r="I1374" t="n">
        <v>407.2962</v>
      </c>
      <c r="J1374" t="n">
        <v>1817.1955</v>
      </c>
      <c r="K1374" t="n">
        <v>1748766.21</v>
      </c>
      <c r="L1374" t="n">
        <v>3973976.01</v>
      </c>
      <c r="M1374" t="n">
        <v>2383.3585</v>
      </c>
      <c r="N1374" t="inlineStr">
        <is>
          <t>Provided Total Emissions</t>
        </is>
      </c>
      <c r="O1374" t="b">
        <v>1</v>
      </c>
      <c r="P1374" t="n">
        <v>-0.014859</v>
      </c>
      <c r="Q1374" t="n">
        <v>-0.001889</v>
      </c>
      <c r="R1374" t="n">
        <v>1760.9201</v>
      </c>
      <c r="S1374" t="n">
        <v>2583.4023</v>
      </c>
      <c r="T1374" t="n">
        <v>-622.4384</v>
      </c>
      <c r="U1374" t="n">
        <v>200.0438</v>
      </c>
      <c r="V1374" t="n">
        <v>-0.26116</v>
      </c>
      <c r="W1374" t="n">
        <v>0.08393399999999999</v>
      </c>
      <c r="X1374" t="inlineStr">
        <is>
          <t>High</t>
        </is>
      </c>
      <c r="Y1374" t="inlineStr">
        <is>
          <t>None</t>
        </is>
      </c>
      <c r="Z1374" t="inlineStr">
        <is>
          <t>Valid</t>
        </is>
      </c>
      <c r="AA1374" t="n">
        <v>2037</v>
      </c>
      <c r="AB1374" t="inlineStr">
        <is>
          <t>Supplier Target Pathway</t>
        </is>
      </c>
      <c r="AC1374" t="n">
        <v>2718.5047</v>
      </c>
      <c r="AD1374" t="n">
        <v>1588.4223</v>
      </c>
      <c r="AE1374" t="n">
        <v>1588.4223</v>
      </c>
      <c r="AF1374" t="n">
        <v>1588.4223</v>
      </c>
      <c r="AG1374" t="n">
        <v>1130.0824</v>
      </c>
      <c r="AH1374" t="n">
        <v>0.00090831</v>
      </c>
      <c r="AI1374" t="n">
        <v>0.4157</v>
      </c>
      <c r="AJ1374" t="n">
        <v>0</v>
      </c>
      <c r="AK1374" t="n">
        <v>70.6302</v>
      </c>
      <c r="AL1374" t="n">
        <v>-7061.5026</v>
      </c>
      <c r="AM1374" t="n">
        <v>24534.1479</v>
      </c>
      <c r="AN1374" t="n">
        <v>0.99</v>
      </c>
      <c r="AO1374" t="inlineStr">
        <is>
          <t>Low</t>
        </is>
      </c>
      <c r="AP1374" t="inlineStr">
        <is>
          <t>On Track</t>
        </is>
      </c>
    </row>
    <row r="1375">
      <c r="A1375" t="inlineStr">
        <is>
          <t>SUP-0086</t>
        </is>
      </c>
      <c r="B1375" t="inlineStr">
        <is>
          <t>Metals Supplier 086</t>
        </is>
      </c>
      <c r="C1375" t="inlineStr">
        <is>
          <t>Metals</t>
        </is>
      </c>
      <c r="D1375" t="n">
        <v>2024</v>
      </c>
      <c r="E1375" t="n">
        <v>2019</v>
      </c>
      <c r="F1375" t="n">
        <v>2035</v>
      </c>
      <c r="G1375" t="n">
        <v>2383.3585</v>
      </c>
      <c r="H1375" t="n">
        <v>221.0184</v>
      </c>
      <c r="I1375" t="n">
        <v>407.2962</v>
      </c>
      <c r="J1375" t="n">
        <v>1817.1955</v>
      </c>
      <c r="K1375" t="n">
        <v>1748766.21</v>
      </c>
      <c r="L1375" t="n">
        <v>3973976.01</v>
      </c>
      <c r="M1375" t="n">
        <v>2383.3585</v>
      </c>
      <c r="N1375" t="inlineStr">
        <is>
          <t>Provided Total Emissions</t>
        </is>
      </c>
      <c r="O1375" t="b">
        <v>1</v>
      </c>
      <c r="P1375" t="n">
        <v>-0.014859</v>
      </c>
      <c r="Q1375" t="n">
        <v>-0.001889</v>
      </c>
      <c r="R1375" t="n">
        <v>1760.9201</v>
      </c>
      <c r="S1375" t="n">
        <v>2583.4023</v>
      </c>
      <c r="T1375" t="n">
        <v>-622.4384</v>
      </c>
      <c r="U1375" t="n">
        <v>200.0438</v>
      </c>
      <c r="V1375" t="n">
        <v>-0.26116</v>
      </c>
      <c r="W1375" t="n">
        <v>0.08393399999999999</v>
      </c>
      <c r="X1375" t="inlineStr">
        <is>
          <t>High</t>
        </is>
      </c>
      <c r="Y1375" t="inlineStr">
        <is>
          <t>None</t>
        </is>
      </c>
      <c r="Z1375" t="inlineStr">
        <is>
          <t>Valid</t>
        </is>
      </c>
      <c r="AA1375" t="n">
        <v>2038</v>
      </c>
      <c r="AB1375" t="inlineStr">
        <is>
          <t>Supplier Target Pathway</t>
        </is>
      </c>
      <c r="AC1375" t="n">
        <v>2718.5047</v>
      </c>
      <c r="AD1375" t="n">
        <v>1588.4223</v>
      </c>
      <c r="AE1375" t="n">
        <v>1588.4223</v>
      </c>
      <c r="AF1375" t="n">
        <v>1588.4223</v>
      </c>
      <c r="AG1375" t="n">
        <v>1130.0824</v>
      </c>
      <c r="AH1375" t="n">
        <v>0.00090831</v>
      </c>
      <c r="AI1375" t="n">
        <v>0.4157</v>
      </c>
      <c r="AJ1375" t="n">
        <v>0</v>
      </c>
      <c r="AK1375" t="n">
        <v>70.6302</v>
      </c>
      <c r="AL1375" t="n">
        <v>-8649.9249</v>
      </c>
      <c r="AM1375" t="n">
        <v>26122.5702</v>
      </c>
      <c r="AN1375" t="n">
        <v>0.99</v>
      </c>
      <c r="AO1375" t="inlineStr">
        <is>
          <t>Low</t>
        </is>
      </c>
      <c r="AP1375" t="inlineStr">
        <is>
          <t>On Track</t>
        </is>
      </c>
    </row>
    <row r="1376">
      <c r="A1376" t="inlineStr">
        <is>
          <t>SUP-0086</t>
        </is>
      </c>
      <c r="B1376" t="inlineStr">
        <is>
          <t>Metals Supplier 086</t>
        </is>
      </c>
      <c r="C1376" t="inlineStr">
        <is>
          <t>Metals</t>
        </is>
      </c>
      <c r="D1376" t="n">
        <v>2024</v>
      </c>
      <c r="E1376" t="n">
        <v>2019</v>
      </c>
      <c r="F1376" t="n">
        <v>2035</v>
      </c>
      <c r="G1376" t="n">
        <v>2383.3585</v>
      </c>
      <c r="H1376" t="n">
        <v>221.0184</v>
      </c>
      <c r="I1376" t="n">
        <v>407.2962</v>
      </c>
      <c r="J1376" t="n">
        <v>1817.1955</v>
      </c>
      <c r="K1376" t="n">
        <v>1748766.21</v>
      </c>
      <c r="L1376" t="n">
        <v>3973976.01</v>
      </c>
      <c r="M1376" t="n">
        <v>2383.3585</v>
      </c>
      <c r="N1376" t="inlineStr">
        <is>
          <t>Provided Total Emissions</t>
        </is>
      </c>
      <c r="O1376" t="b">
        <v>1</v>
      </c>
      <c r="P1376" t="n">
        <v>-0.014859</v>
      </c>
      <c r="Q1376" t="n">
        <v>-0.001889</v>
      </c>
      <c r="R1376" t="n">
        <v>1760.9201</v>
      </c>
      <c r="S1376" t="n">
        <v>2583.4023</v>
      </c>
      <c r="T1376" t="n">
        <v>-622.4384</v>
      </c>
      <c r="U1376" t="n">
        <v>200.0438</v>
      </c>
      <c r="V1376" t="n">
        <v>-0.26116</v>
      </c>
      <c r="W1376" t="n">
        <v>0.08393399999999999</v>
      </c>
      <c r="X1376" t="inlineStr">
        <is>
          <t>High</t>
        </is>
      </c>
      <c r="Y1376" t="inlineStr">
        <is>
          <t>None</t>
        </is>
      </c>
      <c r="Z1376" t="inlineStr">
        <is>
          <t>Valid</t>
        </is>
      </c>
      <c r="AA1376" t="n">
        <v>2039</v>
      </c>
      <c r="AB1376" t="inlineStr">
        <is>
          <t>Supplier Target Pathway</t>
        </is>
      </c>
      <c r="AC1376" t="n">
        <v>2718.5047</v>
      </c>
      <c r="AD1376" t="n">
        <v>1588.4223</v>
      </c>
      <c r="AE1376" t="n">
        <v>1588.4223</v>
      </c>
      <c r="AF1376" t="n">
        <v>1588.4223</v>
      </c>
      <c r="AG1376" t="n">
        <v>1130.0824</v>
      </c>
      <c r="AH1376" t="n">
        <v>0.00090831</v>
      </c>
      <c r="AI1376" t="n">
        <v>0.4157</v>
      </c>
      <c r="AJ1376" t="n">
        <v>0</v>
      </c>
      <c r="AK1376" t="n">
        <v>70.6302</v>
      </c>
      <c r="AL1376" t="n">
        <v>-10238.3472</v>
      </c>
      <c r="AM1376" t="n">
        <v>27710.9925</v>
      </c>
      <c r="AN1376" t="n">
        <v>0.99</v>
      </c>
      <c r="AO1376" t="inlineStr">
        <is>
          <t>Low</t>
        </is>
      </c>
      <c r="AP1376" t="inlineStr">
        <is>
          <t>On Track</t>
        </is>
      </c>
    </row>
    <row r="1377">
      <c r="A1377" t="inlineStr">
        <is>
          <t>SUP-0086</t>
        </is>
      </c>
      <c r="B1377" t="inlineStr">
        <is>
          <t>Metals Supplier 086</t>
        </is>
      </c>
      <c r="C1377" t="inlineStr">
        <is>
          <t>Metals</t>
        </is>
      </c>
      <c r="D1377" t="n">
        <v>2024</v>
      </c>
      <c r="E1377" t="n">
        <v>2019</v>
      </c>
      <c r="F1377" t="n">
        <v>2035</v>
      </c>
      <c r="G1377" t="n">
        <v>2383.3585</v>
      </c>
      <c r="H1377" t="n">
        <v>221.0184</v>
      </c>
      <c r="I1377" t="n">
        <v>407.2962</v>
      </c>
      <c r="J1377" t="n">
        <v>1817.1955</v>
      </c>
      <c r="K1377" t="n">
        <v>1748766.21</v>
      </c>
      <c r="L1377" t="n">
        <v>3973976.01</v>
      </c>
      <c r="M1377" t="n">
        <v>2383.3585</v>
      </c>
      <c r="N1377" t="inlineStr">
        <is>
          <t>Provided Total Emissions</t>
        </is>
      </c>
      <c r="O1377" t="b">
        <v>1</v>
      </c>
      <c r="P1377" t="n">
        <v>-0.014859</v>
      </c>
      <c r="Q1377" t="n">
        <v>-0.001889</v>
      </c>
      <c r="R1377" t="n">
        <v>1760.9201</v>
      </c>
      <c r="S1377" t="n">
        <v>2583.4023</v>
      </c>
      <c r="T1377" t="n">
        <v>-622.4384</v>
      </c>
      <c r="U1377" t="n">
        <v>200.0438</v>
      </c>
      <c r="V1377" t="n">
        <v>-0.26116</v>
      </c>
      <c r="W1377" t="n">
        <v>0.08393399999999999</v>
      </c>
      <c r="X1377" t="inlineStr">
        <is>
          <t>High</t>
        </is>
      </c>
      <c r="Y1377" t="inlineStr">
        <is>
          <t>None</t>
        </is>
      </c>
      <c r="Z1377" t="inlineStr">
        <is>
          <t>Valid</t>
        </is>
      </c>
      <c r="AA1377" t="n">
        <v>2040</v>
      </c>
      <c r="AB1377" t="inlineStr">
        <is>
          <t>Supplier Target Pathway</t>
        </is>
      </c>
      <c r="AC1377" t="n">
        <v>2718.5047</v>
      </c>
      <c r="AD1377" t="n">
        <v>1588.4223</v>
      </c>
      <c r="AE1377" t="n">
        <v>1588.4223</v>
      </c>
      <c r="AF1377" t="n">
        <v>1588.4223</v>
      </c>
      <c r="AG1377" t="n">
        <v>1130.0824</v>
      </c>
      <c r="AH1377" t="n">
        <v>0.00090831</v>
      </c>
      <c r="AI1377" t="n">
        <v>0.4157</v>
      </c>
      <c r="AJ1377" t="n">
        <v>0</v>
      </c>
      <c r="AK1377" t="n">
        <v>70.6302</v>
      </c>
      <c r="AL1377" t="n">
        <v>-11826.7695</v>
      </c>
      <c r="AM1377" t="n">
        <v>29299.4148</v>
      </c>
      <c r="AN1377" t="n">
        <v>0.99</v>
      </c>
      <c r="AO1377" t="inlineStr">
        <is>
          <t>Low</t>
        </is>
      </c>
      <c r="AP1377" t="inlineStr">
        <is>
          <t>On Track</t>
        </is>
      </c>
    </row>
    <row r="1378">
      <c r="A1378" t="inlineStr">
        <is>
          <t>SUP-0087</t>
        </is>
      </c>
      <c r="B1378" t="inlineStr">
        <is>
          <t>Agriculture Supplier 087</t>
        </is>
      </c>
      <c r="C1378" t="inlineStr">
        <is>
          <t>Agriculture</t>
        </is>
      </c>
      <c r="D1378" t="n">
        <v>2024</v>
      </c>
      <c r="E1378" t="n">
        <v>2020</v>
      </c>
      <c r="F1378" t="n">
        <v>2035</v>
      </c>
      <c r="G1378" t="n">
        <v>20847.7141</v>
      </c>
      <c r="H1378" t="n">
        <v>2176.7742</v>
      </c>
      <c r="I1378" t="n">
        <v>3472.979</v>
      </c>
      <c r="J1378" t="n">
        <v>16387.8861</v>
      </c>
      <c r="K1378" t="n">
        <v>30778261.96</v>
      </c>
      <c r="L1378" t="n">
        <v>48524634.66</v>
      </c>
      <c r="M1378" t="n">
        <v>20847.7141</v>
      </c>
      <c r="N1378" t="inlineStr">
        <is>
          <t>Provided Total Emissions</t>
        </is>
      </c>
      <c r="O1378" t="b">
        <v>1</v>
      </c>
      <c r="P1378" t="n">
        <v>0.032753</v>
      </c>
      <c r="Q1378" t="n">
        <v>0.06555</v>
      </c>
      <c r="R1378" t="n">
        <v>28135.3326</v>
      </c>
      <c r="S1378" t="n">
        <v>47026.6792</v>
      </c>
      <c r="T1378" t="n">
        <v>7287.6185</v>
      </c>
      <c r="U1378" t="n">
        <v>26178.9651</v>
      </c>
      <c r="V1378" t="n">
        <v>0.349564</v>
      </c>
      <c r="W1378" t="n">
        <v>1.255724</v>
      </c>
      <c r="X1378" t="inlineStr">
        <is>
          <t>High</t>
        </is>
      </c>
      <c r="Y1378" t="inlineStr">
        <is>
          <t>None</t>
        </is>
      </c>
      <c r="Z1378" t="inlineStr">
        <is>
          <t>Valid</t>
        </is>
      </c>
      <c r="AA1378" t="n">
        <v>2025</v>
      </c>
      <c r="AB1378" t="inlineStr">
        <is>
          <t>Supplier Target Pathway</t>
        </is>
      </c>
      <c r="AC1378" t="n">
        <v>19158.6206</v>
      </c>
      <c r="AD1378" t="n">
        <v>13625.611</v>
      </c>
      <c r="AE1378" t="n">
        <v>17314.2841</v>
      </c>
      <c r="AF1378" t="n">
        <v>17314.2841</v>
      </c>
      <c r="AG1378" t="n">
        <v>1844.3365</v>
      </c>
      <c r="AH1378" t="n">
        <v>0.00056255</v>
      </c>
      <c r="AI1378" t="n">
        <v>0.09626700000000001</v>
      </c>
      <c r="AJ1378" t="n">
        <v>3688.6731</v>
      </c>
      <c r="AK1378" t="n">
        <v>368.8673</v>
      </c>
      <c r="AL1378" t="n">
        <v>132567.4369</v>
      </c>
      <c r="AM1378" t="n">
        <v>17314.2841</v>
      </c>
      <c r="AN1378" t="n">
        <v>0.99</v>
      </c>
      <c r="AO1378" t="inlineStr">
        <is>
          <t>High</t>
        </is>
      </c>
      <c r="AP1378" t="inlineStr">
        <is>
          <t>On Track to Glide Path</t>
        </is>
      </c>
    </row>
    <row r="1379">
      <c r="A1379" t="inlineStr">
        <is>
          <t>SUP-0087</t>
        </is>
      </c>
      <c r="B1379" t="inlineStr">
        <is>
          <t>Agriculture Supplier 087</t>
        </is>
      </c>
      <c r="C1379" t="inlineStr">
        <is>
          <t>Agriculture</t>
        </is>
      </c>
      <c r="D1379" t="n">
        <v>2024</v>
      </c>
      <c r="E1379" t="n">
        <v>2020</v>
      </c>
      <c r="F1379" t="n">
        <v>2035</v>
      </c>
      <c r="G1379" t="n">
        <v>20847.7141</v>
      </c>
      <c r="H1379" t="n">
        <v>2176.7742</v>
      </c>
      <c r="I1379" t="n">
        <v>3472.979</v>
      </c>
      <c r="J1379" t="n">
        <v>16387.8861</v>
      </c>
      <c r="K1379" t="n">
        <v>30778261.96</v>
      </c>
      <c r="L1379" t="n">
        <v>48524634.66</v>
      </c>
      <c r="M1379" t="n">
        <v>20847.7141</v>
      </c>
      <c r="N1379" t="inlineStr">
        <is>
          <t>Provided Total Emissions</t>
        </is>
      </c>
      <c r="O1379" t="b">
        <v>1</v>
      </c>
      <c r="P1379" t="n">
        <v>0.032753</v>
      </c>
      <c r="Q1379" t="n">
        <v>0.06555</v>
      </c>
      <c r="R1379" t="n">
        <v>28135.3326</v>
      </c>
      <c r="S1379" t="n">
        <v>47026.6792</v>
      </c>
      <c r="T1379" t="n">
        <v>7287.6185</v>
      </c>
      <c r="U1379" t="n">
        <v>26178.9651</v>
      </c>
      <c r="V1379" t="n">
        <v>0.349564</v>
      </c>
      <c r="W1379" t="n">
        <v>1.255724</v>
      </c>
      <c r="X1379" t="inlineStr">
        <is>
          <t>High</t>
        </is>
      </c>
      <c r="Y1379" t="inlineStr">
        <is>
          <t>None</t>
        </is>
      </c>
      <c r="Z1379" t="inlineStr">
        <is>
          <t>Valid</t>
        </is>
      </c>
      <c r="AA1379" t="n">
        <v>2026</v>
      </c>
      <c r="AB1379" t="inlineStr">
        <is>
          <t>Supplier Target Pathway</t>
        </is>
      </c>
      <c r="AC1379" t="n">
        <v>19158.6206</v>
      </c>
      <c r="AD1379" t="n">
        <v>13625.611</v>
      </c>
      <c r="AE1379" t="n">
        <v>16945.4167</v>
      </c>
      <c r="AF1379" t="n">
        <v>16945.4167</v>
      </c>
      <c r="AG1379" t="n">
        <v>2213.2039</v>
      </c>
      <c r="AH1379" t="n">
        <v>0.00055056</v>
      </c>
      <c r="AI1379" t="n">
        <v>0.11552</v>
      </c>
      <c r="AJ1379" t="n">
        <v>3319.8058</v>
      </c>
      <c r="AK1379" t="n">
        <v>368.8673</v>
      </c>
      <c r="AL1379" t="n">
        <v>115622.0202</v>
      </c>
      <c r="AM1379" t="n">
        <v>34259.7008</v>
      </c>
      <c r="AN1379" t="n">
        <v>0.99</v>
      </c>
      <c r="AO1379" t="inlineStr">
        <is>
          <t>High</t>
        </is>
      </c>
      <c r="AP1379" t="inlineStr">
        <is>
          <t>On Track to Glide Path</t>
        </is>
      </c>
    </row>
    <row r="1380">
      <c r="A1380" t="inlineStr">
        <is>
          <t>SUP-0087</t>
        </is>
      </c>
      <c r="B1380" t="inlineStr">
        <is>
          <t>Agriculture Supplier 087</t>
        </is>
      </c>
      <c r="C1380" t="inlineStr">
        <is>
          <t>Agriculture</t>
        </is>
      </c>
      <c r="D1380" t="n">
        <v>2024</v>
      </c>
      <c r="E1380" t="n">
        <v>2020</v>
      </c>
      <c r="F1380" t="n">
        <v>2035</v>
      </c>
      <c r="G1380" t="n">
        <v>20847.7141</v>
      </c>
      <c r="H1380" t="n">
        <v>2176.7742</v>
      </c>
      <c r="I1380" t="n">
        <v>3472.979</v>
      </c>
      <c r="J1380" t="n">
        <v>16387.8861</v>
      </c>
      <c r="K1380" t="n">
        <v>30778261.96</v>
      </c>
      <c r="L1380" t="n">
        <v>48524634.66</v>
      </c>
      <c r="M1380" t="n">
        <v>20847.7141</v>
      </c>
      <c r="N1380" t="inlineStr">
        <is>
          <t>Provided Total Emissions</t>
        </is>
      </c>
      <c r="O1380" t="b">
        <v>1</v>
      </c>
      <c r="P1380" t="n">
        <v>0.032753</v>
      </c>
      <c r="Q1380" t="n">
        <v>0.06555</v>
      </c>
      <c r="R1380" t="n">
        <v>28135.3326</v>
      </c>
      <c r="S1380" t="n">
        <v>47026.6792</v>
      </c>
      <c r="T1380" t="n">
        <v>7287.6185</v>
      </c>
      <c r="U1380" t="n">
        <v>26178.9651</v>
      </c>
      <c r="V1380" t="n">
        <v>0.349564</v>
      </c>
      <c r="W1380" t="n">
        <v>1.255724</v>
      </c>
      <c r="X1380" t="inlineStr">
        <is>
          <t>High</t>
        </is>
      </c>
      <c r="Y1380" t="inlineStr">
        <is>
          <t>None</t>
        </is>
      </c>
      <c r="Z1380" t="inlineStr">
        <is>
          <t>Valid</t>
        </is>
      </c>
      <c r="AA1380" t="n">
        <v>2027</v>
      </c>
      <c r="AB1380" t="inlineStr">
        <is>
          <t>Supplier Target Pathway</t>
        </is>
      </c>
      <c r="AC1380" t="n">
        <v>19158.6206</v>
      </c>
      <c r="AD1380" t="n">
        <v>13625.611</v>
      </c>
      <c r="AE1380" t="n">
        <v>16576.5494</v>
      </c>
      <c r="AF1380" t="n">
        <v>16576.5494</v>
      </c>
      <c r="AG1380" t="n">
        <v>2582.0712</v>
      </c>
      <c r="AH1380" t="n">
        <v>0.00053858</v>
      </c>
      <c r="AI1380" t="n">
        <v>0.134773</v>
      </c>
      <c r="AJ1380" t="n">
        <v>2950.9385</v>
      </c>
      <c r="AK1380" t="n">
        <v>368.8673</v>
      </c>
      <c r="AL1380" t="n">
        <v>99045.4708</v>
      </c>
      <c r="AM1380" t="n">
        <v>50836.2502</v>
      </c>
      <c r="AN1380" t="n">
        <v>0.99</v>
      </c>
      <c r="AO1380" t="inlineStr">
        <is>
          <t>High</t>
        </is>
      </c>
      <c r="AP1380" t="inlineStr">
        <is>
          <t>On Track to Glide Path</t>
        </is>
      </c>
    </row>
    <row r="1381">
      <c r="A1381" t="inlineStr">
        <is>
          <t>SUP-0087</t>
        </is>
      </c>
      <c r="B1381" t="inlineStr">
        <is>
          <t>Agriculture Supplier 087</t>
        </is>
      </c>
      <c r="C1381" t="inlineStr">
        <is>
          <t>Agriculture</t>
        </is>
      </c>
      <c r="D1381" t="n">
        <v>2024</v>
      </c>
      <c r="E1381" t="n">
        <v>2020</v>
      </c>
      <c r="F1381" t="n">
        <v>2035</v>
      </c>
      <c r="G1381" t="n">
        <v>20847.7141</v>
      </c>
      <c r="H1381" t="n">
        <v>2176.7742</v>
      </c>
      <c r="I1381" t="n">
        <v>3472.979</v>
      </c>
      <c r="J1381" t="n">
        <v>16387.8861</v>
      </c>
      <c r="K1381" t="n">
        <v>30778261.96</v>
      </c>
      <c r="L1381" t="n">
        <v>48524634.66</v>
      </c>
      <c r="M1381" t="n">
        <v>20847.7141</v>
      </c>
      <c r="N1381" t="inlineStr">
        <is>
          <t>Provided Total Emissions</t>
        </is>
      </c>
      <c r="O1381" t="b">
        <v>1</v>
      </c>
      <c r="P1381" t="n">
        <v>0.032753</v>
      </c>
      <c r="Q1381" t="n">
        <v>0.06555</v>
      </c>
      <c r="R1381" t="n">
        <v>28135.3326</v>
      </c>
      <c r="S1381" t="n">
        <v>47026.6792</v>
      </c>
      <c r="T1381" t="n">
        <v>7287.6185</v>
      </c>
      <c r="U1381" t="n">
        <v>26178.9651</v>
      </c>
      <c r="V1381" t="n">
        <v>0.349564</v>
      </c>
      <c r="W1381" t="n">
        <v>1.255724</v>
      </c>
      <c r="X1381" t="inlineStr">
        <is>
          <t>High</t>
        </is>
      </c>
      <c r="Y1381" t="inlineStr">
        <is>
          <t>None</t>
        </is>
      </c>
      <c r="Z1381" t="inlineStr">
        <is>
          <t>Valid</t>
        </is>
      </c>
      <c r="AA1381" t="n">
        <v>2028</v>
      </c>
      <c r="AB1381" t="inlineStr">
        <is>
          <t>Supplier Target Pathway</t>
        </is>
      </c>
      <c r="AC1381" t="n">
        <v>19158.6206</v>
      </c>
      <c r="AD1381" t="n">
        <v>13625.611</v>
      </c>
      <c r="AE1381" t="n">
        <v>16207.6821</v>
      </c>
      <c r="AF1381" t="n">
        <v>16207.6821</v>
      </c>
      <c r="AG1381" t="n">
        <v>2950.9385</v>
      </c>
      <c r="AH1381" t="n">
        <v>0.0005266</v>
      </c>
      <c r="AI1381" t="n">
        <v>0.154027</v>
      </c>
      <c r="AJ1381" t="n">
        <v>2582.0712</v>
      </c>
      <c r="AK1381" t="n">
        <v>368.8673</v>
      </c>
      <c r="AL1381" t="n">
        <v>82837.7887</v>
      </c>
      <c r="AM1381" t="n">
        <v>67043.9323</v>
      </c>
      <c r="AN1381" t="n">
        <v>0.99</v>
      </c>
      <c r="AO1381" t="inlineStr">
        <is>
          <t>High</t>
        </is>
      </c>
      <c r="AP1381" t="inlineStr">
        <is>
          <t>On Track to Glide Path</t>
        </is>
      </c>
    </row>
    <row r="1382">
      <c r="A1382" t="inlineStr">
        <is>
          <t>SUP-0087</t>
        </is>
      </c>
      <c r="B1382" t="inlineStr">
        <is>
          <t>Agriculture Supplier 087</t>
        </is>
      </c>
      <c r="C1382" t="inlineStr">
        <is>
          <t>Agriculture</t>
        </is>
      </c>
      <c r="D1382" t="n">
        <v>2024</v>
      </c>
      <c r="E1382" t="n">
        <v>2020</v>
      </c>
      <c r="F1382" t="n">
        <v>2035</v>
      </c>
      <c r="G1382" t="n">
        <v>20847.7141</v>
      </c>
      <c r="H1382" t="n">
        <v>2176.7742</v>
      </c>
      <c r="I1382" t="n">
        <v>3472.979</v>
      </c>
      <c r="J1382" t="n">
        <v>16387.8861</v>
      </c>
      <c r="K1382" t="n">
        <v>30778261.96</v>
      </c>
      <c r="L1382" t="n">
        <v>48524634.66</v>
      </c>
      <c r="M1382" t="n">
        <v>20847.7141</v>
      </c>
      <c r="N1382" t="inlineStr">
        <is>
          <t>Provided Total Emissions</t>
        </is>
      </c>
      <c r="O1382" t="b">
        <v>1</v>
      </c>
      <c r="P1382" t="n">
        <v>0.032753</v>
      </c>
      <c r="Q1382" t="n">
        <v>0.06555</v>
      </c>
      <c r="R1382" t="n">
        <v>28135.3326</v>
      </c>
      <c r="S1382" t="n">
        <v>47026.6792</v>
      </c>
      <c r="T1382" t="n">
        <v>7287.6185</v>
      </c>
      <c r="U1382" t="n">
        <v>26178.9651</v>
      </c>
      <c r="V1382" t="n">
        <v>0.349564</v>
      </c>
      <c r="W1382" t="n">
        <v>1.255724</v>
      </c>
      <c r="X1382" t="inlineStr">
        <is>
          <t>High</t>
        </is>
      </c>
      <c r="Y1382" t="inlineStr">
        <is>
          <t>None</t>
        </is>
      </c>
      <c r="Z1382" t="inlineStr">
        <is>
          <t>Valid</t>
        </is>
      </c>
      <c r="AA1382" t="n">
        <v>2029</v>
      </c>
      <c r="AB1382" t="inlineStr">
        <is>
          <t>Supplier Target Pathway</t>
        </is>
      </c>
      <c r="AC1382" t="n">
        <v>19158.6206</v>
      </c>
      <c r="AD1382" t="n">
        <v>13625.611</v>
      </c>
      <c r="AE1382" t="n">
        <v>15838.8148</v>
      </c>
      <c r="AF1382" t="n">
        <v>15838.8148</v>
      </c>
      <c r="AG1382" t="n">
        <v>3319.8058</v>
      </c>
      <c r="AH1382" t="n">
        <v>0.00051461</v>
      </c>
      <c r="AI1382" t="n">
        <v>0.17328</v>
      </c>
      <c r="AJ1382" t="n">
        <v>2213.2039</v>
      </c>
      <c r="AK1382" t="n">
        <v>368.8673</v>
      </c>
      <c r="AL1382" t="n">
        <v>66998.9739</v>
      </c>
      <c r="AM1382" t="n">
        <v>82882.74709999999</v>
      </c>
      <c r="AN1382" t="n">
        <v>0.99</v>
      </c>
      <c r="AO1382" t="inlineStr">
        <is>
          <t>High</t>
        </is>
      </c>
      <c r="AP1382" t="inlineStr">
        <is>
          <t>On Track to Glide Path</t>
        </is>
      </c>
    </row>
    <row r="1383">
      <c r="A1383" t="inlineStr">
        <is>
          <t>SUP-0087</t>
        </is>
      </c>
      <c r="B1383" t="inlineStr">
        <is>
          <t>Agriculture Supplier 087</t>
        </is>
      </c>
      <c r="C1383" t="inlineStr">
        <is>
          <t>Agriculture</t>
        </is>
      </c>
      <c r="D1383" t="n">
        <v>2024</v>
      </c>
      <c r="E1383" t="n">
        <v>2020</v>
      </c>
      <c r="F1383" t="n">
        <v>2035</v>
      </c>
      <c r="G1383" t="n">
        <v>20847.7141</v>
      </c>
      <c r="H1383" t="n">
        <v>2176.7742</v>
      </c>
      <c r="I1383" t="n">
        <v>3472.979</v>
      </c>
      <c r="J1383" t="n">
        <v>16387.8861</v>
      </c>
      <c r="K1383" t="n">
        <v>30778261.96</v>
      </c>
      <c r="L1383" t="n">
        <v>48524634.66</v>
      </c>
      <c r="M1383" t="n">
        <v>20847.7141</v>
      </c>
      <c r="N1383" t="inlineStr">
        <is>
          <t>Provided Total Emissions</t>
        </is>
      </c>
      <c r="O1383" t="b">
        <v>1</v>
      </c>
      <c r="P1383" t="n">
        <v>0.032753</v>
      </c>
      <c r="Q1383" t="n">
        <v>0.06555</v>
      </c>
      <c r="R1383" t="n">
        <v>28135.3326</v>
      </c>
      <c r="S1383" t="n">
        <v>47026.6792</v>
      </c>
      <c r="T1383" t="n">
        <v>7287.6185</v>
      </c>
      <c r="U1383" t="n">
        <v>26178.9651</v>
      </c>
      <c r="V1383" t="n">
        <v>0.349564</v>
      </c>
      <c r="W1383" t="n">
        <v>1.255724</v>
      </c>
      <c r="X1383" t="inlineStr">
        <is>
          <t>High</t>
        </is>
      </c>
      <c r="Y1383" t="inlineStr">
        <is>
          <t>None</t>
        </is>
      </c>
      <c r="Z1383" t="inlineStr">
        <is>
          <t>Valid</t>
        </is>
      </c>
      <c r="AA1383" t="n">
        <v>2030</v>
      </c>
      <c r="AB1383" t="inlineStr">
        <is>
          <t>Supplier Target Pathway</t>
        </is>
      </c>
      <c r="AC1383" t="n">
        <v>19158.6206</v>
      </c>
      <c r="AD1383" t="n">
        <v>13625.611</v>
      </c>
      <c r="AE1383" t="n">
        <v>15469.9475</v>
      </c>
      <c r="AF1383" t="n">
        <v>15469.9475</v>
      </c>
      <c r="AG1383" t="n">
        <v>3688.6731</v>
      </c>
      <c r="AH1383" t="n">
        <v>0.00050263</v>
      </c>
      <c r="AI1383" t="n">
        <v>0.192533</v>
      </c>
      <c r="AJ1383" t="n">
        <v>1844.3365</v>
      </c>
      <c r="AK1383" t="n">
        <v>368.8673</v>
      </c>
      <c r="AL1383" t="n">
        <v>51529.0264</v>
      </c>
      <c r="AM1383" t="n">
        <v>98352.6946</v>
      </c>
      <c r="AN1383" t="n">
        <v>0.99</v>
      </c>
      <c r="AO1383" t="inlineStr">
        <is>
          <t>Medium</t>
        </is>
      </c>
      <c r="AP1383" t="inlineStr">
        <is>
          <t>On Track to Glide Path</t>
        </is>
      </c>
    </row>
    <row r="1384">
      <c r="A1384" t="inlineStr">
        <is>
          <t>SUP-0087</t>
        </is>
      </c>
      <c r="B1384" t="inlineStr">
        <is>
          <t>Agriculture Supplier 087</t>
        </is>
      </c>
      <c r="C1384" t="inlineStr">
        <is>
          <t>Agriculture</t>
        </is>
      </c>
      <c r="D1384" t="n">
        <v>2024</v>
      </c>
      <c r="E1384" t="n">
        <v>2020</v>
      </c>
      <c r="F1384" t="n">
        <v>2035</v>
      </c>
      <c r="G1384" t="n">
        <v>20847.7141</v>
      </c>
      <c r="H1384" t="n">
        <v>2176.7742</v>
      </c>
      <c r="I1384" t="n">
        <v>3472.979</v>
      </c>
      <c r="J1384" t="n">
        <v>16387.8861</v>
      </c>
      <c r="K1384" t="n">
        <v>30778261.96</v>
      </c>
      <c r="L1384" t="n">
        <v>48524634.66</v>
      </c>
      <c r="M1384" t="n">
        <v>20847.7141</v>
      </c>
      <c r="N1384" t="inlineStr">
        <is>
          <t>Provided Total Emissions</t>
        </is>
      </c>
      <c r="O1384" t="b">
        <v>1</v>
      </c>
      <c r="P1384" t="n">
        <v>0.032753</v>
      </c>
      <c r="Q1384" t="n">
        <v>0.06555</v>
      </c>
      <c r="R1384" t="n">
        <v>28135.3326</v>
      </c>
      <c r="S1384" t="n">
        <v>47026.6792</v>
      </c>
      <c r="T1384" t="n">
        <v>7287.6185</v>
      </c>
      <c r="U1384" t="n">
        <v>26178.9651</v>
      </c>
      <c r="V1384" t="n">
        <v>0.349564</v>
      </c>
      <c r="W1384" t="n">
        <v>1.255724</v>
      </c>
      <c r="X1384" t="inlineStr">
        <is>
          <t>High</t>
        </is>
      </c>
      <c r="Y1384" t="inlineStr">
        <is>
          <t>None</t>
        </is>
      </c>
      <c r="Z1384" t="inlineStr">
        <is>
          <t>Valid</t>
        </is>
      </c>
      <c r="AA1384" t="n">
        <v>2031</v>
      </c>
      <c r="AB1384" t="inlineStr">
        <is>
          <t>Supplier Target Pathway</t>
        </is>
      </c>
      <c r="AC1384" t="n">
        <v>19158.6206</v>
      </c>
      <c r="AD1384" t="n">
        <v>13625.611</v>
      </c>
      <c r="AE1384" t="n">
        <v>15101.0802</v>
      </c>
      <c r="AF1384" t="n">
        <v>15101.0802</v>
      </c>
      <c r="AG1384" t="n">
        <v>4057.5404</v>
      </c>
      <c r="AH1384" t="n">
        <v>0.00049064</v>
      </c>
      <c r="AI1384" t="n">
        <v>0.211787</v>
      </c>
      <c r="AJ1384" t="n">
        <v>1475.4692</v>
      </c>
      <c r="AK1384" t="n">
        <v>368.8673</v>
      </c>
      <c r="AL1384" t="n">
        <v>36427.9462</v>
      </c>
      <c r="AM1384" t="n">
        <v>113453.7748</v>
      </c>
      <c r="AN1384" t="n">
        <v>0.99</v>
      </c>
      <c r="AO1384" t="inlineStr">
        <is>
          <t>Medium</t>
        </is>
      </c>
      <c r="AP1384" t="inlineStr">
        <is>
          <t>On Track to Glide Path</t>
        </is>
      </c>
    </row>
    <row r="1385">
      <c r="A1385" t="inlineStr">
        <is>
          <t>SUP-0087</t>
        </is>
      </c>
      <c r="B1385" t="inlineStr">
        <is>
          <t>Agriculture Supplier 087</t>
        </is>
      </c>
      <c r="C1385" t="inlineStr">
        <is>
          <t>Agriculture</t>
        </is>
      </c>
      <c r="D1385" t="n">
        <v>2024</v>
      </c>
      <c r="E1385" t="n">
        <v>2020</v>
      </c>
      <c r="F1385" t="n">
        <v>2035</v>
      </c>
      <c r="G1385" t="n">
        <v>20847.7141</v>
      </c>
      <c r="H1385" t="n">
        <v>2176.7742</v>
      </c>
      <c r="I1385" t="n">
        <v>3472.979</v>
      </c>
      <c r="J1385" t="n">
        <v>16387.8861</v>
      </c>
      <c r="K1385" t="n">
        <v>30778261.96</v>
      </c>
      <c r="L1385" t="n">
        <v>48524634.66</v>
      </c>
      <c r="M1385" t="n">
        <v>20847.7141</v>
      </c>
      <c r="N1385" t="inlineStr">
        <is>
          <t>Provided Total Emissions</t>
        </is>
      </c>
      <c r="O1385" t="b">
        <v>1</v>
      </c>
      <c r="P1385" t="n">
        <v>0.032753</v>
      </c>
      <c r="Q1385" t="n">
        <v>0.06555</v>
      </c>
      <c r="R1385" t="n">
        <v>28135.3326</v>
      </c>
      <c r="S1385" t="n">
        <v>47026.6792</v>
      </c>
      <c r="T1385" t="n">
        <v>7287.6185</v>
      </c>
      <c r="U1385" t="n">
        <v>26178.9651</v>
      </c>
      <c r="V1385" t="n">
        <v>0.349564</v>
      </c>
      <c r="W1385" t="n">
        <v>1.255724</v>
      </c>
      <c r="X1385" t="inlineStr">
        <is>
          <t>High</t>
        </is>
      </c>
      <c r="Y1385" t="inlineStr">
        <is>
          <t>None</t>
        </is>
      </c>
      <c r="Z1385" t="inlineStr">
        <is>
          <t>Valid</t>
        </is>
      </c>
      <c r="AA1385" t="n">
        <v>2032</v>
      </c>
      <c r="AB1385" t="inlineStr">
        <is>
          <t>Supplier Target Pathway</t>
        </is>
      </c>
      <c r="AC1385" t="n">
        <v>19158.6206</v>
      </c>
      <c r="AD1385" t="n">
        <v>13625.611</v>
      </c>
      <c r="AE1385" t="n">
        <v>14732.2129</v>
      </c>
      <c r="AF1385" t="n">
        <v>14732.2129</v>
      </c>
      <c r="AG1385" t="n">
        <v>4426.4077</v>
      </c>
      <c r="AH1385" t="n">
        <v>0.00047866</v>
      </c>
      <c r="AI1385" t="n">
        <v>0.23104</v>
      </c>
      <c r="AJ1385" t="n">
        <v>1106.6019</v>
      </c>
      <c r="AK1385" t="n">
        <v>368.8673</v>
      </c>
      <c r="AL1385" t="n">
        <v>21695.7333</v>
      </c>
      <c r="AM1385" t="n">
        <v>128185.9877</v>
      </c>
      <c r="AN1385" t="n">
        <v>0.99</v>
      </c>
      <c r="AO1385" t="inlineStr">
        <is>
          <t>Medium</t>
        </is>
      </c>
      <c r="AP1385" t="inlineStr">
        <is>
          <t>On Track to Glide Path</t>
        </is>
      </c>
    </row>
    <row r="1386">
      <c r="A1386" t="inlineStr">
        <is>
          <t>SUP-0087</t>
        </is>
      </c>
      <c r="B1386" t="inlineStr">
        <is>
          <t>Agriculture Supplier 087</t>
        </is>
      </c>
      <c r="C1386" t="inlineStr">
        <is>
          <t>Agriculture</t>
        </is>
      </c>
      <c r="D1386" t="n">
        <v>2024</v>
      </c>
      <c r="E1386" t="n">
        <v>2020</v>
      </c>
      <c r="F1386" t="n">
        <v>2035</v>
      </c>
      <c r="G1386" t="n">
        <v>20847.7141</v>
      </c>
      <c r="H1386" t="n">
        <v>2176.7742</v>
      </c>
      <c r="I1386" t="n">
        <v>3472.979</v>
      </c>
      <c r="J1386" t="n">
        <v>16387.8861</v>
      </c>
      <c r="K1386" t="n">
        <v>30778261.96</v>
      </c>
      <c r="L1386" t="n">
        <v>48524634.66</v>
      </c>
      <c r="M1386" t="n">
        <v>20847.7141</v>
      </c>
      <c r="N1386" t="inlineStr">
        <is>
          <t>Provided Total Emissions</t>
        </is>
      </c>
      <c r="O1386" t="b">
        <v>1</v>
      </c>
      <c r="P1386" t="n">
        <v>0.032753</v>
      </c>
      <c r="Q1386" t="n">
        <v>0.06555</v>
      </c>
      <c r="R1386" t="n">
        <v>28135.3326</v>
      </c>
      <c r="S1386" t="n">
        <v>47026.6792</v>
      </c>
      <c r="T1386" t="n">
        <v>7287.6185</v>
      </c>
      <c r="U1386" t="n">
        <v>26178.9651</v>
      </c>
      <c r="V1386" t="n">
        <v>0.349564</v>
      </c>
      <c r="W1386" t="n">
        <v>1.255724</v>
      </c>
      <c r="X1386" t="inlineStr">
        <is>
          <t>High</t>
        </is>
      </c>
      <c r="Y1386" t="inlineStr">
        <is>
          <t>None</t>
        </is>
      </c>
      <c r="Z1386" t="inlineStr">
        <is>
          <t>Valid</t>
        </is>
      </c>
      <c r="AA1386" t="n">
        <v>2033</v>
      </c>
      <c r="AB1386" t="inlineStr">
        <is>
          <t>Supplier Target Pathway</t>
        </is>
      </c>
      <c r="AC1386" t="n">
        <v>19158.6206</v>
      </c>
      <c r="AD1386" t="n">
        <v>13625.611</v>
      </c>
      <c r="AE1386" t="n">
        <v>14363.3456</v>
      </c>
      <c r="AF1386" t="n">
        <v>14363.3456</v>
      </c>
      <c r="AG1386" t="n">
        <v>4795.275</v>
      </c>
      <c r="AH1386" t="n">
        <v>0.00046667</v>
      </c>
      <c r="AI1386" t="n">
        <v>0.250293</v>
      </c>
      <c r="AJ1386" t="n">
        <v>737.7346</v>
      </c>
      <c r="AK1386" t="n">
        <v>368.8673</v>
      </c>
      <c r="AL1386" t="n">
        <v>7332.3877</v>
      </c>
      <c r="AM1386" t="n">
        <v>142549.3333</v>
      </c>
      <c r="AN1386" t="n">
        <v>0.99</v>
      </c>
      <c r="AO1386" t="inlineStr">
        <is>
          <t>Medium</t>
        </is>
      </c>
      <c r="AP1386" t="inlineStr">
        <is>
          <t>On Track to Glide Path</t>
        </is>
      </c>
    </row>
    <row r="1387">
      <c r="A1387" t="inlineStr">
        <is>
          <t>SUP-0087</t>
        </is>
      </c>
      <c r="B1387" t="inlineStr">
        <is>
          <t>Agriculture Supplier 087</t>
        </is>
      </c>
      <c r="C1387" t="inlineStr">
        <is>
          <t>Agriculture</t>
        </is>
      </c>
      <c r="D1387" t="n">
        <v>2024</v>
      </c>
      <c r="E1387" t="n">
        <v>2020</v>
      </c>
      <c r="F1387" t="n">
        <v>2035</v>
      </c>
      <c r="G1387" t="n">
        <v>20847.7141</v>
      </c>
      <c r="H1387" t="n">
        <v>2176.7742</v>
      </c>
      <c r="I1387" t="n">
        <v>3472.979</v>
      </c>
      <c r="J1387" t="n">
        <v>16387.8861</v>
      </c>
      <c r="K1387" t="n">
        <v>30778261.96</v>
      </c>
      <c r="L1387" t="n">
        <v>48524634.66</v>
      </c>
      <c r="M1387" t="n">
        <v>20847.7141</v>
      </c>
      <c r="N1387" t="inlineStr">
        <is>
          <t>Provided Total Emissions</t>
        </is>
      </c>
      <c r="O1387" t="b">
        <v>1</v>
      </c>
      <c r="P1387" t="n">
        <v>0.032753</v>
      </c>
      <c r="Q1387" t="n">
        <v>0.06555</v>
      </c>
      <c r="R1387" t="n">
        <v>28135.3326</v>
      </c>
      <c r="S1387" t="n">
        <v>47026.6792</v>
      </c>
      <c r="T1387" t="n">
        <v>7287.6185</v>
      </c>
      <c r="U1387" t="n">
        <v>26178.9651</v>
      </c>
      <c r="V1387" t="n">
        <v>0.349564</v>
      </c>
      <c r="W1387" t="n">
        <v>1.255724</v>
      </c>
      <c r="X1387" t="inlineStr">
        <is>
          <t>High</t>
        </is>
      </c>
      <c r="Y1387" t="inlineStr">
        <is>
          <t>None</t>
        </is>
      </c>
      <c r="Z1387" t="inlineStr">
        <is>
          <t>Valid</t>
        </is>
      </c>
      <c r="AA1387" t="n">
        <v>2034</v>
      </c>
      <c r="AB1387" t="inlineStr">
        <is>
          <t>Supplier Target Pathway</t>
        </is>
      </c>
      <c r="AC1387" t="n">
        <v>19158.6206</v>
      </c>
      <c r="AD1387" t="n">
        <v>13625.611</v>
      </c>
      <c r="AE1387" t="n">
        <v>13994.4783</v>
      </c>
      <c r="AF1387" t="n">
        <v>13994.4783</v>
      </c>
      <c r="AG1387" t="n">
        <v>5164.1423</v>
      </c>
      <c r="AH1387" t="n">
        <v>0.00045469</v>
      </c>
      <c r="AI1387" t="n">
        <v>0.269547</v>
      </c>
      <c r="AJ1387" t="n">
        <v>368.8673</v>
      </c>
      <c r="AK1387" t="n">
        <v>368.8673</v>
      </c>
      <c r="AL1387" t="n">
        <v>-6662.0906</v>
      </c>
      <c r="AM1387" t="n">
        <v>156543.8116</v>
      </c>
      <c r="AN1387" t="n">
        <v>0.99</v>
      </c>
      <c r="AO1387" t="inlineStr">
        <is>
          <t>Medium</t>
        </is>
      </c>
      <c r="AP1387" t="inlineStr">
        <is>
          <t>On Track to Glide Path</t>
        </is>
      </c>
    </row>
    <row r="1388">
      <c r="A1388" t="inlineStr">
        <is>
          <t>SUP-0087</t>
        </is>
      </c>
      <c r="B1388" t="inlineStr">
        <is>
          <t>Agriculture Supplier 087</t>
        </is>
      </c>
      <c r="C1388" t="inlineStr">
        <is>
          <t>Agriculture</t>
        </is>
      </c>
      <c r="D1388" t="n">
        <v>2024</v>
      </c>
      <c r="E1388" t="n">
        <v>2020</v>
      </c>
      <c r="F1388" t="n">
        <v>2035</v>
      </c>
      <c r="G1388" t="n">
        <v>20847.7141</v>
      </c>
      <c r="H1388" t="n">
        <v>2176.7742</v>
      </c>
      <c r="I1388" t="n">
        <v>3472.979</v>
      </c>
      <c r="J1388" t="n">
        <v>16387.8861</v>
      </c>
      <c r="K1388" t="n">
        <v>30778261.96</v>
      </c>
      <c r="L1388" t="n">
        <v>48524634.66</v>
      </c>
      <c r="M1388" t="n">
        <v>20847.7141</v>
      </c>
      <c r="N1388" t="inlineStr">
        <is>
          <t>Provided Total Emissions</t>
        </is>
      </c>
      <c r="O1388" t="b">
        <v>1</v>
      </c>
      <c r="P1388" t="n">
        <v>0.032753</v>
      </c>
      <c r="Q1388" t="n">
        <v>0.06555</v>
      </c>
      <c r="R1388" t="n">
        <v>28135.3326</v>
      </c>
      <c r="S1388" t="n">
        <v>47026.6792</v>
      </c>
      <c r="T1388" t="n">
        <v>7287.6185</v>
      </c>
      <c r="U1388" t="n">
        <v>26178.9651</v>
      </c>
      <c r="V1388" t="n">
        <v>0.349564</v>
      </c>
      <c r="W1388" t="n">
        <v>1.255724</v>
      </c>
      <c r="X1388" t="inlineStr">
        <is>
          <t>High</t>
        </is>
      </c>
      <c r="Y1388" t="inlineStr">
        <is>
          <t>None</t>
        </is>
      </c>
      <c r="Z1388" t="inlineStr">
        <is>
          <t>Valid</t>
        </is>
      </c>
      <c r="AA1388" t="n">
        <v>2035</v>
      </c>
      <c r="AB1388" t="inlineStr">
        <is>
          <t>Supplier Target Pathway</t>
        </is>
      </c>
      <c r="AC1388" t="n">
        <v>19158.6206</v>
      </c>
      <c r="AD1388" t="n">
        <v>13625.611</v>
      </c>
      <c r="AE1388" t="n">
        <v>13625.611</v>
      </c>
      <c r="AF1388" t="n">
        <v>13625.611</v>
      </c>
      <c r="AG1388" t="n">
        <v>5533.0096</v>
      </c>
      <c r="AH1388" t="n">
        <v>0.0004427</v>
      </c>
      <c r="AI1388" t="n">
        <v>0.2888</v>
      </c>
      <c r="AJ1388" t="n">
        <v>0</v>
      </c>
      <c r="AK1388" t="n">
        <v>368.8673</v>
      </c>
      <c r="AL1388" t="n">
        <v>-20287.7016</v>
      </c>
      <c r="AM1388" t="n">
        <v>170169.4226</v>
      </c>
      <c r="AN1388" t="n">
        <v>0.99</v>
      </c>
      <c r="AO1388" t="inlineStr">
        <is>
          <t>Low</t>
        </is>
      </c>
      <c r="AP1388" t="inlineStr">
        <is>
          <t>On Track</t>
        </is>
      </c>
    </row>
    <row r="1389">
      <c r="A1389" t="inlineStr">
        <is>
          <t>SUP-0087</t>
        </is>
      </c>
      <c r="B1389" t="inlineStr">
        <is>
          <t>Agriculture Supplier 087</t>
        </is>
      </c>
      <c r="C1389" t="inlineStr">
        <is>
          <t>Agriculture</t>
        </is>
      </c>
      <c r="D1389" t="n">
        <v>2024</v>
      </c>
      <c r="E1389" t="n">
        <v>2020</v>
      </c>
      <c r="F1389" t="n">
        <v>2035</v>
      </c>
      <c r="G1389" t="n">
        <v>20847.7141</v>
      </c>
      <c r="H1389" t="n">
        <v>2176.7742</v>
      </c>
      <c r="I1389" t="n">
        <v>3472.979</v>
      </c>
      <c r="J1389" t="n">
        <v>16387.8861</v>
      </c>
      <c r="K1389" t="n">
        <v>30778261.96</v>
      </c>
      <c r="L1389" t="n">
        <v>48524634.66</v>
      </c>
      <c r="M1389" t="n">
        <v>20847.7141</v>
      </c>
      <c r="N1389" t="inlineStr">
        <is>
          <t>Provided Total Emissions</t>
        </is>
      </c>
      <c r="O1389" t="b">
        <v>1</v>
      </c>
      <c r="P1389" t="n">
        <v>0.032753</v>
      </c>
      <c r="Q1389" t="n">
        <v>0.06555</v>
      </c>
      <c r="R1389" t="n">
        <v>28135.3326</v>
      </c>
      <c r="S1389" t="n">
        <v>47026.6792</v>
      </c>
      <c r="T1389" t="n">
        <v>7287.6185</v>
      </c>
      <c r="U1389" t="n">
        <v>26178.9651</v>
      </c>
      <c r="V1389" t="n">
        <v>0.349564</v>
      </c>
      <c r="W1389" t="n">
        <v>1.255724</v>
      </c>
      <c r="X1389" t="inlineStr">
        <is>
          <t>High</t>
        </is>
      </c>
      <c r="Y1389" t="inlineStr">
        <is>
          <t>None</t>
        </is>
      </c>
      <c r="Z1389" t="inlineStr">
        <is>
          <t>Valid</t>
        </is>
      </c>
      <c r="AA1389" t="n">
        <v>2036</v>
      </c>
      <c r="AB1389" t="inlineStr">
        <is>
          <t>Supplier Target Pathway</t>
        </is>
      </c>
      <c r="AC1389" t="n">
        <v>19158.6206</v>
      </c>
      <c r="AD1389" t="n">
        <v>13625.611</v>
      </c>
      <c r="AE1389" t="n">
        <v>13625.611</v>
      </c>
      <c r="AF1389" t="n">
        <v>13625.611</v>
      </c>
      <c r="AG1389" t="n">
        <v>5533.0096</v>
      </c>
      <c r="AH1389" t="n">
        <v>0.0004427</v>
      </c>
      <c r="AI1389" t="n">
        <v>0.2888</v>
      </c>
      <c r="AJ1389" t="n">
        <v>0</v>
      </c>
      <c r="AK1389" t="n">
        <v>368.8673</v>
      </c>
      <c r="AL1389" t="n">
        <v>-33913.3126</v>
      </c>
      <c r="AM1389" t="n">
        <v>183795.0336</v>
      </c>
      <c r="AN1389" t="n">
        <v>0.99</v>
      </c>
      <c r="AO1389" t="inlineStr">
        <is>
          <t>Low</t>
        </is>
      </c>
      <c r="AP1389" t="inlineStr">
        <is>
          <t>On Track</t>
        </is>
      </c>
    </row>
    <row r="1390">
      <c r="A1390" t="inlineStr">
        <is>
          <t>SUP-0087</t>
        </is>
      </c>
      <c r="B1390" t="inlineStr">
        <is>
          <t>Agriculture Supplier 087</t>
        </is>
      </c>
      <c r="C1390" t="inlineStr">
        <is>
          <t>Agriculture</t>
        </is>
      </c>
      <c r="D1390" t="n">
        <v>2024</v>
      </c>
      <c r="E1390" t="n">
        <v>2020</v>
      </c>
      <c r="F1390" t="n">
        <v>2035</v>
      </c>
      <c r="G1390" t="n">
        <v>20847.7141</v>
      </c>
      <c r="H1390" t="n">
        <v>2176.7742</v>
      </c>
      <c r="I1390" t="n">
        <v>3472.979</v>
      </c>
      <c r="J1390" t="n">
        <v>16387.8861</v>
      </c>
      <c r="K1390" t="n">
        <v>30778261.96</v>
      </c>
      <c r="L1390" t="n">
        <v>48524634.66</v>
      </c>
      <c r="M1390" t="n">
        <v>20847.7141</v>
      </c>
      <c r="N1390" t="inlineStr">
        <is>
          <t>Provided Total Emissions</t>
        </is>
      </c>
      <c r="O1390" t="b">
        <v>1</v>
      </c>
      <c r="P1390" t="n">
        <v>0.032753</v>
      </c>
      <c r="Q1390" t="n">
        <v>0.06555</v>
      </c>
      <c r="R1390" t="n">
        <v>28135.3326</v>
      </c>
      <c r="S1390" t="n">
        <v>47026.6792</v>
      </c>
      <c r="T1390" t="n">
        <v>7287.6185</v>
      </c>
      <c r="U1390" t="n">
        <v>26178.9651</v>
      </c>
      <c r="V1390" t="n">
        <v>0.349564</v>
      </c>
      <c r="W1390" t="n">
        <v>1.255724</v>
      </c>
      <c r="X1390" t="inlineStr">
        <is>
          <t>High</t>
        </is>
      </c>
      <c r="Y1390" t="inlineStr">
        <is>
          <t>None</t>
        </is>
      </c>
      <c r="Z1390" t="inlineStr">
        <is>
          <t>Valid</t>
        </is>
      </c>
      <c r="AA1390" t="n">
        <v>2037</v>
      </c>
      <c r="AB1390" t="inlineStr">
        <is>
          <t>Supplier Target Pathway</t>
        </is>
      </c>
      <c r="AC1390" t="n">
        <v>19158.6206</v>
      </c>
      <c r="AD1390" t="n">
        <v>13625.611</v>
      </c>
      <c r="AE1390" t="n">
        <v>13625.611</v>
      </c>
      <c r="AF1390" t="n">
        <v>13625.611</v>
      </c>
      <c r="AG1390" t="n">
        <v>5533.0096</v>
      </c>
      <c r="AH1390" t="n">
        <v>0.0004427</v>
      </c>
      <c r="AI1390" t="n">
        <v>0.2888</v>
      </c>
      <c r="AJ1390" t="n">
        <v>0</v>
      </c>
      <c r="AK1390" t="n">
        <v>368.8673</v>
      </c>
      <c r="AL1390" t="n">
        <v>-47538.9236</v>
      </c>
      <c r="AM1390" t="n">
        <v>197420.6446</v>
      </c>
      <c r="AN1390" t="n">
        <v>0.99</v>
      </c>
      <c r="AO1390" t="inlineStr">
        <is>
          <t>Low</t>
        </is>
      </c>
      <c r="AP1390" t="inlineStr">
        <is>
          <t>On Track</t>
        </is>
      </c>
    </row>
    <row r="1391">
      <c r="A1391" t="inlineStr">
        <is>
          <t>SUP-0087</t>
        </is>
      </c>
      <c r="B1391" t="inlineStr">
        <is>
          <t>Agriculture Supplier 087</t>
        </is>
      </c>
      <c r="C1391" t="inlineStr">
        <is>
          <t>Agriculture</t>
        </is>
      </c>
      <c r="D1391" t="n">
        <v>2024</v>
      </c>
      <c r="E1391" t="n">
        <v>2020</v>
      </c>
      <c r="F1391" t="n">
        <v>2035</v>
      </c>
      <c r="G1391" t="n">
        <v>20847.7141</v>
      </c>
      <c r="H1391" t="n">
        <v>2176.7742</v>
      </c>
      <c r="I1391" t="n">
        <v>3472.979</v>
      </c>
      <c r="J1391" t="n">
        <v>16387.8861</v>
      </c>
      <c r="K1391" t="n">
        <v>30778261.96</v>
      </c>
      <c r="L1391" t="n">
        <v>48524634.66</v>
      </c>
      <c r="M1391" t="n">
        <v>20847.7141</v>
      </c>
      <c r="N1391" t="inlineStr">
        <is>
          <t>Provided Total Emissions</t>
        </is>
      </c>
      <c r="O1391" t="b">
        <v>1</v>
      </c>
      <c r="P1391" t="n">
        <v>0.032753</v>
      </c>
      <c r="Q1391" t="n">
        <v>0.06555</v>
      </c>
      <c r="R1391" t="n">
        <v>28135.3326</v>
      </c>
      <c r="S1391" t="n">
        <v>47026.6792</v>
      </c>
      <c r="T1391" t="n">
        <v>7287.6185</v>
      </c>
      <c r="U1391" t="n">
        <v>26178.9651</v>
      </c>
      <c r="V1391" t="n">
        <v>0.349564</v>
      </c>
      <c r="W1391" t="n">
        <v>1.255724</v>
      </c>
      <c r="X1391" t="inlineStr">
        <is>
          <t>High</t>
        </is>
      </c>
      <c r="Y1391" t="inlineStr">
        <is>
          <t>None</t>
        </is>
      </c>
      <c r="Z1391" t="inlineStr">
        <is>
          <t>Valid</t>
        </is>
      </c>
      <c r="AA1391" t="n">
        <v>2038</v>
      </c>
      <c r="AB1391" t="inlineStr">
        <is>
          <t>Supplier Target Pathway</t>
        </is>
      </c>
      <c r="AC1391" t="n">
        <v>19158.6206</v>
      </c>
      <c r="AD1391" t="n">
        <v>13625.611</v>
      </c>
      <c r="AE1391" t="n">
        <v>13625.611</v>
      </c>
      <c r="AF1391" t="n">
        <v>13625.611</v>
      </c>
      <c r="AG1391" t="n">
        <v>5533.0096</v>
      </c>
      <c r="AH1391" t="n">
        <v>0.0004427</v>
      </c>
      <c r="AI1391" t="n">
        <v>0.2888</v>
      </c>
      <c r="AJ1391" t="n">
        <v>0</v>
      </c>
      <c r="AK1391" t="n">
        <v>368.8673</v>
      </c>
      <c r="AL1391" t="n">
        <v>-61164.5346</v>
      </c>
      <c r="AM1391" t="n">
        <v>211046.2556</v>
      </c>
      <c r="AN1391" t="n">
        <v>0.99</v>
      </c>
      <c r="AO1391" t="inlineStr">
        <is>
          <t>Low</t>
        </is>
      </c>
      <c r="AP1391" t="inlineStr">
        <is>
          <t>On Track</t>
        </is>
      </c>
    </row>
    <row r="1392">
      <c r="A1392" t="inlineStr">
        <is>
          <t>SUP-0087</t>
        </is>
      </c>
      <c r="B1392" t="inlineStr">
        <is>
          <t>Agriculture Supplier 087</t>
        </is>
      </c>
      <c r="C1392" t="inlineStr">
        <is>
          <t>Agriculture</t>
        </is>
      </c>
      <c r="D1392" t="n">
        <v>2024</v>
      </c>
      <c r="E1392" t="n">
        <v>2020</v>
      </c>
      <c r="F1392" t="n">
        <v>2035</v>
      </c>
      <c r="G1392" t="n">
        <v>20847.7141</v>
      </c>
      <c r="H1392" t="n">
        <v>2176.7742</v>
      </c>
      <c r="I1392" t="n">
        <v>3472.979</v>
      </c>
      <c r="J1392" t="n">
        <v>16387.8861</v>
      </c>
      <c r="K1392" t="n">
        <v>30778261.96</v>
      </c>
      <c r="L1392" t="n">
        <v>48524634.66</v>
      </c>
      <c r="M1392" t="n">
        <v>20847.7141</v>
      </c>
      <c r="N1392" t="inlineStr">
        <is>
          <t>Provided Total Emissions</t>
        </is>
      </c>
      <c r="O1392" t="b">
        <v>1</v>
      </c>
      <c r="P1392" t="n">
        <v>0.032753</v>
      </c>
      <c r="Q1392" t="n">
        <v>0.06555</v>
      </c>
      <c r="R1392" t="n">
        <v>28135.3326</v>
      </c>
      <c r="S1392" t="n">
        <v>47026.6792</v>
      </c>
      <c r="T1392" t="n">
        <v>7287.6185</v>
      </c>
      <c r="U1392" t="n">
        <v>26178.9651</v>
      </c>
      <c r="V1392" t="n">
        <v>0.349564</v>
      </c>
      <c r="W1392" t="n">
        <v>1.255724</v>
      </c>
      <c r="X1392" t="inlineStr">
        <is>
          <t>High</t>
        </is>
      </c>
      <c r="Y1392" t="inlineStr">
        <is>
          <t>None</t>
        </is>
      </c>
      <c r="Z1392" t="inlineStr">
        <is>
          <t>Valid</t>
        </is>
      </c>
      <c r="AA1392" t="n">
        <v>2039</v>
      </c>
      <c r="AB1392" t="inlineStr">
        <is>
          <t>Supplier Target Pathway</t>
        </is>
      </c>
      <c r="AC1392" t="n">
        <v>19158.6206</v>
      </c>
      <c r="AD1392" t="n">
        <v>13625.611</v>
      </c>
      <c r="AE1392" t="n">
        <v>13625.611</v>
      </c>
      <c r="AF1392" t="n">
        <v>13625.611</v>
      </c>
      <c r="AG1392" t="n">
        <v>5533.0096</v>
      </c>
      <c r="AH1392" t="n">
        <v>0.0004427</v>
      </c>
      <c r="AI1392" t="n">
        <v>0.2888</v>
      </c>
      <c r="AJ1392" t="n">
        <v>0</v>
      </c>
      <c r="AK1392" t="n">
        <v>368.8673</v>
      </c>
      <c r="AL1392" t="n">
        <v>-74790.1456</v>
      </c>
      <c r="AM1392" t="n">
        <v>224671.8666</v>
      </c>
      <c r="AN1392" t="n">
        <v>0.99</v>
      </c>
      <c r="AO1392" t="inlineStr">
        <is>
          <t>Low</t>
        </is>
      </c>
      <c r="AP1392" t="inlineStr">
        <is>
          <t>On Track</t>
        </is>
      </c>
    </row>
    <row r="1393">
      <c r="A1393" t="inlineStr">
        <is>
          <t>SUP-0087</t>
        </is>
      </c>
      <c r="B1393" t="inlineStr">
        <is>
          <t>Agriculture Supplier 087</t>
        </is>
      </c>
      <c r="C1393" t="inlineStr">
        <is>
          <t>Agriculture</t>
        </is>
      </c>
      <c r="D1393" t="n">
        <v>2024</v>
      </c>
      <c r="E1393" t="n">
        <v>2020</v>
      </c>
      <c r="F1393" t="n">
        <v>2035</v>
      </c>
      <c r="G1393" t="n">
        <v>20847.7141</v>
      </c>
      <c r="H1393" t="n">
        <v>2176.7742</v>
      </c>
      <c r="I1393" t="n">
        <v>3472.979</v>
      </c>
      <c r="J1393" t="n">
        <v>16387.8861</v>
      </c>
      <c r="K1393" t="n">
        <v>30778261.96</v>
      </c>
      <c r="L1393" t="n">
        <v>48524634.66</v>
      </c>
      <c r="M1393" t="n">
        <v>20847.7141</v>
      </c>
      <c r="N1393" t="inlineStr">
        <is>
          <t>Provided Total Emissions</t>
        </is>
      </c>
      <c r="O1393" t="b">
        <v>1</v>
      </c>
      <c r="P1393" t="n">
        <v>0.032753</v>
      </c>
      <c r="Q1393" t="n">
        <v>0.06555</v>
      </c>
      <c r="R1393" t="n">
        <v>28135.3326</v>
      </c>
      <c r="S1393" t="n">
        <v>47026.6792</v>
      </c>
      <c r="T1393" t="n">
        <v>7287.6185</v>
      </c>
      <c r="U1393" t="n">
        <v>26178.9651</v>
      </c>
      <c r="V1393" t="n">
        <v>0.349564</v>
      </c>
      <c r="W1393" t="n">
        <v>1.255724</v>
      </c>
      <c r="X1393" t="inlineStr">
        <is>
          <t>High</t>
        </is>
      </c>
      <c r="Y1393" t="inlineStr">
        <is>
          <t>None</t>
        </is>
      </c>
      <c r="Z1393" t="inlineStr">
        <is>
          <t>Valid</t>
        </is>
      </c>
      <c r="AA1393" t="n">
        <v>2040</v>
      </c>
      <c r="AB1393" t="inlineStr">
        <is>
          <t>Supplier Target Pathway</t>
        </is>
      </c>
      <c r="AC1393" t="n">
        <v>19158.6206</v>
      </c>
      <c r="AD1393" t="n">
        <v>13625.611</v>
      </c>
      <c r="AE1393" t="n">
        <v>13625.611</v>
      </c>
      <c r="AF1393" t="n">
        <v>13625.611</v>
      </c>
      <c r="AG1393" t="n">
        <v>5533.0096</v>
      </c>
      <c r="AH1393" t="n">
        <v>0.0004427</v>
      </c>
      <c r="AI1393" t="n">
        <v>0.2888</v>
      </c>
      <c r="AJ1393" t="n">
        <v>0</v>
      </c>
      <c r="AK1393" t="n">
        <v>368.8673</v>
      </c>
      <c r="AL1393" t="n">
        <v>-88415.75659999999</v>
      </c>
      <c r="AM1393" t="n">
        <v>238297.4776</v>
      </c>
      <c r="AN1393" t="n">
        <v>0.99</v>
      </c>
      <c r="AO1393" t="inlineStr">
        <is>
          <t>Low</t>
        </is>
      </c>
      <c r="AP1393" t="inlineStr">
        <is>
          <t>On Track</t>
        </is>
      </c>
    </row>
    <row r="1394">
      <c r="A1394" t="inlineStr">
        <is>
          <t>SUP-0088</t>
        </is>
      </c>
      <c r="B1394" t="inlineStr">
        <is>
          <t>Packaging Supplier 088</t>
        </is>
      </c>
      <c r="C1394" t="inlineStr">
        <is>
          <t>Packaging</t>
        </is>
      </c>
      <c r="D1394" t="n">
        <v>2024</v>
      </c>
      <c r="E1394" t="n">
        <v>2019</v>
      </c>
      <c r="F1394" t="n">
        <v>2035</v>
      </c>
      <c r="G1394" t="n">
        <v>19776.9287</v>
      </c>
      <c r="H1394" t="n">
        <v>1958.9799</v>
      </c>
      <c r="I1394" t="n">
        <v>3142.7465</v>
      </c>
      <c r="J1394" t="n">
        <v>14690.9695</v>
      </c>
      <c r="K1394" t="n">
        <v>27152118.51</v>
      </c>
      <c r="L1394" t="n">
        <v>116390709.34</v>
      </c>
      <c r="M1394" t="n">
        <v>19776.9287</v>
      </c>
      <c r="N1394" t="inlineStr">
        <is>
          <t>Provided Total Emissions</t>
        </is>
      </c>
      <c r="O1394" t="b">
        <v>1</v>
      </c>
      <c r="P1394" t="n">
        <v>0.018095</v>
      </c>
      <c r="Q1394" t="n">
        <v>0.06539300000000001</v>
      </c>
      <c r="R1394" t="n">
        <v>29332.4336</v>
      </c>
      <c r="S1394" t="n">
        <v>91885.8094</v>
      </c>
      <c r="T1394" t="n">
        <v>9555.5049</v>
      </c>
      <c r="U1394" t="n">
        <v>72108.88069999999</v>
      </c>
      <c r="V1394" t="n">
        <v>0.483164</v>
      </c>
      <c r="W1394" t="n">
        <v>3.646111</v>
      </c>
      <c r="X1394" t="inlineStr">
        <is>
          <t>High</t>
        </is>
      </c>
      <c r="Y1394" t="inlineStr">
        <is>
          <t>None</t>
        </is>
      </c>
      <c r="Z1394" t="inlineStr">
        <is>
          <t>Valid</t>
        </is>
      </c>
      <c r="AA1394" t="n">
        <v>2025</v>
      </c>
      <c r="AB1394" t="inlineStr">
        <is>
          <t>Supplier Target Pathway</t>
        </is>
      </c>
      <c r="AC1394" t="n">
        <v>15732.5989</v>
      </c>
      <c r="AD1394" t="n">
        <v>8083.4093</v>
      </c>
      <c r="AE1394" t="n">
        <v>12864.1528</v>
      </c>
      <c r="AF1394" t="n">
        <v>12864.1528</v>
      </c>
      <c r="AG1394" t="n">
        <v>2868.4461</v>
      </c>
      <c r="AH1394" t="n">
        <v>0.00047378</v>
      </c>
      <c r="AI1394" t="n">
        <v>0.182325</v>
      </c>
      <c r="AJ1394" t="n">
        <v>4780.7435</v>
      </c>
      <c r="AK1394" t="n">
        <v>478.0743</v>
      </c>
      <c r="AL1394" t="n">
        <v>76053.3495</v>
      </c>
      <c r="AM1394" t="n">
        <v>12864.1528</v>
      </c>
      <c r="AN1394" t="n">
        <v>0.99</v>
      </c>
      <c r="AO1394" t="inlineStr">
        <is>
          <t>Critical</t>
        </is>
      </c>
      <c r="AP1394" t="inlineStr">
        <is>
          <t>On Track to Glide Path</t>
        </is>
      </c>
    </row>
    <row r="1395">
      <c r="A1395" t="inlineStr">
        <is>
          <t>SUP-0088</t>
        </is>
      </c>
      <c r="B1395" t="inlineStr">
        <is>
          <t>Packaging Supplier 088</t>
        </is>
      </c>
      <c r="C1395" t="inlineStr">
        <is>
          <t>Packaging</t>
        </is>
      </c>
      <c r="D1395" t="n">
        <v>2024</v>
      </c>
      <c r="E1395" t="n">
        <v>2019</v>
      </c>
      <c r="F1395" t="n">
        <v>2035</v>
      </c>
      <c r="G1395" t="n">
        <v>19776.9287</v>
      </c>
      <c r="H1395" t="n">
        <v>1958.9799</v>
      </c>
      <c r="I1395" t="n">
        <v>3142.7465</v>
      </c>
      <c r="J1395" t="n">
        <v>14690.9695</v>
      </c>
      <c r="K1395" t="n">
        <v>27152118.51</v>
      </c>
      <c r="L1395" t="n">
        <v>116390709.34</v>
      </c>
      <c r="M1395" t="n">
        <v>19776.9287</v>
      </c>
      <c r="N1395" t="inlineStr">
        <is>
          <t>Provided Total Emissions</t>
        </is>
      </c>
      <c r="O1395" t="b">
        <v>1</v>
      </c>
      <c r="P1395" t="n">
        <v>0.018095</v>
      </c>
      <c r="Q1395" t="n">
        <v>0.06539300000000001</v>
      </c>
      <c r="R1395" t="n">
        <v>29332.4336</v>
      </c>
      <c r="S1395" t="n">
        <v>91885.8094</v>
      </c>
      <c r="T1395" t="n">
        <v>9555.5049</v>
      </c>
      <c r="U1395" t="n">
        <v>72108.88069999999</v>
      </c>
      <c r="V1395" t="n">
        <v>0.483164</v>
      </c>
      <c r="W1395" t="n">
        <v>3.646111</v>
      </c>
      <c r="X1395" t="inlineStr">
        <is>
          <t>High</t>
        </is>
      </c>
      <c r="Y1395" t="inlineStr">
        <is>
          <t>None</t>
        </is>
      </c>
      <c r="Z1395" t="inlineStr">
        <is>
          <t>Valid</t>
        </is>
      </c>
      <c r="AA1395" t="n">
        <v>2026</v>
      </c>
      <c r="AB1395" t="inlineStr">
        <is>
          <t>Supplier Target Pathway</t>
        </is>
      </c>
      <c r="AC1395" t="n">
        <v>15732.5989</v>
      </c>
      <c r="AD1395" t="n">
        <v>8083.4093</v>
      </c>
      <c r="AE1395" t="n">
        <v>12386.0785</v>
      </c>
      <c r="AF1395" t="n">
        <v>12386.0785</v>
      </c>
      <c r="AG1395" t="n">
        <v>3346.5204</v>
      </c>
      <c r="AH1395" t="n">
        <v>0.00045617</v>
      </c>
      <c r="AI1395" t="n">
        <v>0.212713</v>
      </c>
      <c r="AJ1395" t="n">
        <v>4302.6691</v>
      </c>
      <c r="AK1395" t="n">
        <v>478.0743</v>
      </c>
      <c r="AL1395" t="n">
        <v>63667.271</v>
      </c>
      <c r="AM1395" t="n">
        <v>25250.2313</v>
      </c>
      <c r="AN1395" t="n">
        <v>0.99</v>
      </c>
      <c r="AO1395" t="inlineStr">
        <is>
          <t>Critical</t>
        </is>
      </c>
      <c r="AP1395" t="inlineStr">
        <is>
          <t>On Track to Glide Path</t>
        </is>
      </c>
    </row>
    <row r="1396">
      <c r="A1396" t="inlineStr">
        <is>
          <t>SUP-0088</t>
        </is>
      </c>
      <c r="B1396" t="inlineStr">
        <is>
          <t>Packaging Supplier 088</t>
        </is>
      </c>
      <c r="C1396" t="inlineStr">
        <is>
          <t>Packaging</t>
        </is>
      </c>
      <c r="D1396" t="n">
        <v>2024</v>
      </c>
      <c r="E1396" t="n">
        <v>2019</v>
      </c>
      <c r="F1396" t="n">
        <v>2035</v>
      </c>
      <c r="G1396" t="n">
        <v>19776.9287</v>
      </c>
      <c r="H1396" t="n">
        <v>1958.9799</v>
      </c>
      <c r="I1396" t="n">
        <v>3142.7465</v>
      </c>
      <c r="J1396" t="n">
        <v>14690.9695</v>
      </c>
      <c r="K1396" t="n">
        <v>27152118.51</v>
      </c>
      <c r="L1396" t="n">
        <v>116390709.34</v>
      </c>
      <c r="M1396" t="n">
        <v>19776.9287</v>
      </c>
      <c r="N1396" t="inlineStr">
        <is>
          <t>Provided Total Emissions</t>
        </is>
      </c>
      <c r="O1396" t="b">
        <v>1</v>
      </c>
      <c r="P1396" t="n">
        <v>0.018095</v>
      </c>
      <c r="Q1396" t="n">
        <v>0.06539300000000001</v>
      </c>
      <c r="R1396" t="n">
        <v>29332.4336</v>
      </c>
      <c r="S1396" t="n">
        <v>91885.8094</v>
      </c>
      <c r="T1396" t="n">
        <v>9555.5049</v>
      </c>
      <c r="U1396" t="n">
        <v>72108.88069999999</v>
      </c>
      <c r="V1396" t="n">
        <v>0.483164</v>
      </c>
      <c r="W1396" t="n">
        <v>3.646111</v>
      </c>
      <c r="X1396" t="inlineStr">
        <is>
          <t>High</t>
        </is>
      </c>
      <c r="Y1396" t="inlineStr">
        <is>
          <t>None</t>
        </is>
      </c>
      <c r="Z1396" t="inlineStr">
        <is>
          <t>Valid</t>
        </is>
      </c>
      <c r="AA1396" t="n">
        <v>2027</v>
      </c>
      <c r="AB1396" t="inlineStr">
        <is>
          <t>Supplier Target Pathway</t>
        </is>
      </c>
      <c r="AC1396" t="n">
        <v>15732.5989</v>
      </c>
      <c r="AD1396" t="n">
        <v>8083.4093</v>
      </c>
      <c r="AE1396" t="n">
        <v>11908.0041</v>
      </c>
      <c r="AF1396" t="n">
        <v>11908.0041</v>
      </c>
      <c r="AG1396" t="n">
        <v>3824.5948</v>
      </c>
      <c r="AH1396" t="n">
        <v>0.00043857</v>
      </c>
      <c r="AI1396" t="n">
        <v>0.2431</v>
      </c>
      <c r="AJ1396" t="n">
        <v>3824.5948</v>
      </c>
      <c r="AK1396" t="n">
        <v>478.0743</v>
      </c>
      <c r="AL1396" t="n">
        <v>51759.2669</v>
      </c>
      <c r="AM1396" t="n">
        <v>37158.2354</v>
      </c>
      <c r="AN1396" t="n">
        <v>0.99</v>
      </c>
      <c r="AO1396" t="inlineStr">
        <is>
          <t>Critical</t>
        </is>
      </c>
      <c r="AP1396" t="inlineStr">
        <is>
          <t>On Track to Glide Path</t>
        </is>
      </c>
    </row>
    <row r="1397">
      <c r="A1397" t="inlineStr">
        <is>
          <t>SUP-0088</t>
        </is>
      </c>
      <c r="B1397" t="inlineStr">
        <is>
          <t>Packaging Supplier 088</t>
        </is>
      </c>
      <c r="C1397" t="inlineStr">
        <is>
          <t>Packaging</t>
        </is>
      </c>
      <c r="D1397" t="n">
        <v>2024</v>
      </c>
      <c r="E1397" t="n">
        <v>2019</v>
      </c>
      <c r="F1397" t="n">
        <v>2035</v>
      </c>
      <c r="G1397" t="n">
        <v>19776.9287</v>
      </c>
      <c r="H1397" t="n">
        <v>1958.9799</v>
      </c>
      <c r="I1397" t="n">
        <v>3142.7465</v>
      </c>
      <c r="J1397" t="n">
        <v>14690.9695</v>
      </c>
      <c r="K1397" t="n">
        <v>27152118.51</v>
      </c>
      <c r="L1397" t="n">
        <v>116390709.34</v>
      </c>
      <c r="M1397" t="n">
        <v>19776.9287</v>
      </c>
      <c r="N1397" t="inlineStr">
        <is>
          <t>Provided Total Emissions</t>
        </is>
      </c>
      <c r="O1397" t="b">
        <v>1</v>
      </c>
      <c r="P1397" t="n">
        <v>0.018095</v>
      </c>
      <c r="Q1397" t="n">
        <v>0.06539300000000001</v>
      </c>
      <c r="R1397" t="n">
        <v>29332.4336</v>
      </c>
      <c r="S1397" t="n">
        <v>91885.8094</v>
      </c>
      <c r="T1397" t="n">
        <v>9555.5049</v>
      </c>
      <c r="U1397" t="n">
        <v>72108.88069999999</v>
      </c>
      <c r="V1397" t="n">
        <v>0.483164</v>
      </c>
      <c r="W1397" t="n">
        <v>3.646111</v>
      </c>
      <c r="X1397" t="inlineStr">
        <is>
          <t>High</t>
        </is>
      </c>
      <c r="Y1397" t="inlineStr">
        <is>
          <t>None</t>
        </is>
      </c>
      <c r="Z1397" t="inlineStr">
        <is>
          <t>Valid</t>
        </is>
      </c>
      <c r="AA1397" t="n">
        <v>2028</v>
      </c>
      <c r="AB1397" t="inlineStr">
        <is>
          <t>Supplier Target Pathway</t>
        </is>
      </c>
      <c r="AC1397" t="n">
        <v>15732.5989</v>
      </c>
      <c r="AD1397" t="n">
        <v>8083.4093</v>
      </c>
      <c r="AE1397" t="n">
        <v>11429.9298</v>
      </c>
      <c r="AF1397" t="n">
        <v>11429.9298</v>
      </c>
      <c r="AG1397" t="n">
        <v>4302.6691</v>
      </c>
      <c r="AH1397" t="n">
        <v>0.00042096</v>
      </c>
      <c r="AI1397" t="n">
        <v>0.273487</v>
      </c>
      <c r="AJ1397" t="n">
        <v>3346.5204</v>
      </c>
      <c r="AK1397" t="n">
        <v>478.0743</v>
      </c>
      <c r="AL1397" t="n">
        <v>40329.3371</v>
      </c>
      <c r="AM1397" t="n">
        <v>48588.1652</v>
      </c>
      <c r="AN1397" t="n">
        <v>0.99</v>
      </c>
      <c r="AO1397" t="inlineStr">
        <is>
          <t>Critical</t>
        </is>
      </c>
      <c r="AP1397" t="inlineStr">
        <is>
          <t>On Track to Glide Path</t>
        </is>
      </c>
    </row>
    <row r="1398">
      <c r="A1398" t="inlineStr">
        <is>
          <t>SUP-0088</t>
        </is>
      </c>
      <c r="B1398" t="inlineStr">
        <is>
          <t>Packaging Supplier 088</t>
        </is>
      </c>
      <c r="C1398" t="inlineStr">
        <is>
          <t>Packaging</t>
        </is>
      </c>
      <c r="D1398" t="n">
        <v>2024</v>
      </c>
      <c r="E1398" t="n">
        <v>2019</v>
      </c>
      <c r="F1398" t="n">
        <v>2035</v>
      </c>
      <c r="G1398" t="n">
        <v>19776.9287</v>
      </c>
      <c r="H1398" t="n">
        <v>1958.9799</v>
      </c>
      <c r="I1398" t="n">
        <v>3142.7465</v>
      </c>
      <c r="J1398" t="n">
        <v>14690.9695</v>
      </c>
      <c r="K1398" t="n">
        <v>27152118.51</v>
      </c>
      <c r="L1398" t="n">
        <v>116390709.34</v>
      </c>
      <c r="M1398" t="n">
        <v>19776.9287</v>
      </c>
      <c r="N1398" t="inlineStr">
        <is>
          <t>Provided Total Emissions</t>
        </is>
      </c>
      <c r="O1398" t="b">
        <v>1</v>
      </c>
      <c r="P1398" t="n">
        <v>0.018095</v>
      </c>
      <c r="Q1398" t="n">
        <v>0.06539300000000001</v>
      </c>
      <c r="R1398" t="n">
        <v>29332.4336</v>
      </c>
      <c r="S1398" t="n">
        <v>91885.8094</v>
      </c>
      <c r="T1398" t="n">
        <v>9555.5049</v>
      </c>
      <c r="U1398" t="n">
        <v>72108.88069999999</v>
      </c>
      <c r="V1398" t="n">
        <v>0.483164</v>
      </c>
      <c r="W1398" t="n">
        <v>3.646111</v>
      </c>
      <c r="X1398" t="inlineStr">
        <is>
          <t>High</t>
        </is>
      </c>
      <c r="Y1398" t="inlineStr">
        <is>
          <t>None</t>
        </is>
      </c>
      <c r="Z1398" t="inlineStr">
        <is>
          <t>Valid</t>
        </is>
      </c>
      <c r="AA1398" t="n">
        <v>2029</v>
      </c>
      <c r="AB1398" t="inlineStr">
        <is>
          <t>Supplier Target Pathway</t>
        </is>
      </c>
      <c r="AC1398" t="n">
        <v>15732.5989</v>
      </c>
      <c r="AD1398" t="n">
        <v>8083.4093</v>
      </c>
      <c r="AE1398" t="n">
        <v>10951.8554</v>
      </c>
      <c r="AF1398" t="n">
        <v>10951.8554</v>
      </c>
      <c r="AG1398" t="n">
        <v>4780.7435</v>
      </c>
      <c r="AH1398" t="n">
        <v>0.00040335</v>
      </c>
      <c r="AI1398" t="n">
        <v>0.303875</v>
      </c>
      <c r="AJ1398" t="n">
        <v>2868.4461</v>
      </c>
      <c r="AK1398" t="n">
        <v>478.0743</v>
      </c>
      <c r="AL1398" t="n">
        <v>29377.4817</v>
      </c>
      <c r="AM1398" t="n">
        <v>59540.0206</v>
      </c>
      <c r="AN1398" t="n">
        <v>0.99</v>
      </c>
      <c r="AO1398" t="inlineStr">
        <is>
          <t>Critical</t>
        </is>
      </c>
      <c r="AP1398" t="inlineStr">
        <is>
          <t>On Track to Glide Path</t>
        </is>
      </c>
    </row>
    <row r="1399">
      <c r="A1399" t="inlineStr">
        <is>
          <t>SUP-0088</t>
        </is>
      </c>
      <c r="B1399" t="inlineStr">
        <is>
          <t>Packaging Supplier 088</t>
        </is>
      </c>
      <c r="C1399" t="inlineStr">
        <is>
          <t>Packaging</t>
        </is>
      </c>
      <c r="D1399" t="n">
        <v>2024</v>
      </c>
      <c r="E1399" t="n">
        <v>2019</v>
      </c>
      <c r="F1399" t="n">
        <v>2035</v>
      </c>
      <c r="G1399" t="n">
        <v>19776.9287</v>
      </c>
      <c r="H1399" t="n">
        <v>1958.9799</v>
      </c>
      <c r="I1399" t="n">
        <v>3142.7465</v>
      </c>
      <c r="J1399" t="n">
        <v>14690.9695</v>
      </c>
      <c r="K1399" t="n">
        <v>27152118.51</v>
      </c>
      <c r="L1399" t="n">
        <v>116390709.34</v>
      </c>
      <c r="M1399" t="n">
        <v>19776.9287</v>
      </c>
      <c r="N1399" t="inlineStr">
        <is>
          <t>Provided Total Emissions</t>
        </is>
      </c>
      <c r="O1399" t="b">
        <v>1</v>
      </c>
      <c r="P1399" t="n">
        <v>0.018095</v>
      </c>
      <c r="Q1399" t="n">
        <v>0.06539300000000001</v>
      </c>
      <c r="R1399" t="n">
        <v>29332.4336</v>
      </c>
      <c r="S1399" t="n">
        <v>91885.8094</v>
      </c>
      <c r="T1399" t="n">
        <v>9555.5049</v>
      </c>
      <c r="U1399" t="n">
        <v>72108.88069999999</v>
      </c>
      <c r="V1399" t="n">
        <v>0.483164</v>
      </c>
      <c r="W1399" t="n">
        <v>3.646111</v>
      </c>
      <c r="X1399" t="inlineStr">
        <is>
          <t>High</t>
        </is>
      </c>
      <c r="Y1399" t="inlineStr">
        <is>
          <t>None</t>
        </is>
      </c>
      <c r="Z1399" t="inlineStr">
        <is>
          <t>Valid</t>
        </is>
      </c>
      <c r="AA1399" t="n">
        <v>2030</v>
      </c>
      <c r="AB1399" t="inlineStr">
        <is>
          <t>Supplier Target Pathway</t>
        </is>
      </c>
      <c r="AC1399" t="n">
        <v>15732.5989</v>
      </c>
      <c r="AD1399" t="n">
        <v>8083.4093</v>
      </c>
      <c r="AE1399" t="n">
        <v>10473.7811</v>
      </c>
      <c r="AF1399" t="n">
        <v>10473.7811</v>
      </c>
      <c r="AG1399" t="n">
        <v>5258.8178</v>
      </c>
      <c r="AH1399" t="n">
        <v>0.00038574</v>
      </c>
      <c r="AI1399" t="n">
        <v>0.334263</v>
      </c>
      <c r="AJ1399" t="n">
        <v>2390.3717</v>
      </c>
      <c r="AK1399" t="n">
        <v>478.0743</v>
      </c>
      <c r="AL1399" t="n">
        <v>18903.7006</v>
      </c>
      <c r="AM1399" t="n">
        <v>70013.8017</v>
      </c>
      <c r="AN1399" t="n">
        <v>0.99</v>
      </c>
      <c r="AO1399" t="inlineStr">
        <is>
          <t>High</t>
        </is>
      </c>
      <c r="AP1399" t="inlineStr">
        <is>
          <t>On Track to Glide Path</t>
        </is>
      </c>
    </row>
    <row r="1400">
      <c r="A1400" t="inlineStr">
        <is>
          <t>SUP-0088</t>
        </is>
      </c>
      <c r="B1400" t="inlineStr">
        <is>
          <t>Packaging Supplier 088</t>
        </is>
      </c>
      <c r="C1400" t="inlineStr">
        <is>
          <t>Packaging</t>
        </is>
      </c>
      <c r="D1400" t="n">
        <v>2024</v>
      </c>
      <c r="E1400" t="n">
        <v>2019</v>
      </c>
      <c r="F1400" t="n">
        <v>2035</v>
      </c>
      <c r="G1400" t="n">
        <v>19776.9287</v>
      </c>
      <c r="H1400" t="n">
        <v>1958.9799</v>
      </c>
      <c r="I1400" t="n">
        <v>3142.7465</v>
      </c>
      <c r="J1400" t="n">
        <v>14690.9695</v>
      </c>
      <c r="K1400" t="n">
        <v>27152118.51</v>
      </c>
      <c r="L1400" t="n">
        <v>116390709.34</v>
      </c>
      <c r="M1400" t="n">
        <v>19776.9287</v>
      </c>
      <c r="N1400" t="inlineStr">
        <is>
          <t>Provided Total Emissions</t>
        </is>
      </c>
      <c r="O1400" t="b">
        <v>1</v>
      </c>
      <c r="P1400" t="n">
        <v>0.018095</v>
      </c>
      <c r="Q1400" t="n">
        <v>0.06539300000000001</v>
      </c>
      <c r="R1400" t="n">
        <v>29332.4336</v>
      </c>
      <c r="S1400" t="n">
        <v>91885.8094</v>
      </c>
      <c r="T1400" t="n">
        <v>9555.5049</v>
      </c>
      <c r="U1400" t="n">
        <v>72108.88069999999</v>
      </c>
      <c r="V1400" t="n">
        <v>0.483164</v>
      </c>
      <c r="W1400" t="n">
        <v>3.646111</v>
      </c>
      <c r="X1400" t="inlineStr">
        <is>
          <t>High</t>
        </is>
      </c>
      <c r="Y1400" t="inlineStr">
        <is>
          <t>None</t>
        </is>
      </c>
      <c r="Z1400" t="inlineStr">
        <is>
          <t>Valid</t>
        </is>
      </c>
      <c r="AA1400" t="n">
        <v>2031</v>
      </c>
      <c r="AB1400" t="inlineStr">
        <is>
          <t>Supplier Target Pathway</t>
        </is>
      </c>
      <c r="AC1400" t="n">
        <v>15732.5989</v>
      </c>
      <c r="AD1400" t="n">
        <v>8083.4093</v>
      </c>
      <c r="AE1400" t="n">
        <v>9995.706700000001</v>
      </c>
      <c r="AF1400" t="n">
        <v>9995.706700000001</v>
      </c>
      <c r="AG1400" t="n">
        <v>5736.8922</v>
      </c>
      <c r="AH1400" t="n">
        <v>0.00036814</v>
      </c>
      <c r="AI1400" t="n">
        <v>0.36465</v>
      </c>
      <c r="AJ1400" t="n">
        <v>1912.2974</v>
      </c>
      <c r="AK1400" t="n">
        <v>478.0743</v>
      </c>
      <c r="AL1400" t="n">
        <v>8907.993899999999</v>
      </c>
      <c r="AM1400" t="n">
        <v>80009.50840000001</v>
      </c>
      <c r="AN1400" t="n">
        <v>0.99</v>
      </c>
      <c r="AO1400" t="inlineStr">
        <is>
          <t>High</t>
        </is>
      </c>
      <c r="AP1400" t="inlineStr">
        <is>
          <t>On Track to Glide Path</t>
        </is>
      </c>
    </row>
    <row r="1401">
      <c r="A1401" t="inlineStr">
        <is>
          <t>SUP-0088</t>
        </is>
      </c>
      <c r="B1401" t="inlineStr">
        <is>
          <t>Packaging Supplier 088</t>
        </is>
      </c>
      <c r="C1401" t="inlineStr">
        <is>
          <t>Packaging</t>
        </is>
      </c>
      <c r="D1401" t="n">
        <v>2024</v>
      </c>
      <c r="E1401" t="n">
        <v>2019</v>
      </c>
      <c r="F1401" t="n">
        <v>2035</v>
      </c>
      <c r="G1401" t="n">
        <v>19776.9287</v>
      </c>
      <c r="H1401" t="n">
        <v>1958.9799</v>
      </c>
      <c r="I1401" t="n">
        <v>3142.7465</v>
      </c>
      <c r="J1401" t="n">
        <v>14690.9695</v>
      </c>
      <c r="K1401" t="n">
        <v>27152118.51</v>
      </c>
      <c r="L1401" t="n">
        <v>116390709.34</v>
      </c>
      <c r="M1401" t="n">
        <v>19776.9287</v>
      </c>
      <c r="N1401" t="inlineStr">
        <is>
          <t>Provided Total Emissions</t>
        </is>
      </c>
      <c r="O1401" t="b">
        <v>1</v>
      </c>
      <c r="P1401" t="n">
        <v>0.018095</v>
      </c>
      <c r="Q1401" t="n">
        <v>0.06539300000000001</v>
      </c>
      <c r="R1401" t="n">
        <v>29332.4336</v>
      </c>
      <c r="S1401" t="n">
        <v>91885.8094</v>
      </c>
      <c r="T1401" t="n">
        <v>9555.5049</v>
      </c>
      <c r="U1401" t="n">
        <v>72108.88069999999</v>
      </c>
      <c r="V1401" t="n">
        <v>0.483164</v>
      </c>
      <c r="W1401" t="n">
        <v>3.646111</v>
      </c>
      <c r="X1401" t="inlineStr">
        <is>
          <t>High</t>
        </is>
      </c>
      <c r="Y1401" t="inlineStr">
        <is>
          <t>None</t>
        </is>
      </c>
      <c r="Z1401" t="inlineStr">
        <is>
          <t>Valid</t>
        </is>
      </c>
      <c r="AA1401" t="n">
        <v>2032</v>
      </c>
      <c r="AB1401" t="inlineStr">
        <is>
          <t>Supplier Target Pathway</t>
        </is>
      </c>
      <c r="AC1401" t="n">
        <v>15732.5989</v>
      </c>
      <c r="AD1401" t="n">
        <v>8083.4093</v>
      </c>
      <c r="AE1401" t="n">
        <v>9517.6324</v>
      </c>
      <c r="AF1401" t="n">
        <v>9517.6324</v>
      </c>
      <c r="AG1401" t="n">
        <v>6214.9665</v>
      </c>
      <c r="AH1401" t="n">
        <v>0.00035053</v>
      </c>
      <c r="AI1401" t="n">
        <v>0.395037</v>
      </c>
      <c r="AJ1401" t="n">
        <v>1434.223</v>
      </c>
      <c r="AK1401" t="n">
        <v>478.0743</v>
      </c>
      <c r="AL1401" t="n">
        <v>-609.6385</v>
      </c>
      <c r="AM1401" t="n">
        <v>89527.14079999999</v>
      </c>
      <c r="AN1401" t="n">
        <v>0.99</v>
      </c>
      <c r="AO1401" t="inlineStr">
        <is>
          <t>High</t>
        </is>
      </c>
      <c r="AP1401" t="inlineStr">
        <is>
          <t>On Track to Glide Path</t>
        </is>
      </c>
    </row>
    <row r="1402">
      <c r="A1402" t="inlineStr">
        <is>
          <t>SUP-0088</t>
        </is>
      </c>
      <c r="B1402" t="inlineStr">
        <is>
          <t>Packaging Supplier 088</t>
        </is>
      </c>
      <c r="C1402" t="inlineStr">
        <is>
          <t>Packaging</t>
        </is>
      </c>
      <c r="D1402" t="n">
        <v>2024</v>
      </c>
      <c r="E1402" t="n">
        <v>2019</v>
      </c>
      <c r="F1402" t="n">
        <v>2035</v>
      </c>
      <c r="G1402" t="n">
        <v>19776.9287</v>
      </c>
      <c r="H1402" t="n">
        <v>1958.9799</v>
      </c>
      <c r="I1402" t="n">
        <v>3142.7465</v>
      </c>
      <c r="J1402" t="n">
        <v>14690.9695</v>
      </c>
      <c r="K1402" t="n">
        <v>27152118.51</v>
      </c>
      <c r="L1402" t="n">
        <v>116390709.34</v>
      </c>
      <c r="M1402" t="n">
        <v>19776.9287</v>
      </c>
      <c r="N1402" t="inlineStr">
        <is>
          <t>Provided Total Emissions</t>
        </is>
      </c>
      <c r="O1402" t="b">
        <v>1</v>
      </c>
      <c r="P1402" t="n">
        <v>0.018095</v>
      </c>
      <c r="Q1402" t="n">
        <v>0.06539300000000001</v>
      </c>
      <c r="R1402" t="n">
        <v>29332.4336</v>
      </c>
      <c r="S1402" t="n">
        <v>91885.8094</v>
      </c>
      <c r="T1402" t="n">
        <v>9555.5049</v>
      </c>
      <c r="U1402" t="n">
        <v>72108.88069999999</v>
      </c>
      <c r="V1402" t="n">
        <v>0.483164</v>
      </c>
      <c r="W1402" t="n">
        <v>3.646111</v>
      </c>
      <c r="X1402" t="inlineStr">
        <is>
          <t>High</t>
        </is>
      </c>
      <c r="Y1402" t="inlineStr">
        <is>
          <t>None</t>
        </is>
      </c>
      <c r="Z1402" t="inlineStr">
        <is>
          <t>Valid</t>
        </is>
      </c>
      <c r="AA1402" t="n">
        <v>2033</v>
      </c>
      <c r="AB1402" t="inlineStr">
        <is>
          <t>Supplier Target Pathway</t>
        </is>
      </c>
      <c r="AC1402" t="n">
        <v>15732.5989</v>
      </c>
      <c r="AD1402" t="n">
        <v>8083.4093</v>
      </c>
      <c r="AE1402" t="n">
        <v>9039.558000000001</v>
      </c>
      <c r="AF1402" t="n">
        <v>9039.558000000001</v>
      </c>
      <c r="AG1402" t="n">
        <v>6693.0409</v>
      </c>
      <c r="AH1402" t="n">
        <v>0.00033292</v>
      </c>
      <c r="AI1402" t="n">
        <v>0.425425</v>
      </c>
      <c r="AJ1402" t="n">
        <v>956.1487</v>
      </c>
      <c r="AK1402" t="n">
        <v>478.0743</v>
      </c>
      <c r="AL1402" t="n">
        <v>-9649.1965</v>
      </c>
      <c r="AM1402" t="n">
        <v>98566.6988</v>
      </c>
      <c r="AN1402" t="n">
        <v>0.99</v>
      </c>
      <c r="AO1402" t="inlineStr">
        <is>
          <t>Medium</t>
        </is>
      </c>
      <c r="AP1402" t="inlineStr">
        <is>
          <t>On Track to Glide Path</t>
        </is>
      </c>
    </row>
    <row r="1403">
      <c r="A1403" t="inlineStr">
        <is>
          <t>SUP-0088</t>
        </is>
      </c>
      <c r="B1403" t="inlineStr">
        <is>
          <t>Packaging Supplier 088</t>
        </is>
      </c>
      <c r="C1403" t="inlineStr">
        <is>
          <t>Packaging</t>
        </is>
      </c>
      <c r="D1403" t="n">
        <v>2024</v>
      </c>
      <c r="E1403" t="n">
        <v>2019</v>
      </c>
      <c r="F1403" t="n">
        <v>2035</v>
      </c>
      <c r="G1403" t="n">
        <v>19776.9287</v>
      </c>
      <c r="H1403" t="n">
        <v>1958.9799</v>
      </c>
      <c r="I1403" t="n">
        <v>3142.7465</v>
      </c>
      <c r="J1403" t="n">
        <v>14690.9695</v>
      </c>
      <c r="K1403" t="n">
        <v>27152118.51</v>
      </c>
      <c r="L1403" t="n">
        <v>116390709.34</v>
      </c>
      <c r="M1403" t="n">
        <v>19776.9287</v>
      </c>
      <c r="N1403" t="inlineStr">
        <is>
          <t>Provided Total Emissions</t>
        </is>
      </c>
      <c r="O1403" t="b">
        <v>1</v>
      </c>
      <c r="P1403" t="n">
        <v>0.018095</v>
      </c>
      <c r="Q1403" t="n">
        <v>0.06539300000000001</v>
      </c>
      <c r="R1403" t="n">
        <v>29332.4336</v>
      </c>
      <c r="S1403" t="n">
        <v>91885.8094</v>
      </c>
      <c r="T1403" t="n">
        <v>9555.5049</v>
      </c>
      <c r="U1403" t="n">
        <v>72108.88069999999</v>
      </c>
      <c r="V1403" t="n">
        <v>0.483164</v>
      </c>
      <c r="W1403" t="n">
        <v>3.646111</v>
      </c>
      <c r="X1403" t="inlineStr">
        <is>
          <t>High</t>
        </is>
      </c>
      <c r="Y1403" t="inlineStr">
        <is>
          <t>None</t>
        </is>
      </c>
      <c r="Z1403" t="inlineStr">
        <is>
          <t>Valid</t>
        </is>
      </c>
      <c r="AA1403" t="n">
        <v>2034</v>
      </c>
      <c r="AB1403" t="inlineStr">
        <is>
          <t>Supplier Target Pathway</t>
        </is>
      </c>
      <c r="AC1403" t="n">
        <v>15732.5989</v>
      </c>
      <c r="AD1403" t="n">
        <v>8083.4093</v>
      </c>
      <c r="AE1403" t="n">
        <v>8561.483700000001</v>
      </c>
      <c r="AF1403" t="n">
        <v>8561.483700000001</v>
      </c>
      <c r="AG1403" t="n">
        <v>7171.1152</v>
      </c>
      <c r="AH1403" t="n">
        <v>0.00031532</v>
      </c>
      <c r="AI1403" t="n">
        <v>0.455813</v>
      </c>
      <c r="AJ1403" t="n">
        <v>478.0743</v>
      </c>
      <c r="AK1403" t="n">
        <v>478.0743</v>
      </c>
      <c r="AL1403" t="n">
        <v>-18210.6802</v>
      </c>
      <c r="AM1403" t="n">
        <v>107128.1825</v>
      </c>
      <c r="AN1403" t="n">
        <v>0.99</v>
      </c>
      <c r="AO1403" t="inlineStr">
        <is>
          <t>Medium</t>
        </is>
      </c>
      <c r="AP1403" t="inlineStr">
        <is>
          <t>On Track to Glide Path</t>
        </is>
      </c>
    </row>
    <row r="1404">
      <c r="A1404" t="inlineStr">
        <is>
          <t>SUP-0088</t>
        </is>
      </c>
      <c r="B1404" t="inlineStr">
        <is>
          <t>Packaging Supplier 088</t>
        </is>
      </c>
      <c r="C1404" t="inlineStr">
        <is>
          <t>Packaging</t>
        </is>
      </c>
      <c r="D1404" t="n">
        <v>2024</v>
      </c>
      <c r="E1404" t="n">
        <v>2019</v>
      </c>
      <c r="F1404" t="n">
        <v>2035</v>
      </c>
      <c r="G1404" t="n">
        <v>19776.9287</v>
      </c>
      <c r="H1404" t="n">
        <v>1958.9799</v>
      </c>
      <c r="I1404" t="n">
        <v>3142.7465</v>
      </c>
      <c r="J1404" t="n">
        <v>14690.9695</v>
      </c>
      <c r="K1404" t="n">
        <v>27152118.51</v>
      </c>
      <c r="L1404" t="n">
        <v>116390709.34</v>
      </c>
      <c r="M1404" t="n">
        <v>19776.9287</v>
      </c>
      <c r="N1404" t="inlineStr">
        <is>
          <t>Provided Total Emissions</t>
        </is>
      </c>
      <c r="O1404" t="b">
        <v>1</v>
      </c>
      <c r="P1404" t="n">
        <v>0.018095</v>
      </c>
      <c r="Q1404" t="n">
        <v>0.06539300000000001</v>
      </c>
      <c r="R1404" t="n">
        <v>29332.4336</v>
      </c>
      <c r="S1404" t="n">
        <v>91885.8094</v>
      </c>
      <c r="T1404" t="n">
        <v>9555.5049</v>
      </c>
      <c r="U1404" t="n">
        <v>72108.88069999999</v>
      </c>
      <c r="V1404" t="n">
        <v>0.483164</v>
      </c>
      <c r="W1404" t="n">
        <v>3.646111</v>
      </c>
      <c r="X1404" t="inlineStr">
        <is>
          <t>High</t>
        </is>
      </c>
      <c r="Y1404" t="inlineStr">
        <is>
          <t>None</t>
        </is>
      </c>
      <c r="Z1404" t="inlineStr">
        <is>
          <t>Valid</t>
        </is>
      </c>
      <c r="AA1404" t="n">
        <v>2035</v>
      </c>
      <c r="AB1404" t="inlineStr">
        <is>
          <t>Supplier Target Pathway</t>
        </is>
      </c>
      <c r="AC1404" t="n">
        <v>15732.5989</v>
      </c>
      <c r="AD1404" t="n">
        <v>8083.4093</v>
      </c>
      <c r="AE1404" t="n">
        <v>8083.4093</v>
      </c>
      <c r="AF1404" t="n">
        <v>8083.4093</v>
      </c>
      <c r="AG1404" t="n">
        <v>7649.1896</v>
      </c>
      <c r="AH1404" t="n">
        <v>0.00029771</v>
      </c>
      <c r="AI1404" t="n">
        <v>0.4862</v>
      </c>
      <c r="AJ1404" t="n">
        <v>0</v>
      </c>
      <c r="AK1404" t="n">
        <v>478.0743</v>
      </c>
      <c r="AL1404" t="n">
        <v>-26294.0895</v>
      </c>
      <c r="AM1404" t="n">
        <v>115211.5918</v>
      </c>
      <c r="AN1404" t="n">
        <v>0.99</v>
      </c>
      <c r="AO1404" t="inlineStr">
        <is>
          <t>Low</t>
        </is>
      </c>
      <c r="AP1404" t="inlineStr">
        <is>
          <t>On Track</t>
        </is>
      </c>
    </row>
    <row r="1405">
      <c r="A1405" t="inlineStr">
        <is>
          <t>SUP-0088</t>
        </is>
      </c>
      <c r="B1405" t="inlineStr">
        <is>
          <t>Packaging Supplier 088</t>
        </is>
      </c>
      <c r="C1405" t="inlineStr">
        <is>
          <t>Packaging</t>
        </is>
      </c>
      <c r="D1405" t="n">
        <v>2024</v>
      </c>
      <c r="E1405" t="n">
        <v>2019</v>
      </c>
      <c r="F1405" t="n">
        <v>2035</v>
      </c>
      <c r="G1405" t="n">
        <v>19776.9287</v>
      </c>
      <c r="H1405" t="n">
        <v>1958.9799</v>
      </c>
      <c r="I1405" t="n">
        <v>3142.7465</v>
      </c>
      <c r="J1405" t="n">
        <v>14690.9695</v>
      </c>
      <c r="K1405" t="n">
        <v>27152118.51</v>
      </c>
      <c r="L1405" t="n">
        <v>116390709.34</v>
      </c>
      <c r="M1405" t="n">
        <v>19776.9287</v>
      </c>
      <c r="N1405" t="inlineStr">
        <is>
          <t>Provided Total Emissions</t>
        </is>
      </c>
      <c r="O1405" t="b">
        <v>1</v>
      </c>
      <c r="P1405" t="n">
        <v>0.018095</v>
      </c>
      <c r="Q1405" t="n">
        <v>0.06539300000000001</v>
      </c>
      <c r="R1405" t="n">
        <v>29332.4336</v>
      </c>
      <c r="S1405" t="n">
        <v>91885.8094</v>
      </c>
      <c r="T1405" t="n">
        <v>9555.5049</v>
      </c>
      <c r="U1405" t="n">
        <v>72108.88069999999</v>
      </c>
      <c r="V1405" t="n">
        <v>0.483164</v>
      </c>
      <c r="W1405" t="n">
        <v>3.646111</v>
      </c>
      <c r="X1405" t="inlineStr">
        <is>
          <t>High</t>
        </is>
      </c>
      <c r="Y1405" t="inlineStr">
        <is>
          <t>None</t>
        </is>
      </c>
      <c r="Z1405" t="inlineStr">
        <is>
          <t>Valid</t>
        </is>
      </c>
      <c r="AA1405" t="n">
        <v>2036</v>
      </c>
      <c r="AB1405" t="inlineStr">
        <is>
          <t>Supplier Target Pathway</t>
        </is>
      </c>
      <c r="AC1405" t="n">
        <v>15732.5989</v>
      </c>
      <c r="AD1405" t="n">
        <v>8083.4093</v>
      </c>
      <c r="AE1405" t="n">
        <v>8083.4093</v>
      </c>
      <c r="AF1405" t="n">
        <v>8083.4093</v>
      </c>
      <c r="AG1405" t="n">
        <v>7649.1896</v>
      </c>
      <c r="AH1405" t="n">
        <v>0.00029771</v>
      </c>
      <c r="AI1405" t="n">
        <v>0.4862</v>
      </c>
      <c r="AJ1405" t="n">
        <v>0</v>
      </c>
      <c r="AK1405" t="n">
        <v>478.0743</v>
      </c>
      <c r="AL1405" t="n">
        <v>-34377.4988</v>
      </c>
      <c r="AM1405" t="n">
        <v>123295.0011</v>
      </c>
      <c r="AN1405" t="n">
        <v>0.99</v>
      </c>
      <c r="AO1405" t="inlineStr">
        <is>
          <t>Low</t>
        </is>
      </c>
      <c r="AP1405" t="inlineStr">
        <is>
          <t>On Track</t>
        </is>
      </c>
    </row>
    <row r="1406">
      <c r="A1406" t="inlineStr">
        <is>
          <t>SUP-0088</t>
        </is>
      </c>
      <c r="B1406" t="inlineStr">
        <is>
          <t>Packaging Supplier 088</t>
        </is>
      </c>
      <c r="C1406" t="inlineStr">
        <is>
          <t>Packaging</t>
        </is>
      </c>
      <c r="D1406" t="n">
        <v>2024</v>
      </c>
      <c r="E1406" t="n">
        <v>2019</v>
      </c>
      <c r="F1406" t="n">
        <v>2035</v>
      </c>
      <c r="G1406" t="n">
        <v>19776.9287</v>
      </c>
      <c r="H1406" t="n">
        <v>1958.9799</v>
      </c>
      <c r="I1406" t="n">
        <v>3142.7465</v>
      </c>
      <c r="J1406" t="n">
        <v>14690.9695</v>
      </c>
      <c r="K1406" t="n">
        <v>27152118.51</v>
      </c>
      <c r="L1406" t="n">
        <v>116390709.34</v>
      </c>
      <c r="M1406" t="n">
        <v>19776.9287</v>
      </c>
      <c r="N1406" t="inlineStr">
        <is>
          <t>Provided Total Emissions</t>
        </is>
      </c>
      <c r="O1406" t="b">
        <v>1</v>
      </c>
      <c r="P1406" t="n">
        <v>0.018095</v>
      </c>
      <c r="Q1406" t="n">
        <v>0.06539300000000001</v>
      </c>
      <c r="R1406" t="n">
        <v>29332.4336</v>
      </c>
      <c r="S1406" t="n">
        <v>91885.8094</v>
      </c>
      <c r="T1406" t="n">
        <v>9555.5049</v>
      </c>
      <c r="U1406" t="n">
        <v>72108.88069999999</v>
      </c>
      <c r="V1406" t="n">
        <v>0.483164</v>
      </c>
      <c r="W1406" t="n">
        <v>3.646111</v>
      </c>
      <c r="X1406" t="inlineStr">
        <is>
          <t>High</t>
        </is>
      </c>
      <c r="Y1406" t="inlineStr">
        <is>
          <t>None</t>
        </is>
      </c>
      <c r="Z1406" t="inlineStr">
        <is>
          <t>Valid</t>
        </is>
      </c>
      <c r="AA1406" t="n">
        <v>2037</v>
      </c>
      <c r="AB1406" t="inlineStr">
        <is>
          <t>Supplier Target Pathway</t>
        </is>
      </c>
      <c r="AC1406" t="n">
        <v>15732.5989</v>
      </c>
      <c r="AD1406" t="n">
        <v>8083.4093</v>
      </c>
      <c r="AE1406" t="n">
        <v>8083.4093</v>
      </c>
      <c r="AF1406" t="n">
        <v>8083.4093</v>
      </c>
      <c r="AG1406" t="n">
        <v>7649.1896</v>
      </c>
      <c r="AH1406" t="n">
        <v>0.00029771</v>
      </c>
      <c r="AI1406" t="n">
        <v>0.4862</v>
      </c>
      <c r="AJ1406" t="n">
        <v>0</v>
      </c>
      <c r="AK1406" t="n">
        <v>478.0743</v>
      </c>
      <c r="AL1406" t="n">
        <v>-42460.9081</v>
      </c>
      <c r="AM1406" t="n">
        <v>131378.4104</v>
      </c>
      <c r="AN1406" t="n">
        <v>0.99</v>
      </c>
      <c r="AO1406" t="inlineStr">
        <is>
          <t>Low</t>
        </is>
      </c>
      <c r="AP1406" t="inlineStr">
        <is>
          <t>On Track</t>
        </is>
      </c>
    </row>
    <row r="1407">
      <c r="A1407" t="inlineStr">
        <is>
          <t>SUP-0088</t>
        </is>
      </c>
      <c r="B1407" t="inlineStr">
        <is>
          <t>Packaging Supplier 088</t>
        </is>
      </c>
      <c r="C1407" t="inlineStr">
        <is>
          <t>Packaging</t>
        </is>
      </c>
      <c r="D1407" t="n">
        <v>2024</v>
      </c>
      <c r="E1407" t="n">
        <v>2019</v>
      </c>
      <c r="F1407" t="n">
        <v>2035</v>
      </c>
      <c r="G1407" t="n">
        <v>19776.9287</v>
      </c>
      <c r="H1407" t="n">
        <v>1958.9799</v>
      </c>
      <c r="I1407" t="n">
        <v>3142.7465</v>
      </c>
      <c r="J1407" t="n">
        <v>14690.9695</v>
      </c>
      <c r="K1407" t="n">
        <v>27152118.51</v>
      </c>
      <c r="L1407" t="n">
        <v>116390709.34</v>
      </c>
      <c r="M1407" t="n">
        <v>19776.9287</v>
      </c>
      <c r="N1407" t="inlineStr">
        <is>
          <t>Provided Total Emissions</t>
        </is>
      </c>
      <c r="O1407" t="b">
        <v>1</v>
      </c>
      <c r="P1407" t="n">
        <v>0.018095</v>
      </c>
      <c r="Q1407" t="n">
        <v>0.06539300000000001</v>
      </c>
      <c r="R1407" t="n">
        <v>29332.4336</v>
      </c>
      <c r="S1407" t="n">
        <v>91885.8094</v>
      </c>
      <c r="T1407" t="n">
        <v>9555.5049</v>
      </c>
      <c r="U1407" t="n">
        <v>72108.88069999999</v>
      </c>
      <c r="V1407" t="n">
        <v>0.483164</v>
      </c>
      <c r="W1407" t="n">
        <v>3.646111</v>
      </c>
      <c r="X1407" t="inlineStr">
        <is>
          <t>High</t>
        </is>
      </c>
      <c r="Y1407" t="inlineStr">
        <is>
          <t>None</t>
        </is>
      </c>
      <c r="Z1407" t="inlineStr">
        <is>
          <t>Valid</t>
        </is>
      </c>
      <c r="AA1407" t="n">
        <v>2038</v>
      </c>
      <c r="AB1407" t="inlineStr">
        <is>
          <t>Supplier Target Pathway</t>
        </is>
      </c>
      <c r="AC1407" t="n">
        <v>15732.5989</v>
      </c>
      <c r="AD1407" t="n">
        <v>8083.4093</v>
      </c>
      <c r="AE1407" t="n">
        <v>8083.4093</v>
      </c>
      <c r="AF1407" t="n">
        <v>8083.4093</v>
      </c>
      <c r="AG1407" t="n">
        <v>7649.1896</v>
      </c>
      <c r="AH1407" t="n">
        <v>0.00029771</v>
      </c>
      <c r="AI1407" t="n">
        <v>0.4862</v>
      </c>
      <c r="AJ1407" t="n">
        <v>0</v>
      </c>
      <c r="AK1407" t="n">
        <v>478.0743</v>
      </c>
      <c r="AL1407" t="n">
        <v>-50544.3174</v>
      </c>
      <c r="AM1407" t="n">
        <v>139461.8197</v>
      </c>
      <c r="AN1407" t="n">
        <v>0.99</v>
      </c>
      <c r="AO1407" t="inlineStr">
        <is>
          <t>Low</t>
        </is>
      </c>
      <c r="AP1407" t="inlineStr">
        <is>
          <t>On Track</t>
        </is>
      </c>
    </row>
    <row r="1408">
      <c r="A1408" t="inlineStr">
        <is>
          <t>SUP-0088</t>
        </is>
      </c>
      <c r="B1408" t="inlineStr">
        <is>
          <t>Packaging Supplier 088</t>
        </is>
      </c>
      <c r="C1408" t="inlineStr">
        <is>
          <t>Packaging</t>
        </is>
      </c>
      <c r="D1408" t="n">
        <v>2024</v>
      </c>
      <c r="E1408" t="n">
        <v>2019</v>
      </c>
      <c r="F1408" t="n">
        <v>2035</v>
      </c>
      <c r="G1408" t="n">
        <v>19776.9287</v>
      </c>
      <c r="H1408" t="n">
        <v>1958.9799</v>
      </c>
      <c r="I1408" t="n">
        <v>3142.7465</v>
      </c>
      <c r="J1408" t="n">
        <v>14690.9695</v>
      </c>
      <c r="K1408" t="n">
        <v>27152118.51</v>
      </c>
      <c r="L1408" t="n">
        <v>116390709.34</v>
      </c>
      <c r="M1408" t="n">
        <v>19776.9287</v>
      </c>
      <c r="N1408" t="inlineStr">
        <is>
          <t>Provided Total Emissions</t>
        </is>
      </c>
      <c r="O1408" t="b">
        <v>1</v>
      </c>
      <c r="P1408" t="n">
        <v>0.018095</v>
      </c>
      <c r="Q1408" t="n">
        <v>0.06539300000000001</v>
      </c>
      <c r="R1408" t="n">
        <v>29332.4336</v>
      </c>
      <c r="S1408" t="n">
        <v>91885.8094</v>
      </c>
      <c r="T1408" t="n">
        <v>9555.5049</v>
      </c>
      <c r="U1408" t="n">
        <v>72108.88069999999</v>
      </c>
      <c r="V1408" t="n">
        <v>0.483164</v>
      </c>
      <c r="W1408" t="n">
        <v>3.646111</v>
      </c>
      <c r="X1408" t="inlineStr">
        <is>
          <t>High</t>
        </is>
      </c>
      <c r="Y1408" t="inlineStr">
        <is>
          <t>None</t>
        </is>
      </c>
      <c r="Z1408" t="inlineStr">
        <is>
          <t>Valid</t>
        </is>
      </c>
      <c r="AA1408" t="n">
        <v>2039</v>
      </c>
      <c r="AB1408" t="inlineStr">
        <is>
          <t>Supplier Target Pathway</t>
        </is>
      </c>
      <c r="AC1408" t="n">
        <v>15732.5989</v>
      </c>
      <c r="AD1408" t="n">
        <v>8083.4093</v>
      </c>
      <c r="AE1408" t="n">
        <v>8083.4093</v>
      </c>
      <c r="AF1408" t="n">
        <v>8083.4093</v>
      </c>
      <c r="AG1408" t="n">
        <v>7649.1896</v>
      </c>
      <c r="AH1408" t="n">
        <v>0.00029771</v>
      </c>
      <c r="AI1408" t="n">
        <v>0.4862</v>
      </c>
      <c r="AJ1408" t="n">
        <v>0</v>
      </c>
      <c r="AK1408" t="n">
        <v>478.0743</v>
      </c>
      <c r="AL1408" t="n">
        <v>-58627.7267</v>
      </c>
      <c r="AM1408" t="n">
        <v>147545.229</v>
      </c>
      <c r="AN1408" t="n">
        <v>0.99</v>
      </c>
      <c r="AO1408" t="inlineStr">
        <is>
          <t>Low</t>
        </is>
      </c>
      <c r="AP1408" t="inlineStr">
        <is>
          <t>On Track</t>
        </is>
      </c>
    </row>
    <row r="1409">
      <c r="A1409" t="inlineStr">
        <is>
          <t>SUP-0088</t>
        </is>
      </c>
      <c r="B1409" t="inlineStr">
        <is>
          <t>Packaging Supplier 088</t>
        </is>
      </c>
      <c r="C1409" t="inlineStr">
        <is>
          <t>Packaging</t>
        </is>
      </c>
      <c r="D1409" t="n">
        <v>2024</v>
      </c>
      <c r="E1409" t="n">
        <v>2019</v>
      </c>
      <c r="F1409" t="n">
        <v>2035</v>
      </c>
      <c r="G1409" t="n">
        <v>19776.9287</v>
      </c>
      <c r="H1409" t="n">
        <v>1958.9799</v>
      </c>
      <c r="I1409" t="n">
        <v>3142.7465</v>
      </c>
      <c r="J1409" t="n">
        <v>14690.9695</v>
      </c>
      <c r="K1409" t="n">
        <v>27152118.51</v>
      </c>
      <c r="L1409" t="n">
        <v>116390709.34</v>
      </c>
      <c r="M1409" t="n">
        <v>19776.9287</v>
      </c>
      <c r="N1409" t="inlineStr">
        <is>
          <t>Provided Total Emissions</t>
        </is>
      </c>
      <c r="O1409" t="b">
        <v>1</v>
      </c>
      <c r="P1409" t="n">
        <v>0.018095</v>
      </c>
      <c r="Q1409" t="n">
        <v>0.06539300000000001</v>
      </c>
      <c r="R1409" t="n">
        <v>29332.4336</v>
      </c>
      <c r="S1409" t="n">
        <v>91885.8094</v>
      </c>
      <c r="T1409" t="n">
        <v>9555.5049</v>
      </c>
      <c r="U1409" t="n">
        <v>72108.88069999999</v>
      </c>
      <c r="V1409" t="n">
        <v>0.483164</v>
      </c>
      <c r="W1409" t="n">
        <v>3.646111</v>
      </c>
      <c r="X1409" t="inlineStr">
        <is>
          <t>High</t>
        </is>
      </c>
      <c r="Y1409" t="inlineStr">
        <is>
          <t>None</t>
        </is>
      </c>
      <c r="Z1409" t="inlineStr">
        <is>
          <t>Valid</t>
        </is>
      </c>
      <c r="AA1409" t="n">
        <v>2040</v>
      </c>
      <c r="AB1409" t="inlineStr">
        <is>
          <t>Supplier Target Pathway</t>
        </is>
      </c>
      <c r="AC1409" t="n">
        <v>15732.5989</v>
      </c>
      <c r="AD1409" t="n">
        <v>8083.4093</v>
      </c>
      <c r="AE1409" t="n">
        <v>8083.4093</v>
      </c>
      <c r="AF1409" t="n">
        <v>8083.4093</v>
      </c>
      <c r="AG1409" t="n">
        <v>7649.1896</v>
      </c>
      <c r="AH1409" t="n">
        <v>0.00029771</v>
      </c>
      <c r="AI1409" t="n">
        <v>0.4862</v>
      </c>
      <c r="AJ1409" t="n">
        <v>0</v>
      </c>
      <c r="AK1409" t="n">
        <v>478.0743</v>
      </c>
      <c r="AL1409" t="n">
        <v>-66711.136</v>
      </c>
      <c r="AM1409" t="n">
        <v>155628.6383</v>
      </c>
      <c r="AN1409" t="n">
        <v>0.99</v>
      </c>
      <c r="AO1409" t="inlineStr">
        <is>
          <t>Low</t>
        </is>
      </c>
      <c r="AP1409" t="inlineStr">
        <is>
          <t>On Track</t>
        </is>
      </c>
    </row>
    <row r="1410">
      <c r="A1410" t="inlineStr">
        <is>
          <t>SUP-0089</t>
        </is>
      </c>
      <c r="B1410" t="inlineStr">
        <is>
          <t>Professional Supplier 089</t>
        </is>
      </c>
      <c r="C1410" t="inlineStr">
        <is>
          <t>Professional Services</t>
        </is>
      </c>
      <c r="D1410" t="n">
        <v>2024</v>
      </c>
      <c r="E1410" t="n">
        <v>2021</v>
      </c>
      <c r="F1410" t="n">
        <v>2035</v>
      </c>
      <c r="G1410" t="n">
        <v>1355.5904</v>
      </c>
      <c r="H1410" t="n">
        <v>168.8568</v>
      </c>
      <c r="I1410" t="n">
        <v>101.5004</v>
      </c>
      <c r="J1410" t="n">
        <v>1061.707</v>
      </c>
      <c r="K1410" t="n">
        <v>6084672.63</v>
      </c>
      <c r="L1410" t="n">
        <v>24578075.77</v>
      </c>
      <c r="M1410" t="n">
        <v>1355.5904</v>
      </c>
      <c r="N1410" t="inlineStr">
        <is>
          <t>Provided Total Emissions</t>
        </is>
      </c>
      <c r="O1410" t="b">
        <v>1</v>
      </c>
      <c r="P1410" t="n">
        <v>-0.013491</v>
      </c>
      <c r="Q1410" t="n">
        <v>-0.023851</v>
      </c>
      <c r="R1410" t="n">
        <v>785.2877999999999</v>
      </c>
      <c r="S1410" t="n">
        <v>4831.5581</v>
      </c>
      <c r="T1410" t="n">
        <v>-570.3026</v>
      </c>
      <c r="U1410" t="n">
        <v>3475.9677</v>
      </c>
      <c r="V1410" t="n">
        <v>-0.420704</v>
      </c>
      <c r="W1410" t="n">
        <v>2.564173</v>
      </c>
      <c r="X1410" t="inlineStr">
        <is>
          <t>High</t>
        </is>
      </c>
      <c r="Y1410" t="inlineStr">
        <is>
          <t>None</t>
        </is>
      </c>
      <c r="Z1410" t="inlineStr">
        <is>
          <t>Valid</t>
        </is>
      </c>
      <c r="AA1410" t="n">
        <v>2025</v>
      </c>
      <c r="AB1410" t="inlineStr">
        <is>
          <t>Supplier Target Pathway</t>
        </is>
      </c>
      <c r="AC1410" t="n">
        <v>1390.1954</v>
      </c>
      <c r="AD1410" t="n">
        <v>850.5214999999999</v>
      </c>
      <c r="AE1410" t="n">
        <v>1236.0029</v>
      </c>
      <c r="AF1410" t="n">
        <v>1236.0029</v>
      </c>
      <c r="AG1410" t="n">
        <v>154.1925</v>
      </c>
      <c r="AH1410" t="n">
        <v>0.00020313</v>
      </c>
      <c r="AI1410" t="n">
        <v>0.110914</v>
      </c>
      <c r="AJ1410" t="n">
        <v>385.4813</v>
      </c>
      <c r="AK1410" t="n">
        <v>38.5481</v>
      </c>
      <c r="AL1410" t="n">
        <v>8119.7336</v>
      </c>
      <c r="AM1410" t="n">
        <v>1236.0029</v>
      </c>
      <c r="AN1410" t="n">
        <v>0.99</v>
      </c>
      <c r="AO1410" t="inlineStr">
        <is>
          <t>Critical</t>
        </is>
      </c>
      <c r="AP1410" t="inlineStr">
        <is>
          <t>On Track to Glide Path</t>
        </is>
      </c>
    </row>
    <row r="1411">
      <c r="A1411" t="inlineStr">
        <is>
          <t>SUP-0089</t>
        </is>
      </c>
      <c r="B1411" t="inlineStr">
        <is>
          <t>Professional Supplier 089</t>
        </is>
      </c>
      <c r="C1411" t="inlineStr">
        <is>
          <t>Professional Services</t>
        </is>
      </c>
      <c r="D1411" t="n">
        <v>2024</v>
      </c>
      <c r="E1411" t="n">
        <v>2021</v>
      </c>
      <c r="F1411" t="n">
        <v>2035</v>
      </c>
      <c r="G1411" t="n">
        <v>1355.5904</v>
      </c>
      <c r="H1411" t="n">
        <v>168.8568</v>
      </c>
      <c r="I1411" t="n">
        <v>101.5004</v>
      </c>
      <c r="J1411" t="n">
        <v>1061.707</v>
      </c>
      <c r="K1411" t="n">
        <v>6084672.63</v>
      </c>
      <c r="L1411" t="n">
        <v>24578075.77</v>
      </c>
      <c r="M1411" t="n">
        <v>1355.5904</v>
      </c>
      <c r="N1411" t="inlineStr">
        <is>
          <t>Provided Total Emissions</t>
        </is>
      </c>
      <c r="O1411" t="b">
        <v>1</v>
      </c>
      <c r="P1411" t="n">
        <v>-0.013491</v>
      </c>
      <c r="Q1411" t="n">
        <v>-0.023851</v>
      </c>
      <c r="R1411" t="n">
        <v>785.2877999999999</v>
      </c>
      <c r="S1411" t="n">
        <v>4831.5581</v>
      </c>
      <c r="T1411" t="n">
        <v>-570.3026</v>
      </c>
      <c r="U1411" t="n">
        <v>3475.9677</v>
      </c>
      <c r="V1411" t="n">
        <v>-0.420704</v>
      </c>
      <c r="W1411" t="n">
        <v>2.564173</v>
      </c>
      <c r="X1411" t="inlineStr">
        <is>
          <t>High</t>
        </is>
      </c>
      <c r="Y1411" t="inlineStr">
        <is>
          <t>None</t>
        </is>
      </c>
      <c r="Z1411" t="inlineStr">
        <is>
          <t>Valid</t>
        </is>
      </c>
      <c r="AA1411" t="n">
        <v>2026</v>
      </c>
      <c r="AB1411" t="inlineStr">
        <is>
          <t>Supplier Target Pathway</t>
        </is>
      </c>
      <c r="AC1411" t="n">
        <v>1390.1954</v>
      </c>
      <c r="AD1411" t="n">
        <v>850.5214999999999</v>
      </c>
      <c r="AE1411" t="n">
        <v>1197.4547</v>
      </c>
      <c r="AF1411" t="n">
        <v>1197.4547</v>
      </c>
      <c r="AG1411" t="n">
        <v>192.7407</v>
      </c>
      <c r="AH1411" t="n">
        <v>0.0001968</v>
      </c>
      <c r="AI1411" t="n">
        <v>0.138643</v>
      </c>
      <c r="AJ1411" t="n">
        <v>346.9332</v>
      </c>
      <c r="AK1411" t="n">
        <v>38.5481</v>
      </c>
      <c r="AL1411" t="n">
        <v>6922.2789</v>
      </c>
      <c r="AM1411" t="n">
        <v>2433.4576</v>
      </c>
      <c r="AN1411" t="n">
        <v>0.99</v>
      </c>
      <c r="AO1411" t="inlineStr">
        <is>
          <t>Critical</t>
        </is>
      </c>
      <c r="AP1411" t="inlineStr">
        <is>
          <t>On Track to Glide Path</t>
        </is>
      </c>
    </row>
    <row r="1412">
      <c r="A1412" t="inlineStr">
        <is>
          <t>SUP-0089</t>
        </is>
      </c>
      <c r="B1412" t="inlineStr">
        <is>
          <t>Professional Supplier 089</t>
        </is>
      </c>
      <c r="C1412" t="inlineStr">
        <is>
          <t>Professional Services</t>
        </is>
      </c>
      <c r="D1412" t="n">
        <v>2024</v>
      </c>
      <c r="E1412" t="n">
        <v>2021</v>
      </c>
      <c r="F1412" t="n">
        <v>2035</v>
      </c>
      <c r="G1412" t="n">
        <v>1355.5904</v>
      </c>
      <c r="H1412" t="n">
        <v>168.8568</v>
      </c>
      <c r="I1412" t="n">
        <v>101.5004</v>
      </c>
      <c r="J1412" t="n">
        <v>1061.707</v>
      </c>
      <c r="K1412" t="n">
        <v>6084672.63</v>
      </c>
      <c r="L1412" t="n">
        <v>24578075.77</v>
      </c>
      <c r="M1412" t="n">
        <v>1355.5904</v>
      </c>
      <c r="N1412" t="inlineStr">
        <is>
          <t>Provided Total Emissions</t>
        </is>
      </c>
      <c r="O1412" t="b">
        <v>1</v>
      </c>
      <c r="P1412" t="n">
        <v>-0.013491</v>
      </c>
      <c r="Q1412" t="n">
        <v>-0.023851</v>
      </c>
      <c r="R1412" t="n">
        <v>785.2877999999999</v>
      </c>
      <c r="S1412" t="n">
        <v>4831.5581</v>
      </c>
      <c r="T1412" t="n">
        <v>-570.3026</v>
      </c>
      <c r="U1412" t="n">
        <v>3475.9677</v>
      </c>
      <c r="V1412" t="n">
        <v>-0.420704</v>
      </c>
      <c r="W1412" t="n">
        <v>2.564173</v>
      </c>
      <c r="X1412" t="inlineStr">
        <is>
          <t>High</t>
        </is>
      </c>
      <c r="Y1412" t="inlineStr">
        <is>
          <t>None</t>
        </is>
      </c>
      <c r="Z1412" t="inlineStr">
        <is>
          <t>Valid</t>
        </is>
      </c>
      <c r="AA1412" t="n">
        <v>2027</v>
      </c>
      <c r="AB1412" t="inlineStr">
        <is>
          <t>Supplier Target Pathway</t>
        </is>
      </c>
      <c r="AC1412" t="n">
        <v>1390.1954</v>
      </c>
      <c r="AD1412" t="n">
        <v>850.5214999999999</v>
      </c>
      <c r="AE1412" t="n">
        <v>1158.9066</v>
      </c>
      <c r="AF1412" t="n">
        <v>1158.9066</v>
      </c>
      <c r="AG1412" t="n">
        <v>231.2888</v>
      </c>
      <c r="AH1412" t="n">
        <v>0.00019046</v>
      </c>
      <c r="AI1412" t="n">
        <v>0.166371</v>
      </c>
      <c r="AJ1412" t="n">
        <v>308.3851</v>
      </c>
      <c r="AK1412" t="n">
        <v>38.5481</v>
      </c>
      <c r="AL1412" t="n">
        <v>5763.3723</v>
      </c>
      <c r="AM1412" t="n">
        <v>3592.3642</v>
      </c>
      <c r="AN1412" t="n">
        <v>0.99</v>
      </c>
      <c r="AO1412" t="inlineStr">
        <is>
          <t>Critical</t>
        </is>
      </c>
      <c r="AP1412" t="inlineStr">
        <is>
          <t>On Track to Glide Path</t>
        </is>
      </c>
    </row>
    <row r="1413">
      <c r="A1413" t="inlineStr">
        <is>
          <t>SUP-0089</t>
        </is>
      </c>
      <c r="B1413" t="inlineStr">
        <is>
          <t>Professional Supplier 089</t>
        </is>
      </c>
      <c r="C1413" t="inlineStr">
        <is>
          <t>Professional Services</t>
        </is>
      </c>
      <c r="D1413" t="n">
        <v>2024</v>
      </c>
      <c r="E1413" t="n">
        <v>2021</v>
      </c>
      <c r="F1413" t="n">
        <v>2035</v>
      </c>
      <c r="G1413" t="n">
        <v>1355.5904</v>
      </c>
      <c r="H1413" t="n">
        <v>168.8568</v>
      </c>
      <c r="I1413" t="n">
        <v>101.5004</v>
      </c>
      <c r="J1413" t="n">
        <v>1061.707</v>
      </c>
      <c r="K1413" t="n">
        <v>6084672.63</v>
      </c>
      <c r="L1413" t="n">
        <v>24578075.77</v>
      </c>
      <c r="M1413" t="n">
        <v>1355.5904</v>
      </c>
      <c r="N1413" t="inlineStr">
        <is>
          <t>Provided Total Emissions</t>
        </is>
      </c>
      <c r="O1413" t="b">
        <v>1</v>
      </c>
      <c r="P1413" t="n">
        <v>-0.013491</v>
      </c>
      <c r="Q1413" t="n">
        <v>-0.023851</v>
      </c>
      <c r="R1413" t="n">
        <v>785.2877999999999</v>
      </c>
      <c r="S1413" t="n">
        <v>4831.5581</v>
      </c>
      <c r="T1413" t="n">
        <v>-570.3026</v>
      </c>
      <c r="U1413" t="n">
        <v>3475.9677</v>
      </c>
      <c r="V1413" t="n">
        <v>-0.420704</v>
      </c>
      <c r="W1413" t="n">
        <v>2.564173</v>
      </c>
      <c r="X1413" t="inlineStr">
        <is>
          <t>High</t>
        </is>
      </c>
      <c r="Y1413" t="inlineStr">
        <is>
          <t>None</t>
        </is>
      </c>
      <c r="Z1413" t="inlineStr">
        <is>
          <t>Valid</t>
        </is>
      </c>
      <c r="AA1413" t="n">
        <v>2028</v>
      </c>
      <c r="AB1413" t="inlineStr">
        <is>
          <t>Supplier Target Pathway</t>
        </is>
      </c>
      <c r="AC1413" t="n">
        <v>1390.1954</v>
      </c>
      <c r="AD1413" t="n">
        <v>850.5214999999999</v>
      </c>
      <c r="AE1413" t="n">
        <v>1120.3585</v>
      </c>
      <c r="AF1413" t="n">
        <v>1120.3585</v>
      </c>
      <c r="AG1413" t="n">
        <v>269.8369</v>
      </c>
      <c r="AH1413" t="n">
        <v>0.00018413</v>
      </c>
      <c r="AI1413" t="n">
        <v>0.1941</v>
      </c>
      <c r="AJ1413" t="n">
        <v>269.8369</v>
      </c>
      <c r="AK1413" t="n">
        <v>38.5481</v>
      </c>
      <c r="AL1413" t="n">
        <v>4643.0138</v>
      </c>
      <c r="AM1413" t="n">
        <v>4712.7227</v>
      </c>
      <c r="AN1413" t="n">
        <v>0.99</v>
      </c>
      <c r="AO1413" t="inlineStr">
        <is>
          <t>High</t>
        </is>
      </c>
      <c r="AP1413" t="inlineStr">
        <is>
          <t>On Track to Glide Path</t>
        </is>
      </c>
    </row>
    <row r="1414">
      <c r="A1414" t="inlineStr">
        <is>
          <t>SUP-0089</t>
        </is>
      </c>
      <c r="B1414" t="inlineStr">
        <is>
          <t>Professional Supplier 089</t>
        </is>
      </c>
      <c r="C1414" t="inlineStr">
        <is>
          <t>Professional Services</t>
        </is>
      </c>
      <c r="D1414" t="n">
        <v>2024</v>
      </c>
      <c r="E1414" t="n">
        <v>2021</v>
      </c>
      <c r="F1414" t="n">
        <v>2035</v>
      </c>
      <c r="G1414" t="n">
        <v>1355.5904</v>
      </c>
      <c r="H1414" t="n">
        <v>168.8568</v>
      </c>
      <c r="I1414" t="n">
        <v>101.5004</v>
      </c>
      <c r="J1414" t="n">
        <v>1061.707</v>
      </c>
      <c r="K1414" t="n">
        <v>6084672.63</v>
      </c>
      <c r="L1414" t="n">
        <v>24578075.77</v>
      </c>
      <c r="M1414" t="n">
        <v>1355.5904</v>
      </c>
      <c r="N1414" t="inlineStr">
        <is>
          <t>Provided Total Emissions</t>
        </is>
      </c>
      <c r="O1414" t="b">
        <v>1</v>
      </c>
      <c r="P1414" t="n">
        <v>-0.013491</v>
      </c>
      <c r="Q1414" t="n">
        <v>-0.023851</v>
      </c>
      <c r="R1414" t="n">
        <v>785.2877999999999</v>
      </c>
      <c r="S1414" t="n">
        <v>4831.5581</v>
      </c>
      <c r="T1414" t="n">
        <v>-570.3026</v>
      </c>
      <c r="U1414" t="n">
        <v>3475.9677</v>
      </c>
      <c r="V1414" t="n">
        <v>-0.420704</v>
      </c>
      <c r="W1414" t="n">
        <v>2.564173</v>
      </c>
      <c r="X1414" t="inlineStr">
        <is>
          <t>High</t>
        </is>
      </c>
      <c r="Y1414" t="inlineStr">
        <is>
          <t>None</t>
        </is>
      </c>
      <c r="Z1414" t="inlineStr">
        <is>
          <t>Valid</t>
        </is>
      </c>
      <c r="AA1414" t="n">
        <v>2029</v>
      </c>
      <c r="AB1414" t="inlineStr">
        <is>
          <t>Supplier Target Pathway</t>
        </is>
      </c>
      <c r="AC1414" t="n">
        <v>1390.1954</v>
      </c>
      <c r="AD1414" t="n">
        <v>850.5214999999999</v>
      </c>
      <c r="AE1414" t="n">
        <v>1081.8103</v>
      </c>
      <c r="AF1414" t="n">
        <v>1081.8103</v>
      </c>
      <c r="AG1414" t="n">
        <v>308.3851</v>
      </c>
      <c r="AH1414" t="n">
        <v>0.00017779</v>
      </c>
      <c r="AI1414" t="n">
        <v>0.221829</v>
      </c>
      <c r="AJ1414" t="n">
        <v>231.2888</v>
      </c>
      <c r="AK1414" t="n">
        <v>38.5481</v>
      </c>
      <c r="AL1414" t="n">
        <v>3561.2035</v>
      </c>
      <c r="AM1414" t="n">
        <v>5794.533</v>
      </c>
      <c r="AN1414" t="n">
        <v>0.99</v>
      </c>
      <c r="AO1414" t="inlineStr">
        <is>
          <t>High</t>
        </is>
      </c>
      <c r="AP1414" t="inlineStr">
        <is>
          <t>On Track to Glide Path</t>
        </is>
      </c>
    </row>
    <row r="1415">
      <c r="A1415" t="inlineStr">
        <is>
          <t>SUP-0089</t>
        </is>
      </c>
      <c r="B1415" t="inlineStr">
        <is>
          <t>Professional Supplier 089</t>
        </is>
      </c>
      <c r="C1415" t="inlineStr">
        <is>
          <t>Professional Services</t>
        </is>
      </c>
      <c r="D1415" t="n">
        <v>2024</v>
      </c>
      <c r="E1415" t="n">
        <v>2021</v>
      </c>
      <c r="F1415" t="n">
        <v>2035</v>
      </c>
      <c r="G1415" t="n">
        <v>1355.5904</v>
      </c>
      <c r="H1415" t="n">
        <v>168.8568</v>
      </c>
      <c r="I1415" t="n">
        <v>101.5004</v>
      </c>
      <c r="J1415" t="n">
        <v>1061.707</v>
      </c>
      <c r="K1415" t="n">
        <v>6084672.63</v>
      </c>
      <c r="L1415" t="n">
        <v>24578075.77</v>
      </c>
      <c r="M1415" t="n">
        <v>1355.5904</v>
      </c>
      <c r="N1415" t="inlineStr">
        <is>
          <t>Provided Total Emissions</t>
        </is>
      </c>
      <c r="O1415" t="b">
        <v>1</v>
      </c>
      <c r="P1415" t="n">
        <v>-0.013491</v>
      </c>
      <c r="Q1415" t="n">
        <v>-0.023851</v>
      </c>
      <c r="R1415" t="n">
        <v>785.2877999999999</v>
      </c>
      <c r="S1415" t="n">
        <v>4831.5581</v>
      </c>
      <c r="T1415" t="n">
        <v>-570.3026</v>
      </c>
      <c r="U1415" t="n">
        <v>3475.9677</v>
      </c>
      <c r="V1415" t="n">
        <v>-0.420704</v>
      </c>
      <c r="W1415" t="n">
        <v>2.564173</v>
      </c>
      <c r="X1415" t="inlineStr">
        <is>
          <t>High</t>
        </is>
      </c>
      <c r="Y1415" t="inlineStr">
        <is>
          <t>None</t>
        </is>
      </c>
      <c r="Z1415" t="inlineStr">
        <is>
          <t>Valid</t>
        </is>
      </c>
      <c r="AA1415" t="n">
        <v>2030</v>
      </c>
      <c r="AB1415" t="inlineStr">
        <is>
          <t>Supplier Target Pathway</t>
        </is>
      </c>
      <c r="AC1415" t="n">
        <v>1390.1954</v>
      </c>
      <c r="AD1415" t="n">
        <v>850.5214999999999</v>
      </c>
      <c r="AE1415" t="n">
        <v>1043.2622</v>
      </c>
      <c r="AF1415" t="n">
        <v>1043.2622</v>
      </c>
      <c r="AG1415" t="n">
        <v>346.9332</v>
      </c>
      <c r="AH1415" t="n">
        <v>0.00017146</v>
      </c>
      <c r="AI1415" t="n">
        <v>0.249557</v>
      </c>
      <c r="AJ1415" t="n">
        <v>192.7407</v>
      </c>
      <c r="AK1415" t="n">
        <v>38.5481</v>
      </c>
      <c r="AL1415" t="n">
        <v>2517.9413</v>
      </c>
      <c r="AM1415" t="n">
        <v>6837.7952</v>
      </c>
      <c r="AN1415" t="n">
        <v>0.99</v>
      </c>
      <c r="AO1415" t="inlineStr">
        <is>
          <t>High</t>
        </is>
      </c>
      <c r="AP1415" t="inlineStr">
        <is>
          <t>On Track to Glide Path</t>
        </is>
      </c>
    </row>
    <row r="1416">
      <c r="A1416" t="inlineStr">
        <is>
          <t>SUP-0089</t>
        </is>
      </c>
      <c r="B1416" t="inlineStr">
        <is>
          <t>Professional Supplier 089</t>
        </is>
      </c>
      <c r="C1416" t="inlineStr">
        <is>
          <t>Professional Services</t>
        </is>
      </c>
      <c r="D1416" t="n">
        <v>2024</v>
      </c>
      <c r="E1416" t="n">
        <v>2021</v>
      </c>
      <c r="F1416" t="n">
        <v>2035</v>
      </c>
      <c r="G1416" t="n">
        <v>1355.5904</v>
      </c>
      <c r="H1416" t="n">
        <v>168.8568</v>
      </c>
      <c r="I1416" t="n">
        <v>101.5004</v>
      </c>
      <c r="J1416" t="n">
        <v>1061.707</v>
      </c>
      <c r="K1416" t="n">
        <v>6084672.63</v>
      </c>
      <c r="L1416" t="n">
        <v>24578075.77</v>
      </c>
      <c r="M1416" t="n">
        <v>1355.5904</v>
      </c>
      <c r="N1416" t="inlineStr">
        <is>
          <t>Provided Total Emissions</t>
        </is>
      </c>
      <c r="O1416" t="b">
        <v>1</v>
      </c>
      <c r="P1416" t="n">
        <v>-0.013491</v>
      </c>
      <c r="Q1416" t="n">
        <v>-0.023851</v>
      </c>
      <c r="R1416" t="n">
        <v>785.2877999999999</v>
      </c>
      <c r="S1416" t="n">
        <v>4831.5581</v>
      </c>
      <c r="T1416" t="n">
        <v>-570.3026</v>
      </c>
      <c r="U1416" t="n">
        <v>3475.9677</v>
      </c>
      <c r="V1416" t="n">
        <v>-0.420704</v>
      </c>
      <c r="W1416" t="n">
        <v>2.564173</v>
      </c>
      <c r="X1416" t="inlineStr">
        <is>
          <t>High</t>
        </is>
      </c>
      <c r="Y1416" t="inlineStr">
        <is>
          <t>None</t>
        </is>
      </c>
      <c r="Z1416" t="inlineStr">
        <is>
          <t>Valid</t>
        </is>
      </c>
      <c r="AA1416" t="n">
        <v>2031</v>
      </c>
      <c r="AB1416" t="inlineStr">
        <is>
          <t>Supplier Target Pathway</t>
        </is>
      </c>
      <c r="AC1416" t="n">
        <v>1390.1954</v>
      </c>
      <c r="AD1416" t="n">
        <v>850.5214999999999</v>
      </c>
      <c r="AE1416" t="n">
        <v>1004.7141</v>
      </c>
      <c r="AF1416" t="n">
        <v>1004.7141</v>
      </c>
      <c r="AG1416" t="n">
        <v>385.4813</v>
      </c>
      <c r="AH1416" t="n">
        <v>0.00016512</v>
      </c>
      <c r="AI1416" t="n">
        <v>0.277286</v>
      </c>
      <c r="AJ1416" t="n">
        <v>154.1925</v>
      </c>
      <c r="AK1416" t="n">
        <v>38.5481</v>
      </c>
      <c r="AL1416" t="n">
        <v>1513.2272</v>
      </c>
      <c r="AM1416" t="n">
        <v>7842.5093</v>
      </c>
      <c r="AN1416" t="n">
        <v>0.99</v>
      </c>
      <c r="AO1416" t="inlineStr">
        <is>
          <t>High</t>
        </is>
      </c>
      <c r="AP1416" t="inlineStr">
        <is>
          <t>On Track to Glide Path</t>
        </is>
      </c>
    </row>
    <row r="1417">
      <c r="A1417" t="inlineStr">
        <is>
          <t>SUP-0089</t>
        </is>
      </c>
      <c r="B1417" t="inlineStr">
        <is>
          <t>Professional Supplier 089</t>
        </is>
      </c>
      <c r="C1417" t="inlineStr">
        <is>
          <t>Professional Services</t>
        </is>
      </c>
      <c r="D1417" t="n">
        <v>2024</v>
      </c>
      <c r="E1417" t="n">
        <v>2021</v>
      </c>
      <c r="F1417" t="n">
        <v>2035</v>
      </c>
      <c r="G1417" t="n">
        <v>1355.5904</v>
      </c>
      <c r="H1417" t="n">
        <v>168.8568</v>
      </c>
      <c r="I1417" t="n">
        <v>101.5004</v>
      </c>
      <c r="J1417" t="n">
        <v>1061.707</v>
      </c>
      <c r="K1417" t="n">
        <v>6084672.63</v>
      </c>
      <c r="L1417" t="n">
        <v>24578075.77</v>
      </c>
      <c r="M1417" t="n">
        <v>1355.5904</v>
      </c>
      <c r="N1417" t="inlineStr">
        <is>
          <t>Provided Total Emissions</t>
        </is>
      </c>
      <c r="O1417" t="b">
        <v>1</v>
      </c>
      <c r="P1417" t="n">
        <v>-0.013491</v>
      </c>
      <c r="Q1417" t="n">
        <v>-0.023851</v>
      </c>
      <c r="R1417" t="n">
        <v>785.2877999999999</v>
      </c>
      <c r="S1417" t="n">
        <v>4831.5581</v>
      </c>
      <c r="T1417" t="n">
        <v>-570.3026</v>
      </c>
      <c r="U1417" t="n">
        <v>3475.9677</v>
      </c>
      <c r="V1417" t="n">
        <v>-0.420704</v>
      </c>
      <c r="W1417" t="n">
        <v>2.564173</v>
      </c>
      <c r="X1417" t="inlineStr">
        <is>
          <t>High</t>
        </is>
      </c>
      <c r="Y1417" t="inlineStr">
        <is>
          <t>None</t>
        </is>
      </c>
      <c r="Z1417" t="inlineStr">
        <is>
          <t>Valid</t>
        </is>
      </c>
      <c r="AA1417" t="n">
        <v>2032</v>
      </c>
      <c r="AB1417" t="inlineStr">
        <is>
          <t>Supplier Target Pathway</t>
        </is>
      </c>
      <c r="AC1417" t="n">
        <v>1390.1954</v>
      </c>
      <c r="AD1417" t="n">
        <v>850.5214999999999</v>
      </c>
      <c r="AE1417" t="n">
        <v>966.1659</v>
      </c>
      <c r="AF1417" t="n">
        <v>966.1659</v>
      </c>
      <c r="AG1417" t="n">
        <v>424.0295</v>
      </c>
      <c r="AH1417" t="n">
        <v>0.00015879</v>
      </c>
      <c r="AI1417" t="n">
        <v>0.305014</v>
      </c>
      <c r="AJ1417" t="n">
        <v>115.6444</v>
      </c>
      <c r="AK1417" t="n">
        <v>38.5481</v>
      </c>
      <c r="AL1417" t="n">
        <v>547.0613</v>
      </c>
      <c r="AM1417" t="n">
        <v>8808.6752</v>
      </c>
      <c r="AN1417" t="n">
        <v>0.99</v>
      </c>
      <c r="AO1417" t="inlineStr">
        <is>
          <t>Medium</t>
        </is>
      </c>
      <c r="AP1417" t="inlineStr">
        <is>
          <t>On Track to Glide Path</t>
        </is>
      </c>
    </row>
    <row r="1418">
      <c r="A1418" t="inlineStr">
        <is>
          <t>SUP-0089</t>
        </is>
      </c>
      <c r="B1418" t="inlineStr">
        <is>
          <t>Professional Supplier 089</t>
        </is>
      </c>
      <c r="C1418" t="inlineStr">
        <is>
          <t>Professional Services</t>
        </is>
      </c>
      <c r="D1418" t="n">
        <v>2024</v>
      </c>
      <c r="E1418" t="n">
        <v>2021</v>
      </c>
      <c r="F1418" t="n">
        <v>2035</v>
      </c>
      <c r="G1418" t="n">
        <v>1355.5904</v>
      </c>
      <c r="H1418" t="n">
        <v>168.8568</v>
      </c>
      <c r="I1418" t="n">
        <v>101.5004</v>
      </c>
      <c r="J1418" t="n">
        <v>1061.707</v>
      </c>
      <c r="K1418" t="n">
        <v>6084672.63</v>
      </c>
      <c r="L1418" t="n">
        <v>24578075.77</v>
      </c>
      <c r="M1418" t="n">
        <v>1355.5904</v>
      </c>
      <c r="N1418" t="inlineStr">
        <is>
          <t>Provided Total Emissions</t>
        </is>
      </c>
      <c r="O1418" t="b">
        <v>1</v>
      </c>
      <c r="P1418" t="n">
        <v>-0.013491</v>
      </c>
      <c r="Q1418" t="n">
        <v>-0.023851</v>
      </c>
      <c r="R1418" t="n">
        <v>785.2877999999999</v>
      </c>
      <c r="S1418" t="n">
        <v>4831.5581</v>
      </c>
      <c r="T1418" t="n">
        <v>-570.3026</v>
      </c>
      <c r="U1418" t="n">
        <v>3475.9677</v>
      </c>
      <c r="V1418" t="n">
        <v>-0.420704</v>
      </c>
      <c r="W1418" t="n">
        <v>2.564173</v>
      </c>
      <c r="X1418" t="inlineStr">
        <is>
          <t>High</t>
        </is>
      </c>
      <c r="Y1418" t="inlineStr">
        <is>
          <t>None</t>
        </is>
      </c>
      <c r="Z1418" t="inlineStr">
        <is>
          <t>Valid</t>
        </is>
      </c>
      <c r="AA1418" t="n">
        <v>2033</v>
      </c>
      <c r="AB1418" t="inlineStr">
        <is>
          <t>Supplier Target Pathway</t>
        </is>
      </c>
      <c r="AC1418" t="n">
        <v>1390.1954</v>
      </c>
      <c r="AD1418" t="n">
        <v>850.5214999999999</v>
      </c>
      <c r="AE1418" t="n">
        <v>927.6178</v>
      </c>
      <c r="AF1418" t="n">
        <v>927.6178</v>
      </c>
      <c r="AG1418" t="n">
        <v>462.5776</v>
      </c>
      <c r="AH1418" t="n">
        <v>0.00015245</v>
      </c>
      <c r="AI1418" t="n">
        <v>0.332743</v>
      </c>
      <c r="AJ1418" t="n">
        <v>77.0963</v>
      </c>
      <c r="AK1418" t="n">
        <v>38.5481</v>
      </c>
      <c r="AL1418" t="n">
        <v>-380.5565</v>
      </c>
      <c r="AM1418" t="n">
        <v>9736.293</v>
      </c>
      <c r="AN1418" t="n">
        <v>0.99</v>
      </c>
      <c r="AO1418" t="inlineStr">
        <is>
          <t>Medium</t>
        </is>
      </c>
      <c r="AP1418" t="inlineStr">
        <is>
          <t>On Track to Glide Path</t>
        </is>
      </c>
    </row>
    <row r="1419">
      <c r="A1419" t="inlineStr">
        <is>
          <t>SUP-0089</t>
        </is>
      </c>
      <c r="B1419" t="inlineStr">
        <is>
          <t>Professional Supplier 089</t>
        </is>
      </c>
      <c r="C1419" t="inlineStr">
        <is>
          <t>Professional Services</t>
        </is>
      </c>
      <c r="D1419" t="n">
        <v>2024</v>
      </c>
      <c r="E1419" t="n">
        <v>2021</v>
      </c>
      <c r="F1419" t="n">
        <v>2035</v>
      </c>
      <c r="G1419" t="n">
        <v>1355.5904</v>
      </c>
      <c r="H1419" t="n">
        <v>168.8568</v>
      </c>
      <c r="I1419" t="n">
        <v>101.5004</v>
      </c>
      <c r="J1419" t="n">
        <v>1061.707</v>
      </c>
      <c r="K1419" t="n">
        <v>6084672.63</v>
      </c>
      <c r="L1419" t="n">
        <v>24578075.77</v>
      </c>
      <c r="M1419" t="n">
        <v>1355.5904</v>
      </c>
      <c r="N1419" t="inlineStr">
        <is>
          <t>Provided Total Emissions</t>
        </is>
      </c>
      <c r="O1419" t="b">
        <v>1</v>
      </c>
      <c r="P1419" t="n">
        <v>-0.013491</v>
      </c>
      <c r="Q1419" t="n">
        <v>-0.023851</v>
      </c>
      <c r="R1419" t="n">
        <v>785.2877999999999</v>
      </c>
      <c r="S1419" t="n">
        <v>4831.5581</v>
      </c>
      <c r="T1419" t="n">
        <v>-570.3026</v>
      </c>
      <c r="U1419" t="n">
        <v>3475.9677</v>
      </c>
      <c r="V1419" t="n">
        <v>-0.420704</v>
      </c>
      <c r="W1419" t="n">
        <v>2.564173</v>
      </c>
      <c r="X1419" t="inlineStr">
        <is>
          <t>High</t>
        </is>
      </c>
      <c r="Y1419" t="inlineStr">
        <is>
          <t>None</t>
        </is>
      </c>
      <c r="Z1419" t="inlineStr">
        <is>
          <t>Valid</t>
        </is>
      </c>
      <c r="AA1419" t="n">
        <v>2034</v>
      </c>
      <c r="AB1419" t="inlineStr">
        <is>
          <t>Supplier Target Pathway</t>
        </is>
      </c>
      <c r="AC1419" t="n">
        <v>1390.1954</v>
      </c>
      <c r="AD1419" t="n">
        <v>850.5214999999999</v>
      </c>
      <c r="AE1419" t="n">
        <v>889.0697</v>
      </c>
      <c r="AF1419" t="n">
        <v>889.0697</v>
      </c>
      <c r="AG1419" t="n">
        <v>501.1257</v>
      </c>
      <c r="AH1419" t="n">
        <v>0.00014612</v>
      </c>
      <c r="AI1419" t="n">
        <v>0.360471</v>
      </c>
      <c r="AJ1419" t="n">
        <v>38.5481</v>
      </c>
      <c r="AK1419" t="n">
        <v>38.5481</v>
      </c>
      <c r="AL1419" t="n">
        <v>-1269.6262</v>
      </c>
      <c r="AM1419" t="n">
        <v>10625.3627</v>
      </c>
      <c r="AN1419" t="n">
        <v>0.99</v>
      </c>
      <c r="AO1419" t="inlineStr">
        <is>
          <t>Medium</t>
        </is>
      </c>
      <c r="AP1419" t="inlineStr">
        <is>
          <t>On Track to Glide Path</t>
        </is>
      </c>
    </row>
    <row r="1420">
      <c r="A1420" t="inlineStr">
        <is>
          <t>SUP-0089</t>
        </is>
      </c>
      <c r="B1420" t="inlineStr">
        <is>
          <t>Professional Supplier 089</t>
        </is>
      </c>
      <c r="C1420" t="inlineStr">
        <is>
          <t>Professional Services</t>
        </is>
      </c>
      <c r="D1420" t="n">
        <v>2024</v>
      </c>
      <c r="E1420" t="n">
        <v>2021</v>
      </c>
      <c r="F1420" t="n">
        <v>2035</v>
      </c>
      <c r="G1420" t="n">
        <v>1355.5904</v>
      </c>
      <c r="H1420" t="n">
        <v>168.8568</v>
      </c>
      <c r="I1420" t="n">
        <v>101.5004</v>
      </c>
      <c r="J1420" t="n">
        <v>1061.707</v>
      </c>
      <c r="K1420" t="n">
        <v>6084672.63</v>
      </c>
      <c r="L1420" t="n">
        <v>24578075.77</v>
      </c>
      <c r="M1420" t="n">
        <v>1355.5904</v>
      </c>
      <c r="N1420" t="inlineStr">
        <is>
          <t>Provided Total Emissions</t>
        </is>
      </c>
      <c r="O1420" t="b">
        <v>1</v>
      </c>
      <c r="P1420" t="n">
        <v>-0.013491</v>
      </c>
      <c r="Q1420" t="n">
        <v>-0.023851</v>
      </c>
      <c r="R1420" t="n">
        <v>785.2877999999999</v>
      </c>
      <c r="S1420" t="n">
        <v>4831.5581</v>
      </c>
      <c r="T1420" t="n">
        <v>-570.3026</v>
      </c>
      <c r="U1420" t="n">
        <v>3475.9677</v>
      </c>
      <c r="V1420" t="n">
        <v>-0.420704</v>
      </c>
      <c r="W1420" t="n">
        <v>2.564173</v>
      </c>
      <c r="X1420" t="inlineStr">
        <is>
          <t>High</t>
        </is>
      </c>
      <c r="Y1420" t="inlineStr">
        <is>
          <t>None</t>
        </is>
      </c>
      <c r="Z1420" t="inlineStr">
        <is>
          <t>Valid</t>
        </is>
      </c>
      <c r="AA1420" t="n">
        <v>2035</v>
      </c>
      <c r="AB1420" t="inlineStr">
        <is>
          <t>Supplier Target Pathway</t>
        </is>
      </c>
      <c r="AC1420" t="n">
        <v>1390.1954</v>
      </c>
      <c r="AD1420" t="n">
        <v>850.5214999999999</v>
      </c>
      <c r="AE1420" t="n">
        <v>850.5214999999999</v>
      </c>
      <c r="AF1420" t="n">
        <v>850.5214999999999</v>
      </c>
      <c r="AG1420" t="n">
        <v>539.6739</v>
      </c>
      <c r="AH1420" t="n">
        <v>0.00013978</v>
      </c>
      <c r="AI1420" t="n">
        <v>0.3882</v>
      </c>
      <c r="AJ1420" t="n">
        <v>0</v>
      </c>
      <c r="AK1420" t="n">
        <v>38.5481</v>
      </c>
      <c r="AL1420" t="n">
        <v>-2120.1477</v>
      </c>
      <c r="AM1420" t="n">
        <v>11475.8842</v>
      </c>
      <c r="AN1420" t="n">
        <v>0.99</v>
      </c>
      <c r="AO1420" t="inlineStr">
        <is>
          <t>Low</t>
        </is>
      </c>
      <c r="AP1420" t="inlineStr">
        <is>
          <t>On Track</t>
        </is>
      </c>
    </row>
    <row r="1421">
      <c r="A1421" t="inlineStr">
        <is>
          <t>SUP-0089</t>
        </is>
      </c>
      <c r="B1421" t="inlineStr">
        <is>
          <t>Professional Supplier 089</t>
        </is>
      </c>
      <c r="C1421" t="inlineStr">
        <is>
          <t>Professional Services</t>
        </is>
      </c>
      <c r="D1421" t="n">
        <v>2024</v>
      </c>
      <c r="E1421" t="n">
        <v>2021</v>
      </c>
      <c r="F1421" t="n">
        <v>2035</v>
      </c>
      <c r="G1421" t="n">
        <v>1355.5904</v>
      </c>
      <c r="H1421" t="n">
        <v>168.8568</v>
      </c>
      <c r="I1421" t="n">
        <v>101.5004</v>
      </c>
      <c r="J1421" t="n">
        <v>1061.707</v>
      </c>
      <c r="K1421" t="n">
        <v>6084672.63</v>
      </c>
      <c r="L1421" t="n">
        <v>24578075.77</v>
      </c>
      <c r="M1421" t="n">
        <v>1355.5904</v>
      </c>
      <c r="N1421" t="inlineStr">
        <is>
          <t>Provided Total Emissions</t>
        </is>
      </c>
      <c r="O1421" t="b">
        <v>1</v>
      </c>
      <c r="P1421" t="n">
        <v>-0.013491</v>
      </c>
      <c r="Q1421" t="n">
        <v>-0.023851</v>
      </c>
      <c r="R1421" t="n">
        <v>785.2877999999999</v>
      </c>
      <c r="S1421" t="n">
        <v>4831.5581</v>
      </c>
      <c r="T1421" t="n">
        <v>-570.3026</v>
      </c>
      <c r="U1421" t="n">
        <v>3475.9677</v>
      </c>
      <c r="V1421" t="n">
        <v>-0.420704</v>
      </c>
      <c r="W1421" t="n">
        <v>2.564173</v>
      </c>
      <c r="X1421" t="inlineStr">
        <is>
          <t>High</t>
        </is>
      </c>
      <c r="Y1421" t="inlineStr">
        <is>
          <t>None</t>
        </is>
      </c>
      <c r="Z1421" t="inlineStr">
        <is>
          <t>Valid</t>
        </is>
      </c>
      <c r="AA1421" t="n">
        <v>2036</v>
      </c>
      <c r="AB1421" t="inlineStr">
        <is>
          <t>Supplier Target Pathway</t>
        </is>
      </c>
      <c r="AC1421" t="n">
        <v>1390.1954</v>
      </c>
      <c r="AD1421" t="n">
        <v>850.5214999999999</v>
      </c>
      <c r="AE1421" t="n">
        <v>850.5214999999999</v>
      </c>
      <c r="AF1421" t="n">
        <v>850.5214999999999</v>
      </c>
      <c r="AG1421" t="n">
        <v>539.6739</v>
      </c>
      <c r="AH1421" t="n">
        <v>0.00013978</v>
      </c>
      <c r="AI1421" t="n">
        <v>0.3882</v>
      </c>
      <c r="AJ1421" t="n">
        <v>0</v>
      </c>
      <c r="AK1421" t="n">
        <v>38.5481</v>
      </c>
      <c r="AL1421" t="n">
        <v>-2970.6692</v>
      </c>
      <c r="AM1421" t="n">
        <v>12326.4057</v>
      </c>
      <c r="AN1421" t="n">
        <v>0.99</v>
      </c>
      <c r="AO1421" t="inlineStr">
        <is>
          <t>Low</t>
        </is>
      </c>
      <c r="AP1421" t="inlineStr">
        <is>
          <t>On Track</t>
        </is>
      </c>
    </row>
    <row r="1422">
      <c r="A1422" t="inlineStr">
        <is>
          <t>SUP-0089</t>
        </is>
      </c>
      <c r="B1422" t="inlineStr">
        <is>
          <t>Professional Supplier 089</t>
        </is>
      </c>
      <c r="C1422" t="inlineStr">
        <is>
          <t>Professional Services</t>
        </is>
      </c>
      <c r="D1422" t="n">
        <v>2024</v>
      </c>
      <c r="E1422" t="n">
        <v>2021</v>
      </c>
      <c r="F1422" t="n">
        <v>2035</v>
      </c>
      <c r="G1422" t="n">
        <v>1355.5904</v>
      </c>
      <c r="H1422" t="n">
        <v>168.8568</v>
      </c>
      <c r="I1422" t="n">
        <v>101.5004</v>
      </c>
      <c r="J1422" t="n">
        <v>1061.707</v>
      </c>
      <c r="K1422" t="n">
        <v>6084672.63</v>
      </c>
      <c r="L1422" t="n">
        <v>24578075.77</v>
      </c>
      <c r="M1422" t="n">
        <v>1355.5904</v>
      </c>
      <c r="N1422" t="inlineStr">
        <is>
          <t>Provided Total Emissions</t>
        </is>
      </c>
      <c r="O1422" t="b">
        <v>1</v>
      </c>
      <c r="P1422" t="n">
        <v>-0.013491</v>
      </c>
      <c r="Q1422" t="n">
        <v>-0.023851</v>
      </c>
      <c r="R1422" t="n">
        <v>785.2877999999999</v>
      </c>
      <c r="S1422" t="n">
        <v>4831.5581</v>
      </c>
      <c r="T1422" t="n">
        <v>-570.3026</v>
      </c>
      <c r="U1422" t="n">
        <v>3475.9677</v>
      </c>
      <c r="V1422" t="n">
        <v>-0.420704</v>
      </c>
      <c r="W1422" t="n">
        <v>2.564173</v>
      </c>
      <c r="X1422" t="inlineStr">
        <is>
          <t>High</t>
        </is>
      </c>
      <c r="Y1422" t="inlineStr">
        <is>
          <t>None</t>
        </is>
      </c>
      <c r="Z1422" t="inlineStr">
        <is>
          <t>Valid</t>
        </is>
      </c>
      <c r="AA1422" t="n">
        <v>2037</v>
      </c>
      <c r="AB1422" t="inlineStr">
        <is>
          <t>Supplier Target Pathway</t>
        </is>
      </c>
      <c r="AC1422" t="n">
        <v>1390.1954</v>
      </c>
      <c r="AD1422" t="n">
        <v>850.5214999999999</v>
      </c>
      <c r="AE1422" t="n">
        <v>850.5214999999999</v>
      </c>
      <c r="AF1422" t="n">
        <v>850.5214999999999</v>
      </c>
      <c r="AG1422" t="n">
        <v>539.6739</v>
      </c>
      <c r="AH1422" t="n">
        <v>0.00013978</v>
      </c>
      <c r="AI1422" t="n">
        <v>0.3882</v>
      </c>
      <c r="AJ1422" t="n">
        <v>0</v>
      </c>
      <c r="AK1422" t="n">
        <v>38.5481</v>
      </c>
      <c r="AL1422" t="n">
        <v>-3821.1907</v>
      </c>
      <c r="AM1422" t="n">
        <v>13176.9272</v>
      </c>
      <c r="AN1422" t="n">
        <v>0.99</v>
      </c>
      <c r="AO1422" t="inlineStr">
        <is>
          <t>Low</t>
        </is>
      </c>
      <c r="AP1422" t="inlineStr">
        <is>
          <t>On Track</t>
        </is>
      </c>
    </row>
    <row r="1423">
      <c r="A1423" t="inlineStr">
        <is>
          <t>SUP-0089</t>
        </is>
      </c>
      <c r="B1423" t="inlineStr">
        <is>
          <t>Professional Supplier 089</t>
        </is>
      </c>
      <c r="C1423" t="inlineStr">
        <is>
          <t>Professional Services</t>
        </is>
      </c>
      <c r="D1423" t="n">
        <v>2024</v>
      </c>
      <c r="E1423" t="n">
        <v>2021</v>
      </c>
      <c r="F1423" t="n">
        <v>2035</v>
      </c>
      <c r="G1423" t="n">
        <v>1355.5904</v>
      </c>
      <c r="H1423" t="n">
        <v>168.8568</v>
      </c>
      <c r="I1423" t="n">
        <v>101.5004</v>
      </c>
      <c r="J1423" t="n">
        <v>1061.707</v>
      </c>
      <c r="K1423" t="n">
        <v>6084672.63</v>
      </c>
      <c r="L1423" t="n">
        <v>24578075.77</v>
      </c>
      <c r="M1423" t="n">
        <v>1355.5904</v>
      </c>
      <c r="N1423" t="inlineStr">
        <is>
          <t>Provided Total Emissions</t>
        </is>
      </c>
      <c r="O1423" t="b">
        <v>1</v>
      </c>
      <c r="P1423" t="n">
        <v>-0.013491</v>
      </c>
      <c r="Q1423" t="n">
        <v>-0.023851</v>
      </c>
      <c r="R1423" t="n">
        <v>785.2877999999999</v>
      </c>
      <c r="S1423" t="n">
        <v>4831.5581</v>
      </c>
      <c r="T1423" t="n">
        <v>-570.3026</v>
      </c>
      <c r="U1423" t="n">
        <v>3475.9677</v>
      </c>
      <c r="V1423" t="n">
        <v>-0.420704</v>
      </c>
      <c r="W1423" t="n">
        <v>2.564173</v>
      </c>
      <c r="X1423" t="inlineStr">
        <is>
          <t>High</t>
        </is>
      </c>
      <c r="Y1423" t="inlineStr">
        <is>
          <t>None</t>
        </is>
      </c>
      <c r="Z1423" t="inlineStr">
        <is>
          <t>Valid</t>
        </is>
      </c>
      <c r="AA1423" t="n">
        <v>2038</v>
      </c>
      <c r="AB1423" t="inlineStr">
        <is>
          <t>Supplier Target Pathway</t>
        </is>
      </c>
      <c r="AC1423" t="n">
        <v>1390.1954</v>
      </c>
      <c r="AD1423" t="n">
        <v>850.5214999999999</v>
      </c>
      <c r="AE1423" t="n">
        <v>850.5214999999999</v>
      </c>
      <c r="AF1423" t="n">
        <v>850.5214999999999</v>
      </c>
      <c r="AG1423" t="n">
        <v>539.6739</v>
      </c>
      <c r="AH1423" t="n">
        <v>0.00013978</v>
      </c>
      <c r="AI1423" t="n">
        <v>0.3882</v>
      </c>
      <c r="AJ1423" t="n">
        <v>0</v>
      </c>
      <c r="AK1423" t="n">
        <v>38.5481</v>
      </c>
      <c r="AL1423" t="n">
        <v>-4671.7122</v>
      </c>
      <c r="AM1423" t="n">
        <v>14027.4487</v>
      </c>
      <c r="AN1423" t="n">
        <v>0.99</v>
      </c>
      <c r="AO1423" t="inlineStr">
        <is>
          <t>Low</t>
        </is>
      </c>
      <c r="AP1423" t="inlineStr">
        <is>
          <t>On Track</t>
        </is>
      </c>
    </row>
    <row r="1424">
      <c r="A1424" t="inlineStr">
        <is>
          <t>SUP-0089</t>
        </is>
      </c>
      <c r="B1424" t="inlineStr">
        <is>
          <t>Professional Supplier 089</t>
        </is>
      </c>
      <c r="C1424" t="inlineStr">
        <is>
          <t>Professional Services</t>
        </is>
      </c>
      <c r="D1424" t="n">
        <v>2024</v>
      </c>
      <c r="E1424" t="n">
        <v>2021</v>
      </c>
      <c r="F1424" t="n">
        <v>2035</v>
      </c>
      <c r="G1424" t="n">
        <v>1355.5904</v>
      </c>
      <c r="H1424" t="n">
        <v>168.8568</v>
      </c>
      <c r="I1424" t="n">
        <v>101.5004</v>
      </c>
      <c r="J1424" t="n">
        <v>1061.707</v>
      </c>
      <c r="K1424" t="n">
        <v>6084672.63</v>
      </c>
      <c r="L1424" t="n">
        <v>24578075.77</v>
      </c>
      <c r="M1424" t="n">
        <v>1355.5904</v>
      </c>
      <c r="N1424" t="inlineStr">
        <is>
          <t>Provided Total Emissions</t>
        </is>
      </c>
      <c r="O1424" t="b">
        <v>1</v>
      </c>
      <c r="P1424" t="n">
        <v>-0.013491</v>
      </c>
      <c r="Q1424" t="n">
        <v>-0.023851</v>
      </c>
      <c r="R1424" t="n">
        <v>785.2877999999999</v>
      </c>
      <c r="S1424" t="n">
        <v>4831.5581</v>
      </c>
      <c r="T1424" t="n">
        <v>-570.3026</v>
      </c>
      <c r="U1424" t="n">
        <v>3475.9677</v>
      </c>
      <c r="V1424" t="n">
        <v>-0.420704</v>
      </c>
      <c r="W1424" t="n">
        <v>2.564173</v>
      </c>
      <c r="X1424" t="inlineStr">
        <is>
          <t>High</t>
        </is>
      </c>
      <c r="Y1424" t="inlineStr">
        <is>
          <t>None</t>
        </is>
      </c>
      <c r="Z1424" t="inlineStr">
        <is>
          <t>Valid</t>
        </is>
      </c>
      <c r="AA1424" t="n">
        <v>2039</v>
      </c>
      <c r="AB1424" t="inlineStr">
        <is>
          <t>Supplier Target Pathway</t>
        </is>
      </c>
      <c r="AC1424" t="n">
        <v>1390.1954</v>
      </c>
      <c r="AD1424" t="n">
        <v>850.5214999999999</v>
      </c>
      <c r="AE1424" t="n">
        <v>850.5214999999999</v>
      </c>
      <c r="AF1424" t="n">
        <v>850.5214999999999</v>
      </c>
      <c r="AG1424" t="n">
        <v>539.6739</v>
      </c>
      <c r="AH1424" t="n">
        <v>0.00013978</v>
      </c>
      <c r="AI1424" t="n">
        <v>0.3882</v>
      </c>
      <c r="AJ1424" t="n">
        <v>0</v>
      </c>
      <c r="AK1424" t="n">
        <v>38.5481</v>
      </c>
      <c r="AL1424" t="n">
        <v>-5522.2337</v>
      </c>
      <c r="AM1424" t="n">
        <v>14877.9702</v>
      </c>
      <c r="AN1424" t="n">
        <v>0.99</v>
      </c>
      <c r="AO1424" t="inlineStr">
        <is>
          <t>Low</t>
        </is>
      </c>
      <c r="AP1424" t="inlineStr">
        <is>
          <t>On Track</t>
        </is>
      </c>
    </row>
    <row r="1425">
      <c r="A1425" t="inlineStr">
        <is>
          <t>SUP-0089</t>
        </is>
      </c>
      <c r="B1425" t="inlineStr">
        <is>
          <t>Professional Supplier 089</t>
        </is>
      </c>
      <c r="C1425" t="inlineStr">
        <is>
          <t>Professional Services</t>
        </is>
      </c>
      <c r="D1425" t="n">
        <v>2024</v>
      </c>
      <c r="E1425" t="n">
        <v>2021</v>
      </c>
      <c r="F1425" t="n">
        <v>2035</v>
      </c>
      <c r="G1425" t="n">
        <v>1355.5904</v>
      </c>
      <c r="H1425" t="n">
        <v>168.8568</v>
      </c>
      <c r="I1425" t="n">
        <v>101.5004</v>
      </c>
      <c r="J1425" t="n">
        <v>1061.707</v>
      </c>
      <c r="K1425" t="n">
        <v>6084672.63</v>
      </c>
      <c r="L1425" t="n">
        <v>24578075.77</v>
      </c>
      <c r="M1425" t="n">
        <v>1355.5904</v>
      </c>
      <c r="N1425" t="inlineStr">
        <is>
          <t>Provided Total Emissions</t>
        </is>
      </c>
      <c r="O1425" t="b">
        <v>1</v>
      </c>
      <c r="P1425" t="n">
        <v>-0.013491</v>
      </c>
      <c r="Q1425" t="n">
        <v>-0.023851</v>
      </c>
      <c r="R1425" t="n">
        <v>785.2877999999999</v>
      </c>
      <c r="S1425" t="n">
        <v>4831.5581</v>
      </c>
      <c r="T1425" t="n">
        <v>-570.3026</v>
      </c>
      <c r="U1425" t="n">
        <v>3475.9677</v>
      </c>
      <c r="V1425" t="n">
        <v>-0.420704</v>
      </c>
      <c r="W1425" t="n">
        <v>2.564173</v>
      </c>
      <c r="X1425" t="inlineStr">
        <is>
          <t>High</t>
        </is>
      </c>
      <c r="Y1425" t="inlineStr">
        <is>
          <t>None</t>
        </is>
      </c>
      <c r="Z1425" t="inlineStr">
        <is>
          <t>Valid</t>
        </is>
      </c>
      <c r="AA1425" t="n">
        <v>2040</v>
      </c>
      <c r="AB1425" t="inlineStr">
        <is>
          <t>Supplier Target Pathway</t>
        </is>
      </c>
      <c r="AC1425" t="n">
        <v>1390.1954</v>
      </c>
      <c r="AD1425" t="n">
        <v>850.5214999999999</v>
      </c>
      <c r="AE1425" t="n">
        <v>850.5214999999999</v>
      </c>
      <c r="AF1425" t="n">
        <v>850.5214999999999</v>
      </c>
      <c r="AG1425" t="n">
        <v>539.6739</v>
      </c>
      <c r="AH1425" t="n">
        <v>0.00013978</v>
      </c>
      <c r="AI1425" t="n">
        <v>0.3882</v>
      </c>
      <c r="AJ1425" t="n">
        <v>0</v>
      </c>
      <c r="AK1425" t="n">
        <v>38.5481</v>
      </c>
      <c r="AL1425" t="n">
        <v>-6372.7552</v>
      </c>
      <c r="AM1425" t="n">
        <v>15728.4917</v>
      </c>
      <c r="AN1425" t="n">
        <v>0.99</v>
      </c>
      <c r="AO1425" t="inlineStr">
        <is>
          <t>Low</t>
        </is>
      </c>
      <c r="AP1425" t="inlineStr">
        <is>
          <t>On Track</t>
        </is>
      </c>
    </row>
    <row r="1426">
      <c r="A1426" t="inlineStr">
        <is>
          <t>SUP-0090</t>
        </is>
      </c>
      <c r="B1426" t="inlineStr">
        <is>
          <t>Textiles Supplier 090</t>
        </is>
      </c>
      <c r="C1426" t="inlineStr">
        <is>
          <t>Textiles</t>
        </is>
      </c>
      <c r="D1426" t="n">
        <v>2024</v>
      </c>
      <c r="E1426" t="n">
        <v>2018</v>
      </c>
      <c r="F1426" t="n">
        <v>2040</v>
      </c>
      <c r="G1426" t="n">
        <v>11415.0199</v>
      </c>
      <c r="H1426" t="n">
        <v>2540.5375</v>
      </c>
      <c r="I1426" t="n">
        <v>857.0276</v>
      </c>
      <c r="J1426" t="n">
        <v>7954.5691</v>
      </c>
      <c r="K1426" t="n">
        <v>50790249.54</v>
      </c>
      <c r="L1426" t="n">
        <v>113143834.28</v>
      </c>
      <c r="M1426" t="n">
        <v>11415.0199</v>
      </c>
      <c r="N1426" t="inlineStr">
        <is>
          <t>Provided Total Emissions</t>
        </is>
      </c>
      <c r="O1426" t="b">
        <v>1</v>
      </c>
      <c r="P1426" t="n">
        <v>0.055251</v>
      </c>
      <c r="Q1426" t="n">
        <v>0.101695</v>
      </c>
      <c r="R1426" t="n">
        <v>14841.4188</v>
      </c>
      <c r="S1426" t="n">
        <v>19622.5352</v>
      </c>
      <c r="T1426" t="n">
        <v>3426.3989</v>
      </c>
      <c r="U1426" t="n">
        <v>8207.515299999999</v>
      </c>
      <c r="V1426" t="n">
        <v>0.300166</v>
      </c>
      <c r="W1426" t="n">
        <v>0.71901</v>
      </c>
      <c r="X1426" t="inlineStr">
        <is>
          <t>High</t>
        </is>
      </c>
      <c r="Y1426" t="inlineStr">
        <is>
          <t>None</t>
        </is>
      </c>
      <c r="Z1426" t="inlineStr">
        <is>
          <t>Valid</t>
        </is>
      </c>
      <c r="AA1426" t="n">
        <v>2025</v>
      </c>
      <c r="AB1426" t="inlineStr">
        <is>
          <t>Supplier Target Pathway</t>
        </is>
      </c>
      <c r="AC1426" t="n">
        <v>9362.334000000001</v>
      </c>
      <c r="AD1426" t="n">
        <v>6723.092</v>
      </c>
      <c r="AE1426" t="n">
        <v>8522.575199999999</v>
      </c>
      <c r="AF1426" t="n">
        <v>8522.575199999999</v>
      </c>
      <c r="AG1426" t="n">
        <v>839.7588</v>
      </c>
      <c r="AH1426" t="n">
        <v>0.0001678</v>
      </c>
      <c r="AI1426" t="n">
        <v>0.089695</v>
      </c>
      <c r="AJ1426" t="n">
        <v>1799.4832</v>
      </c>
      <c r="AK1426" t="n">
        <v>119.9655</v>
      </c>
      <c r="AL1426" t="n">
        <v>99046.8968</v>
      </c>
      <c r="AM1426" t="n">
        <v>8522.575199999999</v>
      </c>
      <c r="AN1426" t="n">
        <v>0.99</v>
      </c>
      <c r="AO1426" t="inlineStr">
        <is>
          <t>High</t>
        </is>
      </c>
      <c r="AP1426" t="inlineStr">
        <is>
          <t>On Track to Glide Path</t>
        </is>
      </c>
    </row>
    <row r="1427">
      <c r="A1427" t="inlineStr">
        <is>
          <t>SUP-0090</t>
        </is>
      </c>
      <c r="B1427" t="inlineStr">
        <is>
          <t>Textiles Supplier 090</t>
        </is>
      </c>
      <c r="C1427" t="inlineStr">
        <is>
          <t>Textiles</t>
        </is>
      </c>
      <c r="D1427" t="n">
        <v>2024</v>
      </c>
      <c r="E1427" t="n">
        <v>2018</v>
      </c>
      <c r="F1427" t="n">
        <v>2040</v>
      </c>
      <c r="G1427" t="n">
        <v>11415.0199</v>
      </c>
      <c r="H1427" t="n">
        <v>2540.5375</v>
      </c>
      <c r="I1427" t="n">
        <v>857.0276</v>
      </c>
      <c r="J1427" t="n">
        <v>7954.5691</v>
      </c>
      <c r="K1427" t="n">
        <v>50790249.54</v>
      </c>
      <c r="L1427" t="n">
        <v>113143834.28</v>
      </c>
      <c r="M1427" t="n">
        <v>11415.0199</v>
      </c>
      <c r="N1427" t="inlineStr">
        <is>
          <t>Provided Total Emissions</t>
        </is>
      </c>
      <c r="O1427" t="b">
        <v>1</v>
      </c>
      <c r="P1427" t="n">
        <v>0.055251</v>
      </c>
      <c r="Q1427" t="n">
        <v>0.101695</v>
      </c>
      <c r="R1427" t="n">
        <v>14841.4188</v>
      </c>
      <c r="S1427" t="n">
        <v>19622.5352</v>
      </c>
      <c r="T1427" t="n">
        <v>3426.3989</v>
      </c>
      <c r="U1427" t="n">
        <v>8207.515299999999</v>
      </c>
      <c r="V1427" t="n">
        <v>0.300166</v>
      </c>
      <c r="W1427" t="n">
        <v>0.71901</v>
      </c>
      <c r="X1427" t="inlineStr">
        <is>
          <t>High</t>
        </is>
      </c>
      <c r="Y1427" t="inlineStr">
        <is>
          <t>None</t>
        </is>
      </c>
      <c r="Z1427" t="inlineStr">
        <is>
          <t>Valid</t>
        </is>
      </c>
      <c r="AA1427" t="n">
        <v>2026</v>
      </c>
      <c r="AB1427" t="inlineStr">
        <is>
          <t>Supplier Target Pathway</t>
        </is>
      </c>
      <c r="AC1427" t="n">
        <v>9362.334000000001</v>
      </c>
      <c r="AD1427" t="n">
        <v>6723.092</v>
      </c>
      <c r="AE1427" t="n">
        <v>8402.609700000001</v>
      </c>
      <c r="AF1427" t="n">
        <v>8402.609700000001</v>
      </c>
      <c r="AG1427" t="n">
        <v>959.7243</v>
      </c>
      <c r="AH1427" t="n">
        <v>0.00016544</v>
      </c>
      <c r="AI1427" t="n">
        <v>0.102509</v>
      </c>
      <c r="AJ1427" t="n">
        <v>1679.5176</v>
      </c>
      <c r="AK1427" t="n">
        <v>119.9655</v>
      </c>
      <c r="AL1427" t="n">
        <v>90644.2871</v>
      </c>
      <c r="AM1427" t="n">
        <v>16925.1849</v>
      </c>
      <c r="AN1427" t="n">
        <v>0.99</v>
      </c>
      <c r="AO1427" t="inlineStr">
        <is>
          <t>High</t>
        </is>
      </c>
      <c r="AP1427" t="inlineStr">
        <is>
          <t>On Track to Glide Path</t>
        </is>
      </c>
    </row>
    <row r="1428">
      <c r="A1428" t="inlineStr">
        <is>
          <t>SUP-0090</t>
        </is>
      </c>
      <c r="B1428" t="inlineStr">
        <is>
          <t>Textiles Supplier 090</t>
        </is>
      </c>
      <c r="C1428" t="inlineStr">
        <is>
          <t>Textiles</t>
        </is>
      </c>
      <c r="D1428" t="n">
        <v>2024</v>
      </c>
      <c r="E1428" t="n">
        <v>2018</v>
      </c>
      <c r="F1428" t="n">
        <v>2040</v>
      </c>
      <c r="G1428" t="n">
        <v>11415.0199</v>
      </c>
      <c r="H1428" t="n">
        <v>2540.5375</v>
      </c>
      <c r="I1428" t="n">
        <v>857.0276</v>
      </c>
      <c r="J1428" t="n">
        <v>7954.5691</v>
      </c>
      <c r="K1428" t="n">
        <v>50790249.54</v>
      </c>
      <c r="L1428" t="n">
        <v>113143834.28</v>
      </c>
      <c r="M1428" t="n">
        <v>11415.0199</v>
      </c>
      <c r="N1428" t="inlineStr">
        <is>
          <t>Provided Total Emissions</t>
        </is>
      </c>
      <c r="O1428" t="b">
        <v>1</v>
      </c>
      <c r="P1428" t="n">
        <v>0.055251</v>
      </c>
      <c r="Q1428" t="n">
        <v>0.101695</v>
      </c>
      <c r="R1428" t="n">
        <v>14841.4188</v>
      </c>
      <c r="S1428" t="n">
        <v>19622.5352</v>
      </c>
      <c r="T1428" t="n">
        <v>3426.3989</v>
      </c>
      <c r="U1428" t="n">
        <v>8207.515299999999</v>
      </c>
      <c r="V1428" t="n">
        <v>0.300166</v>
      </c>
      <c r="W1428" t="n">
        <v>0.71901</v>
      </c>
      <c r="X1428" t="inlineStr">
        <is>
          <t>High</t>
        </is>
      </c>
      <c r="Y1428" t="inlineStr">
        <is>
          <t>None</t>
        </is>
      </c>
      <c r="Z1428" t="inlineStr">
        <is>
          <t>Valid</t>
        </is>
      </c>
      <c r="AA1428" t="n">
        <v>2027</v>
      </c>
      <c r="AB1428" t="inlineStr">
        <is>
          <t>Supplier Target Pathway</t>
        </is>
      </c>
      <c r="AC1428" t="n">
        <v>9362.334000000001</v>
      </c>
      <c r="AD1428" t="n">
        <v>6723.092</v>
      </c>
      <c r="AE1428" t="n">
        <v>8282.6441</v>
      </c>
      <c r="AF1428" t="n">
        <v>8282.6441</v>
      </c>
      <c r="AG1428" t="n">
        <v>1079.6899</v>
      </c>
      <c r="AH1428" t="n">
        <v>0.00016308</v>
      </c>
      <c r="AI1428" t="n">
        <v>0.115323</v>
      </c>
      <c r="AJ1428" t="n">
        <v>1559.5521</v>
      </c>
      <c r="AK1428" t="n">
        <v>119.9655</v>
      </c>
      <c r="AL1428" t="n">
        <v>82361.643</v>
      </c>
      <c r="AM1428" t="n">
        <v>25207.829</v>
      </c>
      <c r="AN1428" t="n">
        <v>0.99</v>
      </c>
      <c r="AO1428" t="inlineStr">
        <is>
          <t>High</t>
        </is>
      </c>
      <c r="AP1428" t="inlineStr">
        <is>
          <t>On Track to Glide Path</t>
        </is>
      </c>
    </row>
    <row r="1429">
      <c r="A1429" t="inlineStr">
        <is>
          <t>SUP-0090</t>
        </is>
      </c>
      <c r="B1429" t="inlineStr">
        <is>
          <t>Textiles Supplier 090</t>
        </is>
      </c>
      <c r="C1429" t="inlineStr">
        <is>
          <t>Textiles</t>
        </is>
      </c>
      <c r="D1429" t="n">
        <v>2024</v>
      </c>
      <c r="E1429" t="n">
        <v>2018</v>
      </c>
      <c r="F1429" t="n">
        <v>2040</v>
      </c>
      <c r="G1429" t="n">
        <v>11415.0199</v>
      </c>
      <c r="H1429" t="n">
        <v>2540.5375</v>
      </c>
      <c r="I1429" t="n">
        <v>857.0276</v>
      </c>
      <c r="J1429" t="n">
        <v>7954.5691</v>
      </c>
      <c r="K1429" t="n">
        <v>50790249.54</v>
      </c>
      <c r="L1429" t="n">
        <v>113143834.28</v>
      </c>
      <c r="M1429" t="n">
        <v>11415.0199</v>
      </c>
      <c r="N1429" t="inlineStr">
        <is>
          <t>Provided Total Emissions</t>
        </is>
      </c>
      <c r="O1429" t="b">
        <v>1</v>
      </c>
      <c r="P1429" t="n">
        <v>0.055251</v>
      </c>
      <c r="Q1429" t="n">
        <v>0.101695</v>
      </c>
      <c r="R1429" t="n">
        <v>14841.4188</v>
      </c>
      <c r="S1429" t="n">
        <v>19622.5352</v>
      </c>
      <c r="T1429" t="n">
        <v>3426.3989</v>
      </c>
      <c r="U1429" t="n">
        <v>8207.515299999999</v>
      </c>
      <c r="V1429" t="n">
        <v>0.300166</v>
      </c>
      <c r="W1429" t="n">
        <v>0.71901</v>
      </c>
      <c r="X1429" t="inlineStr">
        <is>
          <t>High</t>
        </is>
      </c>
      <c r="Y1429" t="inlineStr">
        <is>
          <t>None</t>
        </is>
      </c>
      <c r="Z1429" t="inlineStr">
        <is>
          <t>Valid</t>
        </is>
      </c>
      <c r="AA1429" t="n">
        <v>2028</v>
      </c>
      <c r="AB1429" t="inlineStr">
        <is>
          <t>Supplier Target Pathway</t>
        </is>
      </c>
      <c r="AC1429" t="n">
        <v>9362.334000000001</v>
      </c>
      <c r="AD1429" t="n">
        <v>6723.092</v>
      </c>
      <c r="AE1429" t="n">
        <v>8162.6786</v>
      </c>
      <c r="AF1429" t="n">
        <v>8162.6786</v>
      </c>
      <c r="AG1429" t="n">
        <v>1199.6554</v>
      </c>
      <c r="AH1429" t="n">
        <v>0.00016071</v>
      </c>
      <c r="AI1429" t="n">
        <v>0.128136</v>
      </c>
      <c r="AJ1429" t="n">
        <v>1439.5865</v>
      </c>
      <c r="AK1429" t="n">
        <v>119.9655</v>
      </c>
      <c r="AL1429" t="n">
        <v>74198.9644</v>
      </c>
      <c r="AM1429" t="n">
        <v>33370.5076</v>
      </c>
      <c r="AN1429" t="n">
        <v>0.99</v>
      </c>
      <c r="AO1429" t="inlineStr">
        <is>
          <t>High</t>
        </is>
      </c>
      <c r="AP1429" t="inlineStr">
        <is>
          <t>On Track to Glide Path</t>
        </is>
      </c>
    </row>
    <row r="1430">
      <c r="A1430" t="inlineStr">
        <is>
          <t>SUP-0090</t>
        </is>
      </c>
      <c r="B1430" t="inlineStr">
        <is>
          <t>Textiles Supplier 090</t>
        </is>
      </c>
      <c r="C1430" t="inlineStr">
        <is>
          <t>Textiles</t>
        </is>
      </c>
      <c r="D1430" t="n">
        <v>2024</v>
      </c>
      <c r="E1430" t="n">
        <v>2018</v>
      </c>
      <c r="F1430" t="n">
        <v>2040</v>
      </c>
      <c r="G1430" t="n">
        <v>11415.0199</v>
      </c>
      <c r="H1430" t="n">
        <v>2540.5375</v>
      </c>
      <c r="I1430" t="n">
        <v>857.0276</v>
      </c>
      <c r="J1430" t="n">
        <v>7954.5691</v>
      </c>
      <c r="K1430" t="n">
        <v>50790249.54</v>
      </c>
      <c r="L1430" t="n">
        <v>113143834.28</v>
      </c>
      <c r="M1430" t="n">
        <v>11415.0199</v>
      </c>
      <c r="N1430" t="inlineStr">
        <is>
          <t>Provided Total Emissions</t>
        </is>
      </c>
      <c r="O1430" t="b">
        <v>1</v>
      </c>
      <c r="P1430" t="n">
        <v>0.055251</v>
      </c>
      <c r="Q1430" t="n">
        <v>0.101695</v>
      </c>
      <c r="R1430" t="n">
        <v>14841.4188</v>
      </c>
      <c r="S1430" t="n">
        <v>19622.5352</v>
      </c>
      <c r="T1430" t="n">
        <v>3426.3989</v>
      </c>
      <c r="U1430" t="n">
        <v>8207.515299999999</v>
      </c>
      <c r="V1430" t="n">
        <v>0.300166</v>
      </c>
      <c r="W1430" t="n">
        <v>0.71901</v>
      </c>
      <c r="X1430" t="inlineStr">
        <is>
          <t>High</t>
        </is>
      </c>
      <c r="Y1430" t="inlineStr">
        <is>
          <t>None</t>
        </is>
      </c>
      <c r="Z1430" t="inlineStr">
        <is>
          <t>Valid</t>
        </is>
      </c>
      <c r="AA1430" t="n">
        <v>2029</v>
      </c>
      <c r="AB1430" t="inlineStr">
        <is>
          <t>Supplier Target Pathway</t>
        </is>
      </c>
      <c r="AC1430" t="n">
        <v>9362.334000000001</v>
      </c>
      <c r="AD1430" t="n">
        <v>6723.092</v>
      </c>
      <c r="AE1430" t="n">
        <v>8042.713</v>
      </c>
      <c r="AF1430" t="n">
        <v>8042.713</v>
      </c>
      <c r="AG1430" t="n">
        <v>1319.621</v>
      </c>
      <c r="AH1430" t="n">
        <v>0.00015835</v>
      </c>
      <c r="AI1430" t="n">
        <v>0.14095</v>
      </c>
      <c r="AJ1430" t="n">
        <v>1319.621</v>
      </c>
      <c r="AK1430" t="n">
        <v>119.9655</v>
      </c>
      <c r="AL1430" t="n">
        <v>66156.25139999999</v>
      </c>
      <c r="AM1430" t="n">
        <v>41413.2206</v>
      </c>
      <c r="AN1430" t="n">
        <v>0.99</v>
      </c>
      <c r="AO1430" t="inlineStr">
        <is>
          <t>High</t>
        </is>
      </c>
      <c r="AP1430" t="inlineStr">
        <is>
          <t>On Track to Glide Path</t>
        </is>
      </c>
    </row>
    <row r="1431">
      <c r="A1431" t="inlineStr">
        <is>
          <t>SUP-0090</t>
        </is>
      </c>
      <c r="B1431" t="inlineStr">
        <is>
          <t>Textiles Supplier 090</t>
        </is>
      </c>
      <c r="C1431" t="inlineStr">
        <is>
          <t>Textiles</t>
        </is>
      </c>
      <c r="D1431" t="n">
        <v>2024</v>
      </c>
      <c r="E1431" t="n">
        <v>2018</v>
      </c>
      <c r="F1431" t="n">
        <v>2040</v>
      </c>
      <c r="G1431" t="n">
        <v>11415.0199</v>
      </c>
      <c r="H1431" t="n">
        <v>2540.5375</v>
      </c>
      <c r="I1431" t="n">
        <v>857.0276</v>
      </c>
      <c r="J1431" t="n">
        <v>7954.5691</v>
      </c>
      <c r="K1431" t="n">
        <v>50790249.54</v>
      </c>
      <c r="L1431" t="n">
        <v>113143834.28</v>
      </c>
      <c r="M1431" t="n">
        <v>11415.0199</v>
      </c>
      <c r="N1431" t="inlineStr">
        <is>
          <t>Provided Total Emissions</t>
        </is>
      </c>
      <c r="O1431" t="b">
        <v>1</v>
      </c>
      <c r="P1431" t="n">
        <v>0.055251</v>
      </c>
      <c r="Q1431" t="n">
        <v>0.101695</v>
      </c>
      <c r="R1431" t="n">
        <v>14841.4188</v>
      </c>
      <c r="S1431" t="n">
        <v>19622.5352</v>
      </c>
      <c r="T1431" t="n">
        <v>3426.3989</v>
      </c>
      <c r="U1431" t="n">
        <v>8207.515299999999</v>
      </c>
      <c r="V1431" t="n">
        <v>0.300166</v>
      </c>
      <c r="W1431" t="n">
        <v>0.71901</v>
      </c>
      <c r="X1431" t="inlineStr">
        <is>
          <t>High</t>
        </is>
      </c>
      <c r="Y1431" t="inlineStr">
        <is>
          <t>None</t>
        </is>
      </c>
      <c r="Z1431" t="inlineStr">
        <is>
          <t>Valid</t>
        </is>
      </c>
      <c r="AA1431" t="n">
        <v>2030</v>
      </c>
      <c r="AB1431" t="inlineStr">
        <is>
          <t>Supplier Target Pathway</t>
        </is>
      </c>
      <c r="AC1431" t="n">
        <v>9362.334000000001</v>
      </c>
      <c r="AD1431" t="n">
        <v>6723.092</v>
      </c>
      <c r="AE1431" t="n">
        <v>7922.7475</v>
      </c>
      <c r="AF1431" t="n">
        <v>7922.7475</v>
      </c>
      <c r="AG1431" t="n">
        <v>1439.5865</v>
      </c>
      <c r="AH1431" t="n">
        <v>0.00015599</v>
      </c>
      <c r="AI1431" t="n">
        <v>0.153764</v>
      </c>
      <c r="AJ1431" t="n">
        <v>1199.6554</v>
      </c>
      <c r="AK1431" t="n">
        <v>119.9655</v>
      </c>
      <c r="AL1431" t="n">
        <v>58233.5039</v>
      </c>
      <c r="AM1431" t="n">
        <v>49335.9681</v>
      </c>
      <c r="AN1431" t="n">
        <v>0.99</v>
      </c>
      <c r="AO1431" t="inlineStr">
        <is>
          <t>High</t>
        </is>
      </c>
      <c r="AP1431" t="inlineStr">
        <is>
          <t>On Track to Glide Path</t>
        </is>
      </c>
    </row>
    <row r="1432">
      <c r="A1432" t="inlineStr">
        <is>
          <t>SUP-0090</t>
        </is>
      </c>
      <c r="B1432" t="inlineStr">
        <is>
          <t>Textiles Supplier 090</t>
        </is>
      </c>
      <c r="C1432" t="inlineStr">
        <is>
          <t>Textiles</t>
        </is>
      </c>
      <c r="D1432" t="n">
        <v>2024</v>
      </c>
      <c r="E1432" t="n">
        <v>2018</v>
      </c>
      <c r="F1432" t="n">
        <v>2040</v>
      </c>
      <c r="G1432" t="n">
        <v>11415.0199</v>
      </c>
      <c r="H1432" t="n">
        <v>2540.5375</v>
      </c>
      <c r="I1432" t="n">
        <v>857.0276</v>
      </c>
      <c r="J1432" t="n">
        <v>7954.5691</v>
      </c>
      <c r="K1432" t="n">
        <v>50790249.54</v>
      </c>
      <c r="L1432" t="n">
        <v>113143834.28</v>
      </c>
      <c r="M1432" t="n">
        <v>11415.0199</v>
      </c>
      <c r="N1432" t="inlineStr">
        <is>
          <t>Provided Total Emissions</t>
        </is>
      </c>
      <c r="O1432" t="b">
        <v>1</v>
      </c>
      <c r="P1432" t="n">
        <v>0.055251</v>
      </c>
      <c r="Q1432" t="n">
        <v>0.101695</v>
      </c>
      <c r="R1432" t="n">
        <v>14841.4188</v>
      </c>
      <c r="S1432" t="n">
        <v>19622.5352</v>
      </c>
      <c r="T1432" t="n">
        <v>3426.3989</v>
      </c>
      <c r="U1432" t="n">
        <v>8207.515299999999</v>
      </c>
      <c r="V1432" t="n">
        <v>0.300166</v>
      </c>
      <c r="W1432" t="n">
        <v>0.71901</v>
      </c>
      <c r="X1432" t="inlineStr">
        <is>
          <t>High</t>
        </is>
      </c>
      <c r="Y1432" t="inlineStr">
        <is>
          <t>None</t>
        </is>
      </c>
      <c r="Z1432" t="inlineStr">
        <is>
          <t>Valid</t>
        </is>
      </c>
      <c r="AA1432" t="n">
        <v>2031</v>
      </c>
      <c r="AB1432" t="inlineStr">
        <is>
          <t>Supplier Target Pathway</t>
        </is>
      </c>
      <c r="AC1432" t="n">
        <v>9362.334000000001</v>
      </c>
      <c r="AD1432" t="n">
        <v>6723.092</v>
      </c>
      <c r="AE1432" t="n">
        <v>7802.7819</v>
      </c>
      <c r="AF1432" t="n">
        <v>7802.7819</v>
      </c>
      <c r="AG1432" t="n">
        <v>1559.5521</v>
      </c>
      <c r="AH1432" t="n">
        <v>0.00015363</v>
      </c>
      <c r="AI1432" t="n">
        <v>0.166577</v>
      </c>
      <c r="AJ1432" t="n">
        <v>1079.6899</v>
      </c>
      <c r="AK1432" t="n">
        <v>119.9655</v>
      </c>
      <c r="AL1432" t="n">
        <v>50430.722</v>
      </c>
      <c r="AM1432" t="n">
        <v>57138.75</v>
      </c>
      <c r="AN1432" t="n">
        <v>0.99</v>
      </c>
      <c r="AO1432" t="inlineStr">
        <is>
          <t>High</t>
        </is>
      </c>
      <c r="AP1432" t="inlineStr">
        <is>
          <t>On Track to Glide Path</t>
        </is>
      </c>
    </row>
    <row r="1433">
      <c r="A1433" t="inlineStr">
        <is>
          <t>SUP-0090</t>
        </is>
      </c>
      <c r="B1433" t="inlineStr">
        <is>
          <t>Textiles Supplier 090</t>
        </is>
      </c>
      <c r="C1433" t="inlineStr">
        <is>
          <t>Textiles</t>
        </is>
      </c>
      <c r="D1433" t="n">
        <v>2024</v>
      </c>
      <c r="E1433" t="n">
        <v>2018</v>
      </c>
      <c r="F1433" t="n">
        <v>2040</v>
      </c>
      <c r="G1433" t="n">
        <v>11415.0199</v>
      </c>
      <c r="H1433" t="n">
        <v>2540.5375</v>
      </c>
      <c r="I1433" t="n">
        <v>857.0276</v>
      </c>
      <c r="J1433" t="n">
        <v>7954.5691</v>
      </c>
      <c r="K1433" t="n">
        <v>50790249.54</v>
      </c>
      <c r="L1433" t="n">
        <v>113143834.28</v>
      </c>
      <c r="M1433" t="n">
        <v>11415.0199</v>
      </c>
      <c r="N1433" t="inlineStr">
        <is>
          <t>Provided Total Emissions</t>
        </is>
      </c>
      <c r="O1433" t="b">
        <v>1</v>
      </c>
      <c r="P1433" t="n">
        <v>0.055251</v>
      </c>
      <c r="Q1433" t="n">
        <v>0.101695</v>
      </c>
      <c r="R1433" t="n">
        <v>14841.4188</v>
      </c>
      <c r="S1433" t="n">
        <v>19622.5352</v>
      </c>
      <c r="T1433" t="n">
        <v>3426.3989</v>
      </c>
      <c r="U1433" t="n">
        <v>8207.515299999999</v>
      </c>
      <c r="V1433" t="n">
        <v>0.300166</v>
      </c>
      <c r="W1433" t="n">
        <v>0.71901</v>
      </c>
      <c r="X1433" t="inlineStr">
        <is>
          <t>High</t>
        </is>
      </c>
      <c r="Y1433" t="inlineStr">
        <is>
          <t>None</t>
        </is>
      </c>
      <c r="Z1433" t="inlineStr">
        <is>
          <t>Valid</t>
        </is>
      </c>
      <c r="AA1433" t="n">
        <v>2032</v>
      </c>
      <c r="AB1433" t="inlineStr">
        <is>
          <t>Supplier Target Pathway</t>
        </is>
      </c>
      <c r="AC1433" t="n">
        <v>9362.334000000001</v>
      </c>
      <c r="AD1433" t="n">
        <v>6723.092</v>
      </c>
      <c r="AE1433" t="n">
        <v>7682.8164</v>
      </c>
      <c r="AF1433" t="n">
        <v>7682.8164</v>
      </c>
      <c r="AG1433" t="n">
        <v>1679.5176</v>
      </c>
      <c r="AH1433" t="n">
        <v>0.00015127</v>
      </c>
      <c r="AI1433" t="n">
        <v>0.179391</v>
      </c>
      <c r="AJ1433" t="n">
        <v>959.7243</v>
      </c>
      <c r="AK1433" t="n">
        <v>119.9655</v>
      </c>
      <c r="AL1433" t="n">
        <v>42747.9056</v>
      </c>
      <c r="AM1433" t="n">
        <v>64821.5664</v>
      </c>
      <c r="AN1433" t="n">
        <v>0.99</v>
      </c>
      <c r="AO1433" t="inlineStr">
        <is>
          <t>Medium</t>
        </is>
      </c>
      <c r="AP1433" t="inlineStr">
        <is>
          <t>On Track to Glide Path</t>
        </is>
      </c>
    </row>
    <row r="1434">
      <c r="A1434" t="inlineStr">
        <is>
          <t>SUP-0090</t>
        </is>
      </c>
      <c r="B1434" t="inlineStr">
        <is>
          <t>Textiles Supplier 090</t>
        </is>
      </c>
      <c r="C1434" t="inlineStr">
        <is>
          <t>Textiles</t>
        </is>
      </c>
      <c r="D1434" t="n">
        <v>2024</v>
      </c>
      <c r="E1434" t="n">
        <v>2018</v>
      </c>
      <c r="F1434" t="n">
        <v>2040</v>
      </c>
      <c r="G1434" t="n">
        <v>11415.0199</v>
      </c>
      <c r="H1434" t="n">
        <v>2540.5375</v>
      </c>
      <c r="I1434" t="n">
        <v>857.0276</v>
      </c>
      <c r="J1434" t="n">
        <v>7954.5691</v>
      </c>
      <c r="K1434" t="n">
        <v>50790249.54</v>
      </c>
      <c r="L1434" t="n">
        <v>113143834.28</v>
      </c>
      <c r="M1434" t="n">
        <v>11415.0199</v>
      </c>
      <c r="N1434" t="inlineStr">
        <is>
          <t>Provided Total Emissions</t>
        </is>
      </c>
      <c r="O1434" t="b">
        <v>1</v>
      </c>
      <c r="P1434" t="n">
        <v>0.055251</v>
      </c>
      <c r="Q1434" t="n">
        <v>0.101695</v>
      </c>
      <c r="R1434" t="n">
        <v>14841.4188</v>
      </c>
      <c r="S1434" t="n">
        <v>19622.5352</v>
      </c>
      <c r="T1434" t="n">
        <v>3426.3989</v>
      </c>
      <c r="U1434" t="n">
        <v>8207.515299999999</v>
      </c>
      <c r="V1434" t="n">
        <v>0.300166</v>
      </c>
      <c r="W1434" t="n">
        <v>0.71901</v>
      </c>
      <c r="X1434" t="inlineStr">
        <is>
          <t>High</t>
        </is>
      </c>
      <c r="Y1434" t="inlineStr">
        <is>
          <t>None</t>
        </is>
      </c>
      <c r="Z1434" t="inlineStr">
        <is>
          <t>Valid</t>
        </is>
      </c>
      <c r="AA1434" t="n">
        <v>2033</v>
      </c>
      <c r="AB1434" t="inlineStr">
        <is>
          <t>Supplier Target Pathway</t>
        </is>
      </c>
      <c r="AC1434" t="n">
        <v>9362.334000000001</v>
      </c>
      <c r="AD1434" t="n">
        <v>6723.092</v>
      </c>
      <c r="AE1434" t="n">
        <v>7562.8508</v>
      </c>
      <c r="AF1434" t="n">
        <v>7562.8508</v>
      </c>
      <c r="AG1434" t="n">
        <v>1799.4832</v>
      </c>
      <c r="AH1434" t="n">
        <v>0.0001489</v>
      </c>
      <c r="AI1434" t="n">
        <v>0.192205</v>
      </c>
      <c r="AJ1434" t="n">
        <v>839.7588</v>
      </c>
      <c r="AK1434" t="n">
        <v>119.9655</v>
      </c>
      <c r="AL1434" t="n">
        <v>35185.0548</v>
      </c>
      <c r="AM1434" t="n">
        <v>72384.4172</v>
      </c>
      <c r="AN1434" t="n">
        <v>0.99</v>
      </c>
      <c r="AO1434" t="inlineStr">
        <is>
          <t>Medium</t>
        </is>
      </c>
      <c r="AP1434" t="inlineStr">
        <is>
          <t>On Track to Glide Path</t>
        </is>
      </c>
    </row>
    <row r="1435">
      <c r="A1435" t="inlineStr">
        <is>
          <t>SUP-0090</t>
        </is>
      </c>
      <c r="B1435" t="inlineStr">
        <is>
          <t>Textiles Supplier 090</t>
        </is>
      </c>
      <c r="C1435" t="inlineStr">
        <is>
          <t>Textiles</t>
        </is>
      </c>
      <c r="D1435" t="n">
        <v>2024</v>
      </c>
      <c r="E1435" t="n">
        <v>2018</v>
      </c>
      <c r="F1435" t="n">
        <v>2040</v>
      </c>
      <c r="G1435" t="n">
        <v>11415.0199</v>
      </c>
      <c r="H1435" t="n">
        <v>2540.5375</v>
      </c>
      <c r="I1435" t="n">
        <v>857.0276</v>
      </c>
      <c r="J1435" t="n">
        <v>7954.5691</v>
      </c>
      <c r="K1435" t="n">
        <v>50790249.54</v>
      </c>
      <c r="L1435" t="n">
        <v>113143834.28</v>
      </c>
      <c r="M1435" t="n">
        <v>11415.0199</v>
      </c>
      <c r="N1435" t="inlineStr">
        <is>
          <t>Provided Total Emissions</t>
        </is>
      </c>
      <c r="O1435" t="b">
        <v>1</v>
      </c>
      <c r="P1435" t="n">
        <v>0.055251</v>
      </c>
      <c r="Q1435" t="n">
        <v>0.101695</v>
      </c>
      <c r="R1435" t="n">
        <v>14841.4188</v>
      </c>
      <c r="S1435" t="n">
        <v>19622.5352</v>
      </c>
      <c r="T1435" t="n">
        <v>3426.3989</v>
      </c>
      <c r="U1435" t="n">
        <v>8207.515299999999</v>
      </c>
      <c r="V1435" t="n">
        <v>0.300166</v>
      </c>
      <c r="W1435" t="n">
        <v>0.71901</v>
      </c>
      <c r="X1435" t="inlineStr">
        <is>
          <t>High</t>
        </is>
      </c>
      <c r="Y1435" t="inlineStr">
        <is>
          <t>None</t>
        </is>
      </c>
      <c r="Z1435" t="inlineStr">
        <is>
          <t>Valid</t>
        </is>
      </c>
      <c r="AA1435" t="n">
        <v>2034</v>
      </c>
      <c r="AB1435" t="inlineStr">
        <is>
          <t>Supplier Target Pathway</t>
        </is>
      </c>
      <c r="AC1435" t="n">
        <v>9362.334000000001</v>
      </c>
      <c r="AD1435" t="n">
        <v>6723.092</v>
      </c>
      <c r="AE1435" t="n">
        <v>7442.8853</v>
      </c>
      <c r="AF1435" t="n">
        <v>7442.8853</v>
      </c>
      <c r="AG1435" t="n">
        <v>1919.4487</v>
      </c>
      <c r="AH1435" t="n">
        <v>0.00014654</v>
      </c>
      <c r="AI1435" t="n">
        <v>0.205018</v>
      </c>
      <c r="AJ1435" t="n">
        <v>719.7933</v>
      </c>
      <c r="AK1435" t="n">
        <v>119.9655</v>
      </c>
      <c r="AL1435" t="n">
        <v>27742.1695</v>
      </c>
      <c r="AM1435" t="n">
        <v>79827.30250000001</v>
      </c>
      <c r="AN1435" t="n">
        <v>0.99</v>
      </c>
      <c r="AO1435" t="inlineStr">
        <is>
          <t>Medium</t>
        </is>
      </c>
      <c r="AP1435" t="inlineStr">
        <is>
          <t>On Track to Glide Path</t>
        </is>
      </c>
    </row>
    <row r="1436">
      <c r="A1436" t="inlineStr">
        <is>
          <t>SUP-0090</t>
        </is>
      </c>
      <c r="B1436" t="inlineStr">
        <is>
          <t>Textiles Supplier 090</t>
        </is>
      </c>
      <c r="C1436" t="inlineStr">
        <is>
          <t>Textiles</t>
        </is>
      </c>
      <c r="D1436" t="n">
        <v>2024</v>
      </c>
      <c r="E1436" t="n">
        <v>2018</v>
      </c>
      <c r="F1436" t="n">
        <v>2040</v>
      </c>
      <c r="G1436" t="n">
        <v>11415.0199</v>
      </c>
      <c r="H1436" t="n">
        <v>2540.5375</v>
      </c>
      <c r="I1436" t="n">
        <v>857.0276</v>
      </c>
      <c r="J1436" t="n">
        <v>7954.5691</v>
      </c>
      <c r="K1436" t="n">
        <v>50790249.54</v>
      </c>
      <c r="L1436" t="n">
        <v>113143834.28</v>
      </c>
      <c r="M1436" t="n">
        <v>11415.0199</v>
      </c>
      <c r="N1436" t="inlineStr">
        <is>
          <t>Provided Total Emissions</t>
        </is>
      </c>
      <c r="O1436" t="b">
        <v>1</v>
      </c>
      <c r="P1436" t="n">
        <v>0.055251</v>
      </c>
      <c r="Q1436" t="n">
        <v>0.101695</v>
      </c>
      <c r="R1436" t="n">
        <v>14841.4188</v>
      </c>
      <c r="S1436" t="n">
        <v>19622.5352</v>
      </c>
      <c r="T1436" t="n">
        <v>3426.3989</v>
      </c>
      <c r="U1436" t="n">
        <v>8207.515299999999</v>
      </c>
      <c r="V1436" t="n">
        <v>0.300166</v>
      </c>
      <c r="W1436" t="n">
        <v>0.71901</v>
      </c>
      <c r="X1436" t="inlineStr">
        <is>
          <t>High</t>
        </is>
      </c>
      <c r="Y1436" t="inlineStr">
        <is>
          <t>None</t>
        </is>
      </c>
      <c r="Z1436" t="inlineStr">
        <is>
          <t>Valid</t>
        </is>
      </c>
      <c r="AA1436" t="n">
        <v>2035</v>
      </c>
      <c r="AB1436" t="inlineStr">
        <is>
          <t>Supplier Target Pathway</t>
        </is>
      </c>
      <c r="AC1436" t="n">
        <v>9362.334000000001</v>
      </c>
      <c r="AD1436" t="n">
        <v>6723.092</v>
      </c>
      <c r="AE1436" t="n">
        <v>7322.9198</v>
      </c>
      <c r="AF1436" t="n">
        <v>7322.9198</v>
      </c>
      <c r="AG1436" t="n">
        <v>2039.4142</v>
      </c>
      <c r="AH1436" t="n">
        <v>0.00014418</v>
      </c>
      <c r="AI1436" t="n">
        <v>0.217832</v>
      </c>
      <c r="AJ1436" t="n">
        <v>599.8277</v>
      </c>
      <c r="AK1436" t="n">
        <v>119.9655</v>
      </c>
      <c r="AL1436" t="n">
        <v>20419.2497</v>
      </c>
      <c r="AM1436" t="n">
        <v>87150.22229999999</v>
      </c>
      <c r="AN1436" t="n">
        <v>0.99</v>
      </c>
      <c r="AO1436" t="inlineStr">
        <is>
          <t>Medium</t>
        </is>
      </c>
      <c r="AP1436" t="inlineStr">
        <is>
          <t>On Track to Glide Path</t>
        </is>
      </c>
    </row>
    <row r="1437">
      <c r="A1437" t="inlineStr">
        <is>
          <t>SUP-0090</t>
        </is>
      </c>
      <c r="B1437" t="inlineStr">
        <is>
          <t>Textiles Supplier 090</t>
        </is>
      </c>
      <c r="C1437" t="inlineStr">
        <is>
          <t>Textiles</t>
        </is>
      </c>
      <c r="D1437" t="n">
        <v>2024</v>
      </c>
      <c r="E1437" t="n">
        <v>2018</v>
      </c>
      <c r="F1437" t="n">
        <v>2040</v>
      </c>
      <c r="G1437" t="n">
        <v>11415.0199</v>
      </c>
      <c r="H1437" t="n">
        <v>2540.5375</v>
      </c>
      <c r="I1437" t="n">
        <v>857.0276</v>
      </c>
      <c r="J1437" t="n">
        <v>7954.5691</v>
      </c>
      <c r="K1437" t="n">
        <v>50790249.54</v>
      </c>
      <c r="L1437" t="n">
        <v>113143834.28</v>
      </c>
      <c r="M1437" t="n">
        <v>11415.0199</v>
      </c>
      <c r="N1437" t="inlineStr">
        <is>
          <t>Provided Total Emissions</t>
        </is>
      </c>
      <c r="O1437" t="b">
        <v>1</v>
      </c>
      <c r="P1437" t="n">
        <v>0.055251</v>
      </c>
      <c r="Q1437" t="n">
        <v>0.101695</v>
      </c>
      <c r="R1437" t="n">
        <v>14841.4188</v>
      </c>
      <c r="S1437" t="n">
        <v>19622.5352</v>
      </c>
      <c r="T1437" t="n">
        <v>3426.3989</v>
      </c>
      <c r="U1437" t="n">
        <v>8207.515299999999</v>
      </c>
      <c r="V1437" t="n">
        <v>0.300166</v>
      </c>
      <c r="W1437" t="n">
        <v>0.71901</v>
      </c>
      <c r="X1437" t="inlineStr">
        <is>
          <t>High</t>
        </is>
      </c>
      <c r="Y1437" t="inlineStr">
        <is>
          <t>None</t>
        </is>
      </c>
      <c r="Z1437" t="inlineStr">
        <is>
          <t>Valid</t>
        </is>
      </c>
      <c r="AA1437" t="n">
        <v>2036</v>
      </c>
      <c r="AB1437" t="inlineStr">
        <is>
          <t>Supplier Target Pathway</t>
        </is>
      </c>
      <c r="AC1437" t="n">
        <v>9362.334000000001</v>
      </c>
      <c r="AD1437" t="n">
        <v>6723.092</v>
      </c>
      <c r="AE1437" t="n">
        <v>7202.9542</v>
      </c>
      <c r="AF1437" t="n">
        <v>7202.9542</v>
      </c>
      <c r="AG1437" t="n">
        <v>2159.3798</v>
      </c>
      <c r="AH1437" t="n">
        <v>0.00014182</v>
      </c>
      <c r="AI1437" t="n">
        <v>0.230645</v>
      </c>
      <c r="AJ1437" t="n">
        <v>479.8622</v>
      </c>
      <c r="AK1437" t="n">
        <v>119.9655</v>
      </c>
      <c r="AL1437" t="n">
        <v>13216.2955</v>
      </c>
      <c r="AM1437" t="n">
        <v>94353.1765</v>
      </c>
      <c r="AN1437" t="n">
        <v>0.99</v>
      </c>
      <c r="AO1437" t="inlineStr">
        <is>
          <t>Medium</t>
        </is>
      </c>
      <c r="AP1437" t="inlineStr">
        <is>
          <t>On Track to Glide Path</t>
        </is>
      </c>
    </row>
    <row r="1438">
      <c r="A1438" t="inlineStr">
        <is>
          <t>SUP-0090</t>
        </is>
      </c>
      <c r="B1438" t="inlineStr">
        <is>
          <t>Textiles Supplier 090</t>
        </is>
      </c>
      <c r="C1438" t="inlineStr">
        <is>
          <t>Textiles</t>
        </is>
      </c>
      <c r="D1438" t="n">
        <v>2024</v>
      </c>
      <c r="E1438" t="n">
        <v>2018</v>
      </c>
      <c r="F1438" t="n">
        <v>2040</v>
      </c>
      <c r="G1438" t="n">
        <v>11415.0199</v>
      </c>
      <c r="H1438" t="n">
        <v>2540.5375</v>
      </c>
      <c r="I1438" t="n">
        <v>857.0276</v>
      </c>
      <c r="J1438" t="n">
        <v>7954.5691</v>
      </c>
      <c r="K1438" t="n">
        <v>50790249.54</v>
      </c>
      <c r="L1438" t="n">
        <v>113143834.28</v>
      </c>
      <c r="M1438" t="n">
        <v>11415.0199</v>
      </c>
      <c r="N1438" t="inlineStr">
        <is>
          <t>Provided Total Emissions</t>
        </is>
      </c>
      <c r="O1438" t="b">
        <v>1</v>
      </c>
      <c r="P1438" t="n">
        <v>0.055251</v>
      </c>
      <c r="Q1438" t="n">
        <v>0.101695</v>
      </c>
      <c r="R1438" t="n">
        <v>14841.4188</v>
      </c>
      <c r="S1438" t="n">
        <v>19622.5352</v>
      </c>
      <c r="T1438" t="n">
        <v>3426.3989</v>
      </c>
      <c r="U1438" t="n">
        <v>8207.515299999999</v>
      </c>
      <c r="V1438" t="n">
        <v>0.300166</v>
      </c>
      <c r="W1438" t="n">
        <v>0.71901</v>
      </c>
      <c r="X1438" t="inlineStr">
        <is>
          <t>High</t>
        </is>
      </c>
      <c r="Y1438" t="inlineStr">
        <is>
          <t>None</t>
        </is>
      </c>
      <c r="Z1438" t="inlineStr">
        <is>
          <t>Valid</t>
        </is>
      </c>
      <c r="AA1438" t="n">
        <v>2037</v>
      </c>
      <c r="AB1438" t="inlineStr">
        <is>
          <t>Supplier Target Pathway</t>
        </is>
      </c>
      <c r="AC1438" t="n">
        <v>9362.334000000001</v>
      </c>
      <c r="AD1438" t="n">
        <v>6723.092</v>
      </c>
      <c r="AE1438" t="n">
        <v>7082.9887</v>
      </c>
      <c r="AF1438" t="n">
        <v>7082.9887</v>
      </c>
      <c r="AG1438" t="n">
        <v>2279.3453</v>
      </c>
      <c r="AH1438" t="n">
        <v>0.00013946</v>
      </c>
      <c r="AI1438" t="n">
        <v>0.243459</v>
      </c>
      <c r="AJ1438" t="n">
        <v>359.8966</v>
      </c>
      <c r="AK1438" t="n">
        <v>119.9655</v>
      </c>
      <c r="AL1438" t="n">
        <v>6133.3068</v>
      </c>
      <c r="AM1438" t="n">
        <v>101436.1652</v>
      </c>
      <c r="AN1438" t="n">
        <v>0.99</v>
      </c>
      <c r="AO1438" t="inlineStr">
        <is>
          <t>Medium</t>
        </is>
      </c>
      <c r="AP1438" t="inlineStr">
        <is>
          <t>On Track to Glide Path</t>
        </is>
      </c>
    </row>
    <row r="1439">
      <c r="A1439" t="inlineStr">
        <is>
          <t>SUP-0090</t>
        </is>
      </c>
      <c r="B1439" t="inlineStr">
        <is>
          <t>Textiles Supplier 090</t>
        </is>
      </c>
      <c r="C1439" t="inlineStr">
        <is>
          <t>Textiles</t>
        </is>
      </c>
      <c r="D1439" t="n">
        <v>2024</v>
      </c>
      <c r="E1439" t="n">
        <v>2018</v>
      </c>
      <c r="F1439" t="n">
        <v>2040</v>
      </c>
      <c r="G1439" t="n">
        <v>11415.0199</v>
      </c>
      <c r="H1439" t="n">
        <v>2540.5375</v>
      </c>
      <c r="I1439" t="n">
        <v>857.0276</v>
      </c>
      <c r="J1439" t="n">
        <v>7954.5691</v>
      </c>
      <c r="K1439" t="n">
        <v>50790249.54</v>
      </c>
      <c r="L1439" t="n">
        <v>113143834.28</v>
      </c>
      <c r="M1439" t="n">
        <v>11415.0199</v>
      </c>
      <c r="N1439" t="inlineStr">
        <is>
          <t>Provided Total Emissions</t>
        </is>
      </c>
      <c r="O1439" t="b">
        <v>1</v>
      </c>
      <c r="P1439" t="n">
        <v>0.055251</v>
      </c>
      <c r="Q1439" t="n">
        <v>0.101695</v>
      </c>
      <c r="R1439" t="n">
        <v>14841.4188</v>
      </c>
      <c r="S1439" t="n">
        <v>19622.5352</v>
      </c>
      <c r="T1439" t="n">
        <v>3426.3989</v>
      </c>
      <c r="U1439" t="n">
        <v>8207.515299999999</v>
      </c>
      <c r="V1439" t="n">
        <v>0.300166</v>
      </c>
      <c r="W1439" t="n">
        <v>0.71901</v>
      </c>
      <c r="X1439" t="inlineStr">
        <is>
          <t>High</t>
        </is>
      </c>
      <c r="Y1439" t="inlineStr">
        <is>
          <t>None</t>
        </is>
      </c>
      <c r="Z1439" t="inlineStr">
        <is>
          <t>Valid</t>
        </is>
      </c>
      <c r="AA1439" t="n">
        <v>2038</v>
      </c>
      <c r="AB1439" t="inlineStr">
        <is>
          <t>Supplier Target Pathway</t>
        </is>
      </c>
      <c r="AC1439" t="n">
        <v>9362.334000000001</v>
      </c>
      <c r="AD1439" t="n">
        <v>6723.092</v>
      </c>
      <c r="AE1439" t="n">
        <v>6963.0231</v>
      </c>
      <c r="AF1439" t="n">
        <v>6963.0231</v>
      </c>
      <c r="AG1439" t="n">
        <v>2399.3109</v>
      </c>
      <c r="AH1439" t="n">
        <v>0.00013709</v>
      </c>
      <c r="AI1439" t="n">
        <v>0.256273</v>
      </c>
      <c r="AJ1439" t="n">
        <v>239.9311</v>
      </c>
      <c r="AK1439" t="n">
        <v>119.9655</v>
      </c>
      <c r="AL1439" t="n">
        <v>-829.7163</v>
      </c>
      <c r="AM1439" t="n">
        <v>108399.1883</v>
      </c>
      <c r="AN1439" t="n">
        <v>0.99</v>
      </c>
      <c r="AO1439" t="inlineStr">
        <is>
          <t>Medium</t>
        </is>
      </c>
      <c r="AP1439" t="inlineStr">
        <is>
          <t>On Track to Glide Path</t>
        </is>
      </c>
    </row>
    <row r="1440">
      <c r="A1440" t="inlineStr">
        <is>
          <t>SUP-0090</t>
        </is>
      </c>
      <c r="B1440" t="inlineStr">
        <is>
          <t>Textiles Supplier 090</t>
        </is>
      </c>
      <c r="C1440" t="inlineStr">
        <is>
          <t>Textiles</t>
        </is>
      </c>
      <c r="D1440" t="n">
        <v>2024</v>
      </c>
      <c r="E1440" t="n">
        <v>2018</v>
      </c>
      <c r="F1440" t="n">
        <v>2040</v>
      </c>
      <c r="G1440" t="n">
        <v>11415.0199</v>
      </c>
      <c r="H1440" t="n">
        <v>2540.5375</v>
      </c>
      <c r="I1440" t="n">
        <v>857.0276</v>
      </c>
      <c r="J1440" t="n">
        <v>7954.5691</v>
      </c>
      <c r="K1440" t="n">
        <v>50790249.54</v>
      </c>
      <c r="L1440" t="n">
        <v>113143834.28</v>
      </c>
      <c r="M1440" t="n">
        <v>11415.0199</v>
      </c>
      <c r="N1440" t="inlineStr">
        <is>
          <t>Provided Total Emissions</t>
        </is>
      </c>
      <c r="O1440" t="b">
        <v>1</v>
      </c>
      <c r="P1440" t="n">
        <v>0.055251</v>
      </c>
      <c r="Q1440" t="n">
        <v>0.101695</v>
      </c>
      <c r="R1440" t="n">
        <v>14841.4188</v>
      </c>
      <c r="S1440" t="n">
        <v>19622.5352</v>
      </c>
      <c r="T1440" t="n">
        <v>3426.3989</v>
      </c>
      <c r="U1440" t="n">
        <v>8207.515299999999</v>
      </c>
      <c r="V1440" t="n">
        <v>0.300166</v>
      </c>
      <c r="W1440" t="n">
        <v>0.71901</v>
      </c>
      <c r="X1440" t="inlineStr">
        <is>
          <t>High</t>
        </is>
      </c>
      <c r="Y1440" t="inlineStr">
        <is>
          <t>None</t>
        </is>
      </c>
      <c r="Z1440" t="inlineStr">
        <is>
          <t>Valid</t>
        </is>
      </c>
      <c r="AA1440" t="n">
        <v>2039</v>
      </c>
      <c r="AB1440" t="inlineStr">
        <is>
          <t>Supplier Target Pathway</t>
        </is>
      </c>
      <c r="AC1440" t="n">
        <v>9362.334000000001</v>
      </c>
      <c r="AD1440" t="n">
        <v>6723.092</v>
      </c>
      <c r="AE1440" t="n">
        <v>6843.0576</v>
      </c>
      <c r="AF1440" t="n">
        <v>6843.0576</v>
      </c>
      <c r="AG1440" t="n">
        <v>2519.2764</v>
      </c>
      <c r="AH1440" t="n">
        <v>0.00013473</v>
      </c>
      <c r="AI1440" t="n">
        <v>0.269086</v>
      </c>
      <c r="AJ1440" t="n">
        <v>119.9655</v>
      </c>
      <c r="AK1440" t="n">
        <v>119.9655</v>
      </c>
      <c r="AL1440" t="n">
        <v>-7672.7739</v>
      </c>
      <c r="AM1440" t="n">
        <v>115242.2459</v>
      </c>
      <c r="AN1440" t="n">
        <v>0.99</v>
      </c>
      <c r="AO1440" t="inlineStr">
        <is>
          <t>Medium</t>
        </is>
      </c>
      <c r="AP1440" t="inlineStr">
        <is>
          <t>On Track to Glide Path</t>
        </is>
      </c>
    </row>
    <row r="1441">
      <c r="A1441" t="inlineStr">
        <is>
          <t>SUP-0090</t>
        </is>
      </c>
      <c r="B1441" t="inlineStr">
        <is>
          <t>Textiles Supplier 090</t>
        </is>
      </c>
      <c r="C1441" t="inlineStr">
        <is>
          <t>Textiles</t>
        </is>
      </c>
      <c r="D1441" t="n">
        <v>2024</v>
      </c>
      <c r="E1441" t="n">
        <v>2018</v>
      </c>
      <c r="F1441" t="n">
        <v>2040</v>
      </c>
      <c r="G1441" t="n">
        <v>11415.0199</v>
      </c>
      <c r="H1441" t="n">
        <v>2540.5375</v>
      </c>
      <c r="I1441" t="n">
        <v>857.0276</v>
      </c>
      <c r="J1441" t="n">
        <v>7954.5691</v>
      </c>
      <c r="K1441" t="n">
        <v>50790249.54</v>
      </c>
      <c r="L1441" t="n">
        <v>113143834.28</v>
      </c>
      <c r="M1441" t="n">
        <v>11415.0199</v>
      </c>
      <c r="N1441" t="inlineStr">
        <is>
          <t>Provided Total Emissions</t>
        </is>
      </c>
      <c r="O1441" t="b">
        <v>1</v>
      </c>
      <c r="P1441" t="n">
        <v>0.055251</v>
      </c>
      <c r="Q1441" t="n">
        <v>0.101695</v>
      </c>
      <c r="R1441" t="n">
        <v>14841.4188</v>
      </c>
      <c r="S1441" t="n">
        <v>19622.5352</v>
      </c>
      <c r="T1441" t="n">
        <v>3426.3989</v>
      </c>
      <c r="U1441" t="n">
        <v>8207.515299999999</v>
      </c>
      <c r="V1441" t="n">
        <v>0.300166</v>
      </c>
      <c r="W1441" t="n">
        <v>0.71901</v>
      </c>
      <c r="X1441" t="inlineStr">
        <is>
          <t>High</t>
        </is>
      </c>
      <c r="Y1441" t="inlineStr">
        <is>
          <t>None</t>
        </is>
      </c>
      <c r="Z1441" t="inlineStr">
        <is>
          <t>Valid</t>
        </is>
      </c>
      <c r="AA1441" t="n">
        <v>2040</v>
      </c>
      <c r="AB1441" t="inlineStr">
        <is>
          <t>Supplier Target Pathway</t>
        </is>
      </c>
      <c r="AC1441" t="n">
        <v>9362.334000000001</v>
      </c>
      <c r="AD1441" t="n">
        <v>6723.092</v>
      </c>
      <c r="AE1441" t="n">
        <v>6723.092</v>
      </c>
      <c r="AF1441" t="n">
        <v>6723.092</v>
      </c>
      <c r="AG1441" t="n">
        <v>2639.242</v>
      </c>
      <c r="AH1441" t="n">
        <v>0.00013237</v>
      </c>
      <c r="AI1441" t="n">
        <v>0.2819</v>
      </c>
      <c r="AJ1441" t="n">
        <v>0</v>
      </c>
      <c r="AK1441" t="n">
        <v>119.9655</v>
      </c>
      <c r="AL1441" t="n">
        <v>-14395.8659</v>
      </c>
      <c r="AM1441" t="n">
        <v>121965.3379</v>
      </c>
      <c r="AN1441" t="n">
        <v>0.99</v>
      </c>
      <c r="AO1441" t="inlineStr">
        <is>
          <t>Low</t>
        </is>
      </c>
      <c r="AP1441" t="inlineStr">
        <is>
          <t>On Track</t>
        </is>
      </c>
    </row>
    <row r="1442">
      <c r="A1442" t="inlineStr">
        <is>
          <t>SUP-0091</t>
        </is>
      </c>
      <c r="B1442" t="inlineStr">
        <is>
          <t>Professional Supplier 091</t>
        </is>
      </c>
      <c r="C1442" t="inlineStr">
        <is>
          <t>Professional Services</t>
        </is>
      </c>
      <c r="D1442" t="n">
        <v>2024</v>
      </c>
      <c r="E1442" t="n">
        <v>2015</v>
      </c>
      <c r="F1442" t="n">
        <v>2040</v>
      </c>
      <c r="G1442" t="n">
        <v>1001.0076</v>
      </c>
      <c r="H1442" t="n">
        <v>83.75700000000001</v>
      </c>
      <c r="I1442" t="n">
        <v>102.2315</v>
      </c>
      <c r="J1442" t="n">
        <v>845.6282</v>
      </c>
      <c r="K1442" t="n">
        <v>8601777.49</v>
      </c>
      <c r="L1442" t="n">
        <v>25265783.8</v>
      </c>
      <c r="M1442" t="n">
        <v>1001.0076</v>
      </c>
      <c r="N1442" t="inlineStr">
        <is>
          <t>Provided Total Emissions</t>
        </is>
      </c>
      <c r="O1442" t="b">
        <v>1</v>
      </c>
      <c r="P1442" t="n">
        <v>-0.036474</v>
      </c>
      <c r="Q1442" t="n">
        <v>0.015796</v>
      </c>
      <c r="R1442" t="n">
        <v>1110.1454</v>
      </c>
      <c r="S1442" t="n">
        <v>4966.7478</v>
      </c>
      <c r="T1442" t="n">
        <v>109.1378</v>
      </c>
      <c r="U1442" t="n">
        <v>3965.7402</v>
      </c>
      <c r="V1442" t="n">
        <v>0.109028</v>
      </c>
      <c r="W1442" t="n">
        <v>3.961748</v>
      </c>
      <c r="X1442" t="inlineStr">
        <is>
          <t>High</t>
        </is>
      </c>
      <c r="Y1442" t="inlineStr">
        <is>
          <t>None</t>
        </is>
      </c>
      <c r="Z1442" t="inlineStr">
        <is>
          <t>Valid</t>
        </is>
      </c>
      <c r="AA1442" t="n">
        <v>2025</v>
      </c>
      <c r="AB1442" t="inlineStr">
        <is>
          <t>Historical Trend Pathway</t>
        </is>
      </c>
      <c r="AC1442" t="n">
        <v>1398.5154</v>
      </c>
      <c r="AD1442" t="n">
        <v>909.035</v>
      </c>
      <c r="AE1442" t="n">
        <v>982.8098</v>
      </c>
      <c r="AF1442" t="n">
        <v>1202.7232</v>
      </c>
      <c r="AG1442" t="n">
        <v>415.7056</v>
      </c>
      <c r="AH1442" t="n">
        <v>0.00011426</v>
      </c>
      <c r="AI1442" t="n">
        <v>0.297248</v>
      </c>
      <c r="AJ1442" t="n">
        <v>73.7748</v>
      </c>
      <c r="AK1442" t="n">
        <v>19.5792</v>
      </c>
      <c r="AL1442" t="n">
        <v>13561.7502</v>
      </c>
      <c r="AM1442" t="n">
        <v>982.8098</v>
      </c>
      <c r="AN1442" t="n">
        <v>0.88</v>
      </c>
      <c r="AO1442" t="inlineStr">
        <is>
          <t>Medium</t>
        </is>
      </c>
      <c r="AP1442" t="inlineStr">
        <is>
          <t>On Track to Glide Path</t>
        </is>
      </c>
    </row>
    <row r="1443">
      <c r="A1443" t="inlineStr">
        <is>
          <t>SUP-0091</t>
        </is>
      </c>
      <c r="B1443" t="inlineStr">
        <is>
          <t>Professional Supplier 091</t>
        </is>
      </c>
      <c r="C1443" t="inlineStr">
        <is>
          <t>Professional Services</t>
        </is>
      </c>
      <c r="D1443" t="n">
        <v>2024</v>
      </c>
      <c r="E1443" t="n">
        <v>2015</v>
      </c>
      <c r="F1443" t="n">
        <v>2040</v>
      </c>
      <c r="G1443" t="n">
        <v>1001.0076</v>
      </c>
      <c r="H1443" t="n">
        <v>83.75700000000001</v>
      </c>
      <c r="I1443" t="n">
        <v>102.2315</v>
      </c>
      <c r="J1443" t="n">
        <v>845.6282</v>
      </c>
      <c r="K1443" t="n">
        <v>8601777.49</v>
      </c>
      <c r="L1443" t="n">
        <v>25265783.8</v>
      </c>
      <c r="M1443" t="n">
        <v>1001.0076</v>
      </c>
      <c r="N1443" t="inlineStr">
        <is>
          <t>Provided Total Emissions</t>
        </is>
      </c>
      <c r="O1443" t="b">
        <v>1</v>
      </c>
      <c r="P1443" t="n">
        <v>-0.036474</v>
      </c>
      <c r="Q1443" t="n">
        <v>0.015796</v>
      </c>
      <c r="R1443" t="n">
        <v>1110.1454</v>
      </c>
      <c r="S1443" t="n">
        <v>4966.7478</v>
      </c>
      <c r="T1443" t="n">
        <v>109.1378</v>
      </c>
      <c r="U1443" t="n">
        <v>3965.7402</v>
      </c>
      <c r="V1443" t="n">
        <v>0.109028</v>
      </c>
      <c r="W1443" t="n">
        <v>3.961748</v>
      </c>
      <c r="X1443" t="inlineStr">
        <is>
          <t>High</t>
        </is>
      </c>
      <c r="Y1443" t="inlineStr">
        <is>
          <t>None</t>
        </is>
      </c>
      <c r="Z1443" t="inlineStr">
        <is>
          <t>Valid</t>
        </is>
      </c>
      <c r="AA1443" t="n">
        <v>2026</v>
      </c>
      <c r="AB1443" t="inlineStr">
        <is>
          <t>Historical Trend Pathway</t>
        </is>
      </c>
      <c r="AC1443" t="n">
        <v>1398.5154</v>
      </c>
      <c r="AD1443" t="n">
        <v>909.035</v>
      </c>
      <c r="AE1443" t="n">
        <v>964.9428</v>
      </c>
      <c r="AF1443" t="n">
        <v>1183.144</v>
      </c>
      <c r="AG1443" t="n">
        <v>433.5726</v>
      </c>
      <c r="AH1443" t="n">
        <v>0.00011218</v>
      </c>
      <c r="AI1443" t="n">
        <v>0.310023</v>
      </c>
      <c r="AJ1443" t="n">
        <v>55.9078</v>
      </c>
      <c r="AK1443" t="n">
        <v>19.5792</v>
      </c>
      <c r="AL1443" t="n">
        <v>12596.8074</v>
      </c>
      <c r="AM1443" t="n">
        <v>1947.7526</v>
      </c>
      <c r="AN1443" t="n">
        <v>0.88</v>
      </c>
      <c r="AO1443" t="inlineStr">
        <is>
          <t>Medium</t>
        </is>
      </c>
      <c r="AP1443" t="inlineStr">
        <is>
          <t>On Track to Glide Path</t>
        </is>
      </c>
    </row>
    <row r="1444">
      <c r="A1444" t="inlineStr">
        <is>
          <t>SUP-0091</t>
        </is>
      </c>
      <c r="B1444" t="inlineStr">
        <is>
          <t>Professional Supplier 091</t>
        </is>
      </c>
      <c r="C1444" t="inlineStr">
        <is>
          <t>Professional Services</t>
        </is>
      </c>
      <c r="D1444" t="n">
        <v>2024</v>
      </c>
      <c r="E1444" t="n">
        <v>2015</v>
      </c>
      <c r="F1444" t="n">
        <v>2040</v>
      </c>
      <c r="G1444" t="n">
        <v>1001.0076</v>
      </c>
      <c r="H1444" t="n">
        <v>83.75700000000001</v>
      </c>
      <c r="I1444" t="n">
        <v>102.2315</v>
      </c>
      <c r="J1444" t="n">
        <v>845.6282</v>
      </c>
      <c r="K1444" t="n">
        <v>8601777.49</v>
      </c>
      <c r="L1444" t="n">
        <v>25265783.8</v>
      </c>
      <c r="M1444" t="n">
        <v>1001.0076</v>
      </c>
      <c r="N1444" t="inlineStr">
        <is>
          <t>Provided Total Emissions</t>
        </is>
      </c>
      <c r="O1444" t="b">
        <v>1</v>
      </c>
      <c r="P1444" t="n">
        <v>-0.036474</v>
      </c>
      <c r="Q1444" t="n">
        <v>0.015796</v>
      </c>
      <c r="R1444" t="n">
        <v>1110.1454</v>
      </c>
      <c r="S1444" t="n">
        <v>4966.7478</v>
      </c>
      <c r="T1444" t="n">
        <v>109.1378</v>
      </c>
      <c r="U1444" t="n">
        <v>3965.7402</v>
      </c>
      <c r="V1444" t="n">
        <v>0.109028</v>
      </c>
      <c r="W1444" t="n">
        <v>3.961748</v>
      </c>
      <c r="X1444" t="inlineStr">
        <is>
          <t>High</t>
        </is>
      </c>
      <c r="Y1444" t="inlineStr">
        <is>
          <t>None</t>
        </is>
      </c>
      <c r="Z1444" t="inlineStr">
        <is>
          <t>Valid</t>
        </is>
      </c>
      <c r="AA1444" t="n">
        <v>2027</v>
      </c>
      <c r="AB1444" t="inlineStr">
        <is>
          <t>Historical Trend Pathway</t>
        </is>
      </c>
      <c r="AC1444" t="n">
        <v>1398.5154</v>
      </c>
      <c r="AD1444" t="n">
        <v>909.035</v>
      </c>
      <c r="AE1444" t="n">
        <v>947.4006000000001</v>
      </c>
      <c r="AF1444" t="n">
        <v>1163.5648</v>
      </c>
      <c r="AG1444" t="n">
        <v>451.1148</v>
      </c>
      <c r="AH1444" t="n">
        <v>0.00011014</v>
      </c>
      <c r="AI1444" t="n">
        <v>0.322567</v>
      </c>
      <c r="AJ1444" t="n">
        <v>38.3656</v>
      </c>
      <c r="AK1444" t="n">
        <v>19.5792</v>
      </c>
      <c r="AL1444" t="n">
        <v>11649.4068</v>
      </c>
      <c r="AM1444" t="n">
        <v>2895.1532</v>
      </c>
      <c r="AN1444" t="n">
        <v>0.88</v>
      </c>
      <c r="AO1444" t="inlineStr">
        <is>
          <t>Medium</t>
        </is>
      </c>
      <c r="AP1444" t="inlineStr">
        <is>
          <t>On Track to Glide Path</t>
        </is>
      </c>
    </row>
    <row r="1445">
      <c r="A1445" t="inlineStr">
        <is>
          <t>SUP-0091</t>
        </is>
      </c>
      <c r="B1445" t="inlineStr">
        <is>
          <t>Professional Supplier 091</t>
        </is>
      </c>
      <c r="C1445" t="inlineStr">
        <is>
          <t>Professional Services</t>
        </is>
      </c>
      <c r="D1445" t="n">
        <v>2024</v>
      </c>
      <c r="E1445" t="n">
        <v>2015</v>
      </c>
      <c r="F1445" t="n">
        <v>2040</v>
      </c>
      <c r="G1445" t="n">
        <v>1001.0076</v>
      </c>
      <c r="H1445" t="n">
        <v>83.75700000000001</v>
      </c>
      <c r="I1445" t="n">
        <v>102.2315</v>
      </c>
      <c r="J1445" t="n">
        <v>845.6282</v>
      </c>
      <c r="K1445" t="n">
        <v>8601777.49</v>
      </c>
      <c r="L1445" t="n">
        <v>25265783.8</v>
      </c>
      <c r="M1445" t="n">
        <v>1001.0076</v>
      </c>
      <c r="N1445" t="inlineStr">
        <is>
          <t>Provided Total Emissions</t>
        </is>
      </c>
      <c r="O1445" t="b">
        <v>1</v>
      </c>
      <c r="P1445" t="n">
        <v>-0.036474</v>
      </c>
      <c r="Q1445" t="n">
        <v>0.015796</v>
      </c>
      <c r="R1445" t="n">
        <v>1110.1454</v>
      </c>
      <c r="S1445" t="n">
        <v>4966.7478</v>
      </c>
      <c r="T1445" t="n">
        <v>109.1378</v>
      </c>
      <c r="U1445" t="n">
        <v>3965.7402</v>
      </c>
      <c r="V1445" t="n">
        <v>0.109028</v>
      </c>
      <c r="W1445" t="n">
        <v>3.961748</v>
      </c>
      <c r="X1445" t="inlineStr">
        <is>
          <t>High</t>
        </is>
      </c>
      <c r="Y1445" t="inlineStr">
        <is>
          <t>None</t>
        </is>
      </c>
      <c r="Z1445" t="inlineStr">
        <is>
          <t>Valid</t>
        </is>
      </c>
      <c r="AA1445" t="n">
        <v>2028</v>
      </c>
      <c r="AB1445" t="inlineStr">
        <is>
          <t>Historical Trend Pathway</t>
        </is>
      </c>
      <c r="AC1445" t="n">
        <v>1398.5154</v>
      </c>
      <c r="AD1445" t="n">
        <v>909.035</v>
      </c>
      <c r="AE1445" t="n">
        <v>930.1772999999999</v>
      </c>
      <c r="AF1445" t="n">
        <v>1143.9856</v>
      </c>
      <c r="AG1445" t="n">
        <v>468.3381</v>
      </c>
      <c r="AH1445" t="n">
        <v>0.00010814</v>
      </c>
      <c r="AI1445" t="n">
        <v>0.334882</v>
      </c>
      <c r="AJ1445" t="n">
        <v>21.1423</v>
      </c>
      <c r="AK1445" t="n">
        <v>19.5792</v>
      </c>
      <c r="AL1445" t="n">
        <v>10719.2295</v>
      </c>
      <c r="AM1445" t="n">
        <v>3825.3305</v>
      </c>
      <c r="AN1445" t="n">
        <v>0.88</v>
      </c>
      <c r="AO1445" t="inlineStr">
        <is>
          <t>Medium</t>
        </is>
      </c>
      <c r="AP1445" t="inlineStr">
        <is>
          <t>On Track to Glide Path</t>
        </is>
      </c>
    </row>
    <row r="1446">
      <c r="A1446" t="inlineStr">
        <is>
          <t>SUP-0091</t>
        </is>
      </c>
      <c r="B1446" t="inlineStr">
        <is>
          <t>Professional Supplier 091</t>
        </is>
      </c>
      <c r="C1446" t="inlineStr">
        <is>
          <t>Professional Services</t>
        </is>
      </c>
      <c r="D1446" t="n">
        <v>2024</v>
      </c>
      <c r="E1446" t="n">
        <v>2015</v>
      </c>
      <c r="F1446" t="n">
        <v>2040</v>
      </c>
      <c r="G1446" t="n">
        <v>1001.0076</v>
      </c>
      <c r="H1446" t="n">
        <v>83.75700000000001</v>
      </c>
      <c r="I1446" t="n">
        <v>102.2315</v>
      </c>
      <c r="J1446" t="n">
        <v>845.6282</v>
      </c>
      <c r="K1446" t="n">
        <v>8601777.49</v>
      </c>
      <c r="L1446" t="n">
        <v>25265783.8</v>
      </c>
      <c r="M1446" t="n">
        <v>1001.0076</v>
      </c>
      <c r="N1446" t="inlineStr">
        <is>
          <t>Provided Total Emissions</t>
        </is>
      </c>
      <c r="O1446" t="b">
        <v>1</v>
      </c>
      <c r="P1446" t="n">
        <v>-0.036474</v>
      </c>
      <c r="Q1446" t="n">
        <v>0.015796</v>
      </c>
      <c r="R1446" t="n">
        <v>1110.1454</v>
      </c>
      <c r="S1446" t="n">
        <v>4966.7478</v>
      </c>
      <c r="T1446" t="n">
        <v>109.1378</v>
      </c>
      <c r="U1446" t="n">
        <v>3965.7402</v>
      </c>
      <c r="V1446" t="n">
        <v>0.109028</v>
      </c>
      <c r="W1446" t="n">
        <v>3.961748</v>
      </c>
      <c r="X1446" t="inlineStr">
        <is>
          <t>High</t>
        </is>
      </c>
      <c r="Y1446" t="inlineStr">
        <is>
          <t>None</t>
        </is>
      </c>
      <c r="Z1446" t="inlineStr">
        <is>
          <t>Valid</t>
        </is>
      </c>
      <c r="AA1446" t="n">
        <v>2029</v>
      </c>
      <c r="AB1446" t="inlineStr">
        <is>
          <t>Historical Trend Pathway</t>
        </is>
      </c>
      <c r="AC1446" t="n">
        <v>1398.5154</v>
      </c>
      <c r="AD1446" t="n">
        <v>909.035</v>
      </c>
      <c r="AE1446" t="n">
        <v>913.2672</v>
      </c>
      <c r="AF1446" t="n">
        <v>1124.4064</v>
      </c>
      <c r="AG1446" t="n">
        <v>485.2482</v>
      </c>
      <c r="AH1446" t="n">
        <v>0.00010617</v>
      </c>
      <c r="AI1446" t="n">
        <v>0.346974</v>
      </c>
      <c r="AJ1446" t="n">
        <v>4.2322</v>
      </c>
      <c r="AK1446" t="n">
        <v>19.5792</v>
      </c>
      <c r="AL1446" t="n">
        <v>9805.962299999999</v>
      </c>
      <c r="AM1446" t="n">
        <v>4738.5977</v>
      </c>
      <c r="AN1446" t="n">
        <v>0.88</v>
      </c>
      <c r="AO1446" t="inlineStr">
        <is>
          <t>Medium</t>
        </is>
      </c>
      <c r="AP1446" t="inlineStr">
        <is>
          <t>On Track to Glide Path</t>
        </is>
      </c>
    </row>
    <row r="1447">
      <c r="A1447" t="inlineStr">
        <is>
          <t>SUP-0091</t>
        </is>
      </c>
      <c r="B1447" t="inlineStr">
        <is>
          <t>Professional Supplier 091</t>
        </is>
      </c>
      <c r="C1447" t="inlineStr">
        <is>
          <t>Professional Services</t>
        </is>
      </c>
      <c r="D1447" t="n">
        <v>2024</v>
      </c>
      <c r="E1447" t="n">
        <v>2015</v>
      </c>
      <c r="F1447" t="n">
        <v>2040</v>
      </c>
      <c r="G1447" t="n">
        <v>1001.0076</v>
      </c>
      <c r="H1447" t="n">
        <v>83.75700000000001</v>
      </c>
      <c r="I1447" t="n">
        <v>102.2315</v>
      </c>
      <c r="J1447" t="n">
        <v>845.6282</v>
      </c>
      <c r="K1447" t="n">
        <v>8601777.49</v>
      </c>
      <c r="L1447" t="n">
        <v>25265783.8</v>
      </c>
      <c r="M1447" t="n">
        <v>1001.0076</v>
      </c>
      <c r="N1447" t="inlineStr">
        <is>
          <t>Provided Total Emissions</t>
        </is>
      </c>
      <c r="O1447" t="b">
        <v>1</v>
      </c>
      <c r="P1447" t="n">
        <v>-0.036474</v>
      </c>
      <c r="Q1447" t="n">
        <v>0.015796</v>
      </c>
      <c r="R1447" t="n">
        <v>1110.1454</v>
      </c>
      <c r="S1447" t="n">
        <v>4966.7478</v>
      </c>
      <c r="T1447" t="n">
        <v>109.1378</v>
      </c>
      <c r="U1447" t="n">
        <v>3965.7402</v>
      </c>
      <c r="V1447" t="n">
        <v>0.109028</v>
      </c>
      <c r="W1447" t="n">
        <v>3.961748</v>
      </c>
      <c r="X1447" t="inlineStr">
        <is>
          <t>High</t>
        </is>
      </c>
      <c r="Y1447" t="inlineStr">
        <is>
          <t>None</t>
        </is>
      </c>
      <c r="Z1447" t="inlineStr">
        <is>
          <t>Valid</t>
        </is>
      </c>
      <c r="AA1447" t="n">
        <v>2030</v>
      </c>
      <c r="AB1447" t="inlineStr">
        <is>
          <t>Historical Trend Pathway</t>
        </is>
      </c>
      <c r="AC1447" t="n">
        <v>1398.5154</v>
      </c>
      <c r="AD1447" t="n">
        <v>909.035</v>
      </c>
      <c r="AE1447" t="n">
        <v>896.6644</v>
      </c>
      <c r="AF1447" t="n">
        <v>1104.8272</v>
      </c>
      <c r="AG1447" t="n">
        <v>501.851</v>
      </c>
      <c r="AH1447" t="n">
        <v>0.00010424</v>
      </c>
      <c r="AI1447" t="n">
        <v>0.358845</v>
      </c>
      <c r="AJ1447" t="n">
        <v>-12.3706</v>
      </c>
      <c r="AK1447" t="n">
        <v>19.5792</v>
      </c>
      <c r="AL1447" t="n">
        <v>8909.2979</v>
      </c>
      <c r="AM1447" t="n">
        <v>5635.2621</v>
      </c>
      <c r="AN1447" t="n">
        <v>0.88</v>
      </c>
      <c r="AO1447" t="inlineStr">
        <is>
          <t>Low</t>
        </is>
      </c>
      <c r="AP1447" t="inlineStr">
        <is>
          <t>On Track to Glide Path</t>
        </is>
      </c>
    </row>
    <row r="1448">
      <c r="A1448" t="inlineStr">
        <is>
          <t>SUP-0091</t>
        </is>
      </c>
      <c r="B1448" t="inlineStr">
        <is>
          <t>Professional Supplier 091</t>
        </is>
      </c>
      <c r="C1448" t="inlineStr">
        <is>
          <t>Professional Services</t>
        </is>
      </c>
      <c r="D1448" t="n">
        <v>2024</v>
      </c>
      <c r="E1448" t="n">
        <v>2015</v>
      </c>
      <c r="F1448" t="n">
        <v>2040</v>
      </c>
      <c r="G1448" t="n">
        <v>1001.0076</v>
      </c>
      <c r="H1448" t="n">
        <v>83.75700000000001</v>
      </c>
      <c r="I1448" t="n">
        <v>102.2315</v>
      </c>
      <c r="J1448" t="n">
        <v>845.6282</v>
      </c>
      <c r="K1448" t="n">
        <v>8601777.49</v>
      </c>
      <c r="L1448" t="n">
        <v>25265783.8</v>
      </c>
      <c r="M1448" t="n">
        <v>1001.0076</v>
      </c>
      <c r="N1448" t="inlineStr">
        <is>
          <t>Provided Total Emissions</t>
        </is>
      </c>
      <c r="O1448" t="b">
        <v>1</v>
      </c>
      <c r="P1448" t="n">
        <v>-0.036474</v>
      </c>
      <c r="Q1448" t="n">
        <v>0.015796</v>
      </c>
      <c r="R1448" t="n">
        <v>1110.1454</v>
      </c>
      <c r="S1448" t="n">
        <v>4966.7478</v>
      </c>
      <c r="T1448" t="n">
        <v>109.1378</v>
      </c>
      <c r="U1448" t="n">
        <v>3965.7402</v>
      </c>
      <c r="V1448" t="n">
        <v>0.109028</v>
      </c>
      <c r="W1448" t="n">
        <v>3.961748</v>
      </c>
      <c r="X1448" t="inlineStr">
        <is>
          <t>High</t>
        </is>
      </c>
      <c r="Y1448" t="inlineStr">
        <is>
          <t>None</t>
        </is>
      </c>
      <c r="Z1448" t="inlineStr">
        <is>
          <t>Valid</t>
        </is>
      </c>
      <c r="AA1448" t="n">
        <v>2031</v>
      </c>
      <c r="AB1448" t="inlineStr">
        <is>
          <t>Historical Trend Pathway</t>
        </is>
      </c>
      <c r="AC1448" t="n">
        <v>1398.5154</v>
      </c>
      <c r="AD1448" t="n">
        <v>909.035</v>
      </c>
      <c r="AE1448" t="n">
        <v>880.3635</v>
      </c>
      <c r="AF1448" t="n">
        <v>1085.248</v>
      </c>
      <c r="AG1448" t="n">
        <v>518.1519</v>
      </c>
      <c r="AH1448" t="n">
        <v>0.00010235</v>
      </c>
      <c r="AI1448" t="n">
        <v>0.370501</v>
      </c>
      <c r="AJ1448" t="n">
        <v>-28.6715</v>
      </c>
      <c r="AK1448" t="n">
        <v>19.5792</v>
      </c>
      <c r="AL1448" t="n">
        <v>8028.9344</v>
      </c>
      <c r="AM1448" t="n">
        <v>6515.6256</v>
      </c>
      <c r="AN1448" t="n">
        <v>0.88</v>
      </c>
      <c r="AO1448" t="inlineStr">
        <is>
          <t>Low</t>
        </is>
      </c>
      <c r="AP1448" t="inlineStr">
        <is>
          <t>On Track to Glide Path</t>
        </is>
      </c>
    </row>
    <row r="1449">
      <c r="A1449" t="inlineStr">
        <is>
          <t>SUP-0091</t>
        </is>
      </c>
      <c r="B1449" t="inlineStr">
        <is>
          <t>Professional Supplier 091</t>
        </is>
      </c>
      <c r="C1449" t="inlineStr">
        <is>
          <t>Professional Services</t>
        </is>
      </c>
      <c r="D1449" t="n">
        <v>2024</v>
      </c>
      <c r="E1449" t="n">
        <v>2015</v>
      </c>
      <c r="F1449" t="n">
        <v>2040</v>
      </c>
      <c r="G1449" t="n">
        <v>1001.0076</v>
      </c>
      <c r="H1449" t="n">
        <v>83.75700000000001</v>
      </c>
      <c r="I1449" t="n">
        <v>102.2315</v>
      </c>
      <c r="J1449" t="n">
        <v>845.6282</v>
      </c>
      <c r="K1449" t="n">
        <v>8601777.49</v>
      </c>
      <c r="L1449" t="n">
        <v>25265783.8</v>
      </c>
      <c r="M1449" t="n">
        <v>1001.0076</v>
      </c>
      <c r="N1449" t="inlineStr">
        <is>
          <t>Provided Total Emissions</t>
        </is>
      </c>
      <c r="O1449" t="b">
        <v>1</v>
      </c>
      <c r="P1449" t="n">
        <v>-0.036474</v>
      </c>
      <c r="Q1449" t="n">
        <v>0.015796</v>
      </c>
      <c r="R1449" t="n">
        <v>1110.1454</v>
      </c>
      <c r="S1449" t="n">
        <v>4966.7478</v>
      </c>
      <c r="T1449" t="n">
        <v>109.1378</v>
      </c>
      <c r="U1449" t="n">
        <v>3965.7402</v>
      </c>
      <c r="V1449" t="n">
        <v>0.109028</v>
      </c>
      <c r="W1449" t="n">
        <v>3.961748</v>
      </c>
      <c r="X1449" t="inlineStr">
        <is>
          <t>High</t>
        </is>
      </c>
      <c r="Y1449" t="inlineStr">
        <is>
          <t>None</t>
        </is>
      </c>
      <c r="Z1449" t="inlineStr">
        <is>
          <t>Valid</t>
        </is>
      </c>
      <c r="AA1449" t="n">
        <v>2032</v>
      </c>
      <c r="AB1449" t="inlineStr">
        <is>
          <t>Historical Trend Pathway</t>
        </is>
      </c>
      <c r="AC1449" t="n">
        <v>1398.5154</v>
      </c>
      <c r="AD1449" t="n">
        <v>909.035</v>
      </c>
      <c r="AE1449" t="n">
        <v>864.359</v>
      </c>
      <c r="AF1449" t="n">
        <v>1065.6687</v>
      </c>
      <c r="AG1449" t="n">
        <v>534.1564</v>
      </c>
      <c r="AH1449" t="n">
        <v>0.00010049</v>
      </c>
      <c r="AI1449" t="n">
        <v>0.381945</v>
      </c>
      <c r="AJ1449" t="n">
        <v>-44.676</v>
      </c>
      <c r="AK1449" t="n">
        <v>19.5792</v>
      </c>
      <c r="AL1449" t="n">
        <v>7164.5754</v>
      </c>
      <c r="AM1449" t="n">
        <v>7379.9846</v>
      </c>
      <c r="AN1449" t="n">
        <v>0.88</v>
      </c>
      <c r="AO1449" t="inlineStr">
        <is>
          <t>Low</t>
        </is>
      </c>
      <c r="AP1449" t="inlineStr">
        <is>
          <t>On Track to Glide Path</t>
        </is>
      </c>
    </row>
    <row r="1450">
      <c r="A1450" t="inlineStr">
        <is>
          <t>SUP-0091</t>
        </is>
      </c>
      <c r="B1450" t="inlineStr">
        <is>
          <t>Professional Supplier 091</t>
        </is>
      </c>
      <c r="C1450" t="inlineStr">
        <is>
          <t>Professional Services</t>
        </is>
      </c>
      <c r="D1450" t="n">
        <v>2024</v>
      </c>
      <c r="E1450" t="n">
        <v>2015</v>
      </c>
      <c r="F1450" t="n">
        <v>2040</v>
      </c>
      <c r="G1450" t="n">
        <v>1001.0076</v>
      </c>
      <c r="H1450" t="n">
        <v>83.75700000000001</v>
      </c>
      <c r="I1450" t="n">
        <v>102.2315</v>
      </c>
      <c r="J1450" t="n">
        <v>845.6282</v>
      </c>
      <c r="K1450" t="n">
        <v>8601777.49</v>
      </c>
      <c r="L1450" t="n">
        <v>25265783.8</v>
      </c>
      <c r="M1450" t="n">
        <v>1001.0076</v>
      </c>
      <c r="N1450" t="inlineStr">
        <is>
          <t>Provided Total Emissions</t>
        </is>
      </c>
      <c r="O1450" t="b">
        <v>1</v>
      </c>
      <c r="P1450" t="n">
        <v>-0.036474</v>
      </c>
      <c r="Q1450" t="n">
        <v>0.015796</v>
      </c>
      <c r="R1450" t="n">
        <v>1110.1454</v>
      </c>
      <c r="S1450" t="n">
        <v>4966.7478</v>
      </c>
      <c r="T1450" t="n">
        <v>109.1378</v>
      </c>
      <c r="U1450" t="n">
        <v>3965.7402</v>
      </c>
      <c r="V1450" t="n">
        <v>0.109028</v>
      </c>
      <c r="W1450" t="n">
        <v>3.961748</v>
      </c>
      <c r="X1450" t="inlineStr">
        <is>
          <t>High</t>
        </is>
      </c>
      <c r="Y1450" t="inlineStr">
        <is>
          <t>None</t>
        </is>
      </c>
      <c r="Z1450" t="inlineStr">
        <is>
          <t>Valid</t>
        </is>
      </c>
      <c r="AA1450" t="n">
        <v>2033</v>
      </c>
      <c r="AB1450" t="inlineStr">
        <is>
          <t>Historical Trend Pathway</t>
        </is>
      </c>
      <c r="AC1450" t="n">
        <v>1398.5154</v>
      </c>
      <c r="AD1450" t="n">
        <v>909.035</v>
      </c>
      <c r="AE1450" t="n">
        <v>848.6454</v>
      </c>
      <c r="AF1450" t="n">
        <v>1046.0895</v>
      </c>
      <c r="AG1450" t="n">
        <v>549.87</v>
      </c>
      <c r="AH1450" t="n">
        <v>9.865999999999999e-05</v>
      </c>
      <c r="AI1450" t="n">
        <v>0.393181</v>
      </c>
      <c r="AJ1450" t="n">
        <v>-60.3897</v>
      </c>
      <c r="AK1450" t="n">
        <v>19.5792</v>
      </c>
      <c r="AL1450" t="n">
        <v>6315.93</v>
      </c>
      <c r="AM1450" t="n">
        <v>8228.629999999999</v>
      </c>
      <c r="AN1450" t="n">
        <v>0.88</v>
      </c>
      <c r="AO1450" t="inlineStr">
        <is>
          <t>Low</t>
        </is>
      </c>
      <c r="AP1450" t="inlineStr">
        <is>
          <t>On Track to Glide Path</t>
        </is>
      </c>
    </row>
    <row r="1451">
      <c r="A1451" t="inlineStr">
        <is>
          <t>SUP-0091</t>
        </is>
      </c>
      <c r="B1451" t="inlineStr">
        <is>
          <t>Professional Supplier 091</t>
        </is>
      </c>
      <c r="C1451" t="inlineStr">
        <is>
          <t>Professional Services</t>
        </is>
      </c>
      <c r="D1451" t="n">
        <v>2024</v>
      </c>
      <c r="E1451" t="n">
        <v>2015</v>
      </c>
      <c r="F1451" t="n">
        <v>2040</v>
      </c>
      <c r="G1451" t="n">
        <v>1001.0076</v>
      </c>
      <c r="H1451" t="n">
        <v>83.75700000000001</v>
      </c>
      <c r="I1451" t="n">
        <v>102.2315</v>
      </c>
      <c r="J1451" t="n">
        <v>845.6282</v>
      </c>
      <c r="K1451" t="n">
        <v>8601777.49</v>
      </c>
      <c r="L1451" t="n">
        <v>25265783.8</v>
      </c>
      <c r="M1451" t="n">
        <v>1001.0076</v>
      </c>
      <c r="N1451" t="inlineStr">
        <is>
          <t>Provided Total Emissions</t>
        </is>
      </c>
      <c r="O1451" t="b">
        <v>1</v>
      </c>
      <c r="P1451" t="n">
        <v>-0.036474</v>
      </c>
      <c r="Q1451" t="n">
        <v>0.015796</v>
      </c>
      <c r="R1451" t="n">
        <v>1110.1454</v>
      </c>
      <c r="S1451" t="n">
        <v>4966.7478</v>
      </c>
      <c r="T1451" t="n">
        <v>109.1378</v>
      </c>
      <c r="U1451" t="n">
        <v>3965.7402</v>
      </c>
      <c r="V1451" t="n">
        <v>0.109028</v>
      </c>
      <c r="W1451" t="n">
        <v>3.961748</v>
      </c>
      <c r="X1451" t="inlineStr">
        <is>
          <t>High</t>
        </is>
      </c>
      <c r="Y1451" t="inlineStr">
        <is>
          <t>None</t>
        </is>
      </c>
      <c r="Z1451" t="inlineStr">
        <is>
          <t>Valid</t>
        </is>
      </c>
      <c r="AA1451" t="n">
        <v>2034</v>
      </c>
      <c r="AB1451" t="inlineStr">
        <is>
          <t>Historical Trend Pathway</t>
        </is>
      </c>
      <c r="AC1451" t="n">
        <v>1398.5154</v>
      </c>
      <c r="AD1451" t="n">
        <v>909.035</v>
      </c>
      <c r="AE1451" t="n">
        <v>833.2174</v>
      </c>
      <c r="AF1451" t="n">
        <v>1026.5103</v>
      </c>
      <c r="AG1451" t="n">
        <v>565.298</v>
      </c>
      <c r="AH1451" t="n">
        <v>9.687e-05</v>
      </c>
      <c r="AI1451" t="n">
        <v>0.404213</v>
      </c>
      <c r="AJ1451" t="n">
        <v>-75.8176</v>
      </c>
      <c r="AK1451" t="n">
        <v>19.5792</v>
      </c>
      <c r="AL1451" t="n">
        <v>5482.7126</v>
      </c>
      <c r="AM1451" t="n">
        <v>9061.847400000001</v>
      </c>
      <c r="AN1451" t="n">
        <v>0.88</v>
      </c>
      <c r="AO1451" t="inlineStr">
        <is>
          <t>Low</t>
        </is>
      </c>
      <c r="AP1451" t="inlineStr">
        <is>
          <t>On Track to Glide Path</t>
        </is>
      </c>
    </row>
    <row r="1452">
      <c r="A1452" t="inlineStr">
        <is>
          <t>SUP-0091</t>
        </is>
      </c>
      <c r="B1452" t="inlineStr">
        <is>
          <t>Professional Supplier 091</t>
        </is>
      </c>
      <c r="C1452" t="inlineStr">
        <is>
          <t>Professional Services</t>
        </is>
      </c>
      <c r="D1452" t="n">
        <v>2024</v>
      </c>
      <c r="E1452" t="n">
        <v>2015</v>
      </c>
      <c r="F1452" t="n">
        <v>2040</v>
      </c>
      <c r="G1452" t="n">
        <v>1001.0076</v>
      </c>
      <c r="H1452" t="n">
        <v>83.75700000000001</v>
      </c>
      <c r="I1452" t="n">
        <v>102.2315</v>
      </c>
      <c r="J1452" t="n">
        <v>845.6282</v>
      </c>
      <c r="K1452" t="n">
        <v>8601777.49</v>
      </c>
      <c r="L1452" t="n">
        <v>25265783.8</v>
      </c>
      <c r="M1452" t="n">
        <v>1001.0076</v>
      </c>
      <c r="N1452" t="inlineStr">
        <is>
          <t>Provided Total Emissions</t>
        </is>
      </c>
      <c r="O1452" t="b">
        <v>1</v>
      </c>
      <c r="P1452" t="n">
        <v>-0.036474</v>
      </c>
      <c r="Q1452" t="n">
        <v>0.015796</v>
      </c>
      <c r="R1452" t="n">
        <v>1110.1454</v>
      </c>
      <c r="S1452" t="n">
        <v>4966.7478</v>
      </c>
      <c r="T1452" t="n">
        <v>109.1378</v>
      </c>
      <c r="U1452" t="n">
        <v>3965.7402</v>
      </c>
      <c r="V1452" t="n">
        <v>0.109028</v>
      </c>
      <c r="W1452" t="n">
        <v>3.961748</v>
      </c>
      <c r="X1452" t="inlineStr">
        <is>
          <t>High</t>
        </is>
      </c>
      <c r="Y1452" t="inlineStr">
        <is>
          <t>None</t>
        </is>
      </c>
      <c r="Z1452" t="inlineStr">
        <is>
          <t>Valid</t>
        </is>
      </c>
      <c r="AA1452" t="n">
        <v>2035</v>
      </c>
      <c r="AB1452" t="inlineStr">
        <is>
          <t>Historical Trend Pathway</t>
        </is>
      </c>
      <c r="AC1452" t="n">
        <v>1398.5154</v>
      </c>
      <c r="AD1452" t="n">
        <v>909.035</v>
      </c>
      <c r="AE1452" t="n">
        <v>818.0699</v>
      </c>
      <c r="AF1452" t="n">
        <v>1006.9311</v>
      </c>
      <c r="AG1452" t="n">
        <v>580.4455</v>
      </c>
      <c r="AH1452" t="n">
        <v>9.509999999999999e-05</v>
      </c>
      <c r="AI1452" t="n">
        <v>0.415044</v>
      </c>
      <c r="AJ1452" t="n">
        <v>-90.96510000000001</v>
      </c>
      <c r="AK1452" t="n">
        <v>19.5792</v>
      </c>
      <c r="AL1452" t="n">
        <v>4664.6427</v>
      </c>
      <c r="AM1452" t="n">
        <v>9879.917299999999</v>
      </c>
      <c r="AN1452" t="n">
        <v>0.88</v>
      </c>
      <c r="AO1452" t="inlineStr">
        <is>
          <t>Low</t>
        </is>
      </c>
      <c r="AP1452" t="inlineStr">
        <is>
          <t>On Track to Glide Path</t>
        </is>
      </c>
    </row>
    <row r="1453">
      <c r="A1453" t="inlineStr">
        <is>
          <t>SUP-0091</t>
        </is>
      </c>
      <c r="B1453" t="inlineStr">
        <is>
          <t>Professional Supplier 091</t>
        </is>
      </c>
      <c r="C1453" t="inlineStr">
        <is>
          <t>Professional Services</t>
        </is>
      </c>
      <c r="D1453" t="n">
        <v>2024</v>
      </c>
      <c r="E1453" t="n">
        <v>2015</v>
      </c>
      <c r="F1453" t="n">
        <v>2040</v>
      </c>
      <c r="G1453" t="n">
        <v>1001.0076</v>
      </c>
      <c r="H1453" t="n">
        <v>83.75700000000001</v>
      </c>
      <c r="I1453" t="n">
        <v>102.2315</v>
      </c>
      <c r="J1453" t="n">
        <v>845.6282</v>
      </c>
      <c r="K1453" t="n">
        <v>8601777.49</v>
      </c>
      <c r="L1453" t="n">
        <v>25265783.8</v>
      </c>
      <c r="M1453" t="n">
        <v>1001.0076</v>
      </c>
      <c r="N1453" t="inlineStr">
        <is>
          <t>Provided Total Emissions</t>
        </is>
      </c>
      <c r="O1453" t="b">
        <v>1</v>
      </c>
      <c r="P1453" t="n">
        <v>-0.036474</v>
      </c>
      <c r="Q1453" t="n">
        <v>0.015796</v>
      </c>
      <c r="R1453" t="n">
        <v>1110.1454</v>
      </c>
      <c r="S1453" t="n">
        <v>4966.7478</v>
      </c>
      <c r="T1453" t="n">
        <v>109.1378</v>
      </c>
      <c r="U1453" t="n">
        <v>3965.7402</v>
      </c>
      <c r="V1453" t="n">
        <v>0.109028</v>
      </c>
      <c r="W1453" t="n">
        <v>3.961748</v>
      </c>
      <c r="X1453" t="inlineStr">
        <is>
          <t>High</t>
        </is>
      </c>
      <c r="Y1453" t="inlineStr">
        <is>
          <t>None</t>
        </is>
      </c>
      <c r="Z1453" t="inlineStr">
        <is>
          <t>Valid</t>
        </is>
      </c>
      <c r="AA1453" t="n">
        <v>2036</v>
      </c>
      <c r="AB1453" t="inlineStr">
        <is>
          <t>Historical Trend Pathway</t>
        </is>
      </c>
      <c r="AC1453" t="n">
        <v>1398.5154</v>
      </c>
      <c r="AD1453" t="n">
        <v>909.035</v>
      </c>
      <c r="AE1453" t="n">
        <v>803.1978</v>
      </c>
      <c r="AF1453" t="n">
        <v>987.3519</v>
      </c>
      <c r="AG1453" t="n">
        <v>595.3176</v>
      </c>
      <c r="AH1453" t="n">
        <v>9.338e-05</v>
      </c>
      <c r="AI1453" t="n">
        <v>0.425678</v>
      </c>
      <c r="AJ1453" t="n">
        <v>-105.8372</v>
      </c>
      <c r="AK1453" t="n">
        <v>19.5792</v>
      </c>
      <c r="AL1453" t="n">
        <v>3861.4449</v>
      </c>
      <c r="AM1453" t="n">
        <v>10683.1151</v>
      </c>
      <c r="AN1453" t="n">
        <v>0.88</v>
      </c>
      <c r="AO1453" t="inlineStr">
        <is>
          <t>Low</t>
        </is>
      </c>
      <c r="AP1453" t="inlineStr">
        <is>
          <t>On Track to Glide Path</t>
        </is>
      </c>
    </row>
    <row r="1454">
      <c r="A1454" t="inlineStr">
        <is>
          <t>SUP-0091</t>
        </is>
      </c>
      <c r="B1454" t="inlineStr">
        <is>
          <t>Professional Supplier 091</t>
        </is>
      </c>
      <c r="C1454" t="inlineStr">
        <is>
          <t>Professional Services</t>
        </is>
      </c>
      <c r="D1454" t="n">
        <v>2024</v>
      </c>
      <c r="E1454" t="n">
        <v>2015</v>
      </c>
      <c r="F1454" t="n">
        <v>2040</v>
      </c>
      <c r="G1454" t="n">
        <v>1001.0076</v>
      </c>
      <c r="H1454" t="n">
        <v>83.75700000000001</v>
      </c>
      <c r="I1454" t="n">
        <v>102.2315</v>
      </c>
      <c r="J1454" t="n">
        <v>845.6282</v>
      </c>
      <c r="K1454" t="n">
        <v>8601777.49</v>
      </c>
      <c r="L1454" t="n">
        <v>25265783.8</v>
      </c>
      <c r="M1454" t="n">
        <v>1001.0076</v>
      </c>
      <c r="N1454" t="inlineStr">
        <is>
          <t>Provided Total Emissions</t>
        </is>
      </c>
      <c r="O1454" t="b">
        <v>1</v>
      </c>
      <c r="P1454" t="n">
        <v>-0.036474</v>
      </c>
      <c r="Q1454" t="n">
        <v>0.015796</v>
      </c>
      <c r="R1454" t="n">
        <v>1110.1454</v>
      </c>
      <c r="S1454" t="n">
        <v>4966.7478</v>
      </c>
      <c r="T1454" t="n">
        <v>109.1378</v>
      </c>
      <c r="U1454" t="n">
        <v>3965.7402</v>
      </c>
      <c r="V1454" t="n">
        <v>0.109028</v>
      </c>
      <c r="W1454" t="n">
        <v>3.961748</v>
      </c>
      <c r="X1454" t="inlineStr">
        <is>
          <t>High</t>
        </is>
      </c>
      <c r="Y1454" t="inlineStr">
        <is>
          <t>None</t>
        </is>
      </c>
      <c r="Z1454" t="inlineStr">
        <is>
          <t>Valid</t>
        </is>
      </c>
      <c r="AA1454" t="n">
        <v>2037</v>
      </c>
      <c r="AB1454" t="inlineStr">
        <is>
          <t>Historical Trend Pathway</t>
        </is>
      </c>
      <c r="AC1454" t="n">
        <v>1398.5154</v>
      </c>
      <c r="AD1454" t="n">
        <v>909.035</v>
      </c>
      <c r="AE1454" t="n">
        <v>788.5961</v>
      </c>
      <c r="AF1454" t="n">
        <v>967.7727</v>
      </c>
      <c r="AG1454" t="n">
        <v>609.9193</v>
      </c>
      <c r="AH1454" t="n">
        <v>9.168e-05</v>
      </c>
      <c r="AI1454" t="n">
        <v>0.436119</v>
      </c>
      <c r="AJ1454" t="n">
        <v>-120.4389</v>
      </c>
      <c r="AK1454" t="n">
        <v>19.5792</v>
      </c>
      <c r="AL1454" t="n">
        <v>3072.8488</v>
      </c>
      <c r="AM1454" t="n">
        <v>11471.7112</v>
      </c>
      <c r="AN1454" t="n">
        <v>0.88</v>
      </c>
      <c r="AO1454" t="inlineStr">
        <is>
          <t>Low</t>
        </is>
      </c>
      <c r="AP1454" t="inlineStr">
        <is>
          <t>On Track to Glide Path</t>
        </is>
      </c>
    </row>
    <row r="1455">
      <c r="A1455" t="inlineStr">
        <is>
          <t>SUP-0091</t>
        </is>
      </c>
      <c r="B1455" t="inlineStr">
        <is>
          <t>Professional Supplier 091</t>
        </is>
      </c>
      <c r="C1455" t="inlineStr">
        <is>
          <t>Professional Services</t>
        </is>
      </c>
      <c r="D1455" t="n">
        <v>2024</v>
      </c>
      <c r="E1455" t="n">
        <v>2015</v>
      </c>
      <c r="F1455" t="n">
        <v>2040</v>
      </c>
      <c r="G1455" t="n">
        <v>1001.0076</v>
      </c>
      <c r="H1455" t="n">
        <v>83.75700000000001</v>
      </c>
      <c r="I1455" t="n">
        <v>102.2315</v>
      </c>
      <c r="J1455" t="n">
        <v>845.6282</v>
      </c>
      <c r="K1455" t="n">
        <v>8601777.49</v>
      </c>
      <c r="L1455" t="n">
        <v>25265783.8</v>
      </c>
      <c r="M1455" t="n">
        <v>1001.0076</v>
      </c>
      <c r="N1455" t="inlineStr">
        <is>
          <t>Provided Total Emissions</t>
        </is>
      </c>
      <c r="O1455" t="b">
        <v>1</v>
      </c>
      <c r="P1455" t="n">
        <v>-0.036474</v>
      </c>
      <c r="Q1455" t="n">
        <v>0.015796</v>
      </c>
      <c r="R1455" t="n">
        <v>1110.1454</v>
      </c>
      <c r="S1455" t="n">
        <v>4966.7478</v>
      </c>
      <c r="T1455" t="n">
        <v>109.1378</v>
      </c>
      <c r="U1455" t="n">
        <v>3965.7402</v>
      </c>
      <c r="V1455" t="n">
        <v>0.109028</v>
      </c>
      <c r="W1455" t="n">
        <v>3.961748</v>
      </c>
      <c r="X1455" t="inlineStr">
        <is>
          <t>High</t>
        </is>
      </c>
      <c r="Y1455" t="inlineStr">
        <is>
          <t>None</t>
        </is>
      </c>
      <c r="Z1455" t="inlineStr">
        <is>
          <t>Valid</t>
        </is>
      </c>
      <c r="AA1455" t="n">
        <v>2038</v>
      </c>
      <c r="AB1455" t="inlineStr">
        <is>
          <t>Historical Trend Pathway</t>
        </is>
      </c>
      <c r="AC1455" t="n">
        <v>1398.5154</v>
      </c>
      <c r="AD1455" t="n">
        <v>909.035</v>
      </c>
      <c r="AE1455" t="n">
        <v>774.2598</v>
      </c>
      <c r="AF1455" t="n">
        <v>948.1934</v>
      </c>
      <c r="AG1455" t="n">
        <v>624.2556</v>
      </c>
      <c r="AH1455" t="n">
        <v>9.001e-05</v>
      </c>
      <c r="AI1455" t="n">
        <v>0.44637</v>
      </c>
      <c r="AJ1455" t="n">
        <v>-134.7752</v>
      </c>
      <c r="AK1455" t="n">
        <v>19.5792</v>
      </c>
      <c r="AL1455" t="n">
        <v>2298.589</v>
      </c>
      <c r="AM1455" t="n">
        <v>12245.971</v>
      </c>
      <c r="AN1455" t="n">
        <v>0.88</v>
      </c>
      <c r="AO1455" t="inlineStr">
        <is>
          <t>Low</t>
        </is>
      </c>
      <c r="AP1455" t="inlineStr">
        <is>
          <t>On Track to Glide Path</t>
        </is>
      </c>
    </row>
    <row r="1456">
      <c r="A1456" t="inlineStr">
        <is>
          <t>SUP-0091</t>
        </is>
      </c>
      <c r="B1456" t="inlineStr">
        <is>
          <t>Professional Supplier 091</t>
        </is>
      </c>
      <c r="C1456" t="inlineStr">
        <is>
          <t>Professional Services</t>
        </is>
      </c>
      <c r="D1456" t="n">
        <v>2024</v>
      </c>
      <c r="E1456" t="n">
        <v>2015</v>
      </c>
      <c r="F1456" t="n">
        <v>2040</v>
      </c>
      <c r="G1456" t="n">
        <v>1001.0076</v>
      </c>
      <c r="H1456" t="n">
        <v>83.75700000000001</v>
      </c>
      <c r="I1456" t="n">
        <v>102.2315</v>
      </c>
      <c r="J1456" t="n">
        <v>845.6282</v>
      </c>
      <c r="K1456" t="n">
        <v>8601777.49</v>
      </c>
      <c r="L1456" t="n">
        <v>25265783.8</v>
      </c>
      <c r="M1456" t="n">
        <v>1001.0076</v>
      </c>
      <c r="N1456" t="inlineStr">
        <is>
          <t>Provided Total Emissions</t>
        </is>
      </c>
      <c r="O1456" t="b">
        <v>1</v>
      </c>
      <c r="P1456" t="n">
        <v>-0.036474</v>
      </c>
      <c r="Q1456" t="n">
        <v>0.015796</v>
      </c>
      <c r="R1456" t="n">
        <v>1110.1454</v>
      </c>
      <c r="S1456" t="n">
        <v>4966.7478</v>
      </c>
      <c r="T1456" t="n">
        <v>109.1378</v>
      </c>
      <c r="U1456" t="n">
        <v>3965.7402</v>
      </c>
      <c r="V1456" t="n">
        <v>0.109028</v>
      </c>
      <c r="W1456" t="n">
        <v>3.961748</v>
      </c>
      <c r="X1456" t="inlineStr">
        <is>
          <t>High</t>
        </is>
      </c>
      <c r="Y1456" t="inlineStr">
        <is>
          <t>None</t>
        </is>
      </c>
      <c r="Z1456" t="inlineStr">
        <is>
          <t>Valid</t>
        </is>
      </c>
      <c r="AA1456" t="n">
        <v>2039</v>
      </c>
      <c r="AB1456" t="inlineStr">
        <is>
          <t>Historical Trend Pathway</t>
        </is>
      </c>
      <c r="AC1456" t="n">
        <v>1398.5154</v>
      </c>
      <c r="AD1456" t="n">
        <v>909.035</v>
      </c>
      <c r="AE1456" t="n">
        <v>760.1842</v>
      </c>
      <c r="AF1456" t="n">
        <v>928.6142</v>
      </c>
      <c r="AG1456" t="n">
        <v>638.3312</v>
      </c>
      <c r="AH1456" t="n">
        <v>8.838e-05</v>
      </c>
      <c r="AI1456" t="n">
        <v>0.456435</v>
      </c>
      <c r="AJ1456" t="n">
        <v>-148.8509</v>
      </c>
      <c r="AK1456" t="n">
        <v>19.5792</v>
      </c>
      <c r="AL1456" t="n">
        <v>1538.4048</v>
      </c>
      <c r="AM1456" t="n">
        <v>13006.1552</v>
      </c>
      <c r="AN1456" t="n">
        <v>0.88</v>
      </c>
      <c r="AO1456" t="inlineStr">
        <is>
          <t>Low</t>
        </is>
      </c>
      <c r="AP1456" t="inlineStr">
        <is>
          <t>On Track to Glide Path</t>
        </is>
      </c>
    </row>
    <row r="1457">
      <c r="A1457" t="inlineStr">
        <is>
          <t>SUP-0091</t>
        </is>
      </c>
      <c r="B1457" t="inlineStr">
        <is>
          <t>Professional Supplier 091</t>
        </is>
      </c>
      <c r="C1457" t="inlineStr">
        <is>
          <t>Professional Services</t>
        </is>
      </c>
      <c r="D1457" t="n">
        <v>2024</v>
      </c>
      <c r="E1457" t="n">
        <v>2015</v>
      </c>
      <c r="F1457" t="n">
        <v>2040</v>
      </c>
      <c r="G1457" t="n">
        <v>1001.0076</v>
      </c>
      <c r="H1457" t="n">
        <v>83.75700000000001</v>
      </c>
      <c r="I1457" t="n">
        <v>102.2315</v>
      </c>
      <c r="J1457" t="n">
        <v>845.6282</v>
      </c>
      <c r="K1457" t="n">
        <v>8601777.49</v>
      </c>
      <c r="L1457" t="n">
        <v>25265783.8</v>
      </c>
      <c r="M1457" t="n">
        <v>1001.0076</v>
      </c>
      <c r="N1457" t="inlineStr">
        <is>
          <t>Provided Total Emissions</t>
        </is>
      </c>
      <c r="O1457" t="b">
        <v>1</v>
      </c>
      <c r="P1457" t="n">
        <v>-0.036474</v>
      </c>
      <c r="Q1457" t="n">
        <v>0.015796</v>
      </c>
      <c r="R1457" t="n">
        <v>1110.1454</v>
      </c>
      <c r="S1457" t="n">
        <v>4966.7478</v>
      </c>
      <c r="T1457" t="n">
        <v>109.1378</v>
      </c>
      <c r="U1457" t="n">
        <v>3965.7402</v>
      </c>
      <c r="V1457" t="n">
        <v>0.109028</v>
      </c>
      <c r="W1457" t="n">
        <v>3.961748</v>
      </c>
      <c r="X1457" t="inlineStr">
        <is>
          <t>High</t>
        </is>
      </c>
      <c r="Y1457" t="inlineStr">
        <is>
          <t>None</t>
        </is>
      </c>
      <c r="Z1457" t="inlineStr">
        <is>
          <t>Valid</t>
        </is>
      </c>
      <c r="AA1457" t="n">
        <v>2040</v>
      </c>
      <c r="AB1457" t="inlineStr">
        <is>
          <t>Historical Trend Pathway</t>
        </is>
      </c>
      <c r="AC1457" t="n">
        <v>1398.5154</v>
      </c>
      <c r="AD1457" t="n">
        <v>909.035</v>
      </c>
      <c r="AE1457" t="n">
        <v>746.3644</v>
      </c>
      <c r="AF1457" t="n">
        <v>909.035</v>
      </c>
      <c r="AG1457" t="n">
        <v>652.151</v>
      </c>
      <c r="AH1457" t="n">
        <v>8.677e-05</v>
      </c>
      <c r="AI1457" t="n">
        <v>0.466317</v>
      </c>
      <c r="AJ1457" t="n">
        <v>-162.6706</v>
      </c>
      <c r="AK1457" t="n">
        <v>19.5792</v>
      </c>
      <c r="AL1457" t="n">
        <v>792.0404</v>
      </c>
      <c r="AM1457" t="n">
        <v>13752.5196</v>
      </c>
      <c r="AN1457" t="n">
        <v>0.88</v>
      </c>
      <c r="AO1457" t="inlineStr">
        <is>
          <t>Low</t>
        </is>
      </c>
      <c r="AP1457" t="inlineStr">
        <is>
          <t>On Track</t>
        </is>
      </c>
    </row>
    <row r="1458">
      <c r="A1458" t="inlineStr">
        <is>
          <t>SUP-0092</t>
        </is>
      </c>
      <c r="B1458" t="inlineStr">
        <is>
          <t>Metals Supplier 092</t>
        </is>
      </c>
      <c r="C1458" t="inlineStr">
        <is>
          <t>Metals</t>
        </is>
      </c>
      <c r="D1458" t="n">
        <v>2024</v>
      </c>
      <c r="E1458" t="n">
        <v>2015</v>
      </c>
      <c r="F1458" t="n">
        <v>2030</v>
      </c>
      <c r="G1458" t="n">
        <v>10870.7112</v>
      </c>
      <c r="H1458" t="n">
        <v>1815.0131</v>
      </c>
      <c r="I1458" t="n">
        <v>2708.2946</v>
      </c>
      <c r="J1458" t="n">
        <v>7401.145</v>
      </c>
      <c r="K1458" t="n">
        <v>14518031.01</v>
      </c>
      <c r="L1458" t="n">
        <v>89999257.55</v>
      </c>
      <c r="M1458" t="n">
        <v>10870.7112</v>
      </c>
      <c r="N1458" t="inlineStr">
        <is>
          <t>Provided Total Emissions</t>
        </is>
      </c>
      <c r="O1458" t="b">
        <v>1</v>
      </c>
      <c r="P1458" t="n">
        <v>-0.08439099999999999</v>
      </c>
      <c r="Q1458" t="n">
        <v>-0.010848</v>
      </c>
      <c r="R1458" t="n">
        <v>14618.9313</v>
      </c>
      <c r="S1458" t="n">
        <v>58506.7173</v>
      </c>
      <c r="T1458" t="n">
        <v>3748.2201</v>
      </c>
      <c r="U1458" t="n">
        <v>47636.0061</v>
      </c>
      <c r="V1458" t="n">
        <v>0.3448</v>
      </c>
      <c r="W1458" t="n">
        <v>4.382051</v>
      </c>
      <c r="X1458" t="inlineStr">
        <is>
          <t>High</t>
        </is>
      </c>
      <c r="Y1458" t="inlineStr">
        <is>
          <t>None</t>
        </is>
      </c>
      <c r="Z1458" t="inlineStr">
        <is>
          <t>Valid</t>
        </is>
      </c>
      <c r="AA1458" t="n">
        <v>2025</v>
      </c>
      <c r="AB1458" t="inlineStr">
        <is>
          <t>Industry Haircut Pathway</t>
        </is>
      </c>
      <c r="AC1458" t="n">
        <v>24036.2951</v>
      </c>
      <c r="AD1458" t="n">
        <v>14777.5142</v>
      </c>
      <c r="AE1458" t="n">
        <v>17863.7745</v>
      </c>
      <c r="AF1458" t="n">
        <v>17863.7745</v>
      </c>
      <c r="AG1458" t="n">
        <v>6172.5206</v>
      </c>
      <c r="AH1458" t="n">
        <v>0.00123045</v>
      </c>
      <c r="AI1458" t="n">
        <v>0.2568</v>
      </c>
      <c r="AJ1458" t="n">
        <v>3086.2603</v>
      </c>
      <c r="AK1458" t="n">
        <v>617.2521</v>
      </c>
      <c r="AL1458" t="n">
        <v>70801.3107</v>
      </c>
      <c r="AM1458" t="n">
        <v>17863.7745</v>
      </c>
      <c r="AN1458" t="n">
        <v>0.95</v>
      </c>
      <c r="AO1458" t="inlineStr">
        <is>
          <t>High</t>
        </is>
      </c>
      <c r="AP1458" t="inlineStr">
        <is>
          <t>On Track to Glide Path</t>
        </is>
      </c>
    </row>
    <row r="1459">
      <c r="A1459" t="inlineStr">
        <is>
          <t>SUP-0092</t>
        </is>
      </c>
      <c r="B1459" t="inlineStr">
        <is>
          <t>Metals Supplier 092</t>
        </is>
      </c>
      <c r="C1459" t="inlineStr">
        <is>
          <t>Metals</t>
        </is>
      </c>
      <c r="D1459" t="n">
        <v>2024</v>
      </c>
      <c r="E1459" t="n">
        <v>2015</v>
      </c>
      <c r="F1459" t="n">
        <v>2030</v>
      </c>
      <c r="G1459" t="n">
        <v>10870.7112</v>
      </c>
      <c r="H1459" t="n">
        <v>1815.0131</v>
      </c>
      <c r="I1459" t="n">
        <v>2708.2946</v>
      </c>
      <c r="J1459" t="n">
        <v>7401.145</v>
      </c>
      <c r="K1459" t="n">
        <v>14518031.01</v>
      </c>
      <c r="L1459" t="n">
        <v>89999257.55</v>
      </c>
      <c r="M1459" t="n">
        <v>10870.7112</v>
      </c>
      <c r="N1459" t="inlineStr">
        <is>
          <t>Provided Total Emissions</t>
        </is>
      </c>
      <c r="O1459" t="b">
        <v>1</v>
      </c>
      <c r="P1459" t="n">
        <v>-0.08439099999999999</v>
      </c>
      <c r="Q1459" t="n">
        <v>-0.010848</v>
      </c>
      <c r="R1459" t="n">
        <v>14618.9313</v>
      </c>
      <c r="S1459" t="n">
        <v>58506.7173</v>
      </c>
      <c r="T1459" t="n">
        <v>3748.2201</v>
      </c>
      <c r="U1459" t="n">
        <v>47636.0061</v>
      </c>
      <c r="V1459" t="n">
        <v>0.3448</v>
      </c>
      <c r="W1459" t="n">
        <v>4.382051</v>
      </c>
      <c r="X1459" t="inlineStr">
        <is>
          <t>High</t>
        </is>
      </c>
      <c r="Y1459" t="inlineStr">
        <is>
          <t>None</t>
        </is>
      </c>
      <c r="Z1459" t="inlineStr">
        <is>
          <t>Valid</t>
        </is>
      </c>
      <c r="AA1459" t="n">
        <v>2026</v>
      </c>
      <c r="AB1459" t="inlineStr">
        <is>
          <t>Industry Haircut Pathway</t>
        </is>
      </c>
      <c r="AC1459" t="n">
        <v>24036.2951</v>
      </c>
      <c r="AD1459" t="n">
        <v>14777.5142</v>
      </c>
      <c r="AE1459" t="n">
        <v>17246.5225</v>
      </c>
      <c r="AF1459" t="n">
        <v>17246.5225</v>
      </c>
      <c r="AG1459" t="n">
        <v>6789.7726</v>
      </c>
      <c r="AH1459" t="n">
        <v>0.00118794</v>
      </c>
      <c r="AI1459" t="n">
        <v>0.28248</v>
      </c>
      <c r="AJ1459" t="n">
        <v>2469.0082</v>
      </c>
      <c r="AK1459" t="n">
        <v>617.2521</v>
      </c>
      <c r="AL1459" t="n">
        <v>53554.7882</v>
      </c>
      <c r="AM1459" t="n">
        <v>35110.297</v>
      </c>
      <c r="AN1459" t="n">
        <v>0.95</v>
      </c>
      <c r="AO1459" t="inlineStr">
        <is>
          <t>High</t>
        </is>
      </c>
      <c r="AP1459" t="inlineStr">
        <is>
          <t>On Track to Glide Path</t>
        </is>
      </c>
    </row>
    <row r="1460">
      <c r="A1460" t="inlineStr">
        <is>
          <t>SUP-0092</t>
        </is>
      </c>
      <c r="B1460" t="inlineStr">
        <is>
          <t>Metals Supplier 092</t>
        </is>
      </c>
      <c r="C1460" t="inlineStr">
        <is>
          <t>Metals</t>
        </is>
      </c>
      <c r="D1460" t="n">
        <v>2024</v>
      </c>
      <c r="E1460" t="n">
        <v>2015</v>
      </c>
      <c r="F1460" t="n">
        <v>2030</v>
      </c>
      <c r="G1460" t="n">
        <v>10870.7112</v>
      </c>
      <c r="H1460" t="n">
        <v>1815.0131</v>
      </c>
      <c r="I1460" t="n">
        <v>2708.2946</v>
      </c>
      <c r="J1460" t="n">
        <v>7401.145</v>
      </c>
      <c r="K1460" t="n">
        <v>14518031.01</v>
      </c>
      <c r="L1460" t="n">
        <v>89999257.55</v>
      </c>
      <c r="M1460" t="n">
        <v>10870.7112</v>
      </c>
      <c r="N1460" t="inlineStr">
        <is>
          <t>Provided Total Emissions</t>
        </is>
      </c>
      <c r="O1460" t="b">
        <v>1</v>
      </c>
      <c r="P1460" t="n">
        <v>-0.08439099999999999</v>
      </c>
      <c r="Q1460" t="n">
        <v>-0.010848</v>
      </c>
      <c r="R1460" t="n">
        <v>14618.9313</v>
      </c>
      <c r="S1460" t="n">
        <v>58506.7173</v>
      </c>
      <c r="T1460" t="n">
        <v>3748.2201</v>
      </c>
      <c r="U1460" t="n">
        <v>47636.0061</v>
      </c>
      <c r="V1460" t="n">
        <v>0.3448</v>
      </c>
      <c r="W1460" t="n">
        <v>4.382051</v>
      </c>
      <c r="X1460" t="inlineStr">
        <is>
          <t>High</t>
        </is>
      </c>
      <c r="Y1460" t="inlineStr">
        <is>
          <t>None</t>
        </is>
      </c>
      <c r="Z1460" t="inlineStr">
        <is>
          <t>Valid</t>
        </is>
      </c>
      <c r="AA1460" t="n">
        <v>2027</v>
      </c>
      <c r="AB1460" t="inlineStr">
        <is>
          <t>Industry Haircut Pathway</t>
        </is>
      </c>
      <c r="AC1460" t="n">
        <v>24036.2951</v>
      </c>
      <c r="AD1460" t="n">
        <v>14777.5142</v>
      </c>
      <c r="AE1460" t="n">
        <v>16629.2704</v>
      </c>
      <c r="AF1460" t="n">
        <v>16629.2704</v>
      </c>
      <c r="AG1460" t="n">
        <v>7407.0247</v>
      </c>
      <c r="AH1460" t="n">
        <v>0.00114542</v>
      </c>
      <c r="AI1460" t="n">
        <v>0.30816</v>
      </c>
      <c r="AJ1460" t="n">
        <v>1851.7562</v>
      </c>
      <c r="AK1460" t="n">
        <v>617.2521</v>
      </c>
      <c r="AL1460" t="n">
        <v>36925.5178</v>
      </c>
      <c r="AM1460" t="n">
        <v>51739.5674</v>
      </c>
      <c r="AN1460" t="n">
        <v>0.95</v>
      </c>
      <c r="AO1460" t="inlineStr">
        <is>
          <t>Medium</t>
        </is>
      </c>
      <c r="AP1460" t="inlineStr">
        <is>
          <t>On Track to Glide Path</t>
        </is>
      </c>
    </row>
    <row r="1461">
      <c r="A1461" t="inlineStr">
        <is>
          <t>SUP-0092</t>
        </is>
      </c>
      <c r="B1461" t="inlineStr">
        <is>
          <t>Metals Supplier 092</t>
        </is>
      </c>
      <c r="C1461" t="inlineStr">
        <is>
          <t>Metals</t>
        </is>
      </c>
      <c r="D1461" t="n">
        <v>2024</v>
      </c>
      <c r="E1461" t="n">
        <v>2015</v>
      </c>
      <c r="F1461" t="n">
        <v>2030</v>
      </c>
      <c r="G1461" t="n">
        <v>10870.7112</v>
      </c>
      <c r="H1461" t="n">
        <v>1815.0131</v>
      </c>
      <c r="I1461" t="n">
        <v>2708.2946</v>
      </c>
      <c r="J1461" t="n">
        <v>7401.145</v>
      </c>
      <c r="K1461" t="n">
        <v>14518031.01</v>
      </c>
      <c r="L1461" t="n">
        <v>89999257.55</v>
      </c>
      <c r="M1461" t="n">
        <v>10870.7112</v>
      </c>
      <c r="N1461" t="inlineStr">
        <is>
          <t>Provided Total Emissions</t>
        </is>
      </c>
      <c r="O1461" t="b">
        <v>1</v>
      </c>
      <c r="P1461" t="n">
        <v>-0.08439099999999999</v>
      </c>
      <c r="Q1461" t="n">
        <v>-0.010848</v>
      </c>
      <c r="R1461" t="n">
        <v>14618.9313</v>
      </c>
      <c r="S1461" t="n">
        <v>58506.7173</v>
      </c>
      <c r="T1461" t="n">
        <v>3748.2201</v>
      </c>
      <c r="U1461" t="n">
        <v>47636.0061</v>
      </c>
      <c r="V1461" t="n">
        <v>0.3448</v>
      </c>
      <c r="W1461" t="n">
        <v>4.382051</v>
      </c>
      <c r="X1461" t="inlineStr">
        <is>
          <t>High</t>
        </is>
      </c>
      <c r="Y1461" t="inlineStr">
        <is>
          <t>None</t>
        </is>
      </c>
      <c r="Z1461" t="inlineStr">
        <is>
          <t>Valid</t>
        </is>
      </c>
      <c r="AA1461" t="n">
        <v>2028</v>
      </c>
      <c r="AB1461" t="inlineStr">
        <is>
          <t>Industry Haircut Pathway</t>
        </is>
      </c>
      <c r="AC1461" t="n">
        <v>24036.2951</v>
      </c>
      <c r="AD1461" t="n">
        <v>14777.5142</v>
      </c>
      <c r="AE1461" t="n">
        <v>16012.0183</v>
      </c>
      <c r="AF1461" t="n">
        <v>16012.0183</v>
      </c>
      <c r="AG1461" t="n">
        <v>8024.2768</v>
      </c>
      <c r="AH1461" t="n">
        <v>0.00110291</v>
      </c>
      <c r="AI1461" t="n">
        <v>0.33384</v>
      </c>
      <c r="AJ1461" t="n">
        <v>1234.5041</v>
      </c>
      <c r="AK1461" t="n">
        <v>617.2521</v>
      </c>
      <c r="AL1461" t="n">
        <v>20913.4995</v>
      </c>
      <c r="AM1461" t="n">
        <v>67751.5857</v>
      </c>
      <c r="AN1461" t="n">
        <v>0.95</v>
      </c>
      <c r="AO1461" t="inlineStr">
        <is>
          <t>Medium</t>
        </is>
      </c>
      <c r="AP1461" t="inlineStr">
        <is>
          <t>On Track to Glide Path</t>
        </is>
      </c>
    </row>
    <row r="1462">
      <c r="A1462" t="inlineStr">
        <is>
          <t>SUP-0092</t>
        </is>
      </c>
      <c r="B1462" t="inlineStr">
        <is>
          <t>Metals Supplier 092</t>
        </is>
      </c>
      <c r="C1462" t="inlineStr">
        <is>
          <t>Metals</t>
        </is>
      </c>
      <c r="D1462" t="n">
        <v>2024</v>
      </c>
      <c r="E1462" t="n">
        <v>2015</v>
      </c>
      <c r="F1462" t="n">
        <v>2030</v>
      </c>
      <c r="G1462" t="n">
        <v>10870.7112</v>
      </c>
      <c r="H1462" t="n">
        <v>1815.0131</v>
      </c>
      <c r="I1462" t="n">
        <v>2708.2946</v>
      </c>
      <c r="J1462" t="n">
        <v>7401.145</v>
      </c>
      <c r="K1462" t="n">
        <v>14518031.01</v>
      </c>
      <c r="L1462" t="n">
        <v>89999257.55</v>
      </c>
      <c r="M1462" t="n">
        <v>10870.7112</v>
      </c>
      <c r="N1462" t="inlineStr">
        <is>
          <t>Provided Total Emissions</t>
        </is>
      </c>
      <c r="O1462" t="b">
        <v>1</v>
      </c>
      <c r="P1462" t="n">
        <v>-0.08439099999999999</v>
      </c>
      <c r="Q1462" t="n">
        <v>-0.010848</v>
      </c>
      <c r="R1462" t="n">
        <v>14618.9313</v>
      </c>
      <c r="S1462" t="n">
        <v>58506.7173</v>
      </c>
      <c r="T1462" t="n">
        <v>3748.2201</v>
      </c>
      <c r="U1462" t="n">
        <v>47636.0061</v>
      </c>
      <c r="V1462" t="n">
        <v>0.3448</v>
      </c>
      <c r="W1462" t="n">
        <v>4.382051</v>
      </c>
      <c r="X1462" t="inlineStr">
        <is>
          <t>High</t>
        </is>
      </c>
      <c r="Y1462" t="inlineStr">
        <is>
          <t>None</t>
        </is>
      </c>
      <c r="Z1462" t="inlineStr">
        <is>
          <t>Valid</t>
        </is>
      </c>
      <c r="AA1462" t="n">
        <v>2029</v>
      </c>
      <c r="AB1462" t="inlineStr">
        <is>
          <t>Industry Haircut Pathway</t>
        </is>
      </c>
      <c r="AC1462" t="n">
        <v>24036.2951</v>
      </c>
      <c r="AD1462" t="n">
        <v>14777.5142</v>
      </c>
      <c r="AE1462" t="n">
        <v>15394.7663</v>
      </c>
      <c r="AF1462" t="n">
        <v>15394.7663</v>
      </c>
      <c r="AG1462" t="n">
        <v>8641.5288</v>
      </c>
      <c r="AH1462" t="n">
        <v>0.00106039</v>
      </c>
      <c r="AI1462" t="n">
        <v>0.35952</v>
      </c>
      <c r="AJ1462" t="n">
        <v>617.2521</v>
      </c>
      <c r="AK1462" t="n">
        <v>617.2521</v>
      </c>
      <c r="AL1462" t="n">
        <v>5518.7332</v>
      </c>
      <c r="AM1462" t="n">
        <v>83146.352</v>
      </c>
      <c r="AN1462" t="n">
        <v>0.95</v>
      </c>
      <c r="AO1462" t="inlineStr">
        <is>
          <t>Medium</t>
        </is>
      </c>
      <c r="AP1462" t="inlineStr">
        <is>
          <t>On Track to Glide Path</t>
        </is>
      </c>
    </row>
    <row r="1463">
      <c r="A1463" t="inlineStr">
        <is>
          <t>SUP-0092</t>
        </is>
      </c>
      <c r="B1463" t="inlineStr">
        <is>
          <t>Metals Supplier 092</t>
        </is>
      </c>
      <c r="C1463" t="inlineStr">
        <is>
          <t>Metals</t>
        </is>
      </c>
      <c r="D1463" t="n">
        <v>2024</v>
      </c>
      <c r="E1463" t="n">
        <v>2015</v>
      </c>
      <c r="F1463" t="n">
        <v>2030</v>
      </c>
      <c r="G1463" t="n">
        <v>10870.7112</v>
      </c>
      <c r="H1463" t="n">
        <v>1815.0131</v>
      </c>
      <c r="I1463" t="n">
        <v>2708.2946</v>
      </c>
      <c r="J1463" t="n">
        <v>7401.145</v>
      </c>
      <c r="K1463" t="n">
        <v>14518031.01</v>
      </c>
      <c r="L1463" t="n">
        <v>89999257.55</v>
      </c>
      <c r="M1463" t="n">
        <v>10870.7112</v>
      </c>
      <c r="N1463" t="inlineStr">
        <is>
          <t>Provided Total Emissions</t>
        </is>
      </c>
      <c r="O1463" t="b">
        <v>1</v>
      </c>
      <c r="P1463" t="n">
        <v>-0.08439099999999999</v>
      </c>
      <c r="Q1463" t="n">
        <v>-0.010848</v>
      </c>
      <c r="R1463" t="n">
        <v>14618.9313</v>
      </c>
      <c r="S1463" t="n">
        <v>58506.7173</v>
      </c>
      <c r="T1463" t="n">
        <v>3748.2201</v>
      </c>
      <c r="U1463" t="n">
        <v>47636.0061</v>
      </c>
      <c r="V1463" t="n">
        <v>0.3448</v>
      </c>
      <c r="W1463" t="n">
        <v>4.382051</v>
      </c>
      <c r="X1463" t="inlineStr">
        <is>
          <t>High</t>
        </is>
      </c>
      <c r="Y1463" t="inlineStr">
        <is>
          <t>None</t>
        </is>
      </c>
      <c r="Z1463" t="inlineStr">
        <is>
          <t>Valid</t>
        </is>
      </c>
      <c r="AA1463" t="n">
        <v>2030</v>
      </c>
      <c r="AB1463" t="inlineStr">
        <is>
          <t>Industry Haircut Pathway</t>
        </is>
      </c>
      <c r="AC1463" t="n">
        <v>24036.2951</v>
      </c>
      <c r="AD1463" t="n">
        <v>14777.5142</v>
      </c>
      <c r="AE1463" t="n">
        <v>14777.5142</v>
      </c>
      <c r="AF1463" t="n">
        <v>14777.5142</v>
      </c>
      <c r="AG1463" t="n">
        <v>9258.7809</v>
      </c>
      <c r="AH1463" t="n">
        <v>0.00101787</v>
      </c>
      <c r="AI1463" t="n">
        <v>0.3852</v>
      </c>
      <c r="AJ1463" t="n">
        <v>0</v>
      </c>
      <c r="AK1463" t="n">
        <v>617.2521</v>
      </c>
      <c r="AL1463" t="n">
        <v>-9258.781000000001</v>
      </c>
      <c r="AM1463" t="n">
        <v>97923.8662</v>
      </c>
      <c r="AN1463" t="n">
        <v>0.95</v>
      </c>
      <c r="AO1463" t="inlineStr">
        <is>
          <t>Low</t>
        </is>
      </c>
      <c r="AP1463" t="inlineStr">
        <is>
          <t>On Track</t>
        </is>
      </c>
    </row>
    <row r="1464">
      <c r="A1464" t="inlineStr">
        <is>
          <t>SUP-0092</t>
        </is>
      </c>
      <c r="B1464" t="inlineStr">
        <is>
          <t>Metals Supplier 092</t>
        </is>
      </c>
      <c r="C1464" t="inlineStr">
        <is>
          <t>Metals</t>
        </is>
      </c>
      <c r="D1464" t="n">
        <v>2024</v>
      </c>
      <c r="E1464" t="n">
        <v>2015</v>
      </c>
      <c r="F1464" t="n">
        <v>2030</v>
      </c>
      <c r="G1464" t="n">
        <v>10870.7112</v>
      </c>
      <c r="H1464" t="n">
        <v>1815.0131</v>
      </c>
      <c r="I1464" t="n">
        <v>2708.2946</v>
      </c>
      <c r="J1464" t="n">
        <v>7401.145</v>
      </c>
      <c r="K1464" t="n">
        <v>14518031.01</v>
      </c>
      <c r="L1464" t="n">
        <v>89999257.55</v>
      </c>
      <c r="M1464" t="n">
        <v>10870.7112</v>
      </c>
      <c r="N1464" t="inlineStr">
        <is>
          <t>Provided Total Emissions</t>
        </is>
      </c>
      <c r="O1464" t="b">
        <v>1</v>
      </c>
      <c r="P1464" t="n">
        <v>-0.08439099999999999</v>
      </c>
      <c r="Q1464" t="n">
        <v>-0.010848</v>
      </c>
      <c r="R1464" t="n">
        <v>14618.9313</v>
      </c>
      <c r="S1464" t="n">
        <v>58506.7173</v>
      </c>
      <c r="T1464" t="n">
        <v>3748.2201</v>
      </c>
      <c r="U1464" t="n">
        <v>47636.0061</v>
      </c>
      <c r="V1464" t="n">
        <v>0.3448</v>
      </c>
      <c r="W1464" t="n">
        <v>4.382051</v>
      </c>
      <c r="X1464" t="inlineStr">
        <is>
          <t>High</t>
        </is>
      </c>
      <c r="Y1464" t="inlineStr">
        <is>
          <t>None</t>
        </is>
      </c>
      <c r="Z1464" t="inlineStr">
        <is>
          <t>Valid</t>
        </is>
      </c>
      <c r="AA1464" t="n">
        <v>2031</v>
      </c>
      <c r="AB1464" t="inlineStr">
        <is>
          <t>Industry Haircut Pathway</t>
        </is>
      </c>
      <c r="AC1464" t="n">
        <v>24036.2951</v>
      </c>
      <c r="AD1464" t="n">
        <v>14777.5142</v>
      </c>
      <c r="AE1464" t="n">
        <v>14777.5142</v>
      </c>
      <c r="AF1464" t="n">
        <v>14777.5142</v>
      </c>
      <c r="AG1464" t="n">
        <v>9258.7809</v>
      </c>
      <c r="AH1464" t="n">
        <v>0.00101787</v>
      </c>
      <c r="AI1464" t="n">
        <v>0.3852</v>
      </c>
      <c r="AJ1464" t="n">
        <v>0</v>
      </c>
      <c r="AK1464" t="n">
        <v>617.2521</v>
      </c>
      <c r="AL1464" t="n">
        <v>-24036.2952</v>
      </c>
      <c r="AM1464" t="n">
        <v>112701.3804</v>
      </c>
      <c r="AN1464" t="n">
        <v>0.95</v>
      </c>
      <c r="AO1464" t="inlineStr">
        <is>
          <t>Low</t>
        </is>
      </c>
      <c r="AP1464" t="inlineStr">
        <is>
          <t>On Track</t>
        </is>
      </c>
    </row>
    <row r="1465">
      <c r="A1465" t="inlineStr">
        <is>
          <t>SUP-0092</t>
        </is>
      </c>
      <c r="B1465" t="inlineStr">
        <is>
          <t>Metals Supplier 092</t>
        </is>
      </c>
      <c r="C1465" t="inlineStr">
        <is>
          <t>Metals</t>
        </is>
      </c>
      <c r="D1465" t="n">
        <v>2024</v>
      </c>
      <c r="E1465" t="n">
        <v>2015</v>
      </c>
      <c r="F1465" t="n">
        <v>2030</v>
      </c>
      <c r="G1465" t="n">
        <v>10870.7112</v>
      </c>
      <c r="H1465" t="n">
        <v>1815.0131</v>
      </c>
      <c r="I1465" t="n">
        <v>2708.2946</v>
      </c>
      <c r="J1465" t="n">
        <v>7401.145</v>
      </c>
      <c r="K1465" t="n">
        <v>14518031.01</v>
      </c>
      <c r="L1465" t="n">
        <v>89999257.55</v>
      </c>
      <c r="M1465" t="n">
        <v>10870.7112</v>
      </c>
      <c r="N1465" t="inlineStr">
        <is>
          <t>Provided Total Emissions</t>
        </is>
      </c>
      <c r="O1465" t="b">
        <v>1</v>
      </c>
      <c r="P1465" t="n">
        <v>-0.08439099999999999</v>
      </c>
      <c r="Q1465" t="n">
        <v>-0.010848</v>
      </c>
      <c r="R1465" t="n">
        <v>14618.9313</v>
      </c>
      <c r="S1465" t="n">
        <v>58506.7173</v>
      </c>
      <c r="T1465" t="n">
        <v>3748.2201</v>
      </c>
      <c r="U1465" t="n">
        <v>47636.0061</v>
      </c>
      <c r="V1465" t="n">
        <v>0.3448</v>
      </c>
      <c r="W1465" t="n">
        <v>4.382051</v>
      </c>
      <c r="X1465" t="inlineStr">
        <is>
          <t>High</t>
        </is>
      </c>
      <c r="Y1465" t="inlineStr">
        <is>
          <t>None</t>
        </is>
      </c>
      <c r="Z1465" t="inlineStr">
        <is>
          <t>Valid</t>
        </is>
      </c>
      <c r="AA1465" t="n">
        <v>2032</v>
      </c>
      <c r="AB1465" t="inlineStr">
        <is>
          <t>Industry Haircut Pathway</t>
        </is>
      </c>
      <c r="AC1465" t="n">
        <v>24036.2951</v>
      </c>
      <c r="AD1465" t="n">
        <v>14777.5142</v>
      </c>
      <c r="AE1465" t="n">
        <v>14777.5142</v>
      </c>
      <c r="AF1465" t="n">
        <v>14777.5142</v>
      </c>
      <c r="AG1465" t="n">
        <v>9258.7809</v>
      </c>
      <c r="AH1465" t="n">
        <v>0.00101787</v>
      </c>
      <c r="AI1465" t="n">
        <v>0.3852</v>
      </c>
      <c r="AJ1465" t="n">
        <v>0</v>
      </c>
      <c r="AK1465" t="n">
        <v>617.2521</v>
      </c>
      <c r="AL1465" t="n">
        <v>-38813.8094</v>
      </c>
      <c r="AM1465" t="n">
        <v>127478.8946</v>
      </c>
      <c r="AN1465" t="n">
        <v>0.95</v>
      </c>
      <c r="AO1465" t="inlineStr">
        <is>
          <t>Low</t>
        </is>
      </c>
      <c r="AP1465" t="inlineStr">
        <is>
          <t>On Track</t>
        </is>
      </c>
    </row>
    <row r="1466">
      <c r="A1466" t="inlineStr">
        <is>
          <t>SUP-0092</t>
        </is>
      </c>
      <c r="B1466" t="inlineStr">
        <is>
          <t>Metals Supplier 092</t>
        </is>
      </c>
      <c r="C1466" t="inlineStr">
        <is>
          <t>Metals</t>
        </is>
      </c>
      <c r="D1466" t="n">
        <v>2024</v>
      </c>
      <c r="E1466" t="n">
        <v>2015</v>
      </c>
      <c r="F1466" t="n">
        <v>2030</v>
      </c>
      <c r="G1466" t="n">
        <v>10870.7112</v>
      </c>
      <c r="H1466" t="n">
        <v>1815.0131</v>
      </c>
      <c r="I1466" t="n">
        <v>2708.2946</v>
      </c>
      <c r="J1466" t="n">
        <v>7401.145</v>
      </c>
      <c r="K1466" t="n">
        <v>14518031.01</v>
      </c>
      <c r="L1466" t="n">
        <v>89999257.55</v>
      </c>
      <c r="M1466" t="n">
        <v>10870.7112</v>
      </c>
      <c r="N1466" t="inlineStr">
        <is>
          <t>Provided Total Emissions</t>
        </is>
      </c>
      <c r="O1466" t="b">
        <v>1</v>
      </c>
      <c r="P1466" t="n">
        <v>-0.08439099999999999</v>
      </c>
      <c r="Q1466" t="n">
        <v>-0.010848</v>
      </c>
      <c r="R1466" t="n">
        <v>14618.9313</v>
      </c>
      <c r="S1466" t="n">
        <v>58506.7173</v>
      </c>
      <c r="T1466" t="n">
        <v>3748.2201</v>
      </c>
      <c r="U1466" t="n">
        <v>47636.0061</v>
      </c>
      <c r="V1466" t="n">
        <v>0.3448</v>
      </c>
      <c r="W1466" t="n">
        <v>4.382051</v>
      </c>
      <c r="X1466" t="inlineStr">
        <is>
          <t>High</t>
        </is>
      </c>
      <c r="Y1466" t="inlineStr">
        <is>
          <t>None</t>
        </is>
      </c>
      <c r="Z1466" t="inlineStr">
        <is>
          <t>Valid</t>
        </is>
      </c>
      <c r="AA1466" t="n">
        <v>2033</v>
      </c>
      <c r="AB1466" t="inlineStr">
        <is>
          <t>Industry Haircut Pathway</t>
        </is>
      </c>
      <c r="AC1466" t="n">
        <v>24036.2951</v>
      </c>
      <c r="AD1466" t="n">
        <v>14777.5142</v>
      </c>
      <c r="AE1466" t="n">
        <v>14777.5142</v>
      </c>
      <c r="AF1466" t="n">
        <v>14777.5142</v>
      </c>
      <c r="AG1466" t="n">
        <v>9258.7809</v>
      </c>
      <c r="AH1466" t="n">
        <v>0.00101787</v>
      </c>
      <c r="AI1466" t="n">
        <v>0.3852</v>
      </c>
      <c r="AJ1466" t="n">
        <v>0</v>
      </c>
      <c r="AK1466" t="n">
        <v>617.2521</v>
      </c>
      <c r="AL1466" t="n">
        <v>-53591.3236</v>
      </c>
      <c r="AM1466" t="n">
        <v>142256.4088</v>
      </c>
      <c r="AN1466" t="n">
        <v>0.95</v>
      </c>
      <c r="AO1466" t="inlineStr">
        <is>
          <t>Low</t>
        </is>
      </c>
      <c r="AP1466" t="inlineStr">
        <is>
          <t>On Track</t>
        </is>
      </c>
    </row>
    <row r="1467">
      <c r="A1467" t="inlineStr">
        <is>
          <t>SUP-0092</t>
        </is>
      </c>
      <c r="B1467" t="inlineStr">
        <is>
          <t>Metals Supplier 092</t>
        </is>
      </c>
      <c r="C1467" t="inlineStr">
        <is>
          <t>Metals</t>
        </is>
      </c>
      <c r="D1467" t="n">
        <v>2024</v>
      </c>
      <c r="E1467" t="n">
        <v>2015</v>
      </c>
      <c r="F1467" t="n">
        <v>2030</v>
      </c>
      <c r="G1467" t="n">
        <v>10870.7112</v>
      </c>
      <c r="H1467" t="n">
        <v>1815.0131</v>
      </c>
      <c r="I1467" t="n">
        <v>2708.2946</v>
      </c>
      <c r="J1467" t="n">
        <v>7401.145</v>
      </c>
      <c r="K1467" t="n">
        <v>14518031.01</v>
      </c>
      <c r="L1467" t="n">
        <v>89999257.55</v>
      </c>
      <c r="M1467" t="n">
        <v>10870.7112</v>
      </c>
      <c r="N1467" t="inlineStr">
        <is>
          <t>Provided Total Emissions</t>
        </is>
      </c>
      <c r="O1467" t="b">
        <v>1</v>
      </c>
      <c r="P1467" t="n">
        <v>-0.08439099999999999</v>
      </c>
      <c r="Q1467" t="n">
        <v>-0.010848</v>
      </c>
      <c r="R1467" t="n">
        <v>14618.9313</v>
      </c>
      <c r="S1467" t="n">
        <v>58506.7173</v>
      </c>
      <c r="T1467" t="n">
        <v>3748.2201</v>
      </c>
      <c r="U1467" t="n">
        <v>47636.0061</v>
      </c>
      <c r="V1467" t="n">
        <v>0.3448</v>
      </c>
      <c r="W1467" t="n">
        <v>4.382051</v>
      </c>
      <c r="X1467" t="inlineStr">
        <is>
          <t>High</t>
        </is>
      </c>
      <c r="Y1467" t="inlineStr">
        <is>
          <t>None</t>
        </is>
      </c>
      <c r="Z1467" t="inlineStr">
        <is>
          <t>Valid</t>
        </is>
      </c>
      <c r="AA1467" t="n">
        <v>2034</v>
      </c>
      <c r="AB1467" t="inlineStr">
        <is>
          <t>Industry Haircut Pathway</t>
        </is>
      </c>
      <c r="AC1467" t="n">
        <v>24036.2951</v>
      </c>
      <c r="AD1467" t="n">
        <v>14777.5142</v>
      </c>
      <c r="AE1467" t="n">
        <v>14777.5142</v>
      </c>
      <c r="AF1467" t="n">
        <v>14777.5142</v>
      </c>
      <c r="AG1467" t="n">
        <v>9258.7809</v>
      </c>
      <c r="AH1467" t="n">
        <v>0.00101787</v>
      </c>
      <c r="AI1467" t="n">
        <v>0.3852</v>
      </c>
      <c r="AJ1467" t="n">
        <v>0</v>
      </c>
      <c r="AK1467" t="n">
        <v>617.2521</v>
      </c>
      <c r="AL1467" t="n">
        <v>-68368.83779999999</v>
      </c>
      <c r="AM1467" t="n">
        <v>157033.923</v>
      </c>
      <c r="AN1467" t="n">
        <v>0.95</v>
      </c>
      <c r="AO1467" t="inlineStr">
        <is>
          <t>Low</t>
        </is>
      </c>
      <c r="AP1467" t="inlineStr">
        <is>
          <t>On Track</t>
        </is>
      </c>
    </row>
    <row r="1468">
      <c r="A1468" t="inlineStr">
        <is>
          <t>SUP-0092</t>
        </is>
      </c>
      <c r="B1468" t="inlineStr">
        <is>
          <t>Metals Supplier 092</t>
        </is>
      </c>
      <c r="C1468" t="inlineStr">
        <is>
          <t>Metals</t>
        </is>
      </c>
      <c r="D1468" t="n">
        <v>2024</v>
      </c>
      <c r="E1468" t="n">
        <v>2015</v>
      </c>
      <c r="F1468" t="n">
        <v>2030</v>
      </c>
      <c r="G1468" t="n">
        <v>10870.7112</v>
      </c>
      <c r="H1468" t="n">
        <v>1815.0131</v>
      </c>
      <c r="I1468" t="n">
        <v>2708.2946</v>
      </c>
      <c r="J1468" t="n">
        <v>7401.145</v>
      </c>
      <c r="K1468" t="n">
        <v>14518031.01</v>
      </c>
      <c r="L1468" t="n">
        <v>89999257.55</v>
      </c>
      <c r="M1468" t="n">
        <v>10870.7112</v>
      </c>
      <c r="N1468" t="inlineStr">
        <is>
          <t>Provided Total Emissions</t>
        </is>
      </c>
      <c r="O1468" t="b">
        <v>1</v>
      </c>
      <c r="P1468" t="n">
        <v>-0.08439099999999999</v>
      </c>
      <c r="Q1468" t="n">
        <v>-0.010848</v>
      </c>
      <c r="R1468" t="n">
        <v>14618.9313</v>
      </c>
      <c r="S1468" t="n">
        <v>58506.7173</v>
      </c>
      <c r="T1468" t="n">
        <v>3748.2201</v>
      </c>
      <c r="U1468" t="n">
        <v>47636.0061</v>
      </c>
      <c r="V1468" t="n">
        <v>0.3448</v>
      </c>
      <c r="W1468" t="n">
        <v>4.382051</v>
      </c>
      <c r="X1468" t="inlineStr">
        <is>
          <t>High</t>
        </is>
      </c>
      <c r="Y1468" t="inlineStr">
        <is>
          <t>None</t>
        </is>
      </c>
      <c r="Z1468" t="inlineStr">
        <is>
          <t>Valid</t>
        </is>
      </c>
      <c r="AA1468" t="n">
        <v>2035</v>
      </c>
      <c r="AB1468" t="inlineStr">
        <is>
          <t>Industry Haircut Pathway</t>
        </is>
      </c>
      <c r="AC1468" t="n">
        <v>24036.2951</v>
      </c>
      <c r="AD1468" t="n">
        <v>14777.5142</v>
      </c>
      <c r="AE1468" t="n">
        <v>14777.5142</v>
      </c>
      <c r="AF1468" t="n">
        <v>14777.5142</v>
      </c>
      <c r="AG1468" t="n">
        <v>9258.7809</v>
      </c>
      <c r="AH1468" t="n">
        <v>0.00101787</v>
      </c>
      <c r="AI1468" t="n">
        <v>0.3852</v>
      </c>
      <c r="AJ1468" t="n">
        <v>0</v>
      </c>
      <c r="AK1468" t="n">
        <v>617.2521</v>
      </c>
      <c r="AL1468" t="n">
        <v>-83146.352</v>
      </c>
      <c r="AM1468" t="n">
        <v>171811.4372</v>
      </c>
      <c r="AN1468" t="n">
        <v>0.95</v>
      </c>
      <c r="AO1468" t="inlineStr">
        <is>
          <t>Low</t>
        </is>
      </c>
      <c r="AP1468" t="inlineStr">
        <is>
          <t>On Track</t>
        </is>
      </c>
    </row>
    <row r="1469">
      <c r="A1469" t="inlineStr">
        <is>
          <t>SUP-0092</t>
        </is>
      </c>
      <c r="B1469" t="inlineStr">
        <is>
          <t>Metals Supplier 092</t>
        </is>
      </c>
      <c r="C1469" t="inlineStr">
        <is>
          <t>Metals</t>
        </is>
      </c>
      <c r="D1469" t="n">
        <v>2024</v>
      </c>
      <c r="E1469" t="n">
        <v>2015</v>
      </c>
      <c r="F1469" t="n">
        <v>2030</v>
      </c>
      <c r="G1469" t="n">
        <v>10870.7112</v>
      </c>
      <c r="H1469" t="n">
        <v>1815.0131</v>
      </c>
      <c r="I1469" t="n">
        <v>2708.2946</v>
      </c>
      <c r="J1469" t="n">
        <v>7401.145</v>
      </c>
      <c r="K1469" t="n">
        <v>14518031.01</v>
      </c>
      <c r="L1469" t="n">
        <v>89999257.55</v>
      </c>
      <c r="M1469" t="n">
        <v>10870.7112</v>
      </c>
      <c r="N1469" t="inlineStr">
        <is>
          <t>Provided Total Emissions</t>
        </is>
      </c>
      <c r="O1469" t="b">
        <v>1</v>
      </c>
      <c r="P1469" t="n">
        <v>-0.08439099999999999</v>
      </c>
      <c r="Q1469" t="n">
        <v>-0.010848</v>
      </c>
      <c r="R1469" t="n">
        <v>14618.9313</v>
      </c>
      <c r="S1469" t="n">
        <v>58506.7173</v>
      </c>
      <c r="T1469" t="n">
        <v>3748.2201</v>
      </c>
      <c r="U1469" t="n">
        <v>47636.0061</v>
      </c>
      <c r="V1469" t="n">
        <v>0.3448</v>
      </c>
      <c r="W1469" t="n">
        <v>4.382051</v>
      </c>
      <c r="X1469" t="inlineStr">
        <is>
          <t>High</t>
        </is>
      </c>
      <c r="Y1469" t="inlineStr">
        <is>
          <t>None</t>
        </is>
      </c>
      <c r="Z1469" t="inlineStr">
        <is>
          <t>Valid</t>
        </is>
      </c>
      <c r="AA1469" t="n">
        <v>2036</v>
      </c>
      <c r="AB1469" t="inlineStr">
        <is>
          <t>Industry Haircut Pathway</t>
        </is>
      </c>
      <c r="AC1469" t="n">
        <v>24036.2951</v>
      </c>
      <c r="AD1469" t="n">
        <v>14777.5142</v>
      </c>
      <c r="AE1469" t="n">
        <v>14777.5142</v>
      </c>
      <c r="AF1469" t="n">
        <v>14777.5142</v>
      </c>
      <c r="AG1469" t="n">
        <v>9258.7809</v>
      </c>
      <c r="AH1469" t="n">
        <v>0.00101787</v>
      </c>
      <c r="AI1469" t="n">
        <v>0.3852</v>
      </c>
      <c r="AJ1469" t="n">
        <v>0</v>
      </c>
      <c r="AK1469" t="n">
        <v>617.2521</v>
      </c>
      <c r="AL1469" t="n">
        <v>-97923.8662</v>
      </c>
      <c r="AM1469" t="n">
        <v>186588.9514</v>
      </c>
      <c r="AN1469" t="n">
        <v>0.95</v>
      </c>
      <c r="AO1469" t="inlineStr">
        <is>
          <t>Low</t>
        </is>
      </c>
      <c r="AP1469" t="inlineStr">
        <is>
          <t>On Track</t>
        </is>
      </c>
    </row>
    <row r="1470">
      <c r="A1470" t="inlineStr">
        <is>
          <t>SUP-0092</t>
        </is>
      </c>
      <c r="B1470" t="inlineStr">
        <is>
          <t>Metals Supplier 092</t>
        </is>
      </c>
      <c r="C1470" t="inlineStr">
        <is>
          <t>Metals</t>
        </is>
      </c>
      <c r="D1470" t="n">
        <v>2024</v>
      </c>
      <c r="E1470" t="n">
        <v>2015</v>
      </c>
      <c r="F1470" t="n">
        <v>2030</v>
      </c>
      <c r="G1470" t="n">
        <v>10870.7112</v>
      </c>
      <c r="H1470" t="n">
        <v>1815.0131</v>
      </c>
      <c r="I1470" t="n">
        <v>2708.2946</v>
      </c>
      <c r="J1470" t="n">
        <v>7401.145</v>
      </c>
      <c r="K1470" t="n">
        <v>14518031.01</v>
      </c>
      <c r="L1470" t="n">
        <v>89999257.55</v>
      </c>
      <c r="M1470" t="n">
        <v>10870.7112</v>
      </c>
      <c r="N1470" t="inlineStr">
        <is>
          <t>Provided Total Emissions</t>
        </is>
      </c>
      <c r="O1470" t="b">
        <v>1</v>
      </c>
      <c r="P1470" t="n">
        <v>-0.08439099999999999</v>
      </c>
      <c r="Q1470" t="n">
        <v>-0.010848</v>
      </c>
      <c r="R1470" t="n">
        <v>14618.9313</v>
      </c>
      <c r="S1470" t="n">
        <v>58506.7173</v>
      </c>
      <c r="T1470" t="n">
        <v>3748.2201</v>
      </c>
      <c r="U1470" t="n">
        <v>47636.0061</v>
      </c>
      <c r="V1470" t="n">
        <v>0.3448</v>
      </c>
      <c r="W1470" t="n">
        <v>4.382051</v>
      </c>
      <c r="X1470" t="inlineStr">
        <is>
          <t>High</t>
        </is>
      </c>
      <c r="Y1470" t="inlineStr">
        <is>
          <t>None</t>
        </is>
      </c>
      <c r="Z1470" t="inlineStr">
        <is>
          <t>Valid</t>
        </is>
      </c>
      <c r="AA1470" t="n">
        <v>2037</v>
      </c>
      <c r="AB1470" t="inlineStr">
        <is>
          <t>Industry Haircut Pathway</t>
        </is>
      </c>
      <c r="AC1470" t="n">
        <v>24036.2951</v>
      </c>
      <c r="AD1470" t="n">
        <v>14777.5142</v>
      </c>
      <c r="AE1470" t="n">
        <v>14777.5142</v>
      </c>
      <c r="AF1470" t="n">
        <v>14777.5142</v>
      </c>
      <c r="AG1470" t="n">
        <v>9258.7809</v>
      </c>
      <c r="AH1470" t="n">
        <v>0.00101787</v>
      </c>
      <c r="AI1470" t="n">
        <v>0.3852</v>
      </c>
      <c r="AJ1470" t="n">
        <v>0</v>
      </c>
      <c r="AK1470" t="n">
        <v>617.2521</v>
      </c>
      <c r="AL1470" t="n">
        <v>-112701.3804</v>
      </c>
      <c r="AM1470" t="n">
        <v>201366.4656</v>
      </c>
      <c r="AN1470" t="n">
        <v>0.95</v>
      </c>
      <c r="AO1470" t="inlineStr">
        <is>
          <t>Low</t>
        </is>
      </c>
      <c r="AP1470" t="inlineStr">
        <is>
          <t>On Track</t>
        </is>
      </c>
    </row>
    <row r="1471">
      <c r="A1471" t="inlineStr">
        <is>
          <t>SUP-0092</t>
        </is>
      </c>
      <c r="B1471" t="inlineStr">
        <is>
          <t>Metals Supplier 092</t>
        </is>
      </c>
      <c r="C1471" t="inlineStr">
        <is>
          <t>Metals</t>
        </is>
      </c>
      <c r="D1471" t="n">
        <v>2024</v>
      </c>
      <c r="E1471" t="n">
        <v>2015</v>
      </c>
      <c r="F1471" t="n">
        <v>2030</v>
      </c>
      <c r="G1471" t="n">
        <v>10870.7112</v>
      </c>
      <c r="H1471" t="n">
        <v>1815.0131</v>
      </c>
      <c r="I1471" t="n">
        <v>2708.2946</v>
      </c>
      <c r="J1471" t="n">
        <v>7401.145</v>
      </c>
      <c r="K1471" t="n">
        <v>14518031.01</v>
      </c>
      <c r="L1471" t="n">
        <v>89999257.55</v>
      </c>
      <c r="M1471" t="n">
        <v>10870.7112</v>
      </c>
      <c r="N1471" t="inlineStr">
        <is>
          <t>Provided Total Emissions</t>
        </is>
      </c>
      <c r="O1471" t="b">
        <v>1</v>
      </c>
      <c r="P1471" t="n">
        <v>-0.08439099999999999</v>
      </c>
      <c r="Q1471" t="n">
        <v>-0.010848</v>
      </c>
      <c r="R1471" t="n">
        <v>14618.9313</v>
      </c>
      <c r="S1471" t="n">
        <v>58506.7173</v>
      </c>
      <c r="T1471" t="n">
        <v>3748.2201</v>
      </c>
      <c r="U1471" t="n">
        <v>47636.0061</v>
      </c>
      <c r="V1471" t="n">
        <v>0.3448</v>
      </c>
      <c r="W1471" t="n">
        <v>4.382051</v>
      </c>
      <c r="X1471" t="inlineStr">
        <is>
          <t>High</t>
        </is>
      </c>
      <c r="Y1471" t="inlineStr">
        <is>
          <t>None</t>
        </is>
      </c>
      <c r="Z1471" t="inlineStr">
        <is>
          <t>Valid</t>
        </is>
      </c>
      <c r="AA1471" t="n">
        <v>2038</v>
      </c>
      <c r="AB1471" t="inlineStr">
        <is>
          <t>Industry Haircut Pathway</t>
        </is>
      </c>
      <c r="AC1471" t="n">
        <v>24036.2951</v>
      </c>
      <c r="AD1471" t="n">
        <v>14777.5142</v>
      </c>
      <c r="AE1471" t="n">
        <v>14777.5142</v>
      </c>
      <c r="AF1471" t="n">
        <v>14777.5142</v>
      </c>
      <c r="AG1471" t="n">
        <v>9258.7809</v>
      </c>
      <c r="AH1471" t="n">
        <v>0.00101787</v>
      </c>
      <c r="AI1471" t="n">
        <v>0.3852</v>
      </c>
      <c r="AJ1471" t="n">
        <v>0</v>
      </c>
      <c r="AK1471" t="n">
        <v>617.2521</v>
      </c>
      <c r="AL1471" t="n">
        <v>-127478.8946</v>
      </c>
      <c r="AM1471" t="n">
        <v>216143.9798</v>
      </c>
      <c r="AN1471" t="n">
        <v>0.95</v>
      </c>
      <c r="AO1471" t="inlineStr">
        <is>
          <t>Low</t>
        </is>
      </c>
      <c r="AP1471" t="inlineStr">
        <is>
          <t>On Track</t>
        </is>
      </c>
    </row>
    <row r="1472">
      <c r="A1472" t="inlineStr">
        <is>
          <t>SUP-0092</t>
        </is>
      </c>
      <c r="B1472" t="inlineStr">
        <is>
          <t>Metals Supplier 092</t>
        </is>
      </c>
      <c r="C1472" t="inlineStr">
        <is>
          <t>Metals</t>
        </is>
      </c>
      <c r="D1472" t="n">
        <v>2024</v>
      </c>
      <c r="E1472" t="n">
        <v>2015</v>
      </c>
      <c r="F1472" t="n">
        <v>2030</v>
      </c>
      <c r="G1472" t="n">
        <v>10870.7112</v>
      </c>
      <c r="H1472" t="n">
        <v>1815.0131</v>
      </c>
      <c r="I1472" t="n">
        <v>2708.2946</v>
      </c>
      <c r="J1472" t="n">
        <v>7401.145</v>
      </c>
      <c r="K1472" t="n">
        <v>14518031.01</v>
      </c>
      <c r="L1472" t="n">
        <v>89999257.55</v>
      </c>
      <c r="M1472" t="n">
        <v>10870.7112</v>
      </c>
      <c r="N1472" t="inlineStr">
        <is>
          <t>Provided Total Emissions</t>
        </is>
      </c>
      <c r="O1472" t="b">
        <v>1</v>
      </c>
      <c r="P1472" t="n">
        <v>-0.08439099999999999</v>
      </c>
      <c r="Q1472" t="n">
        <v>-0.010848</v>
      </c>
      <c r="R1472" t="n">
        <v>14618.9313</v>
      </c>
      <c r="S1472" t="n">
        <v>58506.7173</v>
      </c>
      <c r="T1472" t="n">
        <v>3748.2201</v>
      </c>
      <c r="U1472" t="n">
        <v>47636.0061</v>
      </c>
      <c r="V1472" t="n">
        <v>0.3448</v>
      </c>
      <c r="W1472" t="n">
        <v>4.382051</v>
      </c>
      <c r="X1472" t="inlineStr">
        <is>
          <t>High</t>
        </is>
      </c>
      <c r="Y1472" t="inlineStr">
        <is>
          <t>None</t>
        </is>
      </c>
      <c r="Z1472" t="inlineStr">
        <is>
          <t>Valid</t>
        </is>
      </c>
      <c r="AA1472" t="n">
        <v>2039</v>
      </c>
      <c r="AB1472" t="inlineStr">
        <is>
          <t>Industry Haircut Pathway</t>
        </is>
      </c>
      <c r="AC1472" t="n">
        <v>24036.2951</v>
      </c>
      <c r="AD1472" t="n">
        <v>14777.5142</v>
      </c>
      <c r="AE1472" t="n">
        <v>14777.5142</v>
      </c>
      <c r="AF1472" t="n">
        <v>14777.5142</v>
      </c>
      <c r="AG1472" t="n">
        <v>9258.7809</v>
      </c>
      <c r="AH1472" t="n">
        <v>0.00101787</v>
      </c>
      <c r="AI1472" t="n">
        <v>0.3852</v>
      </c>
      <c r="AJ1472" t="n">
        <v>0</v>
      </c>
      <c r="AK1472" t="n">
        <v>617.2521</v>
      </c>
      <c r="AL1472" t="n">
        <v>-142256.4088</v>
      </c>
      <c r="AM1472" t="n">
        <v>230921.494</v>
      </c>
      <c r="AN1472" t="n">
        <v>0.95</v>
      </c>
      <c r="AO1472" t="inlineStr">
        <is>
          <t>Low</t>
        </is>
      </c>
      <c r="AP1472" t="inlineStr">
        <is>
          <t>On Track</t>
        </is>
      </c>
    </row>
    <row r="1473">
      <c r="A1473" t="inlineStr">
        <is>
          <t>SUP-0092</t>
        </is>
      </c>
      <c r="B1473" t="inlineStr">
        <is>
          <t>Metals Supplier 092</t>
        </is>
      </c>
      <c r="C1473" t="inlineStr">
        <is>
          <t>Metals</t>
        </is>
      </c>
      <c r="D1473" t="n">
        <v>2024</v>
      </c>
      <c r="E1473" t="n">
        <v>2015</v>
      </c>
      <c r="F1473" t="n">
        <v>2030</v>
      </c>
      <c r="G1473" t="n">
        <v>10870.7112</v>
      </c>
      <c r="H1473" t="n">
        <v>1815.0131</v>
      </c>
      <c r="I1473" t="n">
        <v>2708.2946</v>
      </c>
      <c r="J1473" t="n">
        <v>7401.145</v>
      </c>
      <c r="K1473" t="n">
        <v>14518031.01</v>
      </c>
      <c r="L1473" t="n">
        <v>89999257.55</v>
      </c>
      <c r="M1473" t="n">
        <v>10870.7112</v>
      </c>
      <c r="N1473" t="inlineStr">
        <is>
          <t>Provided Total Emissions</t>
        </is>
      </c>
      <c r="O1473" t="b">
        <v>1</v>
      </c>
      <c r="P1473" t="n">
        <v>-0.08439099999999999</v>
      </c>
      <c r="Q1473" t="n">
        <v>-0.010848</v>
      </c>
      <c r="R1473" t="n">
        <v>14618.9313</v>
      </c>
      <c r="S1473" t="n">
        <v>58506.7173</v>
      </c>
      <c r="T1473" t="n">
        <v>3748.2201</v>
      </c>
      <c r="U1473" t="n">
        <v>47636.0061</v>
      </c>
      <c r="V1473" t="n">
        <v>0.3448</v>
      </c>
      <c r="W1473" t="n">
        <v>4.382051</v>
      </c>
      <c r="X1473" t="inlineStr">
        <is>
          <t>High</t>
        </is>
      </c>
      <c r="Y1473" t="inlineStr">
        <is>
          <t>None</t>
        </is>
      </c>
      <c r="Z1473" t="inlineStr">
        <is>
          <t>Valid</t>
        </is>
      </c>
      <c r="AA1473" t="n">
        <v>2040</v>
      </c>
      <c r="AB1473" t="inlineStr">
        <is>
          <t>Industry Haircut Pathway</t>
        </is>
      </c>
      <c r="AC1473" t="n">
        <v>24036.2951</v>
      </c>
      <c r="AD1473" t="n">
        <v>14777.5142</v>
      </c>
      <c r="AE1473" t="n">
        <v>14777.5142</v>
      </c>
      <c r="AF1473" t="n">
        <v>14777.5142</v>
      </c>
      <c r="AG1473" t="n">
        <v>9258.7809</v>
      </c>
      <c r="AH1473" t="n">
        <v>0.00101787</v>
      </c>
      <c r="AI1473" t="n">
        <v>0.3852</v>
      </c>
      <c r="AJ1473" t="n">
        <v>0</v>
      </c>
      <c r="AK1473" t="n">
        <v>617.2521</v>
      </c>
      <c r="AL1473" t="n">
        <v>-157033.923</v>
      </c>
      <c r="AM1473" t="n">
        <v>245699.0082</v>
      </c>
      <c r="AN1473" t="n">
        <v>0.95</v>
      </c>
      <c r="AO1473" t="inlineStr">
        <is>
          <t>Low</t>
        </is>
      </c>
      <c r="AP1473" t="inlineStr">
        <is>
          <t>On Track</t>
        </is>
      </c>
    </row>
    <row r="1474">
      <c r="A1474" t="inlineStr">
        <is>
          <t>SUP-0093</t>
        </is>
      </c>
      <c r="B1474" t="inlineStr">
        <is>
          <t>Chemicals Supplier 093</t>
        </is>
      </c>
      <c r="C1474" t="inlineStr">
        <is>
          <t>Chemicals</t>
        </is>
      </c>
      <c r="D1474" t="n">
        <v>2024</v>
      </c>
      <c r="E1474" t="n">
        <v>2015</v>
      </c>
      <c r="F1474" t="n">
        <v>2035</v>
      </c>
      <c r="G1474" t="n">
        <v>1319.4172</v>
      </c>
      <c r="H1474" t="n">
        <v>227.3867</v>
      </c>
      <c r="I1474" t="n">
        <v>205.0896</v>
      </c>
      <c r="J1474" t="n">
        <v>955.4371</v>
      </c>
      <c r="K1474" t="n">
        <v>2990315.9</v>
      </c>
      <c r="L1474" t="n">
        <v>4886398.95</v>
      </c>
      <c r="M1474" t="n">
        <v>1319.4172</v>
      </c>
      <c r="N1474" t="inlineStr">
        <is>
          <t>Provided Total Emissions</t>
        </is>
      </c>
      <c r="O1474" t="b">
        <v>1</v>
      </c>
      <c r="P1474" t="n">
        <v>-0.030924</v>
      </c>
      <c r="Q1474" t="n">
        <v>0.044942</v>
      </c>
      <c r="R1474" t="n">
        <v>2994.7715</v>
      </c>
      <c r="S1474" t="n">
        <v>2302.6666</v>
      </c>
      <c r="T1474" t="n">
        <v>1675.3543</v>
      </c>
      <c r="U1474" t="n">
        <v>983.2494</v>
      </c>
      <c r="V1474" t="n">
        <v>1.269768</v>
      </c>
      <c r="W1474" t="n">
        <v>0.745215</v>
      </c>
      <c r="X1474" t="inlineStr">
        <is>
          <t>High</t>
        </is>
      </c>
      <c r="Y1474" t="inlineStr">
        <is>
          <t>None</t>
        </is>
      </c>
      <c r="Z1474" t="inlineStr">
        <is>
          <t>Valid</t>
        </is>
      </c>
      <c r="AA1474" t="n">
        <v>2025</v>
      </c>
      <c r="AB1474" t="inlineStr">
        <is>
          <t>Industry Haircut Pathway</t>
        </is>
      </c>
      <c r="AC1474" t="n">
        <v>1750.4912</v>
      </c>
      <c r="AD1474" t="n">
        <v>835.1594</v>
      </c>
      <c r="AE1474" t="n">
        <v>1292.8253</v>
      </c>
      <c r="AF1474" t="n">
        <v>1292.8253</v>
      </c>
      <c r="AG1474" t="n">
        <v>457.6659</v>
      </c>
      <c r="AH1474" t="n">
        <v>0.00043234</v>
      </c>
      <c r="AI1474" t="n">
        <v>0.26145</v>
      </c>
      <c r="AJ1474" t="n">
        <v>457.6659</v>
      </c>
      <c r="AK1474" t="n">
        <v>45.7666</v>
      </c>
      <c r="AL1474" t="n">
        <v>7893.9281</v>
      </c>
      <c r="AM1474" t="n">
        <v>1292.8253</v>
      </c>
      <c r="AN1474" t="n">
        <v>0.95</v>
      </c>
      <c r="AO1474" t="inlineStr">
        <is>
          <t>Critical</t>
        </is>
      </c>
      <c r="AP1474" t="inlineStr">
        <is>
          <t>On Track to Glide Path</t>
        </is>
      </c>
    </row>
    <row r="1475">
      <c r="A1475" t="inlineStr">
        <is>
          <t>SUP-0093</t>
        </is>
      </c>
      <c r="B1475" t="inlineStr">
        <is>
          <t>Chemicals Supplier 093</t>
        </is>
      </c>
      <c r="C1475" t="inlineStr">
        <is>
          <t>Chemicals</t>
        </is>
      </c>
      <c r="D1475" t="n">
        <v>2024</v>
      </c>
      <c r="E1475" t="n">
        <v>2015</v>
      </c>
      <c r="F1475" t="n">
        <v>2035</v>
      </c>
      <c r="G1475" t="n">
        <v>1319.4172</v>
      </c>
      <c r="H1475" t="n">
        <v>227.3867</v>
      </c>
      <c r="I1475" t="n">
        <v>205.0896</v>
      </c>
      <c r="J1475" t="n">
        <v>955.4371</v>
      </c>
      <c r="K1475" t="n">
        <v>2990315.9</v>
      </c>
      <c r="L1475" t="n">
        <v>4886398.95</v>
      </c>
      <c r="M1475" t="n">
        <v>1319.4172</v>
      </c>
      <c r="N1475" t="inlineStr">
        <is>
          <t>Provided Total Emissions</t>
        </is>
      </c>
      <c r="O1475" t="b">
        <v>1</v>
      </c>
      <c r="P1475" t="n">
        <v>-0.030924</v>
      </c>
      <c r="Q1475" t="n">
        <v>0.044942</v>
      </c>
      <c r="R1475" t="n">
        <v>2994.7715</v>
      </c>
      <c r="S1475" t="n">
        <v>2302.6666</v>
      </c>
      <c r="T1475" t="n">
        <v>1675.3543</v>
      </c>
      <c r="U1475" t="n">
        <v>983.2494</v>
      </c>
      <c r="V1475" t="n">
        <v>1.269768</v>
      </c>
      <c r="W1475" t="n">
        <v>0.745215</v>
      </c>
      <c r="X1475" t="inlineStr">
        <is>
          <t>High</t>
        </is>
      </c>
      <c r="Y1475" t="inlineStr">
        <is>
          <t>None</t>
        </is>
      </c>
      <c r="Z1475" t="inlineStr">
        <is>
          <t>Valid</t>
        </is>
      </c>
      <c r="AA1475" t="n">
        <v>2026</v>
      </c>
      <c r="AB1475" t="inlineStr">
        <is>
          <t>Industry Haircut Pathway</t>
        </is>
      </c>
      <c r="AC1475" t="n">
        <v>1750.4912</v>
      </c>
      <c r="AD1475" t="n">
        <v>835.1594</v>
      </c>
      <c r="AE1475" t="n">
        <v>1247.0587</v>
      </c>
      <c r="AF1475" t="n">
        <v>1247.0587</v>
      </c>
      <c r="AG1475" t="n">
        <v>503.4325</v>
      </c>
      <c r="AH1475" t="n">
        <v>0.00041703</v>
      </c>
      <c r="AI1475" t="n">
        <v>0.287595</v>
      </c>
      <c r="AJ1475" t="n">
        <v>411.8993</v>
      </c>
      <c r="AK1475" t="n">
        <v>45.7666</v>
      </c>
      <c r="AL1475" t="n">
        <v>6646.8694</v>
      </c>
      <c r="AM1475" t="n">
        <v>2539.884</v>
      </c>
      <c r="AN1475" t="n">
        <v>0.95</v>
      </c>
      <c r="AO1475" t="inlineStr">
        <is>
          <t>Critical</t>
        </is>
      </c>
      <c r="AP1475" t="inlineStr">
        <is>
          <t>On Track to Glide Path</t>
        </is>
      </c>
    </row>
    <row r="1476">
      <c r="A1476" t="inlineStr">
        <is>
          <t>SUP-0093</t>
        </is>
      </c>
      <c r="B1476" t="inlineStr">
        <is>
          <t>Chemicals Supplier 093</t>
        </is>
      </c>
      <c r="C1476" t="inlineStr">
        <is>
          <t>Chemicals</t>
        </is>
      </c>
      <c r="D1476" t="n">
        <v>2024</v>
      </c>
      <c r="E1476" t="n">
        <v>2015</v>
      </c>
      <c r="F1476" t="n">
        <v>2035</v>
      </c>
      <c r="G1476" t="n">
        <v>1319.4172</v>
      </c>
      <c r="H1476" t="n">
        <v>227.3867</v>
      </c>
      <c r="I1476" t="n">
        <v>205.0896</v>
      </c>
      <c r="J1476" t="n">
        <v>955.4371</v>
      </c>
      <c r="K1476" t="n">
        <v>2990315.9</v>
      </c>
      <c r="L1476" t="n">
        <v>4886398.95</v>
      </c>
      <c r="M1476" t="n">
        <v>1319.4172</v>
      </c>
      <c r="N1476" t="inlineStr">
        <is>
          <t>Provided Total Emissions</t>
        </is>
      </c>
      <c r="O1476" t="b">
        <v>1</v>
      </c>
      <c r="P1476" t="n">
        <v>-0.030924</v>
      </c>
      <c r="Q1476" t="n">
        <v>0.044942</v>
      </c>
      <c r="R1476" t="n">
        <v>2994.7715</v>
      </c>
      <c r="S1476" t="n">
        <v>2302.6666</v>
      </c>
      <c r="T1476" t="n">
        <v>1675.3543</v>
      </c>
      <c r="U1476" t="n">
        <v>983.2494</v>
      </c>
      <c r="V1476" t="n">
        <v>1.269768</v>
      </c>
      <c r="W1476" t="n">
        <v>0.745215</v>
      </c>
      <c r="X1476" t="inlineStr">
        <is>
          <t>High</t>
        </is>
      </c>
      <c r="Y1476" t="inlineStr">
        <is>
          <t>None</t>
        </is>
      </c>
      <c r="Z1476" t="inlineStr">
        <is>
          <t>Valid</t>
        </is>
      </c>
      <c r="AA1476" t="n">
        <v>2027</v>
      </c>
      <c r="AB1476" t="inlineStr">
        <is>
          <t>Industry Haircut Pathway</t>
        </is>
      </c>
      <c r="AC1476" t="n">
        <v>1750.4912</v>
      </c>
      <c r="AD1476" t="n">
        <v>835.1594</v>
      </c>
      <c r="AE1476" t="n">
        <v>1201.2921</v>
      </c>
      <c r="AF1476" t="n">
        <v>1201.2921</v>
      </c>
      <c r="AG1476" t="n">
        <v>549.1991</v>
      </c>
      <c r="AH1476" t="n">
        <v>0.00040173</v>
      </c>
      <c r="AI1476" t="n">
        <v>0.31374</v>
      </c>
      <c r="AJ1476" t="n">
        <v>366.1327</v>
      </c>
      <c r="AK1476" t="n">
        <v>45.7666</v>
      </c>
      <c r="AL1476" t="n">
        <v>5445.5773</v>
      </c>
      <c r="AM1476" t="n">
        <v>3741.1761</v>
      </c>
      <c r="AN1476" t="n">
        <v>0.95</v>
      </c>
      <c r="AO1476" t="inlineStr">
        <is>
          <t>Critical</t>
        </is>
      </c>
      <c r="AP1476" t="inlineStr">
        <is>
          <t>On Track to Glide Path</t>
        </is>
      </c>
    </row>
    <row r="1477">
      <c r="A1477" t="inlineStr">
        <is>
          <t>SUP-0093</t>
        </is>
      </c>
      <c r="B1477" t="inlineStr">
        <is>
          <t>Chemicals Supplier 093</t>
        </is>
      </c>
      <c r="C1477" t="inlineStr">
        <is>
          <t>Chemicals</t>
        </is>
      </c>
      <c r="D1477" t="n">
        <v>2024</v>
      </c>
      <c r="E1477" t="n">
        <v>2015</v>
      </c>
      <c r="F1477" t="n">
        <v>2035</v>
      </c>
      <c r="G1477" t="n">
        <v>1319.4172</v>
      </c>
      <c r="H1477" t="n">
        <v>227.3867</v>
      </c>
      <c r="I1477" t="n">
        <v>205.0896</v>
      </c>
      <c r="J1477" t="n">
        <v>955.4371</v>
      </c>
      <c r="K1477" t="n">
        <v>2990315.9</v>
      </c>
      <c r="L1477" t="n">
        <v>4886398.95</v>
      </c>
      <c r="M1477" t="n">
        <v>1319.4172</v>
      </c>
      <c r="N1477" t="inlineStr">
        <is>
          <t>Provided Total Emissions</t>
        </is>
      </c>
      <c r="O1477" t="b">
        <v>1</v>
      </c>
      <c r="P1477" t="n">
        <v>-0.030924</v>
      </c>
      <c r="Q1477" t="n">
        <v>0.044942</v>
      </c>
      <c r="R1477" t="n">
        <v>2994.7715</v>
      </c>
      <c r="S1477" t="n">
        <v>2302.6666</v>
      </c>
      <c r="T1477" t="n">
        <v>1675.3543</v>
      </c>
      <c r="U1477" t="n">
        <v>983.2494</v>
      </c>
      <c r="V1477" t="n">
        <v>1.269768</v>
      </c>
      <c r="W1477" t="n">
        <v>0.745215</v>
      </c>
      <c r="X1477" t="inlineStr">
        <is>
          <t>High</t>
        </is>
      </c>
      <c r="Y1477" t="inlineStr">
        <is>
          <t>None</t>
        </is>
      </c>
      <c r="Z1477" t="inlineStr">
        <is>
          <t>Valid</t>
        </is>
      </c>
      <c r="AA1477" t="n">
        <v>2028</v>
      </c>
      <c r="AB1477" t="inlineStr">
        <is>
          <t>Industry Haircut Pathway</t>
        </is>
      </c>
      <c r="AC1477" t="n">
        <v>1750.4912</v>
      </c>
      <c r="AD1477" t="n">
        <v>835.1594</v>
      </c>
      <c r="AE1477" t="n">
        <v>1155.5255</v>
      </c>
      <c r="AF1477" t="n">
        <v>1155.5255</v>
      </c>
      <c r="AG1477" t="n">
        <v>594.9657</v>
      </c>
      <c r="AH1477" t="n">
        <v>0.00038642</v>
      </c>
      <c r="AI1477" t="n">
        <v>0.339885</v>
      </c>
      <c r="AJ1477" t="n">
        <v>320.3661</v>
      </c>
      <c r="AK1477" t="n">
        <v>45.7666</v>
      </c>
      <c r="AL1477" t="n">
        <v>4290.0518</v>
      </c>
      <c r="AM1477" t="n">
        <v>4896.7016</v>
      </c>
      <c r="AN1477" t="n">
        <v>0.95</v>
      </c>
      <c r="AO1477" t="inlineStr">
        <is>
          <t>Critical</t>
        </is>
      </c>
      <c r="AP1477" t="inlineStr">
        <is>
          <t>On Track to Glide Path</t>
        </is>
      </c>
    </row>
    <row r="1478">
      <c r="A1478" t="inlineStr">
        <is>
          <t>SUP-0093</t>
        </is>
      </c>
      <c r="B1478" t="inlineStr">
        <is>
          <t>Chemicals Supplier 093</t>
        </is>
      </c>
      <c r="C1478" t="inlineStr">
        <is>
          <t>Chemicals</t>
        </is>
      </c>
      <c r="D1478" t="n">
        <v>2024</v>
      </c>
      <c r="E1478" t="n">
        <v>2015</v>
      </c>
      <c r="F1478" t="n">
        <v>2035</v>
      </c>
      <c r="G1478" t="n">
        <v>1319.4172</v>
      </c>
      <c r="H1478" t="n">
        <v>227.3867</v>
      </c>
      <c r="I1478" t="n">
        <v>205.0896</v>
      </c>
      <c r="J1478" t="n">
        <v>955.4371</v>
      </c>
      <c r="K1478" t="n">
        <v>2990315.9</v>
      </c>
      <c r="L1478" t="n">
        <v>4886398.95</v>
      </c>
      <c r="M1478" t="n">
        <v>1319.4172</v>
      </c>
      <c r="N1478" t="inlineStr">
        <is>
          <t>Provided Total Emissions</t>
        </is>
      </c>
      <c r="O1478" t="b">
        <v>1</v>
      </c>
      <c r="P1478" t="n">
        <v>-0.030924</v>
      </c>
      <c r="Q1478" t="n">
        <v>0.044942</v>
      </c>
      <c r="R1478" t="n">
        <v>2994.7715</v>
      </c>
      <c r="S1478" t="n">
        <v>2302.6666</v>
      </c>
      <c r="T1478" t="n">
        <v>1675.3543</v>
      </c>
      <c r="U1478" t="n">
        <v>983.2494</v>
      </c>
      <c r="V1478" t="n">
        <v>1.269768</v>
      </c>
      <c r="W1478" t="n">
        <v>0.745215</v>
      </c>
      <c r="X1478" t="inlineStr">
        <is>
          <t>High</t>
        </is>
      </c>
      <c r="Y1478" t="inlineStr">
        <is>
          <t>None</t>
        </is>
      </c>
      <c r="Z1478" t="inlineStr">
        <is>
          <t>Valid</t>
        </is>
      </c>
      <c r="AA1478" t="n">
        <v>2029</v>
      </c>
      <c r="AB1478" t="inlineStr">
        <is>
          <t>Industry Haircut Pathway</t>
        </is>
      </c>
      <c r="AC1478" t="n">
        <v>1750.4912</v>
      </c>
      <c r="AD1478" t="n">
        <v>835.1594</v>
      </c>
      <c r="AE1478" t="n">
        <v>1109.7589</v>
      </c>
      <c r="AF1478" t="n">
        <v>1109.7589</v>
      </c>
      <c r="AG1478" t="n">
        <v>640.7323</v>
      </c>
      <c r="AH1478" t="n">
        <v>0.00037112</v>
      </c>
      <c r="AI1478" t="n">
        <v>0.36603</v>
      </c>
      <c r="AJ1478" t="n">
        <v>274.5996</v>
      </c>
      <c r="AK1478" t="n">
        <v>45.7666</v>
      </c>
      <c r="AL1478" t="n">
        <v>3180.2929</v>
      </c>
      <c r="AM1478" t="n">
        <v>6006.4605</v>
      </c>
      <c r="AN1478" t="n">
        <v>0.95</v>
      </c>
      <c r="AO1478" t="inlineStr">
        <is>
          <t>High</t>
        </is>
      </c>
      <c r="AP1478" t="inlineStr">
        <is>
          <t>On Track to Glide Path</t>
        </is>
      </c>
    </row>
    <row r="1479">
      <c r="A1479" t="inlineStr">
        <is>
          <t>SUP-0093</t>
        </is>
      </c>
      <c r="B1479" t="inlineStr">
        <is>
          <t>Chemicals Supplier 093</t>
        </is>
      </c>
      <c r="C1479" t="inlineStr">
        <is>
          <t>Chemicals</t>
        </is>
      </c>
      <c r="D1479" t="n">
        <v>2024</v>
      </c>
      <c r="E1479" t="n">
        <v>2015</v>
      </c>
      <c r="F1479" t="n">
        <v>2035</v>
      </c>
      <c r="G1479" t="n">
        <v>1319.4172</v>
      </c>
      <c r="H1479" t="n">
        <v>227.3867</v>
      </c>
      <c r="I1479" t="n">
        <v>205.0896</v>
      </c>
      <c r="J1479" t="n">
        <v>955.4371</v>
      </c>
      <c r="K1479" t="n">
        <v>2990315.9</v>
      </c>
      <c r="L1479" t="n">
        <v>4886398.95</v>
      </c>
      <c r="M1479" t="n">
        <v>1319.4172</v>
      </c>
      <c r="N1479" t="inlineStr">
        <is>
          <t>Provided Total Emissions</t>
        </is>
      </c>
      <c r="O1479" t="b">
        <v>1</v>
      </c>
      <c r="P1479" t="n">
        <v>-0.030924</v>
      </c>
      <c r="Q1479" t="n">
        <v>0.044942</v>
      </c>
      <c r="R1479" t="n">
        <v>2994.7715</v>
      </c>
      <c r="S1479" t="n">
        <v>2302.6666</v>
      </c>
      <c r="T1479" t="n">
        <v>1675.3543</v>
      </c>
      <c r="U1479" t="n">
        <v>983.2494</v>
      </c>
      <c r="V1479" t="n">
        <v>1.269768</v>
      </c>
      <c r="W1479" t="n">
        <v>0.745215</v>
      </c>
      <c r="X1479" t="inlineStr">
        <is>
          <t>High</t>
        </is>
      </c>
      <c r="Y1479" t="inlineStr">
        <is>
          <t>None</t>
        </is>
      </c>
      <c r="Z1479" t="inlineStr">
        <is>
          <t>Valid</t>
        </is>
      </c>
      <c r="AA1479" t="n">
        <v>2030</v>
      </c>
      <c r="AB1479" t="inlineStr">
        <is>
          <t>Industry Haircut Pathway</t>
        </is>
      </c>
      <c r="AC1479" t="n">
        <v>1750.4912</v>
      </c>
      <c r="AD1479" t="n">
        <v>835.1594</v>
      </c>
      <c r="AE1479" t="n">
        <v>1063.9923</v>
      </c>
      <c r="AF1479" t="n">
        <v>1063.9923</v>
      </c>
      <c r="AG1479" t="n">
        <v>686.4989</v>
      </c>
      <c r="AH1479" t="n">
        <v>0.00035581</v>
      </c>
      <c r="AI1479" t="n">
        <v>0.392175</v>
      </c>
      <c r="AJ1479" t="n">
        <v>228.833</v>
      </c>
      <c r="AK1479" t="n">
        <v>45.7666</v>
      </c>
      <c r="AL1479" t="n">
        <v>2116.3006</v>
      </c>
      <c r="AM1479" t="n">
        <v>7070.4528</v>
      </c>
      <c r="AN1479" t="n">
        <v>0.95</v>
      </c>
      <c r="AO1479" t="inlineStr">
        <is>
          <t>High</t>
        </is>
      </c>
      <c r="AP1479" t="inlineStr">
        <is>
          <t>On Track to Glide Path</t>
        </is>
      </c>
    </row>
    <row r="1480">
      <c r="A1480" t="inlineStr">
        <is>
          <t>SUP-0093</t>
        </is>
      </c>
      <c r="B1480" t="inlineStr">
        <is>
          <t>Chemicals Supplier 093</t>
        </is>
      </c>
      <c r="C1480" t="inlineStr">
        <is>
          <t>Chemicals</t>
        </is>
      </c>
      <c r="D1480" t="n">
        <v>2024</v>
      </c>
      <c r="E1480" t="n">
        <v>2015</v>
      </c>
      <c r="F1480" t="n">
        <v>2035</v>
      </c>
      <c r="G1480" t="n">
        <v>1319.4172</v>
      </c>
      <c r="H1480" t="n">
        <v>227.3867</v>
      </c>
      <c r="I1480" t="n">
        <v>205.0896</v>
      </c>
      <c r="J1480" t="n">
        <v>955.4371</v>
      </c>
      <c r="K1480" t="n">
        <v>2990315.9</v>
      </c>
      <c r="L1480" t="n">
        <v>4886398.95</v>
      </c>
      <c r="M1480" t="n">
        <v>1319.4172</v>
      </c>
      <c r="N1480" t="inlineStr">
        <is>
          <t>Provided Total Emissions</t>
        </is>
      </c>
      <c r="O1480" t="b">
        <v>1</v>
      </c>
      <c r="P1480" t="n">
        <v>-0.030924</v>
      </c>
      <c r="Q1480" t="n">
        <v>0.044942</v>
      </c>
      <c r="R1480" t="n">
        <v>2994.7715</v>
      </c>
      <c r="S1480" t="n">
        <v>2302.6666</v>
      </c>
      <c r="T1480" t="n">
        <v>1675.3543</v>
      </c>
      <c r="U1480" t="n">
        <v>983.2494</v>
      </c>
      <c r="V1480" t="n">
        <v>1.269768</v>
      </c>
      <c r="W1480" t="n">
        <v>0.745215</v>
      </c>
      <c r="X1480" t="inlineStr">
        <is>
          <t>High</t>
        </is>
      </c>
      <c r="Y1480" t="inlineStr">
        <is>
          <t>None</t>
        </is>
      </c>
      <c r="Z1480" t="inlineStr">
        <is>
          <t>Valid</t>
        </is>
      </c>
      <c r="AA1480" t="n">
        <v>2031</v>
      </c>
      <c r="AB1480" t="inlineStr">
        <is>
          <t>Industry Haircut Pathway</t>
        </is>
      </c>
      <c r="AC1480" t="n">
        <v>1750.4912</v>
      </c>
      <c r="AD1480" t="n">
        <v>835.1594</v>
      </c>
      <c r="AE1480" t="n">
        <v>1018.2257</v>
      </c>
      <c r="AF1480" t="n">
        <v>1018.2257</v>
      </c>
      <c r="AG1480" t="n">
        <v>732.2655</v>
      </c>
      <c r="AH1480" t="n">
        <v>0.00034051</v>
      </c>
      <c r="AI1480" t="n">
        <v>0.41832</v>
      </c>
      <c r="AJ1480" t="n">
        <v>183.0664</v>
      </c>
      <c r="AK1480" t="n">
        <v>45.7666</v>
      </c>
      <c r="AL1480" t="n">
        <v>1098.0749</v>
      </c>
      <c r="AM1480" t="n">
        <v>8088.6785</v>
      </c>
      <c r="AN1480" t="n">
        <v>0.95</v>
      </c>
      <c r="AO1480" t="inlineStr">
        <is>
          <t>High</t>
        </is>
      </c>
      <c r="AP1480" t="inlineStr">
        <is>
          <t>On Track to Glide Path</t>
        </is>
      </c>
    </row>
    <row r="1481">
      <c r="A1481" t="inlineStr">
        <is>
          <t>SUP-0093</t>
        </is>
      </c>
      <c r="B1481" t="inlineStr">
        <is>
          <t>Chemicals Supplier 093</t>
        </is>
      </c>
      <c r="C1481" t="inlineStr">
        <is>
          <t>Chemicals</t>
        </is>
      </c>
      <c r="D1481" t="n">
        <v>2024</v>
      </c>
      <c r="E1481" t="n">
        <v>2015</v>
      </c>
      <c r="F1481" t="n">
        <v>2035</v>
      </c>
      <c r="G1481" t="n">
        <v>1319.4172</v>
      </c>
      <c r="H1481" t="n">
        <v>227.3867</v>
      </c>
      <c r="I1481" t="n">
        <v>205.0896</v>
      </c>
      <c r="J1481" t="n">
        <v>955.4371</v>
      </c>
      <c r="K1481" t="n">
        <v>2990315.9</v>
      </c>
      <c r="L1481" t="n">
        <v>4886398.95</v>
      </c>
      <c r="M1481" t="n">
        <v>1319.4172</v>
      </c>
      <c r="N1481" t="inlineStr">
        <is>
          <t>Provided Total Emissions</t>
        </is>
      </c>
      <c r="O1481" t="b">
        <v>1</v>
      </c>
      <c r="P1481" t="n">
        <v>-0.030924</v>
      </c>
      <c r="Q1481" t="n">
        <v>0.044942</v>
      </c>
      <c r="R1481" t="n">
        <v>2994.7715</v>
      </c>
      <c r="S1481" t="n">
        <v>2302.6666</v>
      </c>
      <c r="T1481" t="n">
        <v>1675.3543</v>
      </c>
      <c r="U1481" t="n">
        <v>983.2494</v>
      </c>
      <c r="V1481" t="n">
        <v>1.269768</v>
      </c>
      <c r="W1481" t="n">
        <v>0.745215</v>
      </c>
      <c r="X1481" t="inlineStr">
        <is>
          <t>High</t>
        </is>
      </c>
      <c r="Y1481" t="inlineStr">
        <is>
          <t>None</t>
        </is>
      </c>
      <c r="Z1481" t="inlineStr">
        <is>
          <t>Valid</t>
        </is>
      </c>
      <c r="AA1481" t="n">
        <v>2032</v>
      </c>
      <c r="AB1481" t="inlineStr">
        <is>
          <t>Industry Haircut Pathway</t>
        </is>
      </c>
      <c r="AC1481" t="n">
        <v>1750.4912</v>
      </c>
      <c r="AD1481" t="n">
        <v>835.1594</v>
      </c>
      <c r="AE1481" t="n">
        <v>972.4591</v>
      </c>
      <c r="AF1481" t="n">
        <v>972.4591</v>
      </c>
      <c r="AG1481" t="n">
        <v>778.0321</v>
      </c>
      <c r="AH1481" t="n">
        <v>0.0003252</v>
      </c>
      <c r="AI1481" t="n">
        <v>0.444465</v>
      </c>
      <c r="AJ1481" t="n">
        <v>137.2998</v>
      </c>
      <c r="AK1481" t="n">
        <v>45.7666</v>
      </c>
      <c r="AL1481" t="n">
        <v>125.6158</v>
      </c>
      <c r="AM1481" t="n">
        <v>9061.1376</v>
      </c>
      <c r="AN1481" t="n">
        <v>0.95</v>
      </c>
      <c r="AO1481" t="inlineStr">
        <is>
          <t>High</t>
        </is>
      </c>
      <c r="AP1481" t="inlineStr">
        <is>
          <t>On Track to Glide Path</t>
        </is>
      </c>
    </row>
    <row r="1482">
      <c r="A1482" t="inlineStr">
        <is>
          <t>SUP-0093</t>
        </is>
      </c>
      <c r="B1482" t="inlineStr">
        <is>
          <t>Chemicals Supplier 093</t>
        </is>
      </c>
      <c r="C1482" t="inlineStr">
        <is>
          <t>Chemicals</t>
        </is>
      </c>
      <c r="D1482" t="n">
        <v>2024</v>
      </c>
      <c r="E1482" t="n">
        <v>2015</v>
      </c>
      <c r="F1482" t="n">
        <v>2035</v>
      </c>
      <c r="G1482" t="n">
        <v>1319.4172</v>
      </c>
      <c r="H1482" t="n">
        <v>227.3867</v>
      </c>
      <c r="I1482" t="n">
        <v>205.0896</v>
      </c>
      <c r="J1482" t="n">
        <v>955.4371</v>
      </c>
      <c r="K1482" t="n">
        <v>2990315.9</v>
      </c>
      <c r="L1482" t="n">
        <v>4886398.95</v>
      </c>
      <c r="M1482" t="n">
        <v>1319.4172</v>
      </c>
      <c r="N1482" t="inlineStr">
        <is>
          <t>Provided Total Emissions</t>
        </is>
      </c>
      <c r="O1482" t="b">
        <v>1</v>
      </c>
      <c r="P1482" t="n">
        <v>-0.030924</v>
      </c>
      <c r="Q1482" t="n">
        <v>0.044942</v>
      </c>
      <c r="R1482" t="n">
        <v>2994.7715</v>
      </c>
      <c r="S1482" t="n">
        <v>2302.6666</v>
      </c>
      <c r="T1482" t="n">
        <v>1675.3543</v>
      </c>
      <c r="U1482" t="n">
        <v>983.2494</v>
      </c>
      <c r="V1482" t="n">
        <v>1.269768</v>
      </c>
      <c r="W1482" t="n">
        <v>0.745215</v>
      </c>
      <c r="X1482" t="inlineStr">
        <is>
          <t>High</t>
        </is>
      </c>
      <c r="Y1482" t="inlineStr">
        <is>
          <t>None</t>
        </is>
      </c>
      <c r="Z1482" t="inlineStr">
        <is>
          <t>Valid</t>
        </is>
      </c>
      <c r="AA1482" t="n">
        <v>2033</v>
      </c>
      <c r="AB1482" t="inlineStr">
        <is>
          <t>Industry Haircut Pathway</t>
        </is>
      </c>
      <c r="AC1482" t="n">
        <v>1750.4912</v>
      </c>
      <c r="AD1482" t="n">
        <v>835.1594</v>
      </c>
      <c r="AE1482" t="n">
        <v>926.6925</v>
      </c>
      <c r="AF1482" t="n">
        <v>926.6925</v>
      </c>
      <c r="AG1482" t="n">
        <v>823.7987000000001</v>
      </c>
      <c r="AH1482" t="n">
        <v>0.0003099</v>
      </c>
      <c r="AI1482" t="n">
        <v>0.47061</v>
      </c>
      <c r="AJ1482" t="n">
        <v>91.53319999999999</v>
      </c>
      <c r="AK1482" t="n">
        <v>45.7666</v>
      </c>
      <c r="AL1482" t="n">
        <v>-801.0767</v>
      </c>
      <c r="AM1482" t="n">
        <v>9987.830099999999</v>
      </c>
      <c r="AN1482" t="n">
        <v>0.95</v>
      </c>
      <c r="AO1482" t="inlineStr">
        <is>
          <t>Medium</t>
        </is>
      </c>
      <c r="AP1482" t="inlineStr">
        <is>
          <t>On Track to Glide Path</t>
        </is>
      </c>
    </row>
    <row r="1483">
      <c r="A1483" t="inlineStr">
        <is>
          <t>SUP-0093</t>
        </is>
      </c>
      <c r="B1483" t="inlineStr">
        <is>
          <t>Chemicals Supplier 093</t>
        </is>
      </c>
      <c r="C1483" t="inlineStr">
        <is>
          <t>Chemicals</t>
        </is>
      </c>
      <c r="D1483" t="n">
        <v>2024</v>
      </c>
      <c r="E1483" t="n">
        <v>2015</v>
      </c>
      <c r="F1483" t="n">
        <v>2035</v>
      </c>
      <c r="G1483" t="n">
        <v>1319.4172</v>
      </c>
      <c r="H1483" t="n">
        <v>227.3867</v>
      </c>
      <c r="I1483" t="n">
        <v>205.0896</v>
      </c>
      <c r="J1483" t="n">
        <v>955.4371</v>
      </c>
      <c r="K1483" t="n">
        <v>2990315.9</v>
      </c>
      <c r="L1483" t="n">
        <v>4886398.95</v>
      </c>
      <c r="M1483" t="n">
        <v>1319.4172</v>
      </c>
      <c r="N1483" t="inlineStr">
        <is>
          <t>Provided Total Emissions</t>
        </is>
      </c>
      <c r="O1483" t="b">
        <v>1</v>
      </c>
      <c r="P1483" t="n">
        <v>-0.030924</v>
      </c>
      <c r="Q1483" t="n">
        <v>0.044942</v>
      </c>
      <c r="R1483" t="n">
        <v>2994.7715</v>
      </c>
      <c r="S1483" t="n">
        <v>2302.6666</v>
      </c>
      <c r="T1483" t="n">
        <v>1675.3543</v>
      </c>
      <c r="U1483" t="n">
        <v>983.2494</v>
      </c>
      <c r="V1483" t="n">
        <v>1.269768</v>
      </c>
      <c r="W1483" t="n">
        <v>0.745215</v>
      </c>
      <c r="X1483" t="inlineStr">
        <is>
          <t>High</t>
        </is>
      </c>
      <c r="Y1483" t="inlineStr">
        <is>
          <t>None</t>
        </is>
      </c>
      <c r="Z1483" t="inlineStr">
        <is>
          <t>Valid</t>
        </is>
      </c>
      <c r="AA1483" t="n">
        <v>2034</v>
      </c>
      <c r="AB1483" t="inlineStr">
        <is>
          <t>Industry Haircut Pathway</t>
        </is>
      </c>
      <c r="AC1483" t="n">
        <v>1750.4912</v>
      </c>
      <c r="AD1483" t="n">
        <v>835.1594</v>
      </c>
      <c r="AE1483" t="n">
        <v>880.9259</v>
      </c>
      <c r="AF1483" t="n">
        <v>880.9259</v>
      </c>
      <c r="AG1483" t="n">
        <v>869.5653</v>
      </c>
      <c r="AH1483" t="n">
        <v>0.00029459</v>
      </c>
      <c r="AI1483" t="n">
        <v>0.496755</v>
      </c>
      <c r="AJ1483" t="n">
        <v>45.7666</v>
      </c>
      <c r="AK1483" t="n">
        <v>45.7666</v>
      </c>
      <c r="AL1483" t="n">
        <v>-1682.0026</v>
      </c>
      <c r="AM1483" t="n">
        <v>10868.756</v>
      </c>
      <c r="AN1483" t="n">
        <v>0.95</v>
      </c>
      <c r="AO1483" t="inlineStr">
        <is>
          <t>Medium</t>
        </is>
      </c>
      <c r="AP1483" t="inlineStr">
        <is>
          <t>On Track to Glide Path</t>
        </is>
      </c>
    </row>
    <row r="1484">
      <c r="A1484" t="inlineStr">
        <is>
          <t>SUP-0093</t>
        </is>
      </c>
      <c r="B1484" t="inlineStr">
        <is>
          <t>Chemicals Supplier 093</t>
        </is>
      </c>
      <c r="C1484" t="inlineStr">
        <is>
          <t>Chemicals</t>
        </is>
      </c>
      <c r="D1484" t="n">
        <v>2024</v>
      </c>
      <c r="E1484" t="n">
        <v>2015</v>
      </c>
      <c r="F1484" t="n">
        <v>2035</v>
      </c>
      <c r="G1484" t="n">
        <v>1319.4172</v>
      </c>
      <c r="H1484" t="n">
        <v>227.3867</v>
      </c>
      <c r="I1484" t="n">
        <v>205.0896</v>
      </c>
      <c r="J1484" t="n">
        <v>955.4371</v>
      </c>
      <c r="K1484" t="n">
        <v>2990315.9</v>
      </c>
      <c r="L1484" t="n">
        <v>4886398.95</v>
      </c>
      <c r="M1484" t="n">
        <v>1319.4172</v>
      </c>
      <c r="N1484" t="inlineStr">
        <is>
          <t>Provided Total Emissions</t>
        </is>
      </c>
      <c r="O1484" t="b">
        <v>1</v>
      </c>
      <c r="P1484" t="n">
        <v>-0.030924</v>
      </c>
      <c r="Q1484" t="n">
        <v>0.044942</v>
      </c>
      <c r="R1484" t="n">
        <v>2994.7715</v>
      </c>
      <c r="S1484" t="n">
        <v>2302.6666</v>
      </c>
      <c r="T1484" t="n">
        <v>1675.3543</v>
      </c>
      <c r="U1484" t="n">
        <v>983.2494</v>
      </c>
      <c r="V1484" t="n">
        <v>1.269768</v>
      </c>
      <c r="W1484" t="n">
        <v>0.745215</v>
      </c>
      <c r="X1484" t="inlineStr">
        <is>
          <t>High</t>
        </is>
      </c>
      <c r="Y1484" t="inlineStr">
        <is>
          <t>None</t>
        </is>
      </c>
      <c r="Z1484" t="inlineStr">
        <is>
          <t>Valid</t>
        </is>
      </c>
      <c r="AA1484" t="n">
        <v>2035</v>
      </c>
      <c r="AB1484" t="inlineStr">
        <is>
          <t>Industry Haircut Pathway</t>
        </is>
      </c>
      <c r="AC1484" t="n">
        <v>1750.4912</v>
      </c>
      <c r="AD1484" t="n">
        <v>835.1594</v>
      </c>
      <c r="AE1484" t="n">
        <v>835.1594</v>
      </c>
      <c r="AF1484" t="n">
        <v>835.1594</v>
      </c>
      <c r="AG1484" t="n">
        <v>915.3318</v>
      </c>
      <c r="AH1484" t="n">
        <v>0.00027929</v>
      </c>
      <c r="AI1484" t="n">
        <v>0.5229</v>
      </c>
      <c r="AJ1484" t="n">
        <v>0</v>
      </c>
      <c r="AK1484" t="n">
        <v>45.7666</v>
      </c>
      <c r="AL1484" t="n">
        <v>-2517.162</v>
      </c>
      <c r="AM1484" t="n">
        <v>11703.9154</v>
      </c>
      <c r="AN1484" t="n">
        <v>0.95</v>
      </c>
      <c r="AO1484" t="inlineStr">
        <is>
          <t>Low</t>
        </is>
      </c>
      <c r="AP1484" t="inlineStr">
        <is>
          <t>On Track</t>
        </is>
      </c>
    </row>
    <row r="1485">
      <c r="A1485" t="inlineStr">
        <is>
          <t>SUP-0093</t>
        </is>
      </c>
      <c r="B1485" t="inlineStr">
        <is>
          <t>Chemicals Supplier 093</t>
        </is>
      </c>
      <c r="C1485" t="inlineStr">
        <is>
          <t>Chemicals</t>
        </is>
      </c>
      <c r="D1485" t="n">
        <v>2024</v>
      </c>
      <c r="E1485" t="n">
        <v>2015</v>
      </c>
      <c r="F1485" t="n">
        <v>2035</v>
      </c>
      <c r="G1485" t="n">
        <v>1319.4172</v>
      </c>
      <c r="H1485" t="n">
        <v>227.3867</v>
      </c>
      <c r="I1485" t="n">
        <v>205.0896</v>
      </c>
      <c r="J1485" t="n">
        <v>955.4371</v>
      </c>
      <c r="K1485" t="n">
        <v>2990315.9</v>
      </c>
      <c r="L1485" t="n">
        <v>4886398.95</v>
      </c>
      <c r="M1485" t="n">
        <v>1319.4172</v>
      </c>
      <c r="N1485" t="inlineStr">
        <is>
          <t>Provided Total Emissions</t>
        </is>
      </c>
      <c r="O1485" t="b">
        <v>1</v>
      </c>
      <c r="P1485" t="n">
        <v>-0.030924</v>
      </c>
      <c r="Q1485" t="n">
        <v>0.044942</v>
      </c>
      <c r="R1485" t="n">
        <v>2994.7715</v>
      </c>
      <c r="S1485" t="n">
        <v>2302.6666</v>
      </c>
      <c r="T1485" t="n">
        <v>1675.3543</v>
      </c>
      <c r="U1485" t="n">
        <v>983.2494</v>
      </c>
      <c r="V1485" t="n">
        <v>1.269768</v>
      </c>
      <c r="W1485" t="n">
        <v>0.745215</v>
      </c>
      <c r="X1485" t="inlineStr">
        <is>
          <t>High</t>
        </is>
      </c>
      <c r="Y1485" t="inlineStr">
        <is>
          <t>None</t>
        </is>
      </c>
      <c r="Z1485" t="inlineStr">
        <is>
          <t>Valid</t>
        </is>
      </c>
      <c r="AA1485" t="n">
        <v>2036</v>
      </c>
      <c r="AB1485" t="inlineStr">
        <is>
          <t>Industry Haircut Pathway</t>
        </is>
      </c>
      <c r="AC1485" t="n">
        <v>1750.4912</v>
      </c>
      <c r="AD1485" t="n">
        <v>835.1594</v>
      </c>
      <c r="AE1485" t="n">
        <v>835.1594</v>
      </c>
      <c r="AF1485" t="n">
        <v>835.1594</v>
      </c>
      <c r="AG1485" t="n">
        <v>915.3318</v>
      </c>
      <c r="AH1485" t="n">
        <v>0.00027929</v>
      </c>
      <c r="AI1485" t="n">
        <v>0.5229</v>
      </c>
      <c r="AJ1485" t="n">
        <v>0</v>
      </c>
      <c r="AK1485" t="n">
        <v>45.7666</v>
      </c>
      <c r="AL1485" t="n">
        <v>-3352.3214</v>
      </c>
      <c r="AM1485" t="n">
        <v>12539.0748</v>
      </c>
      <c r="AN1485" t="n">
        <v>0.95</v>
      </c>
      <c r="AO1485" t="inlineStr">
        <is>
          <t>Low</t>
        </is>
      </c>
      <c r="AP1485" t="inlineStr">
        <is>
          <t>On Track</t>
        </is>
      </c>
    </row>
    <row r="1486">
      <c r="A1486" t="inlineStr">
        <is>
          <t>SUP-0093</t>
        </is>
      </c>
      <c r="B1486" t="inlineStr">
        <is>
          <t>Chemicals Supplier 093</t>
        </is>
      </c>
      <c r="C1486" t="inlineStr">
        <is>
          <t>Chemicals</t>
        </is>
      </c>
      <c r="D1486" t="n">
        <v>2024</v>
      </c>
      <c r="E1486" t="n">
        <v>2015</v>
      </c>
      <c r="F1486" t="n">
        <v>2035</v>
      </c>
      <c r="G1486" t="n">
        <v>1319.4172</v>
      </c>
      <c r="H1486" t="n">
        <v>227.3867</v>
      </c>
      <c r="I1486" t="n">
        <v>205.0896</v>
      </c>
      <c r="J1486" t="n">
        <v>955.4371</v>
      </c>
      <c r="K1486" t="n">
        <v>2990315.9</v>
      </c>
      <c r="L1486" t="n">
        <v>4886398.95</v>
      </c>
      <c r="M1486" t="n">
        <v>1319.4172</v>
      </c>
      <c r="N1486" t="inlineStr">
        <is>
          <t>Provided Total Emissions</t>
        </is>
      </c>
      <c r="O1486" t="b">
        <v>1</v>
      </c>
      <c r="P1486" t="n">
        <v>-0.030924</v>
      </c>
      <c r="Q1486" t="n">
        <v>0.044942</v>
      </c>
      <c r="R1486" t="n">
        <v>2994.7715</v>
      </c>
      <c r="S1486" t="n">
        <v>2302.6666</v>
      </c>
      <c r="T1486" t="n">
        <v>1675.3543</v>
      </c>
      <c r="U1486" t="n">
        <v>983.2494</v>
      </c>
      <c r="V1486" t="n">
        <v>1.269768</v>
      </c>
      <c r="W1486" t="n">
        <v>0.745215</v>
      </c>
      <c r="X1486" t="inlineStr">
        <is>
          <t>High</t>
        </is>
      </c>
      <c r="Y1486" t="inlineStr">
        <is>
          <t>None</t>
        </is>
      </c>
      <c r="Z1486" t="inlineStr">
        <is>
          <t>Valid</t>
        </is>
      </c>
      <c r="AA1486" t="n">
        <v>2037</v>
      </c>
      <c r="AB1486" t="inlineStr">
        <is>
          <t>Industry Haircut Pathway</t>
        </is>
      </c>
      <c r="AC1486" t="n">
        <v>1750.4912</v>
      </c>
      <c r="AD1486" t="n">
        <v>835.1594</v>
      </c>
      <c r="AE1486" t="n">
        <v>835.1594</v>
      </c>
      <c r="AF1486" t="n">
        <v>835.1594</v>
      </c>
      <c r="AG1486" t="n">
        <v>915.3318</v>
      </c>
      <c r="AH1486" t="n">
        <v>0.00027929</v>
      </c>
      <c r="AI1486" t="n">
        <v>0.5229</v>
      </c>
      <c r="AJ1486" t="n">
        <v>0</v>
      </c>
      <c r="AK1486" t="n">
        <v>45.7666</v>
      </c>
      <c r="AL1486" t="n">
        <v>-4187.4808</v>
      </c>
      <c r="AM1486" t="n">
        <v>13374.2342</v>
      </c>
      <c r="AN1486" t="n">
        <v>0.95</v>
      </c>
      <c r="AO1486" t="inlineStr">
        <is>
          <t>Low</t>
        </is>
      </c>
      <c r="AP1486" t="inlineStr">
        <is>
          <t>On Track</t>
        </is>
      </c>
    </row>
    <row r="1487">
      <c r="A1487" t="inlineStr">
        <is>
          <t>SUP-0093</t>
        </is>
      </c>
      <c r="B1487" t="inlineStr">
        <is>
          <t>Chemicals Supplier 093</t>
        </is>
      </c>
      <c r="C1487" t="inlineStr">
        <is>
          <t>Chemicals</t>
        </is>
      </c>
      <c r="D1487" t="n">
        <v>2024</v>
      </c>
      <c r="E1487" t="n">
        <v>2015</v>
      </c>
      <c r="F1487" t="n">
        <v>2035</v>
      </c>
      <c r="G1487" t="n">
        <v>1319.4172</v>
      </c>
      <c r="H1487" t="n">
        <v>227.3867</v>
      </c>
      <c r="I1487" t="n">
        <v>205.0896</v>
      </c>
      <c r="J1487" t="n">
        <v>955.4371</v>
      </c>
      <c r="K1487" t="n">
        <v>2990315.9</v>
      </c>
      <c r="L1487" t="n">
        <v>4886398.95</v>
      </c>
      <c r="M1487" t="n">
        <v>1319.4172</v>
      </c>
      <c r="N1487" t="inlineStr">
        <is>
          <t>Provided Total Emissions</t>
        </is>
      </c>
      <c r="O1487" t="b">
        <v>1</v>
      </c>
      <c r="P1487" t="n">
        <v>-0.030924</v>
      </c>
      <c r="Q1487" t="n">
        <v>0.044942</v>
      </c>
      <c r="R1487" t="n">
        <v>2994.7715</v>
      </c>
      <c r="S1487" t="n">
        <v>2302.6666</v>
      </c>
      <c r="T1487" t="n">
        <v>1675.3543</v>
      </c>
      <c r="U1487" t="n">
        <v>983.2494</v>
      </c>
      <c r="V1487" t="n">
        <v>1.269768</v>
      </c>
      <c r="W1487" t="n">
        <v>0.745215</v>
      </c>
      <c r="X1487" t="inlineStr">
        <is>
          <t>High</t>
        </is>
      </c>
      <c r="Y1487" t="inlineStr">
        <is>
          <t>None</t>
        </is>
      </c>
      <c r="Z1487" t="inlineStr">
        <is>
          <t>Valid</t>
        </is>
      </c>
      <c r="AA1487" t="n">
        <v>2038</v>
      </c>
      <c r="AB1487" t="inlineStr">
        <is>
          <t>Industry Haircut Pathway</t>
        </is>
      </c>
      <c r="AC1487" t="n">
        <v>1750.4912</v>
      </c>
      <c r="AD1487" t="n">
        <v>835.1594</v>
      </c>
      <c r="AE1487" t="n">
        <v>835.1594</v>
      </c>
      <c r="AF1487" t="n">
        <v>835.1594</v>
      </c>
      <c r="AG1487" t="n">
        <v>915.3318</v>
      </c>
      <c r="AH1487" t="n">
        <v>0.00027929</v>
      </c>
      <c r="AI1487" t="n">
        <v>0.5229</v>
      </c>
      <c r="AJ1487" t="n">
        <v>0</v>
      </c>
      <c r="AK1487" t="n">
        <v>45.7666</v>
      </c>
      <c r="AL1487" t="n">
        <v>-5022.6402</v>
      </c>
      <c r="AM1487" t="n">
        <v>14209.3936</v>
      </c>
      <c r="AN1487" t="n">
        <v>0.95</v>
      </c>
      <c r="AO1487" t="inlineStr">
        <is>
          <t>Low</t>
        </is>
      </c>
      <c r="AP1487" t="inlineStr">
        <is>
          <t>On Track</t>
        </is>
      </c>
    </row>
    <row r="1488">
      <c r="A1488" t="inlineStr">
        <is>
          <t>SUP-0093</t>
        </is>
      </c>
      <c r="B1488" t="inlineStr">
        <is>
          <t>Chemicals Supplier 093</t>
        </is>
      </c>
      <c r="C1488" t="inlineStr">
        <is>
          <t>Chemicals</t>
        </is>
      </c>
      <c r="D1488" t="n">
        <v>2024</v>
      </c>
      <c r="E1488" t="n">
        <v>2015</v>
      </c>
      <c r="F1488" t="n">
        <v>2035</v>
      </c>
      <c r="G1488" t="n">
        <v>1319.4172</v>
      </c>
      <c r="H1488" t="n">
        <v>227.3867</v>
      </c>
      <c r="I1488" t="n">
        <v>205.0896</v>
      </c>
      <c r="J1488" t="n">
        <v>955.4371</v>
      </c>
      <c r="K1488" t="n">
        <v>2990315.9</v>
      </c>
      <c r="L1488" t="n">
        <v>4886398.95</v>
      </c>
      <c r="M1488" t="n">
        <v>1319.4172</v>
      </c>
      <c r="N1488" t="inlineStr">
        <is>
          <t>Provided Total Emissions</t>
        </is>
      </c>
      <c r="O1488" t="b">
        <v>1</v>
      </c>
      <c r="P1488" t="n">
        <v>-0.030924</v>
      </c>
      <c r="Q1488" t="n">
        <v>0.044942</v>
      </c>
      <c r="R1488" t="n">
        <v>2994.7715</v>
      </c>
      <c r="S1488" t="n">
        <v>2302.6666</v>
      </c>
      <c r="T1488" t="n">
        <v>1675.3543</v>
      </c>
      <c r="U1488" t="n">
        <v>983.2494</v>
      </c>
      <c r="V1488" t="n">
        <v>1.269768</v>
      </c>
      <c r="W1488" t="n">
        <v>0.745215</v>
      </c>
      <c r="X1488" t="inlineStr">
        <is>
          <t>High</t>
        </is>
      </c>
      <c r="Y1488" t="inlineStr">
        <is>
          <t>None</t>
        </is>
      </c>
      <c r="Z1488" t="inlineStr">
        <is>
          <t>Valid</t>
        </is>
      </c>
      <c r="AA1488" t="n">
        <v>2039</v>
      </c>
      <c r="AB1488" t="inlineStr">
        <is>
          <t>Industry Haircut Pathway</t>
        </is>
      </c>
      <c r="AC1488" t="n">
        <v>1750.4912</v>
      </c>
      <c r="AD1488" t="n">
        <v>835.1594</v>
      </c>
      <c r="AE1488" t="n">
        <v>835.1594</v>
      </c>
      <c r="AF1488" t="n">
        <v>835.1594</v>
      </c>
      <c r="AG1488" t="n">
        <v>915.3318</v>
      </c>
      <c r="AH1488" t="n">
        <v>0.00027929</v>
      </c>
      <c r="AI1488" t="n">
        <v>0.5229</v>
      </c>
      <c r="AJ1488" t="n">
        <v>0</v>
      </c>
      <c r="AK1488" t="n">
        <v>45.7666</v>
      </c>
      <c r="AL1488" t="n">
        <v>-5857.7996</v>
      </c>
      <c r="AM1488" t="n">
        <v>15044.553</v>
      </c>
      <c r="AN1488" t="n">
        <v>0.95</v>
      </c>
      <c r="AO1488" t="inlineStr">
        <is>
          <t>Low</t>
        </is>
      </c>
      <c r="AP1488" t="inlineStr">
        <is>
          <t>On Track</t>
        </is>
      </c>
    </row>
    <row r="1489">
      <c r="A1489" t="inlineStr">
        <is>
          <t>SUP-0093</t>
        </is>
      </c>
      <c r="B1489" t="inlineStr">
        <is>
          <t>Chemicals Supplier 093</t>
        </is>
      </c>
      <c r="C1489" t="inlineStr">
        <is>
          <t>Chemicals</t>
        </is>
      </c>
      <c r="D1489" t="n">
        <v>2024</v>
      </c>
      <c r="E1489" t="n">
        <v>2015</v>
      </c>
      <c r="F1489" t="n">
        <v>2035</v>
      </c>
      <c r="G1489" t="n">
        <v>1319.4172</v>
      </c>
      <c r="H1489" t="n">
        <v>227.3867</v>
      </c>
      <c r="I1489" t="n">
        <v>205.0896</v>
      </c>
      <c r="J1489" t="n">
        <v>955.4371</v>
      </c>
      <c r="K1489" t="n">
        <v>2990315.9</v>
      </c>
      <c r="L1489" t="n">
        <v>4886398.95</v>
      </c>
      <c r="M1489" t="n">
        <v>1319.4172</v>
      </c>
      <c r="N1489" t="inlineStr">
        <is>
          <t>Provided Total Emissions</t>
        </is>
      </c>
      <c r="O1489" t="b">
        <v>1</v>
      </c>
      <c r="P1489" t="n">
        <v>-0.030924</v>
      </c>
      <c r="Q1489" t="n">
        <v>0.044942</v>
      </c>
      <c r="R1489" t="n">
        <v>2994.7715</v>
      </c>
      <c r="S1489" t="n">
        <v>2302.6666</v>
      </c>
      <c r="T1489" t="n">
        <v>1675.3543</v>
      </c>
      <c r="U1489" t="n">
        <v>983.2494</v>
      </c>
      <c r="V1489" t="n">
        <v>1.269768</v>
      </c>
      <c r="W1489" t="n">
        <v>0.745215</v>
      </c>
      <c r="X1489" t="inlineStr">
        <is>
          <t>High</t>
        </is>
      </c>
      <c r="Y1489" t="inlineStr">
        <is>
          <t>None</t>
        </is>
      </c>
      <c r="Z1489" t="inlineStr">
        <is>
          <t>Valid</t>
        </is>
      </c>
      <c r="AA1489" t="n">
        <v>2040</v>
      </c>
      <c r="AB1489" t="inlineStr">
        <is>
          <t>Industry Haircut Pathway</t>
        </is>
      </c>
      <c r="AC1489" t="n">
        <v>1750.4912</v>
      </c>
      <c r="AD1489" t="n">
        <v>835.1594</v>
      </c>
      <c r="AE1489" t="n">
        <v>835.1594</v>
      </c>
      <c r="AF1489" t="n">
        <v>835.1594</v>
      </c>
      <c r="AG1489" t="n">
        <v>915.3318</v>
      </c>
      <c r="AH1489" t="n">
        <v>0.00027929</v>
      </c>
      <c r="AI1489" t="n">
        <v>0.5229</v>
      </c>
      <c r="AJ1489" t="n">
        <v>0</v>
      </c>
      <c r="AK1489" t="n">
        <v>45.7666</v>
      </c>
      <c r="AL1489" t="n">
        <v>-6692.959</v>
      </c>
      <c r="AM1489" t="n">
        <v>15879.7124</v>
      </c>
      <c r="AN1489" t="n">
        <v>0.95</v>
      </c>
      <c r="AO1489" t="inlineStr">
        <is>
          <t>Low</t>
        </is>
      </c>
      <c r="AP1489" t="inlineStr">
        <is>
          <t>On Track</t>
        </is>
      </c>
    </row>
    <row r="1490">
      <c r="A1490" t="inlineStr">
        <is>
          <t>SUP-0094</t>
        </is>
      </c>
      <c r="B1490" t="inlineStr">
        <is>
          <t>Metals Supplier 094</t>
        </is>
      </c>
      <c r="C1490" t="inlineStr">
        <is>
          <t>Metals</t>
        </is>
      </c>
      <c r="D1490" t="n">
        <v>2024</v>
      </c>
      <c r="E1490" t="n">
        <v>2018</v>
      </c>
      <c r="F1490" t="n">
        <v>2040</v>
      </c>
      <c r="G1490" t="n">
        <v>1346.2844</v>
      </c>
      <c r="H1490" t="n">
        <v>335.8897</v>
      </c>
      <c r="I1490" t="n">
        <v>112.1387</v>
      </c>
      <c r="J1490" t="n">
        <v>887.664</v>
      </c>
      <c r="K1490" t="n">
        <v>958604.38</v>
      </c>
      <c r="L1490" t="n">
        <v>6693713.02</v>
      </c>
      <c r="M1490" t="n">
        <v>1346.2844</v>
      </c>
      <c r="N1490" t="inlineStr">
        <is>
          <t>Provided Total Emissions</t>
        </is>
      </c>
      <c r="O1490" t="b">
        <v>1</v>
      </c>
      <c r="P1490" t="n">
        <v>0.005933</v>
      </c>
      <c r="Q1490" t="n">
        <v>0.011315</v>
      </c>
      <c r="R1490" t="n">
        <v>965.2667</v>
      </c>
      <c r="S1490" t="n">
        <v>4351.449</v>
      </c>
      <c r="T1490" t="n">
        <v>-381.0177</v>
      </c>
      <c r="U1490" t="n">
        <v>3005.1646</v>
      </c>
      <c r="V1490" t="n">
        <v>-0.283014</v>
      </c>
      <c r="W1490" t="n">
        <v>2.232191</v>
      </c>
      <c r="X1490" t="inlineStr">
        <is>
          <t>High</t>
        </is>
      </c>
      <c r="Y1490" t="inlineStr">
        <is>
          <t>None</t>
        </is>
      </c>
      <c r="Z1490" t="inlineStr">
        <is>
          <t>Valid</t>
        </is>
      </c>
      <c r="AA1490" t="n">
        <v>2025</v>
      </c>
      <c r="AB1490" t="inlineStr">
        <is>
          <t>Supplier Target Pathway</t>
        </is>
      </c>
      <c r="AC1490" t="n">
        <v>1205.5522</v>
      </c>
      <c r="AD1490" t="n">
        <v>773.3617</v>
      </c>
      <c r="AE1490" t="n">
        <v>1068.0371</v>
      </c>
      <c r="AF1490" t="n">
        <v>1068.0371</v>
      </c>
      <c r="AG1490" t="n">
        <v>137.5151</v>
      </c>
      <c r="AH1490" t="n">
        <v>0.00111416</v>
      </c>
      <c r="AI1490" t="n">
        <v>0.114068</v>
      </c>
      <c r="AJ1490" t="n">
        <v>294.6753</v>
      </c>
      <c r="AK1490" t="n">
        <v>19.645</v>
      </c>
      <c r="AL1490" t="n">
        <v>11305.7501</v>
      </c>
      <c r="AM1490" t="n">
        <v>1068.0371</v>
      </c>
      <c r="AN1490" t="n">
        <v>0.99</v>
      </c>
      <c r="AO1490" t="inlineStr">
        <is>
          <t>Critical</t>
        </is>
      </c>
      <c r="AP1490" t="inlineStr">
        <is>
          <t>On Track to Glide Path</t>
        </is>
      </c>
    </row>
    <row r="1491">
      <c r="A1491" t="inlineStr">
        <is>
          <t>SUP-0094</t>
        </is>
      </c>
      <c r="B1491" t="inlineStr">
        <is>
          <t>Metals Supplier 094</t>
        </is>
      </c>
      <c r="C1491" t="inlineStr">
        <is>
          <t>Metals</t>
        </is>
      </c>
      <c r="D1491" t="n">
        <v>2024</v>
      </c>
      <c r="E1491" t="n">
        <v>2018</v>
      </c>
      <c r="F1491" t="n">
        <v>2040</v>
      </c>
      <c r="G1491" t="n">
        <v>1346.2844</v>
      </c>
      <c r="H1491" t="n">
        <v>335.8897</v>
      </c>
      <c r="I1491" t="n">
        <v>112.1387</v>
      </c>
      <c r="J1491" t="n">
        <v>887.664</v>
      </c>
      <c r="K1491" t="n">
        <v>958604.38</v>
      </c>
      <c r="L1491" t="n">
        <v>6693713.02</v>
      </c>
      <c r="M1491" t="n">
        <v>1346.2844</v>
      </c>
      <c r="N1491" t="inlineStr">
        <is>
          <t>Provided Total Emissions</t>
        </is>
      </c>
      <c r="O1491" t="b">
        <v>1</v>
      </c>
      <c r="P1491" t="n">
        <v>0.005933</v>
      </c>
      <c r="Q1491" t="n">
        <v>0.011315</v>
      </c>
      <c r="R1491" t="n">
        <v>965.2667</v>
      </c>
      <c r="S1491" t="n">
        <v>4351.449</v>
      </c>
      <c r="T1491" t="n">
        <v>-381.0177</v>
      </c>
      <c r="U1491" t="n">
        <v>3005.1646</v>
      </c>
      <c r="V1491" t="n">
        <v>-0.283014</v>
      </c>
      <c r="W1491" t="n">
        <v>2.232191</v>
      </c>
      <c r="X1491" t="inlineStr">
        <is>
          <t>High</t>
        </is>
      </c>
      <c r="Y1491" t="inlineStr">
        <is>
          <t>None</t>
        </is>
      </c>
      <c r="Z1491" t="inlineStr">
        <is>
          <t>Valid</t>
        </is>
      </c>
      <c r="AA1491" t="n">
        <v>2026</v>
      </c>
      <c r="AB1491" t="inlineStr">
        <is>
          <t>Supplier Target Pathway</t>
        </is>
      </c>
      <c r="AC1491" t="n">
        <v>1205.5522</v>
      </c>
      <c r="AD1491" t="n">
        <v>773.3617</v>
      </c>
      <c r="AE1491" t="n">
        <v>1048.392</v>
      </c>
      <c r="AF1491" t="n">
        <v>1048.392</v>
      </c>
      <c r="AG1491" t="n">
        <v>157.1602</v>
      </c>
      <c r="AH1491" t="n">
        <v>0.00109366</v>
      </c>
      <c r="AI1491" t="n">
        <v>0.130364</v>
      </c>
      <c r="AJ1491" t="n">
        <v>275.0303</v>
      </c>
      <c r="AK1491" t="n">
        <v>19.645</v>
      </c>
      <c r="AL1491" t="n">
        <v>10257.3581</v>
      </c>
      <c r="AM1491" t="n">
        <v>2116.4291</v>
      </c>
      <c r="AN1491" t="n">
        <v>0.99</v>
      </c>
      <c r="AO1491" t="inlineStr">
        <is>
          <t>Critical</t>
        </is>
      </c>
      <c r="AP1491" t="inlineStr">
        <is>
          <t>On Track to Glide Path</t>
        </is>
      </c>
    </row>
    <row r="1492">
      <c r="A1492" t="inlineStr">
        <is>
          <t>SUP-0094</t>
        </is>
      </c>
      <c r="B1492" t="inlineStr">
        <is>
          <t>Metals Supplier 094</t>
        </is>
      </c>
      <c r="C1492" t="inlineStr">
        <is>
          <t>Metals</t>
        </is>
      </c>
      <c r="D1492" t="n">
        <v>2024</v>
      </c>
      <c r="E1492" t="n">
        <v>2018</v>
      </c>
      <c r="F1492" t="n">
        <v>2040</v>
      </c>
      <c r="G1492" t="n">
        <v>1346.2844</v>
      </c>
      <c r="H1492" t="n">
        <v>335.8897</v>
      </c>
      <c r="I1492" t="n">
        <v>112.1387</v>
      </c>
      <c r="J1492" t="n">
        <v>887.664</v>
      </c>
      <c r="K1492" t="n">
        <v>958604.38</v>
      </c>
      <c r="L1492" t="n">
        <v>6693713.02</v>
      </c>
      <c r="M1492" t="n">
        <v>1346.2844</v>
      </c>
      <c r="N1492" t="inlineStr">
        <is>
          <t>Provided Total Emissions</t>
        </is>
      </c>
      <c r="O1492" t="b">
        <v>1</v>
      </c>
      <c r="P1492" t="n">
        <v>0.005933</v>
      </c>
      <c r="Q1492" t="n">
        <v>0.011315</v>
      </c>
      <c r="R1492" t="n">
        <v>965.2667</v>
      </c>
      <c r="S1492" t="n">
        <v>4351.449</v>
      </c>
      <c r="T1492" t="n">
        <v>-381.0177</v>
      </c>
      <c r="U1492" t="n">
        <v>3005.1646</v>
      </c>
      <c r="V1492" t="n">
        <v>-0.283014</v>
      </c>
      <c r="W1492" t="n">
        <v>2.232191</v>
      </c>
      <c r="X1492" t="inlineStr">
        <is>
          <t>High</t>
        </is>
      </c>
      <c r="Y1492" t="inlineStr">
        <is>
          <t>None</t>
        </is>
      </c>
      <c r="Z1492" t="inlineStr">
        <is>
          <t>Valid</t>
        </is>
      </c>
      <c r="AA1492" t="n">
        <v>2027</v>
      </c>
      <c r="AB1492" t="inlineStr">
        <is>
          <t>Supplier Target Pathway</t>
        </is>
      </c>
      <c r="AC1492" t="n">
        <v>1205.5522</v>
      </c>
      <c r="AD1492" t="n">
        <v>773.3617</v>
      </c>
      <c r="AE1492" t="n">
        <v>1028.747</v>
      </c>
      <c r="AF1492" t="n">
        <v>1028.747</v>
      </c>
      <c r="AG1492" t="n">
        <v>176.8052</v>
      </c>
      <c r="AH1492" t="n">
        <v>0.00107317</v>
      </c>
      <c r="AI1492" t="n">
        <v>0.146659</v>
      </c>
      <c r="AJ1492" t="n">
        <v>255.3853</v>
      </c>
      <c r="AK1492" t="n">
        <v>19.645</v>
      </c>
      <c r="AL1492" t="n">
        <v>9228.6111</v>
      </c>
      <c r="AM1492" t="n">
        <v>3145.1761</v>
      </c>
      <c r="AN1492" t="n">
        <v>0.99</v>
      </c>
      <c r="AO1492" t="inlineStr">
        <is>
          <t>High</t>
        </is>
      </c>
      <c r="AP1492" t="inlineStr">
        <is>
          <t>On Track to Glide Path</t>
        </is>
      </c>
    </row>
    <row r="1493">
      <c r="A1493" t="inlineStr">
        <is>
          <t>SUP-0094</t>
        </is>
      </c>
      <c r="B1493" t="inlineStr">
        <is>
          <t>Metals Supplier 094</t>
        </is>
      </c>
      <c r="C1493" t="inlineStr">
        <is>
          <t>Metals</t>
        </is>
      </c>
      <c r="D1493" t="n">
        <v>2024</v>
      </c>
      <c r="E1493" t="n">
        <v>2018</v>
      </c>
      <c r="F1493" t="n">
        <v>2040</v>
      </c>
      <c r="G1493" t="n">
        <v>1346.2844</v>
      </c>
      <c r="H1493" t="n">
        <v>335.8897</v>
      </c>
      <c r="I1493" t="n">
        <v>112.1387</v>
      </c>
      <c r="J1493" t="n">
        <v>887.664</v>
      </c>
      <c r="K1493" t="n">
        <v>958604.38</v>
      </c>
      <c r="L1493" t="n">
        <v>6693713.02</v>
      </c>
      <c r="M1493" t="n">
        <v>1346.2844</v>
      </c>
      <c r="N1493" t="inlineStr">
        <is>
          <t>Provided Total Emissions</t>
        </is>
      </c>
      <c r="O1493" t="b">
        <v>1</v>
      </c>
      <c r="P1493" t="n">
        <v>0.005933</v>
      </c>
      <c r="Q1493" t="n">
        <v>0.011315</v>
      </c>
      <c r="R1493" t="n">
        <v>965.2667</v>
      </c>
      <c r="S1493" t="n">
        <v>4351.449</v>
      </c>
      <c r="T1493" t="n">
        <v>-381.0177</v>
      </c>
      <c r="U1493" t="n">
        <v>3005.1646</v>
      </c>
      <c r="V1493" t="n">
        <v>-0.283014</v>
      </c>
      <c r="W1493" t="n">
        <v>2.232191</v>
      </c>
      <c r="X1493" t="inlineStr">
        <is>
          <t>High</t>
        </is>
      </c>
      <c r="Y1493" t="inlineStr">
        <is>
          <t>None</t>
        </is>
      </c>
      <c r="Z1493" t="inlineStr">
        <is>
          <t>Valid</t>
        </is>
      </c>
      <c r="AA1493" t="n">
        <v>2028</v>
      </c>
      <c r="AB1493" t="inlineStr">
        <is>
          <t>Supplier Target Pathway</t>
        </is>
      </c>
      <c r="AC1493" t="n">
        <v>1205.5522</v>
      </c>
      <c r="AD1493" t="n">
        <v>773.3617</v>
      </c>
      <c r="AE1493" t="n">
        <v>1009.102</v>
      </c>
      <c r="AF1493" t="n">
        <v>1009.102</v>
      </c>
      <c r="AG1493" t="n">
        <v>196.4502</v>
      </c>
      <c r="AH1493" t="n">
        <v>0.00105268</v>
      </c>
      <c r="AI1493" t="n">
        <v>0.162955</v>
      </c>
      <c r="AJ1493" t="n">
        <v>235.7403</v>
      </c>
      <c r="AK1493" t="n">
        <v>19.645</v>
      </c>
      <c r="AL1493" t="n">
        <v>8219.509099999999</v>
      </c>
      <c r="AM1493" t="n">
        <v>4154.2781</v>
      </c>
      <c r="AN1493" t="n">
        <v>0.99</v>
      </c>
      <c r="AO1493" t="inlineStr">
        <is>
          <t>High</t>
        </is>
      </c>
      <c r="AP1493" t="inlineStr">
        <is>
          <t>On Track to Glide Path</t>
        </is>
      </c>
    </row>
    <row r="1494">
      <c r="A1494" t="inlineStr">
        <is>
          <t>SUP-0094</t>
        </is>
      </c>
      <c r="B1494" t="inlineStr">
        <is>
          <t>Metals Supplier 094</t>
        </is>
      </c>
      <c r="C1494" t="inlineStr">
        <is>
          <t>Metals</t>
        </is>
      </c>
      <c r="D1494" t="n">
        <v>2024</v>
      </c>
      <c r="E1494" t="n">
        <v>2018</v>
      </c>
      <c r="F1494" t="n">
        <v>2040</v>
      </c>
      <c r="G1494" t="n">
        <v>1346.2844</v>
      </c>
      <c r="H1494" t="n">
        <v>335.8897</v>
      </c>
      <c r="I1494" t="n">
        <v>112.1387</v>
      </c>
      <c r="J1494" t="n">
        <v>887.664</v>
      </c>
      <c r="K1494" t="n">
        <v>958604.38</v>
      </c>
      <c r="L1494" t="n">
        <v>6693713.02</v>
      </c>
      <c r="M1494" t="n">
        <v>1346.2844</v>
      </c>
      <c r="N1494" t="inlineStr">
        <is>
          <t>Provided Total Emissions</t>
        </is>
      </c>
      <c r="O1494" t="b">
        <v>1</v>
      </c>
      <c r="P1494" t="n">
        <v>0.005933</v>
      </c>
      <c r="Q1494" t="n">
        <v>0.011315</v>
      </c>
      <c r="R1494" t="n">
        <v>965.2667</v>
      </c>
      <c r="S1494" t="n">
        <v>4351.449</v>
      </c>
      <c r="T1494" t="n">
        <v>-381.0177</v>
      </c>
      <c r="U1494" t="n">
        <v>3005.1646</v>
      </c>
      <c r="V1494" t="n">
        <v>-0.283014</v>
      </c>
      <c r="W1494" t="n">
        <v>2.232191</v>
      </c>
      <c r="X1494" t="inlineStr">
        <is>
          <t>High</t>
        </is>
      </c>
      <c r="Y1494" t="inlineStr">
        <is>
          <t>None</t>
        </is>
      </c>
      <c r="Z1494" t="inlineStr">
        <is>
          <t>Valid</t>
        </is>
      </c>
      <c r="AA1494" t="n">
        <v>2029</v>
      </c>
      <c r="AB1494" t="inlineStr">
        <is>
          <t>Supplier Target Pathway</t>
        </is>
      </c>
      <c r="AC1494" t="n">
        <v>1205.5522</v>
      </c>
      <c r="AD1494" t="n">
        <v>773.3617</v>
      </c>
      <c r="AE1494" t="n">
        <v>989.457</v>
      </c>
      <c r="AF1494" t="n">
        <v>989.457</v>
      </c>
      <c r="AG1494" t="n">
        <v>216.0952</v>
      </c>
      <c r="AH1494" t="n">
        <v>0.00103218</v>
      </c>
      <c r="AI1494" t="n">
        <v>0.17925</v>
      </c>
      <c r="AJ1494" t="n">
        <v>216.0952</v>
      </c>
      <c r="AK1494" t="n">
        <v>19.645</v>
      </c>
      <c r="AL1494" t="n">
        <v>7230.0521</v>
      </c>
      <c r="AM1494" t="n">
        <v>5143.7351</v>
      </c>
      <c r="AN1494" t="n">
        <v>0.99</v>
      </c>
      <c r="AO1494" t="inlineStr">
        <is>
          <t>High</t>
        </is>
      </c>
      <c r="AP1494" t="inlineStr">
        <is>
          <t>On Track to Glide Path</t>
        </is>
      </c>
    </row>
    <row r="1495">
      <c r="A1495" t="inlineStr">
        <is>
          <t>SUP-0094</t>
        </is>
      </c>
      <c r="B1495" t="inlineStr">
        <is>
          <t>Metals Supplier 094</t>
        </is>
      </c>
      <c r="C1495" t="inlineStr">
        <is>
          <t>Metals</t>
        </is>
      </c>
      <c r="D1495" t="n">
        <v>2024</v>
      </c>
      <c r="E1495" t="n">
        <v>2018</v>
      </c>
      <c r="F1495" t="n">
        <v>2040</v>
      </c>
      <c r="G1495" t="n">
        <v>1346.2844</v>
      </c>
      <c r="H1495" t="n">
        <v>335.8897</v>
      </c>
      <c r="I1495" t="n">
        <v>112.1387</v>
      </c>
      <c r="J1495" t="n">
        <v>887.664</v>
      </c>
      <c r="K1495" t="n">
        <v>958604.38</v>
      </c>
      <c r="L1495" t="n">
        <v>6693713.02</v>
      </c>
      <c r="M1495" t="n">
        <v>1346.2844</v>
      </c>
      <c r="N1495" t="inlineStr">
        <is>
          <t>Provided Total Emissions</t>
        </is>
      </c>
      <c r="O1495" t="b">
        <v>1</v>
      </c>
      <c r="P1495" t="n">
        <v>0.005933</v>
      </c>
      <c r="Q1495" t="n">
        <v>0.011315</v>
      </c>
      <c r="R1495" t="n">
        <v>965.2667</v>
      </c>
      <c r="S1495" t="n">
        <v>4351.449</v>
      </c>
      <c r="T1495" t="n">
        <v>-381.0177</v>
      </c>
      <c r="U1495" t="n">
        <v>3005.1646</v>
      </c>
      <c r="V1495" t="n">
        <v>-0.283014</v>
      </c>
      <c r="W1495" t="n">
        <v>2.232191</v>
      </c>
      <c r="X1495" t="inlineStr">
        <is>
          <t>High</t>
        </is>
      </c>
      <c r="Y1495" t="inlineStr">
        <is>
          <t>None</t>
        </is>
      </c>
      <c r="Z1495" t="inlineStr">
        <is>
          <t>Valid</t>
        </is>
      </c>
      <c r="AA1495" t="n">
        <v>2030</v>
      </c>
      <c r="AB1495" t="inlineStr">
        <is>
          <t>Supplier Target Pathway</t>
        </is>
      </c>
      <c r="AC1495" t="n">
        <v>1205.5522</v>
      </c>
      <c r="AD1495" t="n">
        <v>773.3617</v>
      </c>
      <c r="AE1495" t="n">
        <v>969.8119</v>
      </c>
      <c r="AF1495" t="n">
        <v>969.8119</v>
      </c>
      <c r="AG1495" t="n">
        <v>235.7403</v>
      </c>
      <c r="AH1495" t="n">
        <v>0.00101169</v>
      </c>
      <c r="AI1495" t="n">
        <v>0.195545</v>
      </c>
      <c r="AJ1495" t="n">
        <v>196.4502</v>
      </c>
      <c r="AK1495" t="n">
        <v>19.645</v>
      </c>
      <c r="AL1495" t="n">
        <v>6260.2402</v>
      </c>
      <c r="AM1495" t="n">
        <v>6113.547</v>
      </c>
      <c r="AN1495" t="n">
        <v>0.99</v>
      </c>
      <c r="AO1495" t="inlineStr">
        <is>
          <t>High</t>
        </is>
      </c>
      <c r="AP1495" t="inlineStr">
        <is>
          <t>On Track to Glide Path</t>
        </is>
      </c>
    </row>
    <row r="1496">
      <c r="A1496" t="inlineStr">
        <is>
          <t>SUP-0094</t>
        </is>
      </c>
      <c r="B1496" t="inlineStr">
        <is>
          <t>Metals Supplier 094</t>
        </is>
      </c>
      <c r="C1496" t="inlineStr">
        <is>
          <t>Metals</t>
        </is>
      </c>
      <c r="D1496" t="n">
        <v>2024</v>
      </c>
      <c r="E1496" t="n">
        <v>2018</v>
      </c>
      <c r="F1496" t="n">
        <v>2040</v>
      </c>
      <c r="G1496" t="n">
        <v>1346.2844</v>
      </c>
      <c r="H1496" t="n">
        <v>335.8897</v>
      </c>
      <c r="I1496" t="n">
        <v>112.1387</v>
      </c>
      <c r="J1496" t="n">
        <v>887.664</v>
      </c>
      <c r="K1496" t="n">
        <v>958604.38</v>
      </c>
      <c r="L1496" t="n">
        <v>6693713.02</v>
      </c>
      <c r="M1496" t="n">
        <v>1346.2844</v>
      </c>
      <c r="N1496" t="inlineStr">
        <is>
          <t>Provided Total Emissions</t>
        </is>
      </c>
      <c r="O1496" t="b">
        <v>1</v>
      </c>
      <c r="P1496" t="n">
        <v>0.005933</v>
      </c>
      <c r="Q1496" t="n">
        <v>0.011315</v>
      </c>
      <c r="R1496" t="n">
        <v>965.2667</v>
      </c>
      <c r="S1496" t="n">
        <v>4351.449</v>
      </c>
      <c r="T1496" t="n">
        <v>-381.0177</v>
      </c>
      <c r="U1496" t="n">
        <v>3005.1646</v>
      </c>
      <c r="V1496" t="n">
        <v>-0.283014</v>
      </c>
      <c r="W1496" t="n">
        <v>2.232191</v>
      </c>
      <c r="X1496" t="inlineStr">
        <is>
          <t>High</t>
        </is>
      </c>
      <c r="Y1496" t="inlineStr">
        <is>
          <t>None</t>
        </is>
      </c>
      <c r="Z1496" t="inlineStr">
        <is>
          <t>Valid</t>
        </is>
      </c>
      <c r="AA1496" t="n">
        <v>2031</v>
      </c>
      <c r="AB1496" t="inlineStr">
        <is>
          <t>Supplier Target Pathway</t>
        </is>
      </c>
      <c r="AC1496" t="n">
        <v>1205.5522</v>
      </c>
      <c r="AD1496" t="n">
        <v>773.3617</v>
      </c>
      <c r="AE1496" t="n">
        <v>950.1669000000001</v>
      </c>
      <c r="AF1496" t="n">
        <v>950.1669000000001</v>
      </c>
      <c r="AG1496" t="n">
        <v>255.3853</v>
      </c>
      <c r="AH1496" t="n">
        <v>0.0009912</v>
      </c>
      <c r="AI1496" t="n">
        <v>0.211841</v>
      </c>
      <c r="AJ1496" t="n">
        <v>176.8052</v>
      </c>
      <c r="AK1496" t="n">
        <v>19.645</v>
      </c>
      <c r="AL1496" t="n">
        <v>5310.0733</v>
      </c>
      <c r="AM1496" t="n">
        <v>7063.7139</v>
      </c>
      <c r="AN1496" t="n">
        <v>0.99</v>
      </c>
      <c r="AO1496" t="inlineStr">
        <is>
          <t>High</t>
        </is>
      </c>
      <c r="AP1496" t="inlineStr">
        <is>
          <t>On Track to Glide Path</t>
        </is>
      </c>
    </row>
    <row r="1497">
      <c r="A1497" t="inlineStr">
        <is>
          <t>SUP-0094</t>
        </is>
      </c>
      <c r="B1497" t="inlineStr">
        <is>
          <t>Metals Supplier 094</t>
        </is>
      </c>
      <c r="C1497" t="inlineStr">
        <is>
          <t>Metals</t>
        </is>
      </c>
      <c r="D1497" t="n">
        <v>2024</v>
      </c>
      <c r="E1497" t="n">
        <v>2018</v>
      </c>
      <c r="F1497" t="n">
        <v>2040</v>
      </c>
      <c r="G1497" t="n">
        <v>1346.2844</v>
      </c>
      <c r="H1497" t="n">
        <v>335.8897</v>
      </c>
      <c r="I1497" t="n">
        <v>112.1387</v>
      </c>
      <c r="J1497" t="n">
        <v>887.664</v>
      </c>
      <c r="K1497" t="n">
        <v>958604.38</v>
      </c>
      <c r="L1497" t="n">
        <v>6693713.02</v>
      </c>
      <c r="M1497" t="n">
        <v>1346.2844</v>
      </c>
      <c r="N1497" t="inlineStr">
        <is>
          <t>Provided Total Emissions</t>
        </is>
      </c>
      <c r="O1497" t="b">
        <v>1</v>
      </c>
      <c r="P1497" t="n">
        <v>0.005933</v>
      </c>
      <c r="Q1497" t="n">
        <v>0.011315</v>
      </c>
      <c r="R1497" t="n">
        <v>965.2667</v>
      </c>
      <c r="S1497" t="n">
        <v>4351.449</v>
      </c>
      <c r="T1497" t="n">
        <v>-381.0177</v>
      </c>
      <c r="U1497" t="n">
        <v>3005.1646</v>
      </c>
      <c r="V1497" t="n">
        <v>-0.283014</v>
      </c>
      <c r="W1497" t="n">
        <v>2.232191</v>
      </c>
      <c r="X1497" t="inlineStr">
        <is>
          <t>High</t>
        </is>
      </c>
      <c r="Y1497" t="inlineStr">
        <is>
          <t>None</t>
        </is>
      </c>
      <c r="Z1497" t="inlineStr">
        <is>
          <t>Valid</t>
        </is>
      </c>
      <c r="AA1497" t="n">
        <v>2032</v>
      </c>
      <c r="AB1497" t="inlineStr">
        <is>
          <t>Supplier Target Pathway</t>
        </is>
      </c>
      <c r="AC1497" t="n">
        <v>1205.5522</v>
      </c>
      <c r="AD1497" t="n">
        <v>773.3617</v>
      </c>
      <c r="AE1497" t="n">
        <v>930.5219</v>
      </c>
      <c r="AF1497" t="n">
        <v>930.5219</v>
      </c>
      <c r="AG1497" t="n">
        <v>275.0303</v>
      </c>
      <c r="AH1497" t="n">
        <v>0.0009707</v>
      </c>
      <c r="AI1497" t="n">
        <v>0.228136</v>
      </c>
      <c r="AJ1497" t="n">
        <v>157.1602</v>
      </c>
      <c r="AK1497" t="n">
        <v>19.645</v>
      </c>
      <c r="AL1497" t="n">
        <v>4379.5514</v>
      </c>
      <c r="AM1497" t="n">
        <v>7994.2358</v>
      </c>
      <c r="AN1497" t="n">
        <v>0.99</v>
      </c>
      <c r="AO1497" t="inlineStr">
        <is>
          <t>High</t>
        </is>
      </c>
      <c r="AP1497" t="inlineStr">
        <is>
          <t>On Track to Glide Path</t>
        </is>
      </c>
    </row>
    <row r="1498">
      <c r="A1498" t="inlineStr">
        <is>
          <t>SUP-0094</t>
        </is>
      </c>
      <c r="B1498" t="inlineStr">
        <is>
          <t>Metals Supplier 094</t>
        </is>
      </c>
      <c r="C1498" t="inlineStr">
        <is>
          <t>Metals</t>
        </is>
      </c>
      <c r="D1498" t="n">
        <v>2024</v>
      </c>
      <c r="E1498" t="n">
        <v>2018</v>
      </c>
      <c r="F1498" t="n">
        <v>2040</v>
      </c>
      <c r="G1498" t="n">
        <v>1346.2844</v>
      </c>
      <c r="H1498" t="n">
        <v>335.8897</v>
      </c>
      <c r="I1498" t="n">
        <v>112.1387</v>
      </c>
      <c r="J1498" t="n">
        <v>887.664</v>
      </c>
      <c r="K1498" t="n">
        <v>958604.38</v>
      </c>
      <c r="L1498" t="n">
        <v>6693713.02</v>
      </c>
      <c r="M1498" t="n">
        <v>1346.2844</v>
      </c>
      <c r="N1498" t="inlineStr">
        <is>
          <t>Provided Total Emissions</t>
        </is>
      </c>
      <c r="O1498" t="b">
        <v>1</v>
      </c>
      <c r="P1498" t="n">
        <v>0.005933</v>
      </c>
      <c r="Q1498" t="n">
        <v>0.011315</v>
      </c>
      <c r="R1498" t="n">
        <v>965.2667</v>
      </c>
      <c r="S1498" t="n">
        <v>4351.449</v>
      </c>
      <c r="T1498" t="n">
        <v>-381.0177</v>
      </c>
      <c r="U1498" t="n">
        <v>3005.1646</v>
      </c>
      <c r="V1498" t="n">
        <v>-0.283014</v>
      </c>
      <c r="W1498" t="n">
        <v>2.232191</v>
      </c>
      <c r="X1498" t="inlineStr">
        <is>
          <t>High</t>
        </is>
      </c>
      <c r="Y1498" t="inlineStr">
        <is>
          <t>None</t>
        </is>
      </c>
      <c r="Z1498" t="inlineStr">
        <is>
          <t>Valid</t>
        </is>
      </c>
      <c r="AA1498" t="n">
        <v>2033</v>
      </c>
      <c r="AB1498" t="inlineStr">
        <is>
          <t>Supplier Target Pathway</t>
        </is>
      </c>
      <c r="AC1498" t="n">
        <v>1205.5522</v>
      </c>
      <c r="AD1498" t="n">
        <v>773.3617</v>
      </c>
      <c r="AE1498" t="n">
        <v>910.8769</v>
      </c>
      <c r="AF1498" t="n">
        <v>910.8769</v>
      </c>
      <c r="AG1498" t="n">
        <v>294.6753</v>
      </c>
      <c r="AH1498" t="n">
        <v>0.0009502100000000001</v>
      </c>
      <c r="AI1498" t="n">
        <v>0.244432</v>
      </c>
      <c r="AJ1498" t="n">
        <v>137.5151</v>
      </c>
      <c r="AK1498" t="n">
        <v>19.645</v>
      </c>
      <c r="AL1498" t="n">
        <v>3468.6745</v>
      </c>
      <c r="AM1498" t="n">
        <v>8905.1127</v>
      </c>
      <c r="AN1498" t="n">
        <v>0.99</v>
      </c>
      <c r="AO1498" t="inlineStr">
        <is>
          <t>High</t>
        </is>
      </c>
      <c r="AP1498" t="inlineStr">
        <is>
          <t>On Track to Glide Path</t>
        </is>
      </c>
    </row>
    <row r="1499">
      <c r="A1499" t="inlineStr">
        <is>
          <t>SUP-0094</t>
        </is>
      </c>
      <c r="B1499" t="inlineStr">
        <is>
          <t>Metals Supplier 094</t>
        </is>
      </c>
      <c r="C1499" t="inlineStr">
        <is>
          <t>Metals</t>
        </is>
      </c>
      <c r="D1499" t="n">
        <v>2024</v>
      </c>
      <c r="E1499" t="n">
        <v>2018</v>
      </c>
      <c r="F1499" t="n">
        <v>2040</v>
      </c>
      <c r="G1499" t="n">
        <v>1346.2844</v>
      </c>
      <c r="H1499" t="n">
        <v>335.8897</v>
      </c>
      <c r="I1499" t="n">
        <v>112.1387</v>
      </c>
      <c r="J1499" t="n">
        <v>887.664</v>
      </c>
      <c r="K1499" t="n">
        <v>958604.38</v>
      </c>
      <c r="L1499" t="n">
        <v>6693713.02</v>
      </c>
      <c r="M1499" t="n">
        <v>1346.2844</v>
      </c>
      <c r="N1499" t="inlineStr">
        <is>
          <t>Provided Total Emissions</t>
        </is>
      </c>
      <c r="O1499" t="b">
        <v>1</v>
      </c>
      <c r="P1499" t="n">
        <v>0.005933</v>
      </c>
      <c r="Q1499" t="n">
        <v>0.011315</v>
      </c>
      <c r="R1499" t="n">
        <v>965.2667</v>
      </c>
      <c r="S1499" t="n">
        <v>4351.449</v>
      </c>
      <c r="T1499" t="n">
        <v>-381.0177</v>
      </c>
      <c r="U1499" t="n">
        <v>3005.1646</v>
      </c>
      <c r="V1499" t="n">
        <v>-0.283014</v>
      </c>
      <c r="W1499" t="n">
        <v>2.232191</v>
      </c>
      <c r="X1499" t="inlineStr">
        <is>
          <t>High</t>
        </is>
      </c>
      <c r="Y1499" t="inlineStr">
        <is>
          <t>None</t>
        </is>
      </c>
      <c r="Z1499" t="inlineStr">
        <is>
          <t>Valid</t>
        </is>
      </c>
      <c r="AA1499" t="n">
        <v>2034</v>
      </c>
      <c r="AB1499" t="inlineStr">
        <is>
          <t>Supplier Target Pathway</t>
        </is>
      </c>
      <c r="AC1499" t="n">
        <v>1205.5522</v>
      </c>
      <c r="AD1499" t="n">
        <v>773.3617</v>
      </c>
      <c r="AE1499" t="n">
        <v>891.2319</v>
      </c>
      <c r="AF1499" t="n">
        <v>891.2319</v>
      </c>
      <c r="AG1499" t="n">
        <v>314.3203</v>
      </c>
      <c r="AH1499" t="n">
        <v>0.00092972</v>
      </c>
      <c r="AI1499" t="n">
        <v>0.260727</v>
      </c>
      <c r="AJ1499" t="n">
        <v>117.8701</v>
      </c>
      <c r="AK1499" t="n">
        <v>19.645</v>
      </c>
      <c r="AL1499" t="n">
        <v>2577.4426</v>
      </c>
      <c r="AM1499" t="n">
        <v>9796.3446</v>
      </c>
      <c r="AN1499" t="n">
        <v>0.99</v>
      </c>
      <c r="AO1499" t="inlineStr">
        <is>
          <t>High</t>
        </is>
      </c>
      <c r="AP1499" t="inlineStr">
        <is>
          <t>On Track to Glide Path</t>
        </is>
      </c>
    </row>
    <row r="1500">
      <c r="A1500" t="inlineStr">
        <is>
          <t>SUP-0094</t>
        </is>
      </c>
      <c r="B1500" t="inlineStr">
        <is>
          <t>Metals Supplier 094</t>
        </is>
      </c>
      <c r="C1500" t="inlineStr">
        <is>
          <t>Metals</t>
        </is>
      </c>
      <c r="D1500" t="n">
        <v>2024</v>
      </c>
      <c r="E1500" t="n">
        <v>2018</v>
      </c>
      <c r="F1500" t="n">
        <v>2040</v>
      </c>
      <c r="G1500" t="n">
        <v>1346.2844</v>
      </c>
      <c r="H1500" t="n">
        <v>335.8897</v>
      </c>
      <c r="I1500" t="n">
        <v>112.1387</v>
      </c>
      <c r="J1500" t="n">
        <v>887.664</v>
      </c>
      <c r="K1500" t="n">
        <v>958604.38</v>
      </c>
      <c r="L1500" t="n">
        <v>6693713.02</v>
      </c>
      <c r="M1500" t="n">
        <v>1346.2844</v>
      </c>
      <c r="N1500" t="inlineStr">
        <is>
          <t>Provided Total Emissions</t>
        </is>
      </c>
      <c r="O1500" t="b">
        <v>1</v>
      </c>
      <c r="P1500" t="n">
        <v>0.005933</v>
      </c>
      <c r="Q1500" t="n">
        <v>0.011315</v>
      </c>
      <c r="R1500" t="n">
        <v>965.2667</v>
      </c>
      <c r="S1500" t="n">
        <v>4351.449</v>
      </c>
      <c r="T1500" t="n">
        <v>-381.0177</v>
      </c>
      <c r="U1500" t="n">
        <v>3005.1646</v>
      </c>
      <c r="V1500" t="n">
        <v>-0.283014</v>
      </c>
      <c r="W1500" t="n">
        <v>2.232191</v>
      </c>
      <c r="X1500" t="inlineStr">
        <is>
          <t>High</t>
        </is>
      </c>
      <c r="Y1500" t="inlineStr">
        <is>
          <t>None</t>
        </is>
      </c>
      <c r="Z1500" t="inlineStr">
        <is>
          <t>Valid</t>
        </is>
      </c>
      <c r="AA1500" t="n">
        <v>2035</v>
      </c>
      <c r="AB1500" t="inlineStr">
        <is>
          <t>Supplier Target Pathway</t>
        </is>
      </c>
      <c r="AC1500" t="n">
        <v>1205.5522</v>
      </c>
      <c r="AD1500" t="n">
        <v>773.3617</v>
      </c>
      <c r="AE1500" t="n">
        <v>871.5868</v>
      </c>
      <c r="AF1500" t="n">
        <v>871.5868</v>
      </c>
      <c r="AG1500" t="n">
        <v>333.9654</v>
      </c>
      <c r="AH1500" t="n">
        <v>0.00090922</v>
      </c>
      <c r="AI1500" t="n">
        <v>0.277023</v>
      </c>
      <c r="AJ1500" t="n">
        <v>98.2251</v>
      </c>
      <c r="AK1500" t="n">
        <v>19.645</v>
      </c>
      <c r="AL1500" t="n">
        <v>1705.8558</v>
      </c>
      <c r="AM1500" t="n">
        <v>10667.9314</v>
      </c>
      <c r="AN1500" t="n">
        <v>0.99</v>
      </c>
      <c r="AO1500" t="inlineStr">
        <is>
          <t>Medium</t>
        </is>
      </c>
      <c r="AP1500" t="inlineStr">
        <is>
          <t>On Track to Glide Path</t>
        </is>
      </c>
    </row>
    <row r="1501">
      <c r="A1501" t="inlineStr">
        <is>
          <t>SUP-0094</t>
        </is>
      </c>
      <c r="B1501" t="inlineStr">
        <is>
          <t>Metals Supplier 094</t>
        </is>
      </c>
      <c r="C1501" t="inlineStr">
        <is>
          <t>Metals</t>
        </is>
      </c>
      <c r="D1501" t="n">
        <v>2024</v>
      </c>
      <c r="E1501" t="n">
        <v>2018</v>
      </c>
      <c r="F1501" t="n">
        <v>2040</v>
      </c>
      <c r="G1501" t="n">
        <v>1346.2844</v>
      </c>
      <c r="H1501" t="n">
        <v>335.8897</v>
      </c>
      <c r="I1501" t="n">
        <v>112.1387</v>
      </c>
      <c r="J1501" t="n">
        <v>887.664</v>
      </c>
      <c r="K1501" t="n">
        <v>958604.38</v>
      </c>
      <c r="L1501" t="n">
        <v>6693713.02</v>
      </c>
      <c r="M1501" t="n">
        <v>1346.2844</v>
      </c>
      <c r="N1501" t="inlineStr">
        <is>
          <t>Provided Total Emissions</t>
        </is>
      </c>
      <c r="O1501" t="b">
        <v>1</v>
      </c>
      <c r="P1501" t="n">
        <v>0.005933</v>
      </c>
      <c r="Q1501" t="n">
        <v>0.011315</v>
      </c>
      <c r="R1501" t="n">
        <v>965.2667</v>
      </c>
      <c r="S1501" t="n">
        <v>4351.449</v>
      </c>
      <c r="T1501" t="n">
        <v>-381.0177</v>
      </c>
      <c r="U1501" t="n">
        <v>3005.1646</v>
      </c>
      <c r="V1501" t="n">
        <v>-0.283014</v>
      </c>
      <c r="W1501" t="n">
        <v>2.232191</v>
      </c>
      <c r="X1501" t="inlineStr">
        <is>
          <t>High</t>
        </is>
      </c>
      <c r="Y1501" t="inlineStr">
        <is>
          <t>None</t>
        </is>
      </c>
      <c r="Z1501" t="inlineStr">
        <is>
          <t>Valid</t>
        </is>
      </c>
      <c r="AA1501" t="n">
        <v>2036</v>
      </c>
      <c r="AB1501" t="inlineStr">
        <is>
          <t>Supplier Target Pathway</t>
        </is>
      </c>
      <c r="AC1501" t="n">
        <v>1205.5522</v>
      </c>
      <c r="AD1501" t="n">
        <v>773.3617</v>
      </c>
      <c r="AE1501" t="n">
        <v>851.9417999999999</v>
      </c>
      <c r="AF1501" t="n">
        <v>851.9417999999999</v>
      </c>
      <c r="AG1501" t="n">
        <v>353.6104</v>
      </c>
      <c r="AH1501" t="n">
        <v>0.00088873</v>
      </c>
      <c r="AI1501" t="n">
        <v>0.293318</v>
      </c>
      <c r="AJ1501" t="n">
        <v>78.5801</v>
      </c>
      <c r="AK1501" t="n">
        <v>19.645</v>
      </c>
      <c r="AL1501" t="n">
        <v>853.914</v>
      </c>
      <c r="AM1501" t="n">
        <v>11519.8732</v>
      </c>
      <c r="AN1501" t="n">
        <v>0.99</v>
      </c>
      <c r="AO1501" t="inlineStr">
        <is>
          <t>Medium</t>
        </is>
      </c>
      <c r="AP1501" t="inlineStr">
        <is>
          <t>On Track to Glide Path</t>
        </is>
      </c>
    </row>
    <row r="1502">
      <c r="A1502" t="inlineStr">
        <is>
          <t>SUP-0094</t>
        </is>
      </c>
      <c r="B1502" t="inlineStr">
        <is>
          <t>Metals Supplier 094</t>
        </is>
      </c>
      <c r="C1502" t="inlineStr">
        <is>
          <t>Metals</t>
        </is>
      </c>
      <c r="D1502" t="n">
        <v>2024</v>
      </c>
      <c r="E1502" t="n">
        <v>2018</v>
      </c>
      <c r="F1502" t="n">
        <v>2040</v>
      </c>
      <c r="G1502" t="n">
        <v>1346.2844</v>
      </c>
      <c r="H1502" t="n">
        <v>335.8897</v>
      </c>
      <c r="I1502" t="n">
        <v>112.1387</v>
      </c>
      <c r="J1502" t="n">
        <v>887.664</v>
      </c>
      <c r="K1502" t="n">
        <v>958604.38</v>
      </c>
      <c r="L1502" t="n">
        <v>6693713.02</v>
      </c>
      <c r="M1502" t="n">
        <v>1346.2844</v>
      </c>
      <c r="N1502" t="inlineStr">
        <is>
          <t>Provided Total Emissions</t>
        </is>
      </c>
      <c r="O1502" t="b">
        <v>1</v>
      </c>
      <c r="P1502" t="n">
        <v>0.005933</v>
      </c>
      <c r="Q1502" t="n">
        <v>0.011315</v>
      </c>
      <c r="R1502" t="n">
        <v>965.2667</v>
      </c>
      <c r="S1502" t="n">
        <v>4351.449</v>
      </c>
      <c r="T1502" t="n">
        <v>-381.0177</v>
      </c>
      <c r="U1502" t="n">
        <v>3005.1646</v>
      </c>
      <c r="V1502" t="n">
        <v>-0.283014</v>
      </c>
      <c r="W1502" t="n">
        <v>2.232191</v>
      </c>
      <c r="X1502" t="inlineStr">
        <is>
          <t>High</t>
        </is>
      </c>
      <c r="Y1502" t="inlineStr">
        <is>
          <t>None</t>
        </is>
      </c>
      <c r="Z1502" t="inlineStr">
        <is>
          <t>Valid</t>
        </is>
      </c>
      <c r="AA1502" t="n">
        <v>2037</v>
      </c>
      <c r="AB1502" t="inlineStr">
        <is>
          <t>Supplier Target Pathway</t>
        </is>
      </c>
      <c r="AC1502" t="n">
        <v>1205.5522</v>
      </c>
      <c r="AD1502" t="n">
        <v>773.3617</v>
      </c>
      <c r="AE1502" t="n">
        <v>832.2968</v>
      </c>
      <c r="AF1502" t="n">
        <v>832.2968</v>
      </c>
      <c r="AG1502" t="n">
        <v>373.2554</v>
      </c>
      <c r="AH1502" t="n">
        <v>0.00086824</v>
      </c>
      <c r="AI1502" t="n">
        <v>0.309614</v>
      </c>
      <c r="AJ1502" t="n">
        <v>58.9351</v>
      </c>
      <c r="AK1502" t="n">
        <v>19.645</v>
      </c>
      <c r="AL1502" t="n">
        <v>21.6172</v>
      </c>
      <c r="AM1502" t="n">
        <v>12352.17</v>
      </c>
      <c r="AN1502" t="n">
        <v>0.99</v>
      </c>
      <c r="AO1502" t="inlineStr">
        <is>
          <t>Medium</t>
        </is>
      </c>
      <c r="AP1502" t="inlineStr">
        <is>
          <t>On Track to Glide Path</t>
        </is>
      </c>
    </row>
    <row r="1503">
      <c r="A1503" t="inlineStr">
        <is>
          <t>SUP-0094</t>
        </is>
      </c>
      <c r="B1503" t="inlineStr">
        <is>
          <t>Metals Supplier 094</t>
        </is>
      </c>
      <c r="C1503" t="inlineStr">
        <is>
          <t>Metals</t>
        </is>
      </c>
      <c r="D1503" t="n">
        <v>2024</v>
      </c>
      <c r="E1503" t="n">
        <v>2018</v>
      </c>
      <c r="F1503" t="n">
        <v>2040</v>
      </c>
      <c r="G1503" t="n">
        <v>1346.2844</v>
      </c>
      <c r="H1503" t="n">
        <v>335.8897</v>
      </c>
      <c r="I1503" t="n">
        <v>112.1387</v>
      </c>
      <c r="J1503" t="n">
        <v>887.664</v>
      </c>
      <c r="K1503" t="n">
        <v>958604.38</v>
      </c>
      <c r="L1503" t="n">
        <v>6693713.02</v>
      </c>
      <c r="M1503" t="n">
        <v>1346.2844</v>
      </c>
      <c r="N1503" t="inlineStr">
        <is>
          <t>Provided Total Emissions</t>
        </is>
      </c>
      <c r="O1503" t="b">
        <v>1</v>
      </c>
      <c r="P1503" t="n">
        <v>0.005933</v>
      </c>
      <c r="Q1503" t="n">
        <v>0.011315</v>
      </c>
      <c r="R1503" t="n">
        <v>965.2667</v>
      </c>
      <c r="S1503" t="n">
        <v>4351.449</v>
      </c>
      <c r="T1503" t="n">
        <v>-381.0177</v>
      </c>
      <c r="U1503" t="n">
        <v>3005.1646</v>
      </c>
      <c r="V1503" t="n">
        <v>-0.283014</v>
      </c>
      <c r="W1503" t="n">
        <v>2.232191</v>
      </c>
      <c r="X1503" t="inlineStr">
        <is>
          <t>High</t>
        </is>
      </c>
      <c r="Y1503" t="inlineStr">
        <is>
          <t>None</t>
        </is>
      </c>
      <c r="Z1503" t="inlineStr">
        <is>
          <t>Valid</t>
        </is>
      </c>
      <c r="AA1503" t="n">
        <v>2038</v>
      </c>
      <c r="AB1503" t="inlineStr">
        <is>
          <t>Supplier Target Pathway</t>
        </is>
      </c>
      <c r="AC1503" t="n">
        <v>1205.5522</v>
      </c>
      <c r="AD1503" t="n">
        <v>773.3617</v>
      </c>
      <c r="AE1503" t="n">
        <v>812.6518</v>
      </c>
      <c r="AF1503" t="n">
        <v>812.6518</v>
      </c>
      <c r="AG1503" t="n">
        <v>392.9004</v>
      </c>
      <c r="AH1503" t="n">
        <v>0.00084774</v>
      </c>
      <c r="AI1503" t="n">
        <v>0.325909</v>
      </c>
      <c r="AJ1503" t="n">
        <v>39.29</v>
      </c>
      <c r="AK1503" t="n">
        <v>19.645</v>
      </c>
      <c r="AL1503" t="n">
        <v>-791.0346</v>
      </c>
      <c r="AM1503" t="n">
        <v>13164.8218</v>
      </c>
      <c r="AN1503" t="n">
        <v>0.99</v>
      </c>
      <c r="AO1503" t="inlineStr">
        <is>
          <t>Medium</t>
        </is>
      </c>
      <c r="AP1503" t="inlineStr">
        <is>
          <t>On Track to Glide Path</t>
        </is>
      </c>
    </row>
    <row r="1504">
      <c r="A1504" t="inlineStr">
        <is>
          <t>SUP-0094</t>
        </is>
      </c>
      <c r="B1504" t="inlineStr">
        <is>
          <t>Metals Supplier 094</t>
        </is>
      </c>
      <c r="C1504" t="inlineStr">
        <is>
          <t>Metals</t>
        </is>
      </c>
      <c r="D1504" t="n">
        <v>2024</v>
      </c>
      <c r="E1504" t="n">
        <v>2018</v>
      </c>
      <c r="F1504" t="n">
        <v>2040</v>
      </c>
      <c r="G1504" t="n">
        <v>1346.2844</v>
      </c>
      <c r="H1504" t="n">
        <v>335.8897</v>
      </c>
      <c r="I1504" t="n">
        <v>112.1387</v>
      </c>
      <c r="J1504" t="n">
        <v>887.664</v>
      </c>
      <c r="K1504" t="n">
        <v>958604.38</v>
      </c>
      <c r="L1504" t="n">
        <v>6693713.02</v>
      </c>
      <c r="M1504" t="n">
        <v>1346.2844</v>
      </c>
      <c r="N1504" t="inlineStr">
        <is>
          <t>Provided Total Emissions</t>
        </is>
      </c>
      <c r="O1504" t="b">
        <v>1</v>
      </c>
      <c r="P1504" t="n">
        <v>0.005933</v>
      </c>
      <c r="Q1504" t="n">
        <v>0.011315</v>
      </c>
      <c r="R1504" t="n">
        <v>965.2667</v>
      </c>
      <c r="S1504" t="n">
        <v>4351.449</v>
      </c>
      <c r="T1504" t="n">
        <v>-381.0177</v>
      </c>
      <c r="U1504" t="n">
        <v>3005.1646</v>
      </c>
      <c r="V1504" t="n">
        <v>-0.283014</v>
      </c>
      <c r="W1504" t="n">
        <v>2.232191</v>
      </c>
      <c r="X1504" t="inlineStr">
        <is>
          <t>High</t>
        </is>
      </c>
      <c r="Y1504" t="inlineStr">
        <is>
          <t>None</t>
        </is>
      </c>
      <c r="Z1504" t="inlineStr">
        <is>
          <t>Valid</t>
        </is>
      </c>
      <c r="AA1504" t="n">
        <v>2039</v>
      </c>
      <c r="AB1504" t="inlineStr">
        <is>
          <t>Supplier Target Pathway</t>
        </is>
      </c>
      <c r="AC1504" t="n">
        <v>1205.5522</v>
      </c>
      <c r="AD1504" t="n">
        <v>773.3617</v>
      </c>
      <c r="AE1504" t="n">
        <v>793.0068</v>
      </c>
      <c r="AF1504" t="n">
        <v>793.0068</v>
      </c>
      <c r="AG1504" t="n">
        <v>412.5454</v>
      </c>
      <c r="AH1504" t="n">
        <v>0.00082725</v>
      </c>
      <c r="AI1504" t="n">
        <v>0.342205</v>
      </c>
      <c r="AJ1504" t="n">
        <v>19.645</v>
      </c>
      <c r="AK1504" t="n">
        <v>19.645</v>
      </c>
      <c r="AL1504" t="n">
        <v>-1584.0414</v>
      </c>
      <c r="AM1504" t="n">
        <v>13957.8286</v>
      </c>
      <c r="AN1504" t="n">
        <v>0.99</v>
      </c>
      <c r="AO1504" t="inlineStr">
        <is>
          <t>Medium</t>
        </is>
      </c>
      <c r="AP1504" t="inlineStr">
        <is>
          <t>On Track to Glide Path</t>
        </is>
      </c>
    </row>
    <row r="1505">
      <c r="A1505" t="inlineStr">
        <is>
          <t>SUP-0094</t>
        </is>
      </c>
      <c r="B1505" t="inlineStr">
        <is>
          <t>Metals Supplier 094</t>
        </is>
      </c>
      <c r="C1505" t="inlineStr">
        <is>
          <t>Metals</t>
        </is>
      </c>
      <c r="D1505" t="n">
        <v>2024</v>
      </c>
      <c r="E1505" t="n">
        <v>2018</v>
      </c>
      <c r="F1505" t="n">
        <v>2040</v>
      </c>
      <c r="G1505" t="n">
        <v>1346.2844</v>
      </c>
      <c r="H1505" t="n">
        <v>335.8897</v>
      </c>
      <c r="I1505" t="n">
        <v>112.1387</v>
      </c>
      <c r="J1505" t="n">
        <v>887.664</v>
      </c>
      <c r="K1505" t="n">
        <v>958604.38</v>
      </c>
      <c r="L1505" t="n">
        <v>6693713.02</v>
      </c>
      <c r="M1505" t="n">
        <v>1346.2844</v>
      </c>
      <c r="N1505" t="inlineStr">
        <is>
          <t>Provided Total Emissions</t>
        </is>
      </c>
      <c r="O1505" t="b">
        <v>1</v>
      </c>
      <c r="P1505" t="n">
        <v>0.005933</v>
      </c>
      <c r="Q1505" t="n">
        <v>0.011315</v>
      </c>
      <c r="R1505" t="n">
        <v>965.2667</v>
      </c>
      <c r="S1505" t="n">
        <v>4351.449</v>
      </c>
      <c r="T1505" t="n">
        <v>-381.0177</v>
      </c>
      <c r="U1505" t="n">
        <v>3005.1646</v>
      </c>
      <c r="V1505" t="n">
        <v>-0.283014</v>
      </c>
      <c r="W1505" t="n">
        <v>2.232191</v>
      </c>
      <c r="X1505" t="inlineStr">
        <is>
          <t>High</t>
        </is>
      </c>
      <c r="Y1505" t="inlineStr">
        <is>
          <t>None</t>
        </is>
      </c>
      <c r="Z1505" t="inlineStr">
        <is>
          <t>Valid</t>
        </is>
      </c>
      <c r="AA1505" t="n">
        <v>2040</v>
      </c>
      <c r="AB1505" t="inlineStr">
        <is>
          <t>Supplier Target Pathway</t>
        </is>
      </c>
      <c r="AC1505" t="n">
        <v>1205.5522</v>
      </c>
      <c r="AD1505" t="n">
        <v>773.3617</v>
      </c>
      <c r="AE1505" t="n">
        <v>773.3617</v>
      </c>
      <c r="AF1505" t="n">
        <v>773.3617</v>
      </c>
      <c r="AG1505" t="n">
        <v>432.1905</v>
      </c>
      <c r="AH1505" t="n">
        <v>0.00080676</v>
      </c>
      <c r="AI1505" t="n">
        <v>0.3585</v>
      </c>
      <c r="AJ1505" t="n">
        <v>0</v>
      </c>
      <c r="AK1505" t="n">
        <v>19.645</v>
      </c>
      <c r="AL1505" t="n">
        <v>-2357.4031</v>
      </c>
      <c r="AM1505" t="n">
        <v>14731.1903</v>
      </c>
      <c r="AN1505" t="n">
        <v>0.99</v>
      </c>
      <c r="AO1505" t="inlineStr">
        <is>
          <t>Low</t>
        </is>
      </c>
      <c r="AP1505" t="inlineStr">
        <is>
          <t>On Track</t>
        </is>
      </c>
    </row>
    <row r="1506">
      <c r="A1506" t="inlineStr">
        <is>
          <t>SUP-0095</t>
        </is>
      </c>
      <c r="B1506" t="inlineStr">
        <is>
          <t>Agriculture Supplier 095</t>
        </is>
      </c>
      <c r="C1506" t="inlineStr">
        <is>
          <t>Agriculture</t>
        </is>
      </c>
      <c r="D1506" t="n">
        <v>2024</v>
      </c>
      <c r="E1506" t="n">
        <v>2018</v>
      </c>
      <c r="F1506" t="n">
        <v>2040</v>
      </c>
      <c r="G1506" t="n">
        <v>7950.7444</v>
      </c>
      <c r="H1506" t="n">
        <v>2011.7181</v>
      </c>
      <c r="I1506" t="n">
        <v>677.3013999999999</v>
      </c>
      <c r="J1506" t="n">
        <v>4842.7849</v>
      </c>
      <c r="K1506" t="n">
        <v>20340938.88</v>
      </c>
      <c r="L1506" t="n">
        <v>109469999.08</v>
      </c>
      <c r="M1506" t="n">
        <v>7950.7444</v>
      </c>
      <c r="N1506" t="inlineStr">
        <is>
          <t>Provided Total Emissions</t>
        </is>
      </c>
      <c r="O1506" t="b">
        <v>1</v>
      </c>
      <c r="P1506" t="n">
        <v>0.019239</v>
      </c>
      <c r="Q1506" t="n">
        <v>0.090406</v>
      </c>
      <c r="R1506" t="n">
        <v>18594.2625</v>
      </c>
      <c r="S1506" t="n">
        <v>106090.6602</v>
      </c>
      <c r="T1506" t="n">
        <v>10643.5181</v>
      </c>
      <c r="U1506" t="n">
        <v>98139.9158</v>
      </c>
      <c r="V1506" t="n">
        <v>1.338682</v>
      </c>
      <c r="W1506" t="n">
        <v>12.343488</v>
      </c>
      <c r="X1506" t="inlineStr">
        <is>
          <t>High</t>
        </is>
      </c>
      <c r="Y1506" t="inlineStr">
        <is>
          <t>None</t>
        </is>
      </c>
      <c r="Z1506" t="inlineStr">
        <is>
          <t>Valid</t>
        </is>
      </c>
      <c r="AA1506" t="n">
        <v>2025</v>
      </c>
      <c r="AB1506" t="inlineStr">
        <is>
          <t>Supplier Target Pathway</t>
        </is>
      </c>
      <c r="AC1506" t="n">
        <v>8592.3112</v>
      </c>
      <c r="AD1506" t="n">
        <v>4323.651</v>
      </c>
      <c r="AE1506" t="n">
        <v>7234.1011</v>
      </c>
      <c r="AF1506" t="n">
        <v>7234.1011</v>
      </c>
      <c r="AG1506" t="n">
        <v>1358.2101</v>
      </c>
      <c r="AH1506" t="n">
        <v>0.00035564</v>
      </c>
      <c r="AI1506" t="n">
        <v>0.158073</v>
      </c>
      <c r="AJ1506" t="n">
        <v>2910.4501</v>
      </c>
      <c r="AK1506" t="n">
        <v>194.03</v>
      </c>
      <c r="AL1506" t="n">
        <v>61944.3149</v>
      </c>
      <c r="AM1506" t="n">
        <v>7234.1011</v>
      </c>
      <c r="AN1506" t="n">
        <v>0.99</v>
      </c>
      <c r="AO1506" t="inlineStr">
        <is>
          <t>Critical</t>
        </is>
      </c>
      <c r="AP1506" t="inlineStr">
        <is>
          <t>On Track to Glide Path</t>
        </is>
      </c>
    </row>
    <row r="1507">
      <c r="A1507" t="inlineStr">
        <is>
          <t>SUP-0095</t>
        </is>
      </c>
      <c r="B1507" t="inlineStr">
        <is>
          <t>Agriculture Supplier 095</t>
        </is>
      </c>
      <c r="C1507" t="inlineStr">
        <is>
          <t>Agriculture</t>
        </is>
      </c>
      <c r="D1507" t="n">
        <v>2024</v>
      </c>
      <c r="E1507" t="n">
        <v>2018</v>
      </c>
      <c r="F1507" t="n">
        <v>2040</v>
      </c>
      <c r="G1507" t="n">
        <v>7950.7444</v>
      </c>
      <c r="H1507" t="n">
        <v>2011.7181</v>
      </c>
      <c r="I1507" t="n">
        <v>677.3013999999999</v>
      </c>
      <c r="J1507" t="n">
        <v>4842.7849</v>
      </c>
      <c r="K1507" t="n">
        <v>20340938.88</v>
      </c>
      <c r="L1507" t="n">
        <v>109469999.08</v>
      </c>
      <c r="M1507" t="n">
        <v>7950.7444</v>
      </c>
      <c r="N1507" t="inlineStr">
        <is>
          <t>Provided Total Emissions</t>
        </is>
      </c>
      <c r="O1507" t="b">
        <v>1</v>
      </c>
      <c r="P1507" t="n">
        <v>0.019239</v>
      </c>
      <c r="Q1507" t="n">
        <v>0.090406</v>
      </c>
      <c r="R1507" t="n">
        <v>18594.2625</v>
      </c>
      <c r="S1507" t="n">
        <v>106090.6602</v>
      </c>
      <c r="T1507" t="n">
        <v>10643.5181</v>
      </c>
      <c r="U1507" t="n">
        <v>98139.9158</v>
      </c>
      <c r="V1507" t="n">
        <v>1.338682</v>
      </c>
      <c r="W1507" t="n">
        <v>12.343488</v>
      </c>
      <c r="X1507" t="inlineStr">
        <is>
          <t>High</t>
        </is>
      </c>
      <c r="Y1507" t="inlineStr">
        <is>
          <t>None</t>
        </is>
      </c>
      <c r="Z1507" t="inlineStr">
        <is>
          <t>Valid</t>
        </is>
      </c>
      <c r="AA1507" t="n">
        <v>2026</v>
      </c>
      <c r="AB1507" t="inlineStr">
        <is>
          <t>Supplier Target Pathway</t>
        </is>
      </c>
      <c r="AC1507" t="n">
        <v>8592.3112</v>
      </c>
      <c r="AD1507" t="n">
        <v>4323.651</v>
      </c>
      <c r="AE1507" t="n">
        <v>7040.0711</v>
      </c>
      <c r="AF1507" t="n">
        <v>7040.0711</v>
      </c>
      <c r="AG1507" t="n">
        <v>1552.2401</v>
      </c>
      <c r="AH1507" t="n">
        <v>0.0003461</v>
      </c>
      <c r="AI1507" t="n">
        <v>0.180655</v>
      </c>
      <c r="AJ1507" t="n">
        <v>2716.4201</v>
      </c>
      <c r="AK1507" t="n">
        <v>194.03</v>
      </c>
      <c r="AL1507" t="n">
        <v>54904.2438</v>
      </c>
      <c r="AM1507" t="n">
        <v>14274.1722</v>
      </c>
      <c r="AN1507" t="n">
        <v>0.99</v>
      </c>
      <c r="AO1507" t="inlineStr">
        <is>
          <t>Critical</t>
        </is>
      </c>
      <c r="AP1507" t="inlineStr">
        <is>
          <t>On Track to Glide Path</t>
        </is>
      </c>
    </row>
    <row r="1508">
      <c r="A1508" t="inlineStr">
        <is>
          <t>SUP-0095</t>
        </is>
      </c>
      <c r="B1508" t="inlineStr">
        <is>
          <t>Agriculture Supplier 095</t>
        </is>
      </c>
      <c r="C1508" t="inlineStr">
        <is>
          <t>Agriculture</t>
        </is>
      </c>
      <c r="D1508" t="n">
        <v>2024</v>
      </c>
      <c r="E1508" t="n">
        <v>2018</v>
      </c>
      <c r="F1508" t="n">
        <v>2040</v>
      </c>
      <c r="G1508" t="n">
        <v>7950.7444</v>
      </c>
      <c r="H1508" t="n">
        <v>2011.7181</v>
      </c>
      <c r="I1508" t="n">
        <v>677.3013999999999</v>
      </c>
      <c r="J1508" t="n">
        <v>4842.7849</v>
      </c>
      <c r="K1508" t="n">
        <v>20340938.88</v>
      </c>
      <c r="L1508" t="n">
        <v>109469999.08</v>
      </c>
      <c r="M1508" t="n">
        <v>7950.7444</v>
      </c>
      <c r="N1508" t="inlineStr">
        <is>
          <t>Provided Total Emissions</t>
        </is>
      </c>
      <c r="O1508" t="b">
        <v>1</v>
      </c>
      <c r="P1508" t="n">
        <v>0.019239</v>
      </c>
      <c r="Q1508" t="n">
        <v>0.090406</v>
      </c>
      <c r="R1508" t="n">
        <v>18594.2625</v>
      </c>
      <c r="S1508" t="n">
        <v>106090.6602</v>
      </c>
      <c r="T1508" t="n">
        <v>10643.5181</v>
      </c>
      <c r="U1508" t="n">
        <v>98139.9158</v>
      </c>
      <c r="V1508" t="n">
        <v>1.338682</v>
      </c>
      <c r="W1508" t="n">
        <v>12.343488</v>
      </c>
      <c r="X1508" t="inlineStr">
        <is>
          <t>High</t>
        </is>
      </c>
      <c r="Y1508" t="inlineStr">
        <is>
          <t>None</t>
        </is>
      </c>
      <c r="Z1508" t="inlineStr">
        <is>
          <t>Valid</t>
        </is>
      </c>
      <c r="AA1508" t="n">
        <v>2027</v>
      </c>
      <c r="AB1508" t="inlineStr">
        <is>
          <t>Supplier Target Pathway</t>
        </is>
      </c>
      <c r="AC1508" t="n">
        <v>8592.3112</v>
      </c>
      <c r="AD1508" t="n">
        <v>4323.651</v>
      </c>
      <c r="AE1508" t="n">
        <v>6846.0411</v>
      </c>
      <c r="AF1508" t="n">
        <v>6846.0411</v>
      </c>
      <c r="AG1508" t="n">
        <v>1746.2701</v>
      </c>
      <c r="AH1508" t="n">
        <v>0.00033656</v>
      </c>
      <c r="AI1508" t="n">
        <v>0.203236</v>
      </c>
      <c r="AJ1508" t="n">
        <v>2522.3901</v>
      </c>
      <c r="AK1508" t="n">
        <v>194.03</v>
      </c>
      <c r="AL1508" t="n">
        <v>48058.2027</v>
      </c>
      <c r="AM1508" t="n">
        <v>21120.2133</v>
      </c>
      <c r="AN1508" t="n">
        <v>0.99</v>
      </c>
      <c r="AO1508" t="inlineStr">
        <is>
          <t>Critical</t>
        </is>
      </c>
      <c r="AP1508" t="inlineStr">
        <is>
          <t>On Track to Glide Path</t>
        </is>
      </c>
    </row>
    <row r="1509">
      <c r="A1509" t="inlineStr">
        <is>
          <t>SUP-0095</t>
        </is>
      </c>
      <c r="B1509" t="inlineStr">
        <is>
          <t>Agriculture Supplier 095</t>
        </is>
      </c>
      <c r="C1509" t="inlineStr">
        <is>
          <t>Agriculture</t>
        </is>
      </c>
      <c r="D1509" t="n">
        <v>2024</v>
      </c>
      <c r="E1509" t="n">
        <v>2018</v>
      </c>
      <c r="F1509" t="n">
        <v>2040</v>
      </c>
      <c r="G1509" t="n">
        <v>7950.7444</v>
      </c>
      <c r="H1509" t="n">
        <v>2011.7181</v>
      </c>
      <c r="I1509" t="n">
        <v>677.3013999999999</v>
      </c>
      <c r="J1509" t="n">
        <v>4842.7849</v>
      </c>
      <c r="K1509" t="n">
        <v>20340938.88</v>
      </c>
      <c r="L1509" t="n">
        <v>109469999.08</v>
      </c>
      <c r="M1509" t="n">
        <v>7950.7444</v>
      </c>
      <c r="N1509" t="inlineStr">
        <is>
          <t>Provided Total Emissions</t>
        </is>
      </c>
      <c r="O1509" t="b">
        <v>1</v>
      </c>
      <c r="P1509" t="n">
        <v>0.019239</v>
      </c>
      <c r="Q1509" t="n">
        <v>0.090406</v>
      </c>
      <c r="R1509" t="n">
        <v>18594.2625</v>
      </c>
      <c r="S1509" t="n">
        <v>106090.6602</v>
      </c>
      <c r="T1509" t="n">
        <v>10643.5181</v>
      </c>
      <c r="U1509" t="n">
        <v>98139.9158</v>
      </c>
      <c r="V1509" t="n">
        <v>1.338682</v>
      </c>
      <c r="W1509" t="n">
        <v>12.343488</v>
      </c>
      <c r="X1509" t="inlineStr">
        <is>
          <t>High</t>
        </is>
      </c>
      <c r="Y1509" t="inlineStr">
        <is>
          <t>None</t>
        </is>
      </c>
      <c r="Z1509" t="inlineStr">
        <is>
          <t>Valid</t>
        </is>
      </c>
      <c r="AA1509" t="n">
        <v>2028</v>
      </c>
      <c r="AB1509" t="inlineStr">
        <is>
          <t>Supplier Target Pathway</t>
        </is>
      </c>
      <c r="AC1509" t="n">
        <v>8592.3112</v>
      </c>
      <c r="AD1509" t="n">
        <v>4323.651</v>
      </c>
      <c r="AE1509" t="n">
        <v>6652.0111</v>
      </c>
      <c r="AF1509" t="n">
        <v>6652.0111</v>
      </c>
      <c r="AG1509" t="n">
        <v>1940.3001</v>
      </c>
      <c r="AH1509" t="n">
        <v>0.00032703</v>
      </c>
      <c r="AI1509" t="n">
        <v>0.225818</v>
      </c>
      <c r="AJ1509" t="n">
        <v>2328.3601</v>
      </c>
      <c r="AK1509" t="n">
        <v>194.03</v>
      </c>
      <c r="AL1509" t="n">
        <v>41406.1916</v>
      </c>
      <c r="AM1509" t="n">
        <v>27772.2244</v>
      </c>
      <c r="AN1509" t="n">
        <v>0.99</v>
      </c>
      <c r="AO1509" t="inlineStr">
        <is>
          <t>Critical</t>
        </is>
      </c>
      <c r="AP1509" t="inlineStr">
        <is>
          <t>On Track to Glide Path</t>
        </is>
      </c>
    </row>
    <row r="1510">
      <c r="A1510" t="inlineStr">
        <is>
          <t>SUP-0095</t>
        </is>
      </c>
      <c r="B1510" t="inlineStr">
        <is>
          <t>Agriculture Supplier 095</t>
        </is>
      </c>
      <c r="C1510" t="inlineStr">
        <is>
          <t>Agriculture</t>
        </is>
      </c>
      <c r="D1510" t="n">
        <v>2024</v>
      </c>
      <c r="E1510" t="n">
        <v>2018</v>
      </c>
      <c r="F1510" t="n">
        <v>2040</v>
      </c>
      <c r="G1510" t="n">
        <v>7950.7444</v>
      </c>
      <c r="H1510" t="n">
        <v>2011.7181</v>
      </c>
      <c r="I1510" t="n">
        <v>677.3013999999999</v>
      </c>
      <c r="J1510" t="n">
        <v>4842.7849</v>
      </c>
      <c r="K1510" t="n">
        <v>20340938.88</v>
      </c>
      <c r="L1510" t="n">
        <v>109469999.08</v>
      </c>
      <c r="M1510" t="n">
        <v>7950.7444</v>
      </c>
      <c r="N1510" t="inlineStr">
        <is>
          <t>Provided Total Emissions</t>
        </is>
      </c>
      <c r="O1510" t="b">
        <v>1</v>
      </c>
      <c r="P1510" t="n">
        <v>0.019239</v>
      </c>
      <c r="Q1510" t="n">
        <v>0.090406</v>
      </c>
      <c r="R1510" t="n">
        <v>18594.2625</v>
      </c>
      <c r="S1510" t="n">
        <v>106090.6602</v>
      </c>
      <c r="T1510" t="n">
        <v>10643.5181</v>
      </c>
      <c r="U1510" t="n">
        <v>98139.9158</v>
      </c>
      <c r="V1510" t="n">
        <v>1.338682</v>
      </c>
      <c r="W1510" t="n">
        <v>12.343488</v>
      </c>
      <c r="X1510" t="inlineStr">
        <is>
          <t>High</t>
        </is>
      </c>
      <c r="Y1510" t="inlineStr">
        <is>
          <t>None</t>
        </is>
      </c>
      <c r="Z1510" t="inlineStr">
        <is>
          <t>Valid</t>
        </is>
      </c>
      <c r="AA1510" t="n">
        <v>2029</v>
      </c>
      <c r="AB1510" t="inlineStr">
        <is>
          <t>Supplier Target Pathway</t>
        </is>
      </c>
      <c r="AC1510" t="n">
        <v>8592.3112</v>
      </c>
      <c r="AD1510" t="n">
        <v>4323.651</v>
      </c>
      <c r="AE1510" t="n">
        <v>6457.9811</v>
      </c>
      <c r="AF1510" t="n">
        <v>6457.9811</v>
      </c>
      <c r="AG1510" t="n">
        <v>2134.3301</v>
      </c>
      <c r="AH1510" t="n">
        <v>0.00031749</v>
      </c>
      <c r="AI1510" t="n">
        <v>0.2484</v>
      </c>
      <c r="AJ1510" t="n">
        <v>2134.3301</v>
      </c>
      <c r="AK1510" t="n">
        <v>194.03</v>
      </c>
      <c r="AL1510" t="n">
        <v>34948.2105</v>
      </c>
      <c r="AM1510" t="n">
        <v>34230.2055</v>
      </c>
      <c r="AN1510" t="n">
        <v>0.99</v>
      </c>
      <c r="AO1510" t="inlineStr">
        <is>
          <t>Critical</t>
        </is>
      </c>
      <c r="AP1510" t="inlineStr">
        <is>
          <t>On Track to Glide Path</t>
        </is>
      </c>
    </row>
    <row r="1511">
      <c r="A1511" t="inlineStr">
        <is>
          <t>SUP-0095</t>
        </is>
      </c>
      <c r="B1511" t="inlineStr">
        <is>
          <t>Agriculture Supplier 095</t>
        </is>
      </c>
      <c r="C1511" t="inlineStr">
        <is>
          <t>Agriculture</t>
        </is>
      </c>
      <c r="D1511" t="n">
        <v>2024</v>
      </c>
      <c r="E1511" t="n">
        <v>2018</v>
      </c>
      <c r="F1511" t="n">
        <v>2040</v>
      </c>
      <c r="G1511" t="n">
        <v>7950.7444</v>
      </c>
      <c r="H1511" t="n">
        <v>2011.7181</v>
      </c>
      <c r="I1511" t="n">
        <v>677.3013999999999</v>
      </c>
      <c r="J1511" t="n">
        <v>4842.7849</v>
      </c>
      <c r="K1511" t="n">
        <v>20340938.88</v>
      </c>
      <c r="L1511" t="n">
        <v>109469999.08</v>
      </c>
      <c r="M1511" t="n">
        <v>7950.7444</v>
      </c>
      <c r="N1511" t="inlineStr">
        <is>
          <t>Provided Total Emissions</t>
        </is>
      </c>
      <c r="O1511" t="b">
        <v>1</v>
      </c>
      <c r="P1511" t="n">
        <v>0.019239</v>
      </c>
      <c r="Q1511" t="n">
        <v>0.090406</v>
      </c>
      <c r="R1511" t="n">
        <v>18594.2625</v>
      </c>
      <c r="S1511" t="n">
        <v>106090.6602</v>
      </c>
      <c r="T1511" t="n">
        <v>10643.5181</v>
      </c>
      <c r="U1511" t="n">
        <v>98139.9158</v>
      </c>
      <c r="V1511" t="n">
        <v>1.338682</v>
      </c>
      <c r="W1511" t="n">
        <v>12.343488</v>
      </c>
      <c r="X1511" t="inlineStr">
        <is>
          <t>High</t>
        </is>
      </c>
      <c r="Y1511" t="inlineStr">
        <is>
          <t>None</t>
        </is>
      </c>
      <c r="Z1511" t="inlineStr">
        <is>
          <t>Valid</t>
        </is>
      </c>
      <c r="AA1511" t="n">
        <v>2030</v>
      </c>
      <c r="AB1511" t="inlineStr">
        <is>
          <t>Supplier Target Pathway</t>
        </is>
      </c>
      <c r="AC1511" t="n">
        <v>8592.3112</v>
      </c>
      <c r="AD1511" t="n">
        <v>4323.651</v>
      </c>
      <c r="AE1511" t="n">
        <v>6263.9511</v>
      </c>
      <c r="AF1511" t="n">
        <v>6263.9511</v>
      </c>
      <c r="AG1511" t="n">
        <v>2328.3601</v>
      </c>
      <c r="AH1511" t="n">
        <v>0.00030795</v>
      </c>
      <c r="AI1511" t="n">
        <v>0.270982</v>
      </c>
      <c r="AJ1511" t="n">
        <v>1940.3001</v>
      </c>
      <c r="AK1511" t="n">
        <v>194.03</v>
      </c>
      <c r="AL1511" t="n">
        <v>28684.2594</v>
      </c>
      <c r="AM1511" t="n">
        <v>40494.1566</v>
      </c>
      <c r="AN1511" t="n">
        <v>0.99</v>
      </c>
      <c r="AO1511" t="inlineStr">
        <is>
          <t>Critical</t>
        </is>
      </c>
      <c r="AP1511" t="inlineStr">
        <is>
          <t>On Track to Glide Path</t>
        </is>
      </c>
    </row>
    <row r="1512">
      <c r="A1512" t="inlineStr">
        <is>
          <t>SUP-0095</t>
        </is>
      </c>
      <c r="B1512" t="inlineStr">
        <is>
          <t>Agriculture Supplier 095</t>
        </is>
      </c>
      <c r="C1512" t="inlineStr">
        <is>
          <t>Agriculture</t>
        </is>
      </c>
      <c r="D1512" t="n">
        <v>2024</v>
      </c>
      <c r="E1512" t="n">
        <v>2018</v>
      </c>
      <c r="F1512" t="n">
        <v>2040</v>
      </c>
      <c r="G1512" t="n">
        <v>7950.7444</v>
      </c>
      <c r="H1512" t="n">
        <v>2011.7181</v>
      </c>
      <c r="I1512" t="n">
        <v>677.3013999999999</v>
      </c>
      <c r="J1512" t="n">
        <v>4842.7849</v>
      </c>
      <c r="K1512" t="n">
        <v>20340938.88</v>
      </c>
      <c r="L1512" t="n">
        <v>109469999.08</v>
      </c>
      <c r="M1512" t="n">
        <v>7950.7444</v>
      </c>
      <c r="N1512" t="inlineStr">
        <is>
          <t>Provided Total Emissions</t>
        </is>
      </c>
      <c r="O1512" t="b">
        <v>1</v>
      </c>
      <c r="P1512" t="n">
        <v>0.019239</v>
      </c>
      <c r="Q1512" t="n">
        <v>0.090406</v>
      </c>
      <c r="R1512" t="n">
        <v>18594.2625</v>
      </c>
      <c r="S1512" t="n">
        <v>106090.6602</v>
      </c>
      <c r="T1512" t="n">
        <v>10643.5181</v>
      </c>
      <c r="U1512" t="n">
        <v>98139.9158</v>
      </c>
      <c r="V1512" t="n">
        <v>1.338682</v>
      </c>
      <c r="W1512" t="n">
        <v>12.343488</v>
      </c>
      <c r="X1512" t="inlineStr">
        <is>
          <t>High</t>
        </is>
      </c>
      <c r="Y1512" t="inlineStr">
        <is>
          <t>None</t>
        </is>
      </c>
      <c r="Z1512" t="inlineStr">
        <is>
          <t>Valid</t>
        </is>
      </c>
      <c r="AA1512" t="n">
        <v>2031</v>
      </c>
      <c r="AB1512" t="inlineStr">
        <is>
          <t>Supplier Target Pathway</t>
        </is>
      </c>
      <c r="AC1512" t="n">
        <v>8592.3112</v>
      </c>
      <c r="AD1512" t="n">
        <v>4323.651</v>
      </c>
      <c r="AE1512" t="n">
        <v>6069.9211</v>
      </c>
      <c r="AF1512" t="n">
        <v>6069.9211</v>
      </c>
      <c r="AG1512" t="n">
        <v>2522.3901</v>
      </c>
      <c r="AH1512" t="n">
        <v>0.00029841</v>
      </c>
      <c r="AI1512" t="n">
        <v>0.293564</v>
      </c>
      <c r="AJ1512" t="n">
        <v>1746.2701</v>
      </c>
      <c r="AK1512" t="n">
        <v>194.03</v>
      </c>
      <c r="AL1512" t="n">
        <v>22614.3383</v>
      </c>
      <c r="AM1512" t="n">
        <v>46564.0777</v>
      </c>
      <c r="AN1512" t="n">
        <v>0.99</v>
      </c>
      <c r="AO1512" t="inlineStr">
        <is>
          <t>Critical</t>
        </is>
      </c>
      <c r="AP1512" t="inlineStr">
        <is>
          <t>On Track to Glide Path</t>
        </is>
      </c>
    </row>
    <row r="1513">
      <c r="A1513" t="inlineStr">
        <is>
          <t>SUP-0095</t>
        </is>
      </c>
      <c r="B1513" t="inlineStr">
        <is>
          <t>Agriculture Supplier 095</t>
        </is>
      </c>
      <c r="C1513" t="inlineStr">
        <is>
          <t>Agriculture</t>
        </is>
      </c>
      <c r="D1513" t="n">
        <v>2024</v>
      </c>
      <c r="E1513" t="n">
        <v>2018</v>
      </c>
      <c r="F1513" t="n">
        <v>2040</v>
      </c>
      <c r="G1513" t="n">
        <v>7950.7444</v>
      </c>
      <c r="H1513" t="n">
        <v>2011.7181</v>
      </c>
      <c r="I1513" t="n">
        <v>677.3013999999999</v>
      </c>
      <c r="J1513" t="n">
        <v>4842.7849</v>
      </c>
      <c r="K1513" t="n">
        <v>20340938.88</v>
      </c>
      <c r="L1513" t="n">
        <v>109469999.08</v>
      </c>
      <c r="M1513" t="n">
        <v>7950.7444</v>
      </c>
      <c r="N1513" t="inlineStr">
        <is>
          <t>Provided Total Emissions</t>
        </is>
      </c>
      <c r="O1513" t="b">
        <v>1</v>
      </c>
      <c r="P1513" t="n">
        <v>0.019239</v>
      </c>
      <c r="Q1513" t="n">
        <v>0.090406</v>
      </c>
      <c r="R1513" t="n">
        <v>18594.2625</v>
      </c>
      <c r="S1513" t="n">
        <v>106090.6602</v>
      </c>
      <c r="T1513" t="n">
        <v>10643.5181</v>
      </c>
      <c r="U1513" t="n">
        <v>98139.9158</v>
      </c>
      <c r="V1513" t="n">
        <v>1.338682</v>
      </c>
      <c r="W1513" t="n">
        <v>12.343488</v>
      </c>
      <c r="X1513" t="inlineStr">
        <is>
          <t>High</t>
        </is>
      </c>
      <c r="Y1513" t="inlineStr">
        <is>
          <t>None</t>
        </is>
      </c>
      <c r="Z1513" t="inlineStr">
        <is>
          <t>Valid</t>
        </is>
      </c>
      <c r="AA1513" t="n">
        <v>2032</v>
      </c>
      <c r="AB1513" t="inlineStr">
        <is>
          <t>Supplier Target Pathway</t>
        </is>
      </c>
      <c r="AC1513" t="n">
        <v>8592.3112</v>
      </c>
      <c r="AD1513" t="n">
        <v>4323.651</v>
      </c>
      <c r="AE1513" t="n">
        <v>5875.8911</v>
      </c>
      <c r="AF1513" t="n">
        <v>5875.8911</v>
      </c>
      <c r="AG1513" t="n">
        <v>2716.4201</v>
      </c>
      <c r="AH1513" t="n">
        <v>0.00028887</v>
      </c>
      <c r="AI1513" t="n">
        <v>0.316145</v>
      </c>
      <c r="AJ1513" t="n">
        <v>1552.2401</v>
      </c>
      <c r="AK1513" t="n">
        <v>194.03</v>
      </c>
      <c r="AL1513" t="n">
        <v>16738.4472</v>
      </c>
      <c r="AM1513" t="n">
        <v>52439.9688</v>
      </c>
      <c r="AN1513" t="n">
        <v>0.99</v>
      </c>
      <c r="AO1513" t="inlineStr">
        <is>
          <t>Critical</t>
        </is>
      </c>
      <c r="AP1513" t="inlineStr">
        <is>
          <t>On Track to Glide Path</t>
        </is>
      </c>
    </row>
    <row r="1514">
      <c r="A1514" t="inlineStr">
        <is>
          <t>SUP-0095</t>
        </is>
      </c>
      <c r="B1514" t="inlineStr">
        <is>
          <t>Agriculture Supplier 095</t>
        </is>
      </c>
      <c r="C1514" t="inlineStr">
        <is>
          <t>Agriculture</t>
        </is>
      </c>
      <c r="D1514" t="n">
        <v>2024</v>
      </c>
      <c r="E1514" t="n">
        <v>2018</v>
      </c>
      <c r="F1514" t="n">
        <v>2040</v>
      </c>
      <c r="G1514" t="n">
        <v>7950.7444</v>
      </c>
      <c r="H1514" t="n">
        <v>2011.7181</v>
      </c>
      <c r="I1514" t="n">
        <v>677.3013999999999</v>
      </c>
      <c r="J1514" t="n">
        <v>4842.7849</v>
      </c>
      <c r="K1514" t="n">
        <v>20340938.88</v>
      </c>
      <c r="L1514" t="n">
        <v>109469999.08</v>
      </c>
      <c r="M1514" t="n">
        <v>7950.7444</v>
      </c>
      <c r="N1514" t="inlineStr">
        <is>
          <t>Provided Total Emissions</t>
        </is>
      </c>
      <c r="O1514" t="b">
        <v>1</v>
      </c>
      <c r="P1514" t="n">
        <v>0.019239</v>
      </c>
      <c r="Q1514" t="n">
        <v>0.090406</v>
      </c>
      <c r="R1514" t="n">
        <v>18594.2625</v>
      </c>
      <c r="S1514" t="n">
        <v>106090.6602</v>
      </c>
      <c r="T1514" t="n">
        <v>10643.5181</v>
      </c>
      <c r="U1514" t="n">
        <v>98139.9158</v>
      </c>
      <c r="V1514" t="n">
        <v>1.338682</v>
      </c>
      <c r="W1514" t="n">
        <v>12.343488</v>
      </c>
      <c r="X1514" t="inlineStr">
        <is>
          <t>High</t>
        </is>
      </c>
      <c r="Y1514" t="inlineStr">
        <is>
          <t>None</t>
        </is>
      </c>
      <c r="Z1514" t="inlineStr">
        <is>
          <t>Valid</t>
        </is>
      </c>
      <c r="AA1514" t="n">
        <v>2033</v>
      </c>
      <c r="AB1514" t="inlineStr">
        <is>
          <t>Supplier Target Pathway</t>
        </is>
      </c>
      <c r="AC1514" t="n">
        <v>8592.3112</v>
      </c>
      <c r="AD1514" t="n">
        <v>4323.651</v>
      </c>
      <c r="AE1514" t="n">
        <v>5681.8611</v>
      </c>
      <c r="AF1514" t="n">
        <v>5681.8611</v>
      </c>
      <c r="AG1514" t="n">
        <v>2910.4501</v>
      </c>
      <c r="AH1514" t="n">
        <v>0.00027933</v>
      </c>
      <c r="AI1514" t="n">
        <v>0.338727</v>
      </c>
      <c r="AJ1514" t="n">
        <v>1358.2101</v>
      </c>
      <c r="AK1514" t="n">
        <v>194.03</v>
      </c>
      <c r="AL1514" t="n">
        <v>11056.5861</v>
      </c>
      <c r="AM1514" t="n">
        <v>58121.8299</v>
      </c>
      <c r="AN1514" t="n">
        <v>0.99</v>
      </c>
      <c r="AO1514" t="inlineStr">
        <is>
          <t>High</t>
        </is>
      </c>
      <c r="AP1514" t="inlineStr">
        <is>
          <t>On Track to Glide Path</t>
        </is>
      </c>
    </row>
    <row r="1515">
      <c r="A1515" t="inlineStr">
        <is>
          <t>SUP-0095</t>
        </is>
      </c>
      <c r="B1515" t="inlineStr">
        <is>
          <t>Agriculture Supplier 095</t>
        </is>
      </c>
      <c r="C1515" t="inlineStr">
        <is>
          <t>Agriculture</t>
        </is>
      </c>
      <c r="D1515" t="n">
        <v>2024</v>
      </c>
      <c r="E1515" t="n">
        <v>2018</v>
      </c>
      <c r="F1515" t="n">
        <v>2040</v>
      </c>
      <c r="G1515" t="n">
        <v>7950.7444</v>
      </c>
      <c r="H1515" t="n">
        <v>2011.7181</v>
      </c>
      <c r="I1515" t="n">
        <v>677.3013999999999</v>
      </c>
      <c r="J1515" t="n">
        <v>4842.7849</v>
      </c>
      <c r="K1515" t="n">
        <v>20340938.88</v>
      </c>
      <c r="L1515" t="n">
        <v>109469999.08</v>
      </c>
      <c r="M1515" t="n">
        <v>7950.7444</v>
      </c>
      <c r="N1515" t="inlineStr">
        <is>
          <t>Provided Total Emissions</t>
        </is>
      </c>
      <c r="O1515" t="b">
        <v>1</v>
      </c>
      <c r="P1515" t="n">
        <v>0.019239</v>
      </c>
      <c r="Q1515" t="n">
        <v>0.090406</v>
      </c>
      <c r="R1515" t="n">
        <v>18594.2625</v>
      </c>
      <c r="S1515" t="n">
        <v>106090.6602</v>
      </c>
      <c r="T1515" t="n">
        <v>10643.5181</v>
      </c>
      <c r="U1515" t="n">
        <v>98139.9158</v>
      </c>
      <c r="V1515" t="n">
        <v>1.338682</v>
      </c>
      <c r="W1515" t="n">
        <v>12.343488</v>
      </c>
      <c r="X1515" t="inlineStr">
        <is>
          <t>High</t>
        </is>
      </c>
      <c r="Y1515" t="inlineStr">
        <is>
          <t>None</t>
        </is>
      </c>
      <c r="Z1515" t="inlineStr">
        <is>
          <t>Valid</t>
        </is>
      </c>
      <c r="AA1515" t="n">
        <v>2034</v>
      </c>
      <c r="AB1515" t="inlineStr">
        <is>
          <t>Supplier Target Pathway</t>
        </is>
      </c>
      <c r="AC1515" t="n">
        <v>8592.3112</v>
      </c>
      <c r="AD1515" t="n">
        <v>4323.651</v>
      </c>
      <c r="AE1515" t="n">
        <v>5487.8311</v>
      </c>
      <c r="AF1515" t="n">
        <v>5487.8311</v>
      </c>
      <c r="AG1515" t="n">
        <v>3104.4801</v>
      </c>
      <c r="AH1515" t="n">
        <v>0.00026979</v>
      </c>
      <c r="AI1515" t="n">
        <v>0.361309</v>
      </c>
      <c r="AJ1515" t="n">
        <v>1164.1801</v>
      </c>
      <c r="AK1515" t="n">
        <v>194.03</v>
      </c>
      <c r="AL1515" t="n">
        <v>5568.755</v>
      </c>
      <c r="AM1515" t="n">
        <v>63609.661</v>
      </c>
      <c r="AN1515" t="n">
        <v>0.99</v>
      </c>
      <c r="AO1515" t="inlineStr">
        <is>
          <t>High</t>
        </is>
      </c>
      <c r="AP1515" t="inlineStr">
        <is>
          <t>On Track to Glide Path</t>
        </is>
      </c>
    </row>
    <row r="1516">
      <c r="A1516" t="inlineStr">
        <is>
          <t>SUP-0095</t>
        </is>
      </c>
      <c r="B1516" t="inlineStr">
        <is>
          <t>Agriculture Supplier 095</t>
        </is>
      </c>
      <c r="C1516" t="inlineStr">
        <is>
          <t>Agriculture</t>
        </is>
      </c>
      <c r="D1516" t="n">
        <v>2024</v>
      </c>
      <c r="E1516" t="n">
        <v>2018</v>
      </c>
      <c r="F1516" t="n">
        <v>2040</v>
      </c>
      <c r="G1516" t="n">
        <v>7950.7444</v>
      </c>
      <c r="H1516" t="n">
        <v>2011.7181</v>
      </c>
      <c r="I1516" t="n">
        <v>677.3013999999999</v>
      </c>
      <c r="J1516" t="n">
        <v>4842.7849</v>
      </c>
      <c r="K1516" t="n">
        <v>20340938.88</v>
      </c>
      <c r="L1516" t="n">
        <v>109469999.08</v>
      </c>
      <c r="M1516" t="n">
        <v>7950.7444</v>
      </c>
      <c r="N1516" t="inlineStr">
        <is>
          <t>Provided Total Emissions</t>
        </is>
      </c>
      <c r="O1516" t="b">
        <v>1</v>
      </c>
      <c r="P1516" t="n">
        <v>0.019239</v>
      </c>
      <c r="Q1516" t="n">
        <v>0.090406</v>
      </c>
      <c r="R1516" t="n">
        <v>18594.2625</v>
      </c>
      <c r="S1516" t="n">
        <v>106090.6602</v>
      </c>
      <c r="T1516" t="n">
        <v>10643.5181</v>
      </c>
      <c r="U1516" t="n">
        <v>98139.9158</v>
      </c>
      <c r="V1516" t="n">
        <v>1.338682</v>
      </c>
      <c r="W1516" t="n">
        <v>12.343488</v>
      </c>
      <c r="X1516" t="inlineStr">
        <is>
          <t>High</t>
        </is>
      </c>
      <c r="Y1516" t="inlineStr">
        <is>
          <t>None</t>
        </is>
      </c>
      <c r="Z1516" t="inlineStr">
        <is>
          <t>Valid</t>
        </is>
      </c>
      <c r="AA1516" t="n">
        <v>2035</v>
      </c>
      <c r="AB1516" t="inlineStr">
        <is>
          <t>Supplier Target Pathway</t>
        </is>
      </c>
      <c r="AC1516" t="n">
        <v>8592.3112</v>
      </c>
      <c r="AD1516" t="n">
        <v>4323.651</v>
      </c>
      <c r="AE1516" t="n">
        <v>5293.801</v>
      </c>
      <c r="AF1516" t="n">
        <v>5293.801</v>
      </c>
      <c r="AG1516" t="n">
        <v>3298.5102</v>
      </c>
      <c r="AH1516" t="n">
        <v>0.00026025</v>
      </c>
      <c r="AI1516" t="n">
        <v>0.383891</v>
      </c>
      <c r="AJ1516" t="n">
        <v>970.15</v>
      </c>
      <c r="AK1516" t="n">
        <v>194.03</v>
      </c>
      <c r="AL1516" t="n">
        <v>274.954</v>
      </c>
      <c r="AM1516" t="n">
        <v>68903.462</v>
      </c>
      <c r="AN1516" t="n">
        <v>0.99</v>
      </c>
      <c r="AO1516" t="inlineStr">
        <is>
          <t>High</t>
        </is>
      </c>
      <c r="AP1516" t="inlineStr">
        <is>
          <t>On Track to Glide Path</t>
        </is>
      </c>
    </row>
    <row r="1517">
      <c r="A1517" t="inlineStr">
        <is>
          <t>SUP-0095</t>
        </is>
      </c>
      <c r="B1517" t="inlineStr">
        <is>
          <t>Agriculture Supplier 095</t>
        </is>
      </c>
      <c r="C1517" t="inlineStr">
        <is>
          <t>Agriculture</t>
        </is>
      </c>
      <c r="D1517" t="n">
        <v>2024</v>
      </c>
      <c r="E1517" t="n">
        <v>2018</v>
      </c>
      <c r="F1517" t="n">
        <v>2040</v>
      </c>
      <c r="G1517" t="n">
        <v>7950.7444</v>
      </c>
      <c r="H1517" t="n">
        <v>2011.7181</v>
      </c>
      <c r="I1517" t="n">
        <v>677.3013999999999</v>
      </c>
      <c r="J1517" t="n">
        <v>4842.7849</v>
      </c>
      <c r="K1517" t="n">
        <v>20340938.88</v>
      </c>
      <c r="L1517" t="n">
        <v>109469999.08</v>
      </c>
      <c r="M1517" t="n">
        <v>7950.7444</v>
      </c>
      <c r="N1517" t="inlineStr">
        <is>
          <t>Provided Total Emissions</t>
        </is>
      </c>
      <c r="O1517" t="b">
        <v>1</v>
      </c>
      <c r="P1517" t="n">
        <v>0.019239</v>
      </c>
      <c r="Q1517" t="n">
        <v>0.090406</v>
      </c>
      <c r="R1517" t="n">
        <v>18594.2625</v>
      </c>
      <c r="S1517" t="n">
        <v>106090.6602</v>
      </c>
      <c r="T1517" t="n">
        <v>10643.5181</v>
      </c>
      <c r="U1517" t="n">
        <v>98139.9158</v>
      </c>
      <c r="V1517" t="n">
        <v>1.338682</v>
      </c>
      <c r="W1517" t="n">
        <v>12.343488</v>
      </c>
      <c r="X1517" t="inlineStr">
        <is>
          <t>High</t>
        </is>
      </c>
      <c r="Y1517" t="inlineStr">
        <is>
          <t>None</t>
        </is>
      </c>
      <c r="Z1517" t="inlineStr">
        <is>
          <t>Valid</t>
        </is>
      </c>
      <c r="AA1517" t="n">
        <v>2036</v>
      </c>
      <c r="AB1517" t="inlineStr">
        <is>
          <t>Supplier Target Pathway</t>
        </is>
      </c>
      <c r="AC1517" t="n">
        <v>8592.3112</v>
      </c>
      <c r="AD1517" t="n">
        <v>4323.651</v>
      </c>
      <c r="AE1517" t="n">
        <v>5099.771</v>
      </c>
      <c r="AF1517" t="n">
        <v>5099.771</v>
      </c>
      <c r="AG1517" t="n">
        <v>3492.5402</v>
      </c>
      <c r="AH1517" t="n">
        <v>0.00025071</v>
      </c>
      <c r="AI1517" t="n">
        <v>0.406473</v>
      </c>
      <c r="AJ1517" t="n">
        <v>776.12</v>
      </c>
      <c r="AK1517" t="n">
        <v>194.03</v>
      </c>
      <c r="AL1517" t="n">
        <v>-4824.817</v>
      </c>
      <c r="AM1517" t="n">
        <v>74003.23299999999</v>
      </c>
      <c r="AN1517" t="n">
        <v>0.99</v>
      </c>
      <c r="AO1517" t="inlineStr">
        <is>
          <t>High</t>
        </is>
      </c>
      <c r="AP1517" t="inlineStr">
        <is>
          <t>On Track to Glide Path</t>
        </is>
      </c>
    </row>
    <row r="1518">
      <c r="A1518" t="inlineStr">
        <is>
          <t>SUP-0095</t>
        </is>
      </c>
      <c r="B1518" t="inlineStr">
        <is>
          <t>Agriculture Supplier 095</t>
        </is>
      </c>
      <c r="C1518" t="inlineStr">
        <is>
          <t>Agriculture</t>
        </is>
      </c>
      <c r="D1518" t="n">
        <v>2024</v>
      </c>
      <c r="E1518" t="n">
        <v>2018</v>
      </c>
      <c r="F1518" t="n">
        <v>2040</v>
      </c>
      <c r="G1518" t="n">
        <v>7950.7444</v>
      </c>
      <c r="H1518" t="n">
        <v>2011.7181</v>
      </c>
      <c r="I1518" t="n">
        <v>677.3013999999999</v>
      </c>
      <c r="J1518" t="n">
        <v>4842.7849</v>
      </c>
      <c r="K1518" t="n">
        <v>20340938.88</v>
      </c>
      <c r="L1518" t="n">
        <v>109469999.08</v>
      </c>
      <c r="M1518" t="n">
        <v>7950.7444</v>
      </c>
      <c r="N1518" t="inlineStr">
        <is>
          <t>Provided Total Emissions</t>
        </is>
      </c>
      <c r="O1518" t="b">
        <v>1</v>
      </c>
      <c r="P1518" t="n">
        <v>0.019239</v>
      </c>
      <c r="Q1518" t="n">
        <v>0.090406</v>
      </c>
      <c r="R1518" t="n">
        <v>18594.2625</v>
      </c>
      <c r="S1518" t="n">
        <v>106090.6602</v>
      </c>
      <c r="T1518" t="n">
        <v>10643.5181</v>
      </c>
      <c r="U1518" t="n">
        <v>98139.9158</v>
      </c>
      <c r="V1518" t="n">
        <v>1.338682</v>
      </c>
      <c r="W1518" t="n">
        <v>12.343488</v>
      </c>
      <c r="X1518" t="inlineStr">
        <is>
          <t>High</t>
        </is>
      </c>
      <c r="Y1518" t="inlineStr">
        <is>
          <t>None</t>
        </is>
      </c>
      <c r="Z1518" t="inlineStr">
        <is>
          <t>Valid</t>
        </is>
      </c>
      <c r="AA1518" t="n">
        <v>2037</v>
      </c>
      <c r="AB1518" t="inlineStr">
        <is>
          <t>Supplier Target Pathway</t>
        </is>
      </c>
      <c r="AC1518" t="n">
        <v>8592.3112</v>
      </c>
      <c r="AD1518" t="n">
        <v>4323.651</v>
      </c>
      <c r="AE1518" t="n">
        <v>4905.741</v>
      </c>
      <c r="AF1518" t="n">
        <v>4905.741</v>
      </c>
      <c r="AG1518" t="n">
        <v>3686.5702</v>
      </c>
      <c r="AH1518" t="n">
        <v>0.00024118</v>
      </c>
      <c r="AI1518" t="n">
        <v>0.429055</v>
      </c>
      <c r="AJ1518" t="n">
        <v>582.09</v>
      </c>
      <c r="AK1518" t="n">
        <v>194.03</v>
      </c>
      <c r="AL1518" t="n">
        <v>-9730.558000000001</v>
      </c>
      <c r="AM1518" t="n">
        <v>78908.974</v>
      </c>
      <c r="AN1518" t="n">
        <v>0.99</v>
      </c>
      <c r="AO1518" t="inlineStr">
        <is>
          <t>Medium</t>
        </is>
      </c>
      <c r="AP1518" t="inlineStr">
        <is>
          <t>On Track to Glide Path</t>
        </is>
      </c>
    </row>
    <row r="1519">
      <c r="A1519" t="inlineStr">
        <is>
          <t>SUP-0095</t>
        </is>
      </c>
      <c r="B1519" t="inlineStr">
        <is>
          <t>Agriculture Supplier 095</t>
        </is>
      </c>
      <c r="C1519" t="inlineStr">
        <is>
          <t>Agriculture</t>
        </is>
      </c>
      <c r="D1519" t="n">
        <v>2024</v>
      </c>
      <c r="E1519" t="n">
        <v>2018</v>
      </c>
      <c r="F1519" t="n">
        <v>2040</v>
      </c>
      <c r="G1519" t="n">
        <v>7950.7444</v>
      </c>
      <c r="H1519" t="n">
        <v>2011.7181</v>
      </c>
      <c r="I1519" t="n">
        <v>677.3013999999999</v>
      </c>
      <c r="J1519" t="n">
        <v>4842.7849</v>
      </c>
      <c r="K1519" t="n">
        <v>20340938.88</v>
      </c>
      <c r="L1519" t="n">
        <v>109469999.08</v>
      </c>
      <c r="M1519" t="n">
        <v>7950.7444</v>
      </c>
      <c r="N1519" t="inlineStr">
        <is>
          <t>Provided Total Emissions</t>
        </is>
      </c>
      <c r="O1519" t="b">
        <v>1</v>
      </c>
      <c r="P1519" t="n">
        <v>0.019239</v>
      </c>
      <c r="Q1519" t="n">
        <v>0.090406</v>
      </c>
      <c r="R1519" t="n">
        <v>18594.2625</v>
      </c>
      <c r="S1519" t="n">
        <v>106090.6602</v>
      </c>
      <c r="T1519" t="n">
        <v>10643.5181</v>
      </c>
      <c r="U1519" t="n">
        <v>98139.9158</v>
      </c>
      <c r="V1519" t="n">
        <v>1.338682</v>
      </c>
      <c r="W1519" t="n">
        <v>12.343488</v>
      </c>
      <c r="X1519" t="inlineStr">
        <is>
          <t>High</t>
        </is>
      </c>
      <c r="Y1519" t="inlineStr">
        <is>
          <t>None</t>
        </is>
      </c>
      <c r="Z1519" t="inlineStr">
        <is>
          <t>Valid</t>
        </is>
      </c>
      <c r="AA1519" t="n">
        <v>2038</v>
      </c>
      <c r="AB1519" t="inlineStr">
        <is>
          <t>Supplier Target Pathway</t>
        </is>
      </c>
      <c r="AC1519" t="n">
        <v>8592.3112</v>
      </c>
      <c r="AD1519" t="n">
        <v>4323.651</v>
      </c>
      <c r="AE1519" t="n">
        <v>4711.711</v>
      </c>
      <c r="AF1519" t="n">
        <v>4711.711</v>
      </c>
      <c r="AG1519" t="n">
        <v>3880.6002</v>
      </c>
      <c r="AH1519" t="n">
        <v>0.00023164</v>
      </c>
      <c r="AI1519" t="n">
        <v>0.451636</v>
      </c>
      <c r="AJ1519" t="n">
        <v>388.06</v>
      </c>
      <c r="AK1519" t="n">
        <v>194.03</v>
      </c>
      <c r="AL1519" t="n">
        <v>-14442.269</v>
      </c>
      <c r="AM1519" t="n">
        <v>83620.685</v>
      </c>
      <c r="AN1519" t="n">
        <v>0.99</v>
      </c>
      <c r="AO1519" t="inlineStr">
        <is>
          <t>Medium</t>
        </is>
      </c>
      <c r="AP1519" t="inlineStr">
        <is>
          <t>On Track to Glide Path</t>
        </is>
      </c>
    </row>
    <row r="1520">
      <c r="A1520" t="inlineStr">
        <is>
          <t>SUP-0095</t>
        </is>
      </c>
      <c r="B1520" t="inlineStr">
        <is>
          <t>Agriculture Supplier 095</t>
        </is>
      </c>
      <c r="C1520" t="inlineStr">
        <is>
          <t>Agriculture</t>
        </is>
      </c>
      <c r="D1520" t="n">
        <v>2024</v>
      </c>
      <c r="E1520" t="n">
        <v>2018</v>
      </c>
      <c r="F1520" t="n">
        <v>2040</v>
      </c>
      <c r="G1520" t="n">
        <v>7950.7444</v>
      </c>
      <c r="H1520" t="n">
        <v>2011.7181</v>
      </c>
      <c r="I1520" t="n">
        <v>677.3013999999999</v>
      </c>
      <c r="J1520" t="n">
        <v>4842.7849</v>
      </c>
      <c r="K1520" t="n">
        <v>20340938.88</v>
      </c>
      <c r="L1520" t="n">
        <v>109469999.08</v>
      </c>
      <c r="M1520" t="n">
        <v>7950.7444</v>
      </c>
      <c r="N1520" t="inlineStr">
        <is>
          <t>Provided Total Emissions</t>
        </is>
      </c>
      <c r="O1520" t="b">
        <v>1</v>
      </c>
      <c r="P1520" t="n">
        <v>0.019239</v>
      </c>
      <c r="Q1520" t="n">
        <v>0.090406</v>
      </c>
      <c r="R1520" t="n">
        <v>18594.2625</v>
      </c>
      <c r="S1520" t="n">
        <v>106090.6602</v>
      </c>
      <c r="T1520" t="n">
        <v>10643.5181</v>
      </c>
      <c r="U1520" t="n">
        <v>98139.9158</v>
      </c>
      <c r="V1520" t="n">
        <v>1.338682</v>
      </c>
      <c r="W1520" t="n">
        <v>12.343488</v>
      </c>
      <c r="X1520" t="inlineStr">
        <is>
          <t>High</t>
        </is>
      </c>
      <c r="Y1520" t="inlineStr">
        <is>
          <t>None</t>
        </is>
      </c>
      <c r="Z1520" t="inlineStr">
        <is>
          <t>Valid</t>
        </is>
      </c>
      <c r="AA1520" t="n">
        <v>2039</v>
      </c>
      <c r="AB1520" t="inlineStr">
        <is>
          <t>Supplier Target Pathway</t>
        </is>
      </c>
      <c r="AC1520" t="n">
        <v>8592.3112</v>
      </c>
      <c r="AD1520" t="n">
        <v>4323.651</v>
      </c>
      <c r="AE1520" t="n">
        <v>4517.681</v>
      </c>
      <c r="AF1520" t="n">
        <v>4517.681</v>
      </c>
      <c r="AG1520" t="n">
        <v>4074.6302</v>
      </c>
      <c r="AH1520" t="n">
        <v>0.0002221</v>
      </c>
      <c r="AI1520" t="n">
        <v>0.474218</v>
      </c>
      <c r="AJ1520" t="n">
        <v>194.03</v>
      </c>
      <c r="AK1520" t="n">
        <v>194.03</v>
      </c>
      <c r="AL1520" t="n">
        <v>-18959.95</v>
      </c>
      <c r="AM1520" t="n">
        <v>88138.36599999999</v>
      </c>
      <c r="AN1520" t="n">
        <v>0.99</v>
      </c>
      <c r="AO1520" t="inlineStr">
        <is>
          <t>Medium</t>
        </is>
      </c>
      <c r="AP1520" t="inlineStr">
        <is>
          <t>On Track to Glide Path</t>
        </is>
      </c>
    </row>
    <row r="1521">
      <c r="A1521" t="inlineStr">
        <is>
          <t>SUP-0095</t>
        </is>
      </c>
      <c r="B1521" t="inlineStr">
        <is>
          <t>Agriculture Supplier 095</t>
        </is>
      </c>
      <c r="C1521" t="inlineStr">
        <is>
          <t>Agriculture</t>
        </is>
      </c>
      <c r="D1521" t="n">
        <v>2024</v>
      </c>
      <c r="E1521" t="n">
        <v>2018</v>
      </c>
      <c r="F1521" t="n">
        <v>2040</v>
      </c>
      <c r="G1521" t="n">
        <v>7950.7444</v>
      </c>
      <c r="H1521" t="n">
        <v>2011.7181</v>
      </c>
      <c r="I1521" t="n">
        <v>677.3013999999999</v>
      </c>
      <c r="J1521" t="n">
        <v>4842.7849</v>
      </c>
      <c r="K1521" t="n">
        <v>20340938.88</v>
      </c>
      <c r="L1521" t="n">
        <v>109469999.08</v>
      </c>
      <c r="M1521" t="n">
        <v>7950.7444</v>
      </c>
      <c r="N1521" t="inlineStr">
        <is>
          <t>Provided Total Emissions</t>
        </is>
      </c>
      <c r="O1521" t="b">
        <v>1</v>
      </c>
      <c r="P1521" t="n">
        <v>0.019239</v>
      </c>
      <c r="Q1521" t="n">
        <v>0.090406</v>
      </c>
      <c r="R1521" t="n">
        <v>18594.2625</v>
      </c>
      <c r="S1521" t="n">
        <v>106090.6602</v>
      </c>
      <c r="T1521" t="n">
        <v>10643.5181</v>
      </c>
      <c r="U1521" t="n">
        <v>98139.9158</v>
      </c>
      <c r="V1521" t="n">
        <v>1.338682</v>
      </c>
      <c r="W1521" t="n">
        <v>12.343488</v>
      </c>
      <c r="X1521" t="inlineStr">
        <is>
          <t>High</t>
        </is>
      </c>
      <c r="Y1521" t="inlineStr">
        <is>
          <t>None</t>
        </is>
      </c>
      <c r="Z1521" t="inlineStr">
        <is>
          <t>Valid</t>
        </is>
      </c>
      <c r="AA1521" t="n">
        <v>2040</v>
      </c>
      <c r="AB1521" t="inlineStr">
        <is>
          <t>Supplier Target Pathway</t>
        </is>
      </c>
      <c r="AC1521" t="n">
        <v>8592.3112</v>
      </c>
      <c r="AD1521" t="n">
        <v>4323.651</v>
      </c>
      <c r="AE1521" t="n">
        <v>4323.651</v>
      </c>
      <c r="AF1521" t="n">
        <v>4323.651</v>
      </c>
      <c r="AG1521" t="n">
        <v>4268.6602</v>
      </c>
      <c r="AH1521" t="n">
        <v>0.00021256</v>
      </c>
      <c r="AI1521" t="n">
        <v>0.4968</v>
      </c>
      <c r="AJ1521" t="n">
        <v>0</v>
      </c>
      <c r="AK1521" t="n">
        <v>194.03</v>
      </c>
      <c r="AL1521" t="n">
        <v>-23283.601</v>
      </c>
      <c r="AM1521" t="n">
        <v>92462.01700000001</v>
      </c>
      <c r="AN1521" t="n">
        <v>0.99</v>
      </c>
      <c r="AO1521" t="inlineStr">
        <is>
          <t>Low</t>
        </is>
      </c>
      <c r="AP1521" t="inlineStr">
        <is>
          <t>On Track</t>
        </is>
      </c>
    </row>
    <row r="1522">
      <c r="A1522" t="inlineStr">
        <is>
          <t>SUP-0096</t>
        </is>
      </c>
      <c r="B1522" t="inlineStr">
        <is>
          <t>Agriculture Supplier 096</t>
        </is>
      </c>
      <c r="C1522" t="inlineStr">
        <is>
          <t>Agriculture</t>
        </is>
      </c>
      <c r="D1522" t="n">
        <v>2024</v>
      </c>
      <c r="E1522" t="n">
        <v>2021</v>
      </c>
      <c r="F1522" t="n">
        <v>2040</v>
      </c>
      <c r="G1522" t="n">
        <v>8606.8631</v>
      </c>
      <c r="H1522" t="n">
        <v>1982.4204</v>
      </c>
      <c r="I1522" t="n">
        <v>1882.2176</v>
      </c>
      <c r="J1522" t="n">
        <v>4804.9529</v>
      </c>
      <c r="K1522" t="n">
        <v>12926260.84</v>
      </c>
      <c r="L1522" t="n">
        <v>51411015.33</v>
      </c>
      <c r="M1522" t="n">
        <v>8606.8631</v>
      </c>
      <c r="N1522" t="inlineStr">
        <is>
          <t>Provided Total Emissions</t>
        </is>
      </c>
      <c r="O1522" t="b">
        <v>1</v>
      </c>
      <c r="P1522" t="n">
        <v>0.030174</v>
      </c>
      <c r="Q1522" t="n">
        <v>0.073585</v>
      </c>
      <c r="R1522" t="n">
        <v>11816.2828</v>
      </c>
      <c r="S1522" t="n">
        <v>49823.9573</v>
      </c>
      <c r="T1522" t="n">
        <v>3209.4197</v>
      </c>
      <c r="U1522" t="n">
        <v>41217.0942</v>
      </c>
      <c r="V1522" t="n">
        <v>0.372891</v>
      </c>
      <c r="W1522" t="n">
        <v>4.788864</v>
      </c>
      <c r="X1522" t="inlineStr">
        <is>
          <t>High</t>
        </is>
      </c>
      <c r="Y1522" t="inlineStr">
        <is>
          <t>None</t>
        </is>
      </c>
      <c r="Z1522" t="inlineStr">
        <is>
          <t>Valid</t>
        </is>
      </c>
      <c r="AA1522" t="n">
        <v>2025</v>
      </c>
      <c r="AB1522" t="inlineStr">
        <is>
          <t>Supplier Target Pathway</t>
        </is>
      </c>
      <c r="AC1522" t="n">
        <v>9534.151599999999</v>
      </c>
      <c r="AD1522" t="n">
        <v>3632.5118</v>
      </c>
      <c r="AE1522" t="n">
        <v>8291.7011</v>
      </c>
      <c r="AF1522" t="n">
        <v>8291.7011</v>
      </c>
      <c r="AG1522" t="n">
        <v>1242.4505</v>
      </c>
      <c r="AH1522" t="n">
        <v>0.0006414599999999999</v>
      </c>
      <c r="AI1522" t="n">
        <v>0.130316</v>
      </c>
      <c r="AJ1522" t="n">
        <v>4659.1893</v>
      </c>
      <c r="AK1522" t="n">
        <v>310.6126</v>
      </c>
      <c r="AL1522" t="n">
        <v>49828.4877</v>
      </c>
      <c r="AM1522" t="n">
        <v>8291.7011</v>
      </c>
      <c r="AN1522" t="n">
        <v>0.99</v>
      </c>
      <c r="AO1522" t="inlineStr">
        <is>
          <t>Critical</t>
        </is>
      </c>
      <c r="AP1522" t="inlineStr">
        <is>
          <t>On Track to Glide Path</t>
        </is>
      </c>
    </row>
    <row r="1523">
      <c r="A1523" t="inlineStr">
        <is>
          <t>SUP-0096</t>
        </is>
      </c>
      <c r="B1523" t="inlineStr">
        <is>
          <t>Agriculture Supplier 096</t>
        </is>
      </c>
      <c r="C1523" t="inlineStr">
        <is>
          <t>Agriculture</t>
        </is>
      </c>
      <c r="D1523" t="n">
        <v>2024</v>
      </c>
      <c r="E1523" t="n">
        <v>2021</v>
      </c>
      <c r="F1523" t="n">
        <v>2040</v>
      </c>
      <c r="G1523" t="n">
        <v>8606.8631</v>
      </c>
      <c r="H1523" t="n">
        <v>1982.4204</v>
      </c>
      <c r="I1523" t="n">
        <v>1882.2176</v>
      </c>
      <c r="J1523" t="n">
        <v>4804.9529</v>
      </c>
      <c r="K1523" t="n">
        <v>12926260.84</v>
      </c>
      <c r="L1523" t="n">
        <v>51411015.33</v>
      </c>
      <c r="M1523" t="n">
        <v>8606.8631</v>
      </c>
      <c r="N1523" t="inlineStr">
        <is>
          <t>Provided Total Emissions</t>
        </is>
      </c>
      <c r="O1523" t="b">
        <v>1</v>
      </c>
      <c r="P1523" t="n">
        <v>0.030174</v>
      </c>
      <c r="Q1523" t="n">
        <v>0.073585</v>
      </c>
      <c r="R1523" t="n">
        <v>11816.2828</v>
      </c>
      <c r="S1523" t="n">
        <v>49823.9573</v>
      </c>
      <c r="T1523" t="n">
        <v>3209.4197</v>
      </c>
      <c r="U1523" t="n">
        <v>41217.0942</v>
      </c>
      <c r="V1523" t="n">
        <v>0.372891</v>
      </c>
      <c r="W1523" t="n">
        <v>4.788864</v>
      </c>
      <c r="X1523" t="inlineStr">
        <is>
          <t>High</t>
        </is>
      </c>
      <c r="Y1523" t="inlineStr">
        <is>
          <t>None</t>
        </is>
      </c>
      <c r="Z1523" t="inlineStr">
        <is>
          <t>Valid</t>
        </is>
      </c>
      <c r="AA1523" t="n">
        <v>2026</v>
      </c>
      <c r="AB1523" t="inlineStr">
        <is>
          <t>Supplier Target Pathway</t>
        </is>
      </c>
      <c r="AC1523" t="n">
        <v>9534.151599999999</v>
      </c>
      <c r="AD1523" t="n">
        <v>3632.5118</v>
      </c>
      <c r="AE1523" t="n">
        <v>7981.0885</v>
      </c>
      <c r="AF1523" t="n">
        <v>7981.0885</v>
      </c>
      <c r="AG1523" t="n">
        <v>1553.0631</v>
      </c>
      <c r="AH1523" t="n">
        <v>0.00061743</v>
      </c>
      <c r="AI1523" t="n">
        <v>0.162895</v>
      </c>
      <c r="AJ1523" t="n">
        <v>4348.5767</v>
      </c>
      <c r="AK1523" t="n">
        <v>310.6126</v>
      </c>
      <c r="AL1523" t="n">
        <v>41847.3992</v>
      </c>
      <c r="AM1523" t="n">
        <v>16272.7896</v>
      </c>
      <c r="AN1523" t="n">
        <v>0.99</v>
      </c>
      <c r="AO1523" t="inlineStr">
        <is>
          <t>Critical</t>
        </is>
      </c>
      <c r="AP1523" t="inlineStr">
        <is>
          <t>On Track to Glide Path</t>
        </is>
      </c>
    </row>
    <row r="1524">
      <c r="A1524" t="inlineStr">
        <is>
          <t>SUP-0096</t>
        </is>
      </c>
      <c r="B1524" t="inlineStr">
        <is>
          <t>Agriculture Supplier 096</t>
        </is>
      </c>
      <c r="C1524" t="inlineStr">
        <is>
          <t>Agriculture</t>
        </is>
      </c>
      <c r="D1524" t="n">
        <v>2024</v>
      </c>
      <c r="E1524" t="n">
        <v>2021</v>
      </c>
      <c r="F1524" t="n">
        <v>2040</v>
      </c>
      <c r="G1524" t="n">
        <v>8606.8631</v>
      </c>
      <c r="H1524" t="n">
        <v>1982.4204</v>
      </c>
      <c r="I1524" t="n">
        <v>1882.2176</v>
      </c>
      <c r="J1524" t="n">
        <v>4804.9529</v>
      </c>
      <c r="K1524" t="n">
        <v>12926260.84</v>
      </c>
      <c r="L1524" t="n">
        <v>51411015.33</v>
      </c>
      <c r="M1524" t="n">
        <v>8606.8631</v>
      </c>
      <c r="N1524" t="inlineStr">
        <is>
          <t>Provided Total Emissions</t>
        </is>
      </c>
      <c r="O1524" t="b">
        <v>1</v>
      </c>
      <c r="P1524" t="n">
        <v>0.030174</v>
      </c>
      <c r="Q1524" t="n">
        <v>0.073585</v>
      </c>
      <c r="R1524" t="n">
        <v>11816.2828</v>
      </c>
      <c r="S1524" t="n">
        <v>49823.9573</v>
      </c>
      <c r="T1524" t="n">
        <v>3209.4197</v>
      </c>
      <c r="U1524" t="n">
        <v>41217.0942</v>
      </c>
      <c r="V1524" t="n">
        <v>0.372891</v>
      </c>
      <c r="W1524" t="n">
        <v>4.788864</v>
      </c>
      <c r="X1524" t="inlineStr">
        <is>
          <t>High</t>
        </is>
      </c>
      <c r="Y1524" t="inlineStr">
        <is>
          <t>None</t>
        </is>
      </c>
      <c r="Z1524" t="inlineStr">
        <is>
          <t>Valid</t>
        </is>
      </c>
      <c r="AA1524" t="n">
        <v>2027</v>
      </c>
      <c r="AB1524" t="inlineStr">
        <is>
          <t>Supplier Target Pathway</t>
        </is>
      </c>
      <c r="AC1524" t="n">
        <v>9534.151599999999</v>
      </c>
      <c r="AD1524" t="n">
        <v>3632.5118</v>
      </c>
      <c r="AE1524" t="n">
        <v>7670.4759</v>
      </c>
      <c r="AF1524" t="n">
        <v>7670.4759</v>
      </c>
      <c r="AG1524" t="n">
        <v>1863.6757</v>
      </c>
      <c r="AH1524" t="n">
        <v>0.0005934</v>
      </c>
      <c r="AI1524" t="n">
        <v>0.195474</v>
      </c>
      <c r="AJ1524" t="n">
        <v>4037.9641</v>
      </c>
      <c r="AK1524" t="n">
        <v>310.6126</v>
      </c>
      <c r="AL1524" t="n">
        <v>34176.9233</v>
      </c>
      <c r="AM1524" t="n">
        <v>23943.2655</v>
      </c>
      <c r="AN1524" t="n">
        <v>0.99</v>
      </c>
      <c r="AO1524" t="inlineStr">
        <is>
          <t>Critical</t>
        </is>
      </c>
      <c r="AP1524" t="inlineStr">
        <is>
          <t>On Track to Glide Path</t>
        </is>
      </c>
    </row>
    <row r="1525">
      <c r="A1525" t="inlineStr">
        <is>
          <t>SUP-0096</t>
        </is>
      </c>
      <c r="B1525" t="inlineStr">
        <is>
          <t>Agriculture Supplier 096</t>
        </is>
      </c>
      <c r="C1525" t="inlineStr">
        <is>
          <t>Agriculture</t>
        </is>
      </c>
      <c r="D1525" t="n">
        <v>2024</v>
      </c>
      <c r="E1525" t="n">
        <v>2021</v>
      </c>
      <c r="F1525" t="n">
        <v>2040</v>
      </c>
      <c r="G1525" t="n">
        <v>8606.8631</v>
      </c>
      <c r="H1525" t="n">
        <v>1982.4204</v>
      </c>
      <c r="I1525" t="n">
        <v>1882.2176</v>
      </c>
      <c r="J1525" t="n">
        <v>4804.9529</v>
      </c>
      <c r="K1525" t="n">
        <v>12926260.84</v>
      </c>
      <c r="L1525" t="n">
        <v>51411015.33</v>
      </c>
      <c r="M1525" t="n">
        <v>8606.8631</v>
      </c>
      <c r="N1525" t="inlineStr">
        <is>
          <t>Provided Total Emissions</t>
        </is>
      </c>
      <c r="O1525" t="b">
        <v>1</v>
      </c>
      <c r="P1525" t="n">
        <v>0.030174</v>
      </c>
      <c r="Q1525" t="n">
        <v>0.073585</v>
      </c>
      <c r="R1525" t="n">
        <v>11816.2828</v>
      </c>
      <c r="S1525" t="n">
        <v>49823.9573</v>
      </c>
      <c r="T1525" t="n">
        <v>3209.4197</v>
      </c>
      <c r="U1525" t="n">
        <v>41217.0942</v>
      </c>
      <c r="V1525" t="n">
        <v>0.372891</v>
      </c>
      <c r="W1525" t="n">
        <v>4.788864</v>
      </c>
      <c r="X1525" t="inlineStr">
        <is>
          <t>High</t>
        </is>
      </c>
      <c r="Y1525" t="inlineStr">
        <is>
          <t>None</t>
        </is>
      </c>
      <c r="Z1525" t="inlineStr">
        <is>
          <t>Valid</t>
        </is>
      </c>
      <c r="AA1525" t="n">
        <v>2028</v>
      </c>
      <c r="AB1525" t="inlineStr">
        <is>
          <t>Supplier Target Pathway</t>
        </is>
      </c>
      <c r="AC1525" t="n">
        <v>9534.151599999999</v>
      </c>
      <c r="AD1525" t="n">
        <v>3632.5118</v>
      </c>
      <c r="AE1525" t="n">
        <v>7359.8632</v>
      </c>
      <c r="AF1525" t="n">
        <v>7359.8632</v>
      </c>
      <c r="AG1525" t="n">
        <v>2174.2884</v>
      </c>
      <c r="AH1525" t="n">
        <v>0.00056937</v>
      </c>
      <c r="AI1525" t="n">
        <v>0.228053</v>
      </c>
      <c r="AJ1525" t="n">
        <v>3727.3515</v>
      </c>
      <c r="AK1525" t="n">
        <v>310.6126</v>
      </c>
      <c r="AL1525" t="n">
        <v>26817.0601</v>
      </c>
      <c r="AM1525" t="n">
        <v>31303.1287</v>
      </c>
      <c r="AN1525" t="n">
        <v>0.99</v>
      </c>
      <c r="AO1525" t="inlineStr">
        <is>
          <t>Critical</t>
        </is>
      </c>
      <c r="AP1525" t="inlineStr">
        <is>
          <t>On Track to Glide Path</t>
        </is>
      </c>
    </row>
    <row r="1526">
      <c r="A1526" t="inlineStr">
        <is>
          <t>SUP-0096</t>
        </is>
      </c>
      <c r="B1526" t="inlineStr">
        <is>
          <t>Agriculture Supplier 096</t>
        </is>
      </c>
      <c r="C1526" t="inlineStr">
        <is>
          <t>Agriculture</t>
        </is>
      </c>
      <c r="D1526" t="n">
        <v>2024</v>
      </c>
      <c r="E1526" t="n">
        <v>2021</v>
      </c>
      <c r="F1526" t="n">
        <v>2040</v>
      </c>
      <c r="G1526" t="n">
        <v>8606.8631</v>
      </c>
      <c r="H1526" t="n">
        <v>1982.4204</v>
      </c>
      <c r="I1526" t="n">
        <v>1882.2176</v>
      </c>
      <c r="J1526" t="n">
        <v>4804.9529</v>
      </c>
      <c r="K1526" t="n">
        <v>12926260.84</v>
      </c>
      <c r="L1526" t="n">
        <v>51411015.33</v>
      </c>
      <c r="M1526" t="n">
        <v>8606.8631</v>
      </c>
      <c r="N1526" t="inlineStr">
        <is>
          <t>Provided Total Emissions</t>
        </is>
      </c>
      <c r="O1526" t="b">
        <v>1</v>
      </c>
      <c r="P1526" t="n">
        <v>0.030174</v>
      </c>
      <c r="Q1526" t="n">
        <v>0.073585</v>
      </c>
      <c r="R1526" t="n">
        <v>11816.2828</v>
      </c>
      <c r="S1526" t="n">
        <v>49823.9573</v>
      </c>
      <c r="T1526" t="n">
        <v>3209.4197</v>
      </c>
      <c r="U1526" t="n">
        <v>41217.0942</v>
      </c>
      <c r="V1526" t="n">
        <v>0.372891</v>
      </c>
      <c r="W1526" t="n">
        <v>4.788864</v>
      </c>
      <c r="X1526" t="inlineStr">
        <is>
          <t>High</t>
        </is>
      </c>
      <c r="Y1526" t="inlineStr">
        <is>
          <t>None</t>
        </is>
      </c>
      <c r="Z1526" t="inlineStr">
        <is>
          <t>Valid</t>
        </is>
      </c>
      <c r="AA1526" t="n">
        <v>2029</v>
      </c>
      <c r="AB1526" t="inlineStr">
        <is>
          <t>Supplier Target Pathway</t>
        </is>
      </c>
      <c r="AC1526" t="n">
        <v>9534.151599999999</v>
      </c>
      <c r="AD1526" t="n">
        <v>3632.5118</v>
      </c>
      <c r="AE1526" t="n">
        <v>7049.2506</v>
      </c>
      <c r="AF1526" t="n">
        <v>7049.2506</v>
      </c>
      <c r="AG1526" t="n">
        <v>2484.901</v>
      </c>
      <c r="AH1526" t="n">
        <v>0.00054534</v>
      </c>
      <c r="AI1526" t="n">
        <v>0.260632</v>
      </c>
      <c r="AJ1526" t="n">
        <v>3416.7389</v>
      </c>
      <c r="AK1526" t="n">
        <v>310.6126</v>
      </c>
      <c r="AL1526" t="n">
        <v>19767.8095</v>
      </c>
      <c r="AM1526" t="n">
        <v>38352.3793</v>
      </c>
      <c r="AN1526" t="n">
        <v>0.99</v>
      </c>
      <c r="AO1526" t="inlineStr">
        <is>
          <t>Critical</t>
        </is>
      </c>
      <c r="AP1526" t="inlineStr">
        <is>
          <t>On Track to Glide Path</t>
        </is>
      </c>
    </row>
    <row r="1527">
      <c r="A1527" t="inlineStr">
        <is>
          <t>SUP-0096</t>
        </is>
      </c>
      <c r="B1527" t="inlineStr">
        <is>
          <t>Agriculture Supplier 096</t>
        </is>
      </c>
      <c r="C1527" t="inlineStr">
        <is>
          <t>Agriculture</t>
        </is>
      </c>
      <c r="D1527" t="n">
        <v>2024</v>
      </c>
      <c r="E1527" t="n">
        <v>2021</v>
      </c>
      <c r="F1527" t="n">
        <v>2040</v>
      </c>
      <c r="G1527" t="n">
        <v>8606.8631</v>
      </c>
      <c r="H1527" t="n">
        <v>1982.4204</v>
      </c>
      <c r="I1527" t="n">
        <v>1882.2176</v>
      </c>
      <c r="J1527" t="n">
        <v>4804.9529</v>
      </c>
      <c r="K1527" t="n">
        <v>12926260.84</v>
      </c>
      <c r="L1527" t="n">
        <v>51411015.33</v>
      </c>
      <c r="M1527" t="n">
        <v>8606.8631</v>
      </c>
      <c r="N1527" t="inlineStr">
        <is>
          <t>Provided Total Emissions</t>
        </is>
      </c>
      <c r="O1527" t="b">
        <v>1</v>
      </c>
      <c r="P1527" t="n">
        <v>0.030174</v>
      </c>
      <c r="Q1527" t="n">
        <v>0.073585</v>
      </c>
      <c r="R1527" t="n">
        <v>11816.2828</v>
      </c>
      <c r="S1527" t="n">
        <v>49823.9573</v>
      </c>
      <c r="T1527" t="n">
        <v>3209.4197</v>
      </c>
      <c r="U1527" t="n">
        <v>41217.0942</v>
      </c>
      <c r="V1527" t="n">
        <v>0.372891</v>
      </c>
      <c r="W1527" t="n">
        <v>4.788864</v>
      </c>
      <c r="X1527" t="inlineStr">
        <is>
          <t>High</t>
        </is>
      </c>
      <c r="Y1527" t="inlineStr">
        <is>
          <t>None</t>
        </is>
      </c>
      <c r="Z1527" t="inlineStr">
        <is>
          <t>Valid</t>
        </is>
      </c>
      <c r="AA1527" t="n">
        <v>2030</v>
      </c>
      <c r="AB1527" t="inlineStr">
        <is>
          <t>Supplier Target Pathway</t>
        </is>
      </c>
      <c r="AC1527" t="n">
        <v>9534.151599999999</v>
      </c>
      <c r="AD1527" t="n">
        <v>3632.5118</v>
      </c>
      <c r="AE1527" t="n">
        <v>6738.638</v>
      </c>
      <c r="AF1527" t="n">
        <v>6738.638</v>
      </c>
      <c r="AG1527" t="n">
        <v>2795.5136</v>
      </c>
      <c r="AH1527" t="n">
        <v>0.00052131</v>
      </c>
      <c r="AI1527" t="n">
        <v>0.293211</v>
      </c>
      <c r="AJ1527" t="n">
        <v>3106.1262</v>
      </c>
      <c r="AK1527" t="n">
        <v>310.6126</v>
      </c>
      <c r="AL1527" t="n">
        <v>13029.1715</v>
      </c>
      <c r="AM1527" t="n">
        <v>45091.0173</v>
      </c>
      <c r="AN1527" t="n">
        <v>0.99</v>
      </c>
      <c r="AO1527" t="inlineStr">
        <is>
          <t>Critical</t>
        </is>
      </c>
      <c r="AP1527" t="inlineStr">
        <is>
          <t>On Track to Glide Path</t>
        </is>
      </c>
    </row>
    <row r="1528">
      <c r="A1528" t="inlineStr">
        <is>
          <t>SUP-0096</t>
        </is>
      </c>
      <c r="B1528" t="inlineStr">
        <is>
          <t>Agriculture Supplier 096</t>
        </is>
      </c>
      <c r="C1528" t="inlineStr">
        <is>
          <t>Agriculture</t>
        </is>
      </c>
      <c r="D1528" t="n">
        <v>2024</v>
      </c>
      <c r="E1528" t="n">
        <v>2021</v>
      </c>
      <c r="F1528" t="n">
        <v>2040</v>
      </c>
      <c r="G1528" t="n">
        <v>8606.8631</v>
      </c>
      <c r="H1528" t="n">
        <v>1982.4204</v>
      </c>
      <c r="I1528" t="n">
        <v>1882.2176</v>
      </c>
      <c r="J1528" t="n">
        <v>4804.9529</v>
      </c>
      <c r="K1528" t="n">
        <v>12926260.84</v>
      </c>
      <c r="L1528" t="n">
        <v>51411015.33</v>
      </c>
      <c r="M1528" t="n">
        <v>8606.8631</v>
      </c>
      <c r="N1528" t="inlineStr">
        <is>
          <t>Provided Total Emissions</t>
        </is>
      </c>
      <c r="O1528" t="b">
        <v>1</v>
      </c>
      <c r="P1528" t="n">
        <v>0.030174</v>
      </c>
      <c r="Q1528" t="n">
        <v>0.073585</v>
      </c>
      <c r="R1528" t="n">
        <v>11816.2828</v>
      </c>
      <c r="S1528" t="n">
        <v>49823.9573</v>
      </c>
      <c r="T1528" t="n">
        <v>3209.4197</v>
      </c>
      <c r="U1528" t="n">
        <v>41217.0942</v>
      </c>
      <c r="V1528" t="n">
        <v>0.372891</v>
      </c>
      <c r="W1528" t="n">
        <v>4.788864</v>
      </c>
      <c r="X1528" t="inlineStr">
        <is>
          <t>High</t>
        </is>
      </c>
      <c r="Y1528" t="inlineStr">
        <is>
          <t>None</t>
        </is>
      </c>
      <c r="Z1528" t="inlineStr">
        <is>
          <t>Valid</t>
        </is>
      </c>
      <c r="AA1528" t="n">
        <v>2031</v>
      </c>
      <c r="AB1528" t="inlineStr">
        <is>
          <t>Supplier Target Pathway</t>
        </is>
      </c>
      <c r="AC1528" t="n">
        <v>9534.151599999999</v>
      </c>
      <c r="AD1528" t="n">
        <v>3632.5118</v>
      </c>
      <c r="AE1528" t="n">
        <v>6428.0254</v>
      </c>
      <c r="AF1528" t="n">
        <v>6428.0254</v>
      </c>
      <c r="AG1528" t="n">
        <v>3106.1262</v>
      </c>
      <c r="AH1528" t="n">
        <v>0.00049728</v>
      </c>
      <c r="AI1528" t="n">
        <v>0.325789</v>
      </c>
      <c r="AJ1528" t="n">
        <v>2795.5136</v>
      </c>
      <c r="AK1528" t="n">
        <v>310.6126</v>
      </c>
      <c r="AL1528" t="n">
        <v>6601.1461</v>
      </c>
      <c r="AM1528" t="n">
        <v>51519.0427</v>
      </c>
      <c r="AN1528" t="n">
        <v>0.99</v>
      </c>
      <c r="AO1528" t="inlineStr">
        <is>
          <t>Critical</t>
        </is>
      </c>
      <c r="AP1528" t="inlineStr">
        <is>
          <t>On Track to Glide Path</t>
        </is>
      </c>
    </row>
    <row r="1529">
      <c r="A1529" t="inlineStr">
        <is>
          <t>SUP-0096</t>
        </is>
      </c>
      <c r="B1529" t="inlineStr">
        <is>
          <t>Agriculture Supplier 096</t>
        </is>
      </c>
      <c r="C1529" t="inlineStr">
        <is>
          <t>Agriculture</t>
        </is>
      </c>
      <c r="D1529" t="n">
        <v>2024</v>
      </c>
      <c r="E1529" t="n">
        <v>2021</v>
      </c>
      <c r="F1529" t="n">
        <v>2040</v>
      </c>
      <c r="G1529" t="n">
        <v>8606.8631</v>
      </c>
      <c r="H1529" t="n">
        <v>1982.4204</v>
      </c>
      <c r="I1529" t="n">
        <v>1882.2176</v>
      </c>
      <c r="J1529" t="n">
        <v>4804.9529</v>
      </c>
      <c r="K1529" t="n">
        <v>12926260.84</v>
      </c>
      <c r="L1529" t="n">
        <v>51411015.33</v>
      </c>
      <c r="M1529" t="n">
        <v>8606.8631</v>
      </c>
      <c r="N1529" t="inlineStr">
        <is>
          <t>Provided Total Emissions</t>
        </is>
      </c>
      <c r="O1529" t="b">
        <v>1</v>
      </c>
      <c r="P1529" t="n">
        <v>0.030174</v>
      </c>
      <c r="Q1529" t="n">
        <v>0.073585</v>
      </c>
      <c r="R1529" t="n">
        <v>11816.2828</v>
      </c>
      <c r="S1529" t="n">
        <v>49823.9573</v>
      </c>
      <c r="T1529" t="n">
        <v>3209.4197</v>
      </c>
      <c r="U1529" t="n">
        <v>41217.0942</v>
      </c>
      <c r="V1529" t="n">
        <v>0.372891</v>
      </c>
      <c r="W1529" t="n">
        <v>4.788864</v>
      </c>
      <c r="X1529" t="inlineStr">
        <is>
          <t>High</t>
        </is>
      </c>
      <c r="Y1529" t="inlineStr">
        <is>
          <t>None</t>
        </is>
      </c>
      <c r="Z1529" t="inlineStr">
        <is>
          <t>Valid</t>
        </is>
      </c>
      <c r="AA1529" t="n">
        <v>2032</v>
      </c>
      <c r="AB1529" t="inlineStr">
        <is>
          <t>Supplier Target Pathway</t>
        </is>
      </c>
      <c r="AC1529" t="n">
        <v>9534.151599999999</v>
      </c>
      <c r="AD1529" t="n">
        <v>3632.5118</v>
      </c>
      <c r="AE1529" t="n">
        <v>6117.4127</v>
      </c>
      <c r="AF1529" t="n">
        <v>6117.4127</v>
      </c>
      <c r="AG1529" t="n">
        <v>3416.7389</v>
      </c>
      <c r="AH1529" t="n">
        <v>0.00047325</v>
      </c>
      <c r="AI1529" t="n">
        <v>0.358368</v>
      </c>
      <c r="AJ1529" t="n">
        <v>2484.901</v>
      </c>
      <c r="AK1529" t="n">
        <v>310.6126</v>
      </c>
      <c r="AL1529" t="n">
        <v>483.7334</v>
      </c>
      <c r="AM1529" t="n">
        <v>57636.4554</v>
      </c>
      <c r="AN1529" t="n">
        <v>0.99</v>
      </c>
      <c r="AO1529" t="inlineStr">
        <is>
          <t>Critical</t>
        </is>
      </c>
      <c r="AP1529" t="inlineStr">
        <is>
          <t>On Track to Glide Path</t>
        </is>
      </c>
    </row>
    <row r="1530">
      <c r="A1530" t="inlineStr">
        <is>
          <t>SUP-0096</t>
        </is>
      </c>
      <c r="B1530" t="inlineStr">
        <is>
          <t>Agriculture Supplier 096</t>
        </is>
      </c>
      <c r="C1530" t="inlineStr">
        <is>
          <t>Agriculture</t>
        </is>
      </c>
      <c r="D1530" t="n">
        <v>2024</v>
      </c>
      <c r="E1530" t="n">
        <v>2021</v>
      </c>
      <c r="F1530" t="n">
        <v>2040</v>
      </c>
      <c r="G1530" t="n">
        <v>8606.8631</v>
      </c>
      <c r="H1530" t="n">
        <v>1982.4204</v>
      </c>
      <c r="I1530" t="n">
        <v>1882.2176</v>
      </c>
      <c r="J1530" t="n">
        <v>4804.9529</v>
      </c>
      <c r="K1530" t="n">
        <v>12926260.84</v>
      </c>
      <c r="L1530" t="n">
        <v>51411015.33</v>
      </c>
      <c r="M1530" t="n">
        <v>8606.8631</v>
      </c>
      <c r="N1530" t="inlineStr">
        <is>
          <t>Provided Total Emissions</t>
        </is>
      </c>
      <c r="O1530" t="b">
        <v>1</v>
      </c>
      <c r="P1530" t="n">
        <v>0.030174</v>
      </c>
      <c r="Q1530" t="n">
        <v>0.073585</v>
      </c>
      <c r="R1530" t="n">
        <v>11816.2828</v>
      </c>
      <c r="S1530" t="n">
        <v>49823.9573</v>
      </c>
      <c r="T1530" t="n">
        <v>3209.4197</v>
      </c>
      <c r="U1530" t="n">
        <v>41217.0942</v>
      </c>
      <c r="V1530" t="n">
        <v>0.372891</v>
      </c>
      <c r="W1530" t="n">
        <v>4.788864</v>
      </c>
      <c r="X1530" t="inlineStr">
        <is>
          <t>High</t>
        </is>
      </c>
      <c r="Y1530" t="inlineStr">
        <is>
          <t>None</t>
        </is>
      </c>
      <c r="Z1530" t="inlineStr">
        <is>
          <t>Valid</t>
        </is>
      </c>
      <c r="AA1530" t="n">
        <v>2033</v>
      </c>
      <c r="AB1530" t="inlineStr">
        <is>
          <t>Supplier Target Pathway</t>
        </is>
      </c>
      <c r="AC1530" t="n">
        <v>9534.151599999999</v>
      </c>
      <c r="AD1530" t="n">
        <v>3632.5118</v>
      </c>
      <c r="AE1530" t="n">
        <v>5806.8001</v>
      </c>
      <c r="AF1530" t="n">
        <v>5806.8001</v>
      </c>
      <c r="AG1530" t="n">
        <v>3727.3515</v>
      </c>
      <c r="AH1530" t="n">
        <v>0.00044923</v>
      </c>
      <c r="AI1530" t="n">
        <v>0.390947</v>
      </c>
      <c r="AJ1530" t="n">
        <v>2174.2884</v>
      </c>
      <c r="AK1530" t="n">
        <v>310.6126</v>
      </c>
      <c r="AL1530" t="n">
        <v>-5323.0667</v>
      </c>
      <c r="AM1530" t="n">
        <v>63443.2555</v>
      </c>
      <c r="AN1530" t="n">
        <v>0.99</v>
      </c>
      <c r="AO1530" t="inlineStr">
        <is>
          <t>Critical</t>
        </is>
      </c>
      <c r="AP1530" t="inlineStr">
        <is>
          <t>On Track to Glide Path</t>
        </is>
      </c>
    </row>
    <row r="1531">
      <c r="A1531" t="inlineStr">
        <is>
          <t>SUP-0096</t>
        </is>
      </c>
      <c r="B1531" t="inlineStr">
        <is>
          <t>Agriculture Supplier 096</t>
        </is>
      </c>
      <c r="C1531" t="inlineStr">
        <is>
          <t>Agriculture</t>
        </is>
      </c>
      <c r="D1531" t="n">
        <v>2024</v>
      </c>
      <c r="E1531" t="n">
        <v>2021</v>
      </c>
      <c r="F1531" t="n">
        <v>2040</v>
      </c>
      <c r="G1531" t="n">
        <v>8606.8631</v>
      </c>
      <c r="H1531" t="n">
        <v>1982.4204</v>
      </c>
      <c r="I1531" t="n">
        <v>1882.2176</v>
      </c>
      <c r="J1531" t="n">
        <v>4804.9529</v>
      </c>
      <c r="K1531" t="n">
        <v>12926260.84</v>
      </c>
      <c r="L1531" t="n">
        <v>51411015.33</v>
      </c>
      <c r="M1531" t="n">
        <v>8606.8631</v>
      </c>
      <c r="N1531" t="inlineStr">
        <is>
          <t>Provided Total Emissions</t>
        </is>
      </c>
      <c r="O1531" t="b">
        <v>1</v>
      </c>
      <c r="P1531" t="n">
        <v>0.030174</v>
      </c>
      <c r="Q1531" t="n">
        <v>0.073585</v>
      </c>
      <c r="R1531" t="n">
        <v>11816.2828</v>
      </c>
      <c r="S1531" t="n">
        <v>49823.9573</v>
      </c>
      <c r="T1531" t="n">
        <v>3209.4197</v>
      </c>
      <c r="U1531" t="n">
        <v>41217.0942</v>
      </c>
      <c r="V1531" t="n">
        <v>0.372891</v>
      </c>
      <c r="W1531" t="n">
        <v>4.788864</v>
      </c>
      <c r="X1531" t="inlineStr">
        <is>
          <t>High</t>
        </is>
      </c>
      <c r="Y1531" t="inlineStr">
        <is>
          <t>None</t>
        </is>
      </c>
      <c r="Z1531" t="inlineStr">
        <is>
          <t>Valid</t>
        </is>
      </c>
      <c r="AA1531" t="n">
        <v>2034</v>
      </c>
      <c r="AB1531" t="inlineStr">
        <is>
          <t>Supplier Target Pathway</t>
        </is>
      </c>
      <c r="AC1531" t="n">
        <v>9534.151599999999</v>
      </c>
      <c r="AD1531" t="n">
        <v>3632.5118</v>
      </c>
      <c r="AE1531" t="n">
        <v>5496.1875</v>
      </c>
      <c r="AF1531" t="n">
        <v>5496.1875</v>
      </c>
      <c r="AG1531" t="n">
        <v>4037.9641</v>
      </c>
      <c r="AH1531" t="n">
        <v>0.0004252</v>
      </c>
      <c r="AI1531" t="n">
        <v>0.423526</v>
      </c>
      <c r="AJ1531" t="n">
        <v>1863.6757</v>
      </c>
      <c r="AK1531" t="n">
        <v>310.6126</v>
      </c>
      <c r="AL1531" t="n">
        <v>-10819.2542</v>
      </c>
      <c r="AM1531" t="n">
        <v>68939.443</v>
      </c>
      <c r="AN1531" t="n">
        <v>0.99</v>
      </c>
      <c r="AO1531" t="inlineStr">
        <is>
          <t>Critical</t>
        </is>
      </c>
      <c r="AP1531" t="inlineStr">
        <is>
          <t>On Track to Glide Path</t>
        </is>
      </c>
    </row>
    <row r="1532">
      <c r="A1532" t="inlineStr">
        <is>
          <t>SUP-0096</t>
        </is>
      </c>
      <c r="B1532" t="inlineStr">
        <is>
          <t>Agriculture Supplier 096</t>
        </is>
      </c>
      <c r="C1532" t="inlineStr">
        <is>
          <t>Agriculture</t>
        </is>
      </c>
      <c r="D1532" t="n">
        <v>2024</v>
      </c>
      <c r="E1532" t="n">
        <v>2021</v>
      </c>
      <c r="F1532" t="n">
        <v>2040</v>
      </c>
      <c r="G1532" t="n">
        <v>8606.8631</v>
      </c>
      <c r="H1532" t="n">
        <v>1982.4204</v>
      </c>
      <c r="I1532" t="n">
        <v>1882.2176</v>
      </c>
      <c r="J1532" t="n">
        <v>4804.9529</v>
      </c>
      <c r="K1532" t="n">
        <v>12926260.84</v>
      </c>
      <c r="L1532" t="n">
        <v>51411015.33</v>
      </c>
      <c r="M1532" t="n">
        <v>8606.8631</v>
      </c>
      <c r="N1532" t="inlineStr">
        <is>
          <t>Provided Total Emissions</t>
        </is>
      </c>
      <c r="O1532" t="b">
        <v>1</v>
      </c>
      <c r="P1532" t="n">
        <v>0.030174</v>
      </c>
      <c r="Q1532" t="n">
        <v>0.073585</v>
      </c>
      <c r="R1532" t="n">
        <v>11816.2828</v>
      </c>
      <c r="S1532" t="n">
        <v>49823.9573</v>
      </c>
      <c r="T1532" t="n">
        <v>3209.4197</v>
      </c>
      <c r="U1532" t="n">
        <v>41217.0942</v>
      </c>
      <c r="V1532" t="n">
        <v>0.372891</v>
      </c>
      <c r="W1532" t="n">
        <v>4.788864</v>
      </c>
      <c r="X1532" t="inlineStr">
        <is>
          <t>High</t>
        </is>
      </c>
      <c r="Y1532" t="inlineStr">
        <is>
          <t>None</t>
        </is>
      </c>
      <c r="Z1532" t="inlineStr">
        <is>
          <t>Valid</t>
        </is>
      </c>
      <c r="AA1532" t="n">
        <v>2035</v>
      </c>
      <c r="AB1532" t="inlineStr">
        <is>
          <t>Supplier Target Pathway</t>
        </is>
      </c>
      <c r="AC1532" t="n">
        <v>9534.151599999999</v>
      </c>
      <c r="AD1532" t="n">
        <v>3632.5118</v>
      </c>
      <c r="AE1532" t="n">
        <v>5185.5749</v>
      </c>
      <c r="AF1532" t="n">
        <v>5185.5749</v>
      </c>
      <c r="AG1532" t="n">
        <v>4348.5767</v>
      </c>
      <c r="AH1532" t="n">
        <v>0.00040117</v>
      </c>
      <c r="AI1532" t="n">
        <v>0.456105</v>
      </c>
      <c r="AJ1532" t="n">
        <v>1553.0631</v>
      </c>
      <c r="AK1532" t="n">
        <v>310.6126</v>
      </c>
      <c r="AL1532" t="n">
        <v>-16004.8291</v>
      </c>
      <c r="AM1532" t="n">
        <v>74125.01790000001</v>
      </c>
      <c r="AN1532" t="n">
        <v>0.99</v>
      </c>
      <c r="AO1532" t="inlineStr">
        <is>
          <t>Critical</t>
        </is>
      </c>
      <c r="AP1532" t="inlineStr">
        <is>
          <t>On Track to Glide Path</t>
        </is>
      </c>
    </row>
    <row r="1533">
      <c r="A1533" t="inlineStr">
        <is>
          <t>SUP-0096</t>
        </is>
      </c>
      <c r="B1533" t="inlineStr">
        <is>
          <t>Agriculture Supplier 096</t>
        </is>
      </c>
      <c r="C1533" t="inlineStr">
        <is>
          <t>Agriculture</t>
        </is>
      </c>
      <c r="D1533" t="n">
        <v>2024</v>
      </c>
      <c r="E1533" t="n">
        <v>2021</v>
      </c>
      <c r="F1533" t="n">
        <v>2040</v>
      </c>
      <c r="G1533" t="n">
        <v>8606.8631</v>
      </c>
      <c r="H1533" t="n">
        <v>1982.4204</v>
      </c>
      <c r="I1533" t="n">
        <v>1882.2176</v>
      </c>
      <c r="J1533" t="n">
        <v>4804.9529</v>
      </c>
      <c r="K1533" t="n">
        <v>12926260.84</v>
      </c>
      <c r="L1533" t="n">
        <v>51411015.33</v>
      </c>
      <c r="M1533" t="n">
        <v>8606.8631</v>
      </c>
      <c r="N1533" t="inlineStr">
        <is>
          <t>Provided Total Emissions</t>
        </is>
      </c>
      <c r="O1533" t="b">
        <v>1</v>
      </c>
      <c r="P1533" t="n">
        <v>0.030174</v>
      </c>
      <c r="Q1533" t="n">
        <v>0.073585</v>
      </c>
      <c r="R1533" t="n">
        <v>11816.2828</v>
      </c>
      <c r="S1533" t="n">
        <v>49823.9573</v>
      </c>
      <c r="T1533" t="n">
        <v>3209.4197</v>
      </c>
      <c r="U1533" t="n">
        <v>41217.0942</v>
      </c>
      <c r="V1533" t="n">
        <v>0.372891</v>
      </c>
      <c r="W1533" t="n">
        <v>4.788864</v>
      </c>
      <c r="X1533" t="inlineStr">
        <is>
          <t>High</t>
        </is>
      </c>
      <c r="Y1533" t="inlineStr">
        <is>
          <t>None</t>
        </is>
      </c>
      <c r="Z1533" t="inlineStr">
        <is>
          <t>Valid</t>
        </is>
      </c>
      <c r="AA1533" t="n">
        <v>2036</v>
      </c>
      <c r="AB1533" t="inlineStr">
        <is>
          <t>Supplier Target Pathway</t>
        </is>
      </c>
      <c r="AC1533" t="n">
        <v>9534.151599999999</v>
      </c>
      <c r="AD1533" t="n">
        <v>3632.5118</v>
      </c>
      <c r="AE1533" t="n">
        <v>4874.9623</v>
      </c>
      <c r="AF1533" t="n">
        <v>4874.9623</v>
      </c>
      <c r="AG1533" t="n">
        <v>4659.1893</v>
      </c>
      <c r="AH1533" t="n">
        <v>0.00037714</v>
      </c>
      <c r="AI1533" t="n">
        <v>0.488684</v>
      </c>
      <c r="AJ1533" t="n">
        <v>1242.4505</v>
      </c>
      <c r="AK1533" t="n">
        <v>310.6126</v>
      </c>
      <c r="AL1533" t="n">
        <v>-20879.7914</v>
      </c>
      <c r="AM1533" t="n">
        <v>78999.98020000001</v>
      </c>
      <c r="AN1533" t="n">
        <v>0.99</v>
      </c>
      <c r="AO1533" t="inlineStr">
        <is>
          <t>High</t>
        </is>
      </c>
      <c r="AP1533" t="inlineStr">
        <is>
          <t>On Track to Glide Path</t>
        </is>
      </c>
    </row>
    <row r="1534">
      <c r="A1534" t="inlineStr">
        <is>
          <t>SUP-0096</t>
        </is>
      </c>
      <c r="B1534" t="inlineStr">
        <is>
          <t>Agriculture Supplier 096</t>
        </is>
      </c>
      <c r="C1534" t="inlineStr">
        <is>
          <t>Agriculture</t>
        </is>
      </c>
      <c r="D1534" t="n">
        <v>2024</v>
      </c>
      <c r="E1534" t="n">
        <v>2021</v>
      </c>
      <c r="F1534" t="n">
        <v>2040</v>
      </c>
      <c r="G1534" t="n">
        <v>8606.8631</v>
      </c>
      <c r="H1534" t="n">
        <v>1982.4204</v>
      </c>
      <c r="I1534" t="n">
        <v>1882.2176</v>
      </c>
      <c r="J1534" t="n">
        <v>4804.9529</v>
      </c>
      <c r="K1534" t="n">
        <v>12926260.84</v>
      </c>
      <c r="L1534" t="n">
        <v>51411015.33</v>
      </c>
      <c r="M1534" t="n">
        <v>8606.8631</v>
      </c>
      <c r="N1534" t="inlineStr">
        <is>
          <t>Provided Total Emissions</t>
        </is>
      </c>
      <c r="O1534" t="b">
        <v>1</v>
      </c>
      <c r="P1534" t="n">
        <v>0.030174</v>
      </c>
      <c r="Q1534" t="n">
        <v>0.073585</v>
      </c>
      <c r="R1534" t="n">
        <v>11816.2828</v>
      </c>
      <c r="S1534" t="n">
        <v>49823.9573</v>
      </c>
      <c r="T1534" t="n">
        <v>3209.4197</v>
      </c>
      <c r="U1534" t="n">
        <v>41217.0942</v>
      </c>
      <c r="V1534" t="n">
        <v>0.372891</v>
      </c>
      <c r="W1534" t="n">
        <v>4.788864</v>
      </c>
      <c r="X1534" t="inlineStr">
        <is>
          <t>High</t>
        </is>
      </c>
      <c r="Y1534" t="inlineStr">
        <is>
          <t>None</t>
        </is>
      </c>
      <c r="Z1534" t="inlineStr">
        <is>
          <t>Valid</t>
        </is>
      </c>
      <c r="AA1534" t="n">
        <v>2037</v>
      </c>
      <c r="AB1534" t="inlineStr">
        <is>
          <t>Supplier Target Pathway</t>
        </is>
      </c>
      <c r="AC1534" t="n">
        <v>9534.151599999999</v>
      </c>
      <c r="AD1534" t="n">
        <v>3632.5118</v>
      </c>
      <c r="AE1534" t="n">
        <v>4564.3496</v>
      </c>
      <c r="AF1534" t="n">
        <v>4564.3496</v>
      </c>
      <c r="AG1534" t="n">
        <v>4969.802</v>
      </c>
      <c r="AH1534" t="n">
        <v>0.00035311</v>
      </c>
      <c r="AI1534" t="n">
        <v>0.521263</v>
      </c>
      <c r="AJ1534" t="n">
        <v>931.8379</v>
      </c>
      <c r="AK1534" t="n">
        <v>310.6126</v>
      </c>
      <c r="AL1534" t="n">
        <v>-25444.141</v>
      </c>
      <c r="AM1534" t="n">
        <v>83564.32980000001</v>
      </c>
      <c r="AN1534" t="n">
        <v>0.99</v>
      </c>
      <c r="AO1534" t="inlineStr">
        <is>
          <t>High</t>
        </is>
      </c>
      <c r="AP1534" t="inlineStr">
        <is>
          <t>On Track to Glide Path</t>
        </is>
      </c>
    </row>
    <row r="1535">
      <c r="A1535" t="inlineStr">
        <is>
          <t>SUP-0096</t>
        </is>
      </c>
      <c r="B1535" t="inlineStr">
        <is>
          <t>Agriculture Supplier 096</t>
        </is>
      </c>
      <c r="C1535" t="inlineStr">
        <is>
          <t>Agriculture</t>
        </is>
      </c>
      <c r="D1535" t="n">
        <v>2024</v>
      </c>
      <c r="E1535" t="n">
        <v>2021</v>
      </c>
      <c r="F1535" t="n">
        <v>2040</v>
      </c>
      <c r="G1535" t="n">
        <v>8606.8631</v>
      </c>
      <c r="H1535" t="n">
        <v>1982.4204</v>
      </c>
      <c r="I1535" t="n">
        <v>1882.2176</v>
      </c>
      <c r="J1535" t="n">
        <v>4804.9529</v>
      </c>
      <c r="K1535" t="n">
        <v>12926260.84</v>
      </c>
      <c r="L1535" t="n">
        <v>51411015.33</v>
      </c>
      <c r="M1535" t="n">
        <v>8606.8631</v>
      </c>
      <c r="N1535" t="inlineStr">
        <is>
          <t>Provided Total Emissions</t>
        </is>
      </c>
      <c r="O1535" t="b">
        <v>1</v>
      </c>
      <c r="P1535" t="n">
        <v>0.030174</v>
      </c>
      <c r="Q1535" t="n">
        <v>0.073585</v>
      </c>
      <c r="R1535" t="n">
        <v>11816.2828</v>
      </c>
      <c r="S1535" t="n">
        <v>49823.9573</v>
      </c>
      <c r="T1535" t="n">
        <v>3209.4197</v>
      </c>
      <c r="U1535" t="n">
        <v>41217.0942</v>
      </c>
      <c r="V1535" t="n">
        <v>0.372891</v>
      </c>
      <c r="W1535" t="n">
        <v>4.788864</v>
      </c>
      <c r="X1535" t="inlineStr">
        <is>
          <t>High</t>
        </is>
      </c>
      <c r="Y1535" t="inlineStr">
        <is>
          <t>None</t>
        </is>
      </c>
      <c r="Z1535" t="inlineStr">
        <is>
          <t>Valid</t>
        </is>
      </c>
      <c r="AA1535" t="n">
        <v>2038</v>
      </c>
      <c r="AB1535" t="inlineStr">
        <is>
          <t>Supplier Target Pathway</t>
        </is>
      </c>
      <c r="AC1535" t="n">
        <v>9534.151599999999</v>
      </c>
      <c r="AD1535" t="n">
        <v>3632.5118</v>
      </c>
      <c r="AE1535" t="n">
        <v>4253.737</v>
      </c>
      <c r="AF1535" t="n">
        <v>4253.737</v>
      </c>
      <c r="AG1535" t="n">
        <v>5280.4146</v>
      </c>
      <c r="AH1535" t="n">
        <v>0.00032908</v>
      </c>
      <c r="AI1535" t="n">
        <v>0.5538419999999999</v>
      </c>
      <c r="AJ1535" t="n">
        <v>621.2252</v>
      </c>
      <c r="AK1535" t="n">
        <v>310.6126</v>
      </c>
      <c r="AL1535" t="n">
        <v>-29697.878</v>
      </c>
      <c r="AM1535" t="n">
        <v>87818.0668</v>
      </c>
      <c r="AN1535" t="n">
        <v>0.99</v>
      </c>
      <c r="AO1535" t="inlineStr">
        <is>
          <t>High</t>
        </is>
      </c>
      <c r="AP1535" t="inlineStr">
        <is>
          <t>On Track to Glide Path</t>
        </is>
      </c>
    </row>
    <row r="1536">
      <c r="A1536" t="inlineStr">
        <is>
          <t>SUP-0096</t>
        </is>
      </c>
      <c r="B1536" t="inlineStr">
        <is>
          <t>Agriculture Supplier 096</t>
        </is>
      </c>
      <c r="C1536" t="inlineStr">
        <is>
          <t>Agriculture</t>
        </is>
      </c>
      <c r="D1536" t="n">
        <v>2024</v>
      </c>
      <c r="E1536" t="n">
        <v>2021</v>
      </c>
      <c r="F1536" t="n">
        <v>2040</v>
      </c>
      <c r="G1536" t="n">
        <v>8606.8631</v>
      </c>
      <c r="H1536" t="n">
        <v>1982.4204</v>
      </c>
      <c r="I1536" t="n">
        <v>1882.2176</v>
      </c>
      <c r="J1536" t="n">
        <v>4804.9529</v>
      </c>
      <c r="K1536" t="n">
        <v>12926260.84</v>
      </c>
      <c r="L1536" t="n">
        <v>51411015.33</v>
      </c>
      <c r="M1536" t="n">
        <v>8606.8631</v>
      </c>
      <c r="N1536" t="inlineStr">
        <is>
          <t>Provided Total Emissions</t>
        </is>
      </c>
      <c r="O1536" t="b">
        <v>1</v>
      </c>
      <c r="P1536" t="n">
        <v>0.030174</v>
      </c>
      <c r="Q1536" t="n">
        <v>0.073585</v>
      </c>
      <c r="R1536" t="n">
        <v>11816.2828</v>
      </c>
      <c r="S1536" t="n">
        <v>49823.9573</v>
      </c>
      <c r="T1536" t="n">
        <v>3209.4197</v>
      </c>
      <c r="U1536" t="n">
        <v>41217.0942</v>
      </c>
      <c r="V1536" t="n">
        <v>0.372891</v>
      </c>
      <c r="W1536" t="n">
        <v>4.788864</v>
      </c>
      <c r="X1536" t="inlineStr">
        <is>
          <t>High</t>
        </is>
      </c>
      <c r="Y1536" t="inlineStr">
        <is>
          <t>None</t>
        </is>
      </c>
      <c r="Z1536" t="inlineStr">
        <is>
          <t>Valid</t>
        </is>
      </c>
      <c r="AA1536" t="n">
        <v>2039</v>
      </c>
      <c r="AB1536" t="inlineStr">
        <is>
          <t>Supplier Target Pathway</t>
        </is>
      </c>
      <c r="AC1536" t="n">
        <v>9534.151599999999</v>
      </c>
      <c r="AD1536" t="n">
        <v>3632.5118</v>
      </c>
      <c r="AE1536" t="n">
        <v>3943.1244</v>
      </c>
      <c r="AF1536" t="n">
        <v>3943.1244</v>
      </c>
      <c r="AG1536" t="n">
        <v>5591.0272</v>
      </c>
      <c r="AH1536" t="n">
        <v>0.00030505</v>
      </c>
      <c r="AI1536" t="n">
        <v>0.586421</v>
      </c>
      <c r="AJ1536" t="n">
        <v>310.6126</v>
      </c>
      <c r="AK1536" t="n">
        <v>310.6126</v>
      </c>
      <c r="AL1536" t="n">
        <v>-33641.0024</v>
      </c>
      <c r="AM1536" t="n">
        <v>91761.1912</v>
      </c>
      <c r="AN1536" t="n">
        <v>0.99</v>
      </c>
      <c r="AO1536" t="inlineStr">
        <is>
          <t>Medium</t>
        </is>
      </c>
      <c r="AP1536" t="inlineStr">
        <is>
          <t>On Track to Glide Path</t>
        </is>
      </c>
    </row>
    <row r="1537">
      <c r="A1537" t="inlineStr">
        <is>
          <t>SUP-0096</t>
        </is>
      </c>
      <c r="B1537" t="inlineStr">
        <is>
          <t>Agriculture Supplier 096</t>
        </is>
      </c>
      <c r="C1537" t="inlineStr">
        <is>
          <t>Agriculture</t>
        </is>
      </c>
      <c r="D1537" t="n">
        <v>2024</v>
      </c>
      <c r="E1537" t="n">
        <v>2021</v>
      </c>
      <c r="F1537" t="n">
        <v>2040</v>
      </c>
      <c r="G1537" t="n">
        <v>8606.8631</v>
      </c>
      <c r="H1537" t="n">
        <v>1982.4204</v>
      </c>
      <c r="I1537" t="n">
        <v>1882.2176</v>
      </c>
      <c r="J1537" t="n">
        <v>4804.9529</v>
      </c>
      <c r="K1537" t="n">
        <v>12926260.84</v>
      </c>
      <c r="L1537" t="n">
        <v>51411015.33</v>
      </c>
      <c r="M1537" t="n">
        <v>8606.8631</v>
      </c>
      <c r="N1537" t="inlineStr">
        <is>
          <t>Provided Total Emissions</t>
        </is>
      </c>
      <c r="O1537" t="b">
        <v>1</v>
      </c>
      <c r="P1537" t="n">
        <v>0.030174</v>
      </c>
      <c r="Q1537" t="n">
        <v>0.073585</v>
      </c>
      <c r="R1537" t="n">
        <v>11816.2828</v>
      </c>
      <c r="S1537" t="n">
        <v>49823.9573</v>
      </c>
      <c r="T1537" t="n">
        <v>3209.4197</v>
      </c>
      <c r="U1537" t="n">
        <v>41217.0942</v>
      </c>
      <c r="V1537" t="n">
        <v>0.372891</v>
      </c>
      <c r="W1537" t="n">
        <v>4.788864</v>
      </c>
      <c r="X1537" t="inlineStr">
        <is>
          <t>High</t>
        </is>
      </c>
      <c r="Y1537" t="inlineStr">
        <is>
          <t>None</t>
        </is>
      </c>
      <c r="Z1537" t="inlineStr">
        <is>
          <t>Valid</t>
        </is>
      </c>
      <c r="AA1537" t="n">
        <v>2040</v>
      </c>
      <c r="AB1537" t="inlineStr">
        <is>
          <t>Supplier Target Pathway</t>
        </is>
      </c>
      <c r="AC1537" t="n">
        <v>9534.151599999999</v>
      </c>
      <c r="AD1537" t="n">
        <v>3632.5118</v>
      </c>
      <c r="AE1537" t="n">
        <v>3632.5118</v>
      </c>
      <c r="AF1537" t="n">
        <v>3632.5118</v>
      </c>
      <c r="AG1537" t="n">
        <v>5901.6398</v>
      </c>
      <c r="AH1537" t="n">
        <v>0.00028102</v>
      </c>
      <c r="AI1537" t="n">
        <v>0.619</v>
      </c>
      <c r="AJ1537" t="n">
        <v>0</v>
      </c>
      <c r="AK1537" t="n">
        <v>310.6126</v>
      </c>
      <c r="AL1537" t="n">
        <v>-37273.5142</v>
      </c>
      <c r="AM1537" t="n">
        <v>95393.70299999999</v>
      </c>
      <c r="AN1537" t="n">
        <v>0.99</v>
      </c>
      <c r="AO1537" t="inlineStr">
        <is>
          <t>Low</t>
        </is>
      </c>
      <c r="AP1537" t="inlineStr">
        <is>
          <t>On Track</t>
        </is>
      </c>
    </row>
    <row r="1538">
      <c r="A1538" t="inlineStr">
        <is>
          <t>SUP-0097</t>
        </is>
      </c>
      <c r="B1538" t="inlineStr">
        <is>
          <t>Metals Supplier 097</t>
        </is>
      </c>
      <c r="C1538" t="inlineStr">
        <is>
          <t>Metals</t>
        </is>
      </c>
      <c r="D1538" t="n">
        <v>2024</v>
      </c>
      <c r="E1538" t="n">
        <v>2018</v>
      </c>
      <c r="F1538" t="n">
        <v>2030</v>
      </c>
      <c r="G1538" t="n">
        <v>21921.8531</v>
      </c>
      <c r="H1538" t="n">
        <v>3184.4149</v>
      </c>
      <c r="I1538" t="n">
        <v>3032.0598</v>
      </c>
      <c r="J1538" t="n">
        <v>16104.4523</v>
      </c>
      <c r="K1538" t="n">
        <v>33698440.31</v>
      </c>
      <c r="L1538" t="n">
        <v>182204955.02</v>
      </c>
      <c r="M1538" t="n">
        <v>21921.8531</v>
      </c>
      <c r="N1538" t="inlineStr">
        <is>
          <t>Provided Total Emissions</t>
        </is>
      </c>
      <c r="O1538" t="b">
        <v>1</v>
      </c>
      <c r="P1538" t="n">
        <v>0.014641</v>
      </c>
      <c r="Q1538" t="n">
        <v>0.04581</v>
      </c>
      <c r="R1538" t="n">
        <v>33932.6445</v>
      </c>
      <c r="S1538" t="n">
        <v>118447.7972</v>
      </c>
      <c r="T1538" t="n">
        <v>12010.7914</v>
      </c>
      <c r="U1538" t="n">
        <v>96525.94409999999</v>
      </c>
      <c r="V1538" t="n">
        <v>0.547891</v>
      </c>
      <c r="W1538" t="n">
        <v>4.403184</v>
      </c>
      <c r="X1538" t="inlineStr">
        <is>
          <t>High</t>
        </is>
      </c>
      <c r="Y1538" t="inlineStr">
        <is>
          <t>None</t>
        </is>
      </c>
      <c r="Z1538" t="inlineStr">
        <is>
          <t>Valid</t>
        </is>
      </c>
      <c r="AA1538" t="n">
        <v>2025</v>
      </c>
      <c r="AB1538" t="inlineStr">
        <is>
          <t>Supplier Target Pathway</t>
        </is>
      </c>
      <c r="AC1538" t="n">
        <v>22871.2519</v>
      </c>
      <c r="AD1538" t="n">
        <v>11367.0122</v>
      </c>
      <c r="AE1538" t="n">
        <v>16160.4454</v>
      </c>
      <c r="AF1538" t="n">
        <v>16160.4454</v>
      </c>
      <c r="AG1538" t="n">
        <v>6710.8065</v>
      </c>
      <c r="AH1538" t="n">
        <v>0.00047956</v>
      </c>
      <c r="AI1538" t="n">
        <v>0.293417</v>
      </c>
      <c r="AJ1538" t="n">
        <v>4793.4332</v>
      </c>
      <c r="AK1538" t="n">
        <v>958.6866</v>
      </c>
      <c r="AL1538" t="n">
        <v>52041.6278</v>
      </c>
      <c r="AM1538" t="n">
        <v>16160.4454</v>
      </c>
      <c r="AN1538" t="n">
        <v>0.99</v>
      </c>
      <c r="AO1538" t="inlineStr">
        <is>
          <t>Critical</t>
        </is>
      </c>
      <c r="AP1538" t="inlineStr">
        <is>
          <t>On Track to Glide Path</t>
        </is>
      </c>
    </row>
    <row r="1539">
      <c r="A1539" t="inlineStr">
        <is>
          <t>SUP-0097</t>
        </is>
      </c>
      <c r="B1539" t="inlineStr">
        <is>
          <t>Metals Supplier 097</t>
        </is>
      </c>
      <c r="C1539" t="inlineStr">
        <is>
          <t>Metals</t>
        </is>
      </c>
      <c r="D1539" t="n">
        <v>2024</v>
      </c>
      <c r="E1539" t="n">
        <v>2018</v>
      </c>
      <c r="F1539" t="n">
        <v>2030</v>
      </c>
      <c r="G1539" t="n">
        <v>21921.8531</v>
      </c>
      <c r="H1539" t="n">
        <v>3184.4149</v>
      </c>
      <c r="I1539" t="n">
        <v>3032.0598</v>
      </c>
      <c r="J1539" t="n">
        <v>16104.4523</v>
      </c>
      <c r="K1539" t="n">
        <v>33698440.31</v>
      </c>
      <c r="L1539" t="n">
        <v>182204955.02</v>
      </c>
      <c r="M1539" t="n">
        <v>21921.8531</v>
      </c>
      <c r="N1539" t="inlineStr">
        <is>
          <t>Provided Total Emissions</t>
        </is>
      </c>
      <c r="O1539" t="b">
        <v>1</v>
      </c>
      <c r="P1539" t="n">
        <v>0.014641</v>
      </c>
      <c r="Q1539" t="n">
        <v>0.04581</v>
      </c>
      <c r="R1539" t="n">
        <v>33932.6445</v>
      </c>
      <c r="S1539" t="n">
        <v>118447.7972</v>
      </c>
      <c r="T1539" t="n">
        <v>12010.7914</v>
      </c>
      <c r="U1539" t="n">
        <v>96525.94409999999</v>
      </c>
      <c r="V1539" t="n">
        <v>0.547891</v>
      </c>
      <c r="W1539" t="n">
        <v>4.403184</v>
      </c>
      <c r="X1539" t="inlineStr">
        <is>
          <t>High</t>
        </is>
      </c>
      <c r="Y1539" t="inlineStr">
        <is>
          <t>None</t>
        </is>
      </c>
      <c r="Z1539" t="inlineStr">
        <is>
          <t>Valid</t>
        </is>
      </c>
      <c r="AA1539" t="n">
        <v>2026</v>
      </c>
      <c r="AB1539" t="inlineStr">
        <is>
          <t>Supplier Target Pathway</t>
        </is>
      </c>
      <c r="AC1539" t="n">
        <v>22871.2519</v>
      </c>
      <c r="AD1539" t="n">
        <v>11367.0122</v>
      </c>
      <c r="AE1539" t="n">
        <v>15201.7588</v>
      </c>
      <c r="AF1539" t="n">
        <v>15201.7588</v>
      </c>
      <c r="AG1539" t="n">
        <v>7669.4931</v>
      </c>
      <c r="AH1539" t="n">
        <v>0.00045111</v>
      </c>
      <c r="AI1539" t="n">
        <v>0.335333</v>
      </c>
      <c r="AJ1539" t="n">
        <v>3834.7466</v>
      </c>
      <c r="AK1539" t="n">
        <v>958.6866</v>
      </c>
      <c r="AL1539" t="n">
        <v>36839.869</v>
      </c>
      <c r="AM1539" t="n">
        <v>31362.2042</v>
      </c>
      <c r="AN1539" t="n">
        <v>0.99</v>
      </c>
      <c r="AO1539" t="inlineStr">
        <is>
          <t>High</t>
        </is>
      </c>
      <c r="AP1539" t="inlineStr">
        <is>
          <t>On Track to Glide Path</t>
        </is>
      </c>
    </row>
    <row r="1540">
      <c r="A1540" t="inlineStr">
        <is>
          <t>SUP-0097</t>
        </is>
      </c>
      <c r="B1540" t="inlineStr">
        <is>
          <t>Metals Supplier 097</t>
        </is>
      </c>
      <c r="C1540" t="inlineStr">
        <is>
          <t>Metals</t>
        </is>
      </c>
      <c r="D1540" t="n">
        <v>2024</v>
      </c>
      <c r="E1540" t="n">
        <v>2018</v>
      </c>
      <c r="F1540" t="n">
        <v>2030</v>
      </c>
      <c r="G1540" t="n">
        <v>21921.8531</v>
      </c>
      <c r="H1540" t="n">
        <v>3184.4149</v>
      </c>
      <c r="I1540" t="n">
        <v>3032.0598</v>
      </c>
      <c r="J1540" t="n">
        <v>16104.4523</v>
      </c>
      <c r="K1540" t="n">
        <v>33698440.31</v>
      </c>
      <c r="L1540" t="n">
        <v>182204955.02</v>
      </c>
      <c r="M1540" t="n">
        <v>21921.8531</v>
      </c>
      <c r="N1540" t="inlineStr">
        <is>
          <t>Provided Total Emissions</t>
        </is>
      </c>
      <c r="O1540" t="b">
        <v>1</v>
      </c>
      <c r="P1540" t="n">
        <v>0.014641</v>
      </c>
      <c r="Q1540" t="n">
        <v>0.04581</v>
      </c>
      <c r="R1540" t="n">
        <v>33932.6445</v>
      </c>
      <c r="S1540" t="n">
        <v>118447.7972</v>
      </c>
      <c r="T1540" t="n">
        <v>12010.7914</v>
      </c>
      <c r="U1540" t="n">
        <v>96525.94409999999</v>
      </c>
      <c r="V1540" t="n">
        <v>0.547891</v>
      </c>
      <c r="W1540" t="n">
        <v>4.403184</v>
      </c>
      <c r="X1540" t="inlineStr">
        <is>
          <t>High</t>
        </is>
      </c>
      <c r="Y1540" t="inlineStr">
        <is>
          <t>None</t>
        </is>
      </c>
      <c r="Z1540" t="inlineStr">
        <is>
          <t>Valid</t>
        </is>
      </c>
      <c r="AA1540" t="n">
        <v>2027</v>
      </c>
      <c r="AB1540" t="inlineStr">
        <is>
          <t>Supplier Target Pathway</t>
        </is>
      </c>
      <c r="AC1540" t="n">
        <v>22871.2519</v>
      </c>
      <c r="AD1540" t="n">
        <v>11367.0122</v>
      </c>
      <c r="AE1540" t="n">
        <v>14243.0721</v>
      </c>
      <c r="AF1540" t="n">
        <v>14243.0721</v>
      </c>
      <c r="AG1540" t="n">
        <v>8628.1798</v>
      </c>
      <c r="AH1540" t="n">
        <v>0.00042266</v>
      </c>
      <c r="AI1540" t="n">
        <v>0.37725</v>
      </c>
      <c r="AJ1540" t="n">
        <v>2876.0599</v>
      </c>
      <c r="AK1540" t="n">
        <v>958.6866</v>
      </c>
      <c r="AL1540" t="n">
        <v>22596.7969</v>
      </c>
      <c r="AM1540" t="n">
        <v>45605.2763</v>
      </c>
      <c r="AN1540" t="n">
        <v>0.99</v>
      </c>
      <c r="AO1540" t="inlineStr">
        <is>
          <t>High</t>
        </is>
      </c>
      <c r="AP1540" t="inlineStr">
        <is>
          <t>On Track to Glide Path</t>
        </is>
      </c>
    </row>
    <row r="1541">
      <c r="A1541" t="inlineStr">
        <is>
          <t>SUP-0097</t>
        </is>
      </c>
      <c r="B1541" t="inlineStr">
        <is>
          <t>Metals Supplier 097</t>
        </is>
      </c>
      <c r="C1541" t="inlineStr">
        <is>
          <t>Metals</t>
        </is>
      </c>
      <c r="D1541" t="n">
        <v>2024</v>
      </c>
      <c r="E1541" t="n">
        <v>2018</v>
      </c>
      <c r="F1541" t="n">
        <v>2030</v>
      </c>
      <c r="G1541" t="n">
        <v>21921.8531</v>
      </c>
      <c r="H1541" t="n">
        <v>3184.4149</v>
      </c>
      <c r="I1541" t="n">
        <v>3032.0598</v>
      </c>
      <c r="J1541" t="n">
        <v>16104.4523</v>
      </c>
      <c r="K1541" t="n">
        <v>33698440.31</v>
      </c>
      <c r="L1541" t="n">
        <v>182204955.02</v>
      </c>
      <c r="M1541" t="n">
        <v>21921.8531</v>
      </c>
      <c r="N1541" t="inlineStr">
        <is>
          <t>Provided Total Emissions</t>
        </is>
      </c>
      <c r="O1541" t="b">
        <v>1</v>
      </c>
      <c r="P1541" t="n">
        <v>0.014641</v>
      </c>
      <c r="Q1541" t="n">
        <v>0.04581</v>
      </c>
      <c r="R1541" t="n">
        <v>33932.6445</v>
      </c>
      <c r="S1541" t="n">
        <v>118447.7972</v>
      </c>
      <c r="T1541" t="n">
        <v>12010.7914</v>
      </c>
      <c r="U1541" t="n">
        <v>96525.94409999999</v>
      </c>
      <c r="V1541" t="n">
        <v>0.547891</v>
      </c>
      <c r="W1541" t="n">
        <v>4.403184</v>
      </c>
      <c r="X1541" t="inlineStr">
        <is>
          <t>High</t>
        </is>
      </c>
      <c r="Y1541" t="inlineStr">
        <is>
          <t>None</t>
        </is>
      </c>
      <c r="Z1541" t="inlineStr">
        <is>
          <t>Valid</t>
        </is>
      </c>
      <c r="AA1541" t="n">
        <v>2028</v>
      </c>
      <c r="AB1541" t="inlineStr">
        <is>
          <t>Supplier Target Pathway</t>
        </is>
      </c>
      <c r="AC1541" t="n">
        <v>22871.2519</v>
      </c>
      <c r="AD1541" t="n">
        <v>11367.0122</v>
      </c>
      <c r="AE1541" t="n">
        <v>13284.3855</v>
      </c>
      <c r="AF1541" t="n">
        <v>13284.3855</v>
      </c>
      <c r="AG1541" t="n">
        <v>9586.866400000001</v>
      </c>
      <c r="AH1541" t="n">
        <v>0.00039421</v>
      </c>
      <c r="AI1541" t="n">
        <v>0.419167</v>
      </c>
      <c r="AJ1541" t="n">
        <v>1917.3733</v>
      </c>
      <c r="AK1541" t="n">
        <v>958.6866</v>
      </c>
      <c r="AL1541" t="n">
        <v>9312.411400000001</v>
      </c>
      <c r="AM1541" t="n">
        <v>58889.6618</v>
      </c>
      <c r="AN1541" t="n">
        <v>0.99</v>
      </c>
      <c r="AO1541" t="inlineStr">
        <is>
          <t>High</t>
        </is>
      </c>
      <c r="AP1541" t="inlineStr">
        <is>
          <t>On Track to Glide Path</t>
        </is>
      </c>
    </row>
    <row r="1542">
      <c r="A1542" t="inlineStr">
        <is>
          <t>SUP-0097</t>
        </is>
      </c>
      <c r="B1542" t="inlineStr">
        <is>
          <t>Metals Supplier 097</t>
        </is>
      </c>
      <c r="C1542" t="inlineStr">
        <is>
          <t>Metals</t>
        </is>
      </c>
      <c r="D1542" t="n">
        <v>2024</v>
      </c>
      <c r="E1542" t="n">
        <v>2018</v>
      </c>
      <c r="F1542" t="n">
        <v>2030</v>
      </c>
      <c r="G1542" t="n">
        <v>21921.8531</v>
      </c>
      <c r="H1542" t="n">
        <v>3184.4149</v>
      </c>
      <c r="I1542" t="n">
        <v>3032.0598</v>
      </c>
      <c r="J1542" t="n">
        <v>16104.4523</v>
      </c>
      <c r="K1542" t="n">
        <v>33698440.31</v>
      </c>
      <c r="L1542" t="n">
        <v>182204955.02</v>
      </c>
      <c r="M1542" t="n">
        <v>21921.8531</v>
      </c>
      <c r="N1542" t="inlineStr">
        <is>
          <t>Provided Total Emissions</t>
        </is>
      </c>
      <c r="O1542" t="b">
        <v>1</v>
      </c>
      <c r="P1542" t="n">
        <v>0.014641</v>
      </c>
      <c r="Q1542" t="n">
        <v>0.04581</v>
      </c>
      <c r="R1542" t="n">
        <v>33932.6445</v>
      </c>
      <c r="S1542" t="n">
        <v>118447.7972</v>
      </c>
      <c r="T1542" t="n">
        <v>12010.7914</v>
      </c>
      <c r="U1542" t="n">
        <v>96525.94409999999</v>
      </c>
      <c r="V1542" t="n">
        <v>0.547891</v>
      </c>
      <c r="W1542" t="n">
        <v>4.403184</v>
      </c>
      <c r="X1542" t="inlineStr">
        <is>
          <t>High</t>
        </is>
      </c>
      <c r="Y1542" t="inlineStr">
        <is>
          <t>None</t>
        </is>
      </c>
      <c r="Z1542" t="inlineStr">
        <is>
          <t>Valid</t>
        </is>
      </c>
      <c r="AA1542" t="n">
        <v>2029</v>
      </c>
      <c r="AB1542" t="inlineStr">
        <is>
          <t>Supplier Target Pathway</t>
        </is>
      </c>
      <c r="AC1542" t="n">
        <v>22871.2519</v>
      </c>
      <c r="AD1542" t="n">
        <v>11367.0122</v>
      </c>
      <c r="AE1542" t="n">
        <v>12325.6988</v>
      </c>
      <c r="AF1542" t="n">
        <v>12325.6988</v>
      </c>
      <c r="AG1542" t="n">
        <v>10545.5531</v>
      </c>
      <c r="AH1542" t="n">
        <v>0.00036576</v>
      </c>
      <c r="AI1542" t="n">
        <v>0.461083</v>
      </c>
      <c r="AJ1542" t="n">
        <v>958.6866</v>
      </c>
      <c r="AK1542" t="n">
        <v>958.6866</v>
      </c>
      <c r="AL1542" t="n">
        <v>-3013.2874</v>
      </c>
      <c r="AM1542" t="n">
        <v>71215.3606</v>
      </c>
      <c r="AN1542" t="n">
        <v>0.99</v>
      </c>
      <c r="AO1542" t="inlineStr">
        <is>
          <t>Medium</t>
        </is>
      </c>
      <c r="AP1542" t="inlineStr">
        <is>
          <t>On Track to Glide Path</t>
        </is>
      </c>
    </row>
    <row r="1543">
      <c r="A1543" t="inlineStr">
        <is>
          <t>SUP-0097</t>
        </is>
      </c>
      <c r="B1543" t="inlineStr">
        <is>
          <t>Metals Supplier 097</t>
        </is>
      </c>
      <c r="C1543" t="inlineStr">
        <is>
          <t>Metals</t>
        </is>
      </c>
      <c r="D1543" t="n">
        <v>2024</v>
      </c>
      <c r="E1543" t="n">
        <v>2018</v>
      </c>
      <c r="F1543" t="n">
        <v>2030</v>
      </c>
      <c r="G1543" t="n">
        <v>21921.8531</v>
      </c>
      <c r="H1543" t="n">
        <v>3184.4149</v>
      </c>
      <c r="I1543" t="n">
        <v>3032.0598</v>
      </c>
      <c r="J1543" t="n">
        <v>16104.4523</v>
      </c>
      <c r="K1543" t="n">
        <v>33698440.31</v>
      </c>
      <c r="L1543" t="n">
        <v>182204955.02</v>
      </c>
      <c r="M1543" t="n">
        <v>21921.8531</v>
      </c>
      <c r="N1543" t="inlineStr">
        <is>
          <t>Provided Total Emissions</t>
        </is>
      </c>
      <c r="O1543" t="b">
        <v>1</v>
      </c>
      <c r="P1543" t="n">
        <v>0.014641</v>
      </c>
      <c r="Q1543" t="n">
        <v>0.04581</v>
      </c>
      <c r="R1543" t="n">
        <v>33932.6445</v>
      </c>
      <c r="S1543" t="n">
        <v>118447.7972</v>
      </c>
      <c r="T1543" t="n">
        <v>12010.7914</v>
      </c>
      <c r="U1543" t="n">
        <v>96525.94409999999</v>
      </c>
      <c r="V1543" t="n">
        <v>0.547891</v>
      </c>
      <c r="W1543" t="n">
        <v>4.403184</v>
      </c>
      <c r="X1543" t="inlineStr">
        <is>
          <t>High</t>
        </is>
      </c>
      <c r="Y1543" t="inlineStr">
        <is>
          <t>None</t>
        </is>
      </c>
      <c r="Z1543" t="inlineStr">
        <is>
          <t>Valid</t>
        </is>
      </c>
      <c r="AA1543" t="n">
        <v>2030</v>
      </c>
      <c r="AB1543" t="inlineStr">
        <is>
          <t>Supplier Target Pathway</t>
        </is>
      </c>
      <c r="AC1543" t="n">
        <v>22871.2519</v>
      </c>
      <c r="AD1543" t="n">
        <v>11367.0122</v>
      </c>
      <c r="AE1543" t="n">
        <v>11367.0122</v>
      </c>
      <c r="AF1543" t="n">
        <v>11367.0122</v>
      </c>
      <c r="AG1543" t="n">
        <v>11504.2397</v>
      </c>
      <c r="AH1543" t="n">
        <v>0.00033732</v>
      </c>
      <c r="AI1543" t="n">
        <v>0.503</v>
      </c>
      <c r="AJ1543" t="n">
        <v>0</v>
      </c>
      <c r="AK1543" t="n">
        <v>958.6866</v>
      </c>
      <c r="AL1543" t="n">
        <v>-14380.2996</v>
      </c>
      <c r="AM1543" t="n">
        <v>82582.3728</v>
      </c>
      <c r="AN1543" t="n">
        <v>0.99</v>
      </c>
      <c r="AO1543" t="inlineStr">
        <is>
          <t>Low</t>
        </is>
      </c>
      <c r="AP1543" t="inlineStr">
        <is>
          <t>On Track</t>
        </is>
      </c>
    </row>
    <row r="1544">
      <c r="A1544" t="inlineStr">
        <is>
          <t>SUP-0097</t>
        </is>
      </c>
      <c r="B1544" t="inlineStr">
        <is>
          <t>Metals Supplier 097</t>
        </is>
      </c>
      <c r="C1544" t="inlineStr">
        <is>
          <t>Metals</t>
        </is>
      </c>
      <c r="D1544" t="n">
        <v>2024</v>
      </c>
      <c r="E1544" t="n">
        <v>2018</v>
      </c>
      <c r="F1544" t="n">
        <v>2030</v>
      </c>
      <c r="G1544" t="n">
        <v>21921.8531</v>
      </c>
      <c r="H1544" t="n">
        <v>3184.4149</v>
      </c>
      <c r="I1544" t="n">
        <v>3032.0598</v>
      </c>
      <c r="J1544" t="n">
        <v>16104.4523</v>
      </c>
      <c r="K1544" t="n">
        <v>33698440.31</v>
      </c>
      <c r="L1544" t="n">
        <v>182204955.02</v>
      </c>
      <c r="M1544" t="n">
        <v>21921.8531</v>
      </c>
      <c r="N1544" t="inlineStr">
        <is>
          <t>Provided Total Emissions</t>
        </is>
      </c>
      <c r="O1544" t="b">
        <v>1</v>
      </c>
      <c r="P1544" t="n">
        <v>0.014641</v>
      </c>
      <c r="Q1544" t="n">
        <v>0.04581</v>
      </c>
      <c r="R1544" t="n">
        <v>33932.6445</v>
      </c>
      <c r="S1544" t="n">
        <v>118447.7972</v>
      </c>
      <c r="T1544" t="n">
        <v>12010.7914</v>
      </c>
      <c r="U1544" t="n">
        <v>96525.94409999999</v>
      </c>
      <c r="V1544" t="n">
        <v>0.547891</v>
      </c>
      <c r="W1544" t="n">
        <v>4.403184</v>
      </c>
      <c r="X1544" t="inlineStr">
        <is>
          <t>High</t>
        </is>
      </c>
      <c r="Y1544" t="inlineStr">
        <is>
          <t>None</t>
        </is>
      </c>
      <c r="Z1544" t="inlineStr">
        <is>
          <t>Valid</t>
        </is>
      </c>
      <c r="AA1544" t="n">
        <v>2031</v>
      </c>
      <c r="AB1544" t="inlineStr">
        <is>
          <t>Supplier Target Pathway</t>
        </is>
      </c>
      <c r="AC1544" t="n">
        <v>22871.2519</v>
      </c>
      <c r="AD1544" t="n">
        <v>11367.0122</v>
      </c>
      <c r="AE1544" t="n">
        <v>11367.0122</v>
      </c>
      <c r="AF1544" t="n">
        <v>11367.0122</v>
      </c>
      <c r="AG1544" t="n">
        <v>11504.2397</v>
      </c>
      <c r="AH1544" t="n">
        <v>0.00033732</v>
      </c>
      <c r="AI1544" t="n">
        <v>0.503</v>
      </c>
      <c r="AJ1544" t="n">
        <v>0</v>
      </c>
      <c r="AK1544" t="n">
        <v>958.6866</v>
      </c>
      <c r="AL1544" t="n">
        <v>-25747.3118</v>
      </c>
      <c r="AM1544" t="n">
        <v>93949.38499999999</v>
      </c>
      <c r="AN1544" t="n">
        <v>0.99</v>
      </c>
      <c r="AO1544" t="inlineStr">
        <is>
          <t>Low</t>
        </is>
      </c>
      <c r="AP1544" t="inlineStr">
        <is>
          <t>On Track</t>
        </is>
      </c>
    </row>
    <row r="1545">
      <c r="A1545" t="inlineStr">
        <is>
          <t>SUP-0097</t>
        </is>
      </c>
      <c r="B1545" t="inlineStr">
        <is>
          <t>Metals Supplier 097</t>
        </is>
      </c>
      <c r="C1545" t="inlineStr">
        <is>
          <t>Metals</t>
        </is>
      </c>
      <c r="D1545" t="n">
        <v>2024</v>
      </c>
      <c r="E1545" t="n">
        <v>2018</v>
      </c>
      <c r="F1545" t="n">
        <v>2030</v>
      </c>
      <c r="G1545" t="n">
        <v>21921.8531</v>
      </c>
      <c r="H1545" t="n">
        <v>3184.4149</v>
      </c>
      <c r="I1545" t="n">
        <v>3032.0598</v>
      </c>
      <c r="J1545" t="n">
        <v>16104.4523</v>
      </c>
      <c r="K1545" t="n">
        <v>33698440.31</v>
      </c>
      <c r="L1545" t="n">
        <v>182204955.02</v>
      </c>
      <c r="M1545" t="n">
        <v>21921.8531</v>
      </c>
      <c r="N1545" t="inlineStr">
        <is>
          <t>Provided Total Emissions</t>
        </is>
      </c>
      <c r="O1545" t="b">
        <v>1</v>
      </c>
      <c r="P1545" t="n">
        <v>0.014641</v>
      </c>
      <c r="Q1545" t="n">
        <v>0.04581</v>
      </c>
      <c r="R1545" t="n">
        <v>33932.6445</v>
      </c>
      <c r="S1545" t="n">
        <v>118447.7972</v>
      </c>
      <c r="T1545" t="n">
        <v>12010.7914</v>
      </c>
      <c r="U1545" t="n">
        <v>96525.94409999999</v>
      </c>
      <c r="V1545" t="n">
        <v>0.547891</v>
      </c>
      <c r="W1545" t="n">
        <v>4.403184</v>
      </c>
      <c r="X1545" t="inlineStr">
        <is>
          <t>High</t>
        </is>
      </c>
      <c r="Y1545" t="inlineStr">
        <is>
          <t>None</t>
        </is>
      </c>
      <c r="Z1545" t="inlineStr">
        <is>
          <t>Valid</t>
        </is>
      </c>
      <c r="AA1545" t="n">
        <v>2032</v>
      </c>
      <c r="AB1545" t="inlineStr">
        <is>
          <t>Supplier Target Pathway</t>
        </is>
      </c>
      <c r="AC1545" t="n">
        <v>22871.2519</v>
      </c>
      <c r="AD1545" t="n">
        <v>11367.0122</v>
      </c>
      <c r="AE1545" t="n">
        <v>11367.0122</v>
      </c>
      <c r="AF1545" t="n">
        <v>11367.0122</v>
      </c>
      <c r="AG1545" t="n">
        <v>11504.2397</v>
      </c>
      <c r="AH1545" t="n">
        <v>0.00033732</v>
      </c>
      <c r="AI1545" t="n">
        <v>0.503</v>
      </c>
      <c r="AJ1545" t="n">
        <v>0</v>
      </c>
      <c r="AK1545" t="n">
        <v>958.6866</v>
      </c>
      <c r="AL1545" t="n">
        <v>-37114.324</v>
      </c>
      <c r="AM1545" t="n">
        <v>105316.3972</v>
      </c>
      <c r="AN1545" t="n">
        <v>0.99</v>
      </c>
      <c r="AO1545" t="inlineStr">
        <is>
          <t>Low</t>
        </is>
      </c>
      <c r="AP1545" t="inlineStr">
        <is>
          <t>On Track</t>
        </is>
      </c>
    </row>
    <row r="1546">
      <c r="A1546" t="inlineStr">
        <is>
          <t>SUP-0097</t>
        </is>
      </c>
      <c r="B1546" t="inlineStr">
        <is>
          <t>Metals Supplier 097</t>
        </is>
      </c>
      <c r="C1546" t="inlineStr">
        <is>
          <t>Metals</t>
        </is>
      </c>
      <c r="D1546" t="n">
        <v>2024</v>
      </c>
      <c r="E1546" t="n">
        <v>2018</v>
      </c>
      <c r="F1546" t="n">
        <v>2030</v>
      </c>
      <c r="G1546" t="n">
        <v>21921.8531</v>
      </c>
      <c r="H1546" t="n">
        <v>3184.4149</v>
      </c>
      <c r="I1546" t="n">
        <v>3032.0598</v>
      </c>
      <c r="J1546" t="n">
        <v>16104.4523</v>
      </c>
      <c r="K1546" t="n">
        <v>33698440.31</v>
      </c>
      <c r="L1546" t="n">
        <v>182204955.02</v>
      </c>
      <c r="M1546" t="n">
        <v>21921.8531</v>
      </c>
      <c r="N1546" t="inlineStr">
        <is>
          <t>Provided Total Emissions</t>
        </is>
      </c>
      <c r="O1546" t="b">
        <v>1</v>
      </c>
      <c r="P1546" t="n">
        <v>0.014641</v>
      </c>
      <c r="Q1546" t="n">
        <v>0.04581</v>
      </c>
      <c r="R1546" t="n">
        <v>33932.6445</v>
      </c>
      <c r="S1546" t="n">
        <v>118447.7972</v>
      </c>
      <c r="T1546" t="n">
        <v>12010.7914</v>
      </c>
      <c r="U1546" t="n">
        <v>96525.94409999999</v>
      </c>
      <c r="V1546" t="n">
        <v>0.547891</v>
      </c>
      <c r="W1546" t="n">
        <v>4.403184</v>
      </c>
      <c r="X1546" t="inlineStr">
        <is>
          <t>High</t>
        </is>
      </c>
      <c r="Y1546" t="inlineStr">
        <is>
          <t>None</t>
        </is>
      </c>
      <c r="Z1546" t="inlineStr">
        <is>
          <t>Valid</t>
        </is>
      </c>
      <c r="AA1546" t="n">
        <v>2033</v>
      </c>
      <c r="AB1546" t="inlineStr">
        <is>
          <t>Supplier Target Pathway</t>
        </is>
      </c>
      <c r="AC1546" t="n">
        <v>22871.2519</v>
      </c>
      <c r="AD1546" t="n">
        <v>11367.0122</v>
      </c>
      <c r="AE1546" t="n">
        <v>11367.0122</v>
      </c>
      <c r="AF1546" t="n">
        <v>11367.0122</v>
      </c>
      <c r="AG1546" t="n">
        <v>11504.2397</v>
      </c>
      <c r="AH1546" t="n">
        <v>0.00033732</v>
      </c>
      <c r="AI1546" t="n">
        <v>0.503</v>
      </c>
      <c r="AJ1546" t="n">
        <v>0</v>
      </c>
      <c r="AK1546" t="n">
        <v>958.6866</v>
      </c>
      <c r="AL1546" t="n">
        <v>-48481.3362</v>
      </c>
      <c r="AM1546" t="n">
        <v>116683.4094</v>
      </c>
      <c r="AN1546" t="n">
        <v>0.99</v>
      </c>
      <c r="AO1546" t="inlineStr">
        <is>
          <t>Low</t>
        </is>
      </c>
      <c r="AP1546" t="inlineStr">
        <is>
          <t>On Track</t>
        </is>
      </c>
    </row>
    <row r="1547">
      <c r="A1547" t="inlineStr">
        <is>
          <t>SUP-0097</t>
        </is>
      </c>
      <c r="B1547" t="inlineStr">
        <is>
          <t>Metals Supplier 097</t>
        </is>
      </c>
      <c r="C1547" t="inlineStr">
        <is>
          <t>Metals</t>
        </is>
      </c>
      <c r="D1547" t="n">
        <v>2024</v>
      </c>
      <c r="E1547" t="n">
        <v>2018</v>
      </c>
      <c r="F1547" t="n">
        <v>2030</v>
      </c>
      <c r="G1547" t="n">
        <v>21921.8531</v>
      </c>
      <c r="H1547" t="n">
        <v>3184.4149</v>
      </c>
      <c r="I1547" t="n">
        <v>3032.0598</v>
      </c>
      <c r="J1547" t="n">
        <v>16104.4523</v>
      </c>
      <c r="K1547" t="n">
        <v>33698440.31</v>
      </c>
      <c r="L1547" t="n">
        <v>182204955.02</v>
      </c>
      <c r="M1547" t="n">
        <v>21921.8531</v>
      </c>
      <c r="N1547" t="inlineStr">
        <is>
          <t>Provided Total Emissions</t>
        </is>
      </c>
      <c r="O1547" t="b">
        <v>1</v>
      </c>
      <c r="P1547" t="n">
        <v>0.014641</v>
      </c>
      <c r="Q1547" t="n">
        <v>0.04581</v>
      </c>
      <c r="R1547" t="n">
        <v>33932.6445</v>
      </c>
      <c r="S1547" t="n">
        <v>118447.7972</v>
      </c>
      <c r="T1547" t="n">
        <v>12010.7914</v>
      </c>
      <c r="U1547" t="n">
        <v>96525.94409999999</v>
      </c>
      <c r="V1547" t="n">
        <v>0.547891</v>
      </c>
      <c r="W1547" t="n">
        <v>4.403184</v>
      </c>
      <c r="X1547" t="inlineStr">
        <is>
          <t>High</t>
        </is>
      </c>
      <c r="Y1547" t="inlineStr">
        <is>
          <t>None</t>
        </is>
      </c>
      <c r="Z1547" t="inlineStr">
        <is>
          <t>Valid</t>
        </is>
      </c>
      <c r="AA1547" t="n">
        <v>2034</v>
      </c>
      <c r="AB1547" t="inlineStr">
        <is>
          <t>Supplier Target Pathway</t>
        </is>
      </c>
      <c r="AC1547" t="n">
        <v>22871.2519</v>
      </c>
      <c r="AD1547" t="n">
        <v>11367.0122</v>
      </c>
      <c r="AE1547" t="n">
        <v>11367.0122</v>
      </c>
      <c r="AF1547" t="n">
        <v>11367.0122</v>
      </c>
      <c r="AG1547" t="n">
        <v>11504.2397</v>
      </c>
      <c r="AH1547" t="n">
        <v>0.00033732</v>
      </c>
      <c r="AI1547" t="n">
        <v>0.503</v>
      </c>
      <c r="AJ1547" t="n">
        <v>0</v>
      </c>
      <c r="AK1547" t="n">
        <v>958.6866</v>
      </c>
      <c r="AL1547" t="n">
        <v>-59848.3484</v>
      </c>
      <c r="AM1547" t="n">
        <v>128050.4216</v>
      </c>
      <c r="AN1547" t="n">
        <v>0.99</v>
      </c>
      <c r="AO1547" t="inlineStr">
        <is>
          <t>Low</t>
        </is>
      </c>
      <c r="AP1547" t="inlineStr">
        <is>
          <t>On Track</t>
        </is>
      </c>
    </row>
    <row r="1548">
      <c r="A1548" t="inlineStr">
        <is>
          <t>SUP-0097</t>
        </is>
      </c>
      <c r="B1548" t="inlineStr">
        <is>
          <t>Metals Supplier 097</t>
        </is>
      </c>
      <c r="C1548" t="inlineStr">
        <is>
          <t>Metals</t>
        </is>
      </c>
      <c r="D1548" t="n">
        <v>2024</v>
      </c>
      <c r="E1548" t="n">
        <v>2018</v>
      </c>
      <c r="F1548" t="n">
        <v>2030</v>
      </c>
      <c r="G1548" t="n">
        <v>21921.8531</v>
      </c>
      <c r="H1548" t="n">
        <v>3184.4149</v>
      </c>
      <c r="I1548" t="n">
        <v>3032.0598</v>
      </c>
      <c r="J1548" t="n">
        <v>16104.4523</v>
      </c>
      <c r="K1548" t="n">
        <v>33698440.31</v>
      </c>
      <c r="L1548" t="n">
        <v>182204955.02</v>
      </c>
      <c r="M1548" t="n">
        <v>21921.8531</v>
      </c>
      <c r="N1548" t="inlineStr">
        <is>
          <t>Provided Total Emissions</t>
        </is>
      </c>
      <c r="O1548" t="b">
        <v>1</v>
      </c>
      <c r="P1548" t="n">
        <v>0.014641</v>
      </c>
      <c r="Q1548" t="n">
        <v>0.04581</v>
      </c>
      <c r="R1548" t="n">
        <v>33932.6445</v>
      </c>
      <c r="S1548" t="n">
        <v>118447.7972</v>
      </c>
      <c r="T1548" t="n">
        <v>12010.7914</v>
      </c>
      <c r="U1548" t="n">
        <v>96525.94409999999</v>
      </c>
      <c r="V1548" t="n">
        <v>0.547891</v>
      </c>
      <c r="W1548" t="n">
        <v>4.403184</v>
      </c>
      <c r="X1548" t="inlineStr">
        <is>
          <t>High</t>
        </is>
      </c>
      <c r="Y1548" t="inlineStr">
        <is>
          <t>None</t>
        </is>
      </c>
      <c r="Z1548" t="inlineStr">
        <is>
          <t>Valid</t>
        </is>
      </c>
      <c r="AA1548" t="n">
        <v>2035</v>
      </c>
      <c r="AB1548" t="inlineStr">
        <is>
          <t>Supplier Target Pathway</t>
        </is>
      </c>
      <c r="AC1548" t="n">
        <v>22871.2519</v>
      </c>
      <c r="AD1548" t="n">
        <v>11367.0122</v>
      </c>
      <c r="AE1548" t="n">
        <v>11367.0122</v>
      </c>
      <c r="AF1548" t="n">
        <v>11367.0122</v>
      </c>
      <c r="AG1548" t="n">
        <v>11504.2397</v>
      </c>
      <c r="AH1548" t="n">
        <v>0.00033732</v>
      </c>
      <c r="AI1548" t="n">
        <v>0.503</v>
      </c>
      <c r="AJ1548" t="n">
        <v>0</v>
      </c>
      <c r="AK1548" t="n">
        <v>958.6866</v>
      </c>
      <c r="AL1548" t="n">
        <v>-71215.3606</v>
      </c>
      <c r="AM1548" t="n">
        <v>139417.4338</v>
      </c>
      <c r="AN1548" t="n">
        <v>0.99</v>
      </c>
      <c r="AO1548" t="inlineStr">
        <is>
          <t>Low</t>
        </is>
      </c>
      <c r="AP1548" t="inlineStr">
        <is>
          <t>On Track</t>
        </is>
      </c>
    </row>
    <row r="1549">
      <c r="A1549" t="inlineStr">
        <is>
          <t>SUP-0097</t>
        </is>
      </c>
      <c r="B1549" t="inlineStr">
        <is>
          <t>Metals Supplier 097</t>
        </is>
      </c>
      <c r="C1549" t="inlineStr">
        <is>
          <t>Metals</t>
        </is>
      </c>
      <c r="D1549" t="n">
        <v>2024</v>
      </c>
      <c r="E1549" t="n">
        <v>2018</v>
      </c>
      <c r="F1549" t="n">
        <v>2030</v>
      </c>
      <c r="G1549" t="n">
        <v>21921.8531</v>
      </c>
      <c r="H1549" t="n">
        <v>3184.4149</v>
      </c>
      <c r="I1549" t="n">
        <v>3032.0598</v>
      </c>
      <c r="J1549" t="n">
        <v>16104.4523</v>
      </c>
      <c r="K1549" t="n">
        <v>33698440.31</v>
      </c>
      <c r="L1549" t="n">
        <v>182204955.02</v>
      </c>
      <c r="M1549" t="n">
        <v>21921.8531</v>
      </c>
      <c r="N1549" t="inlineStr">
        <is>
          <t>Provided Total Emissions</t>
        </is>
      </c>
      <c r="O1549" t="b">
        <v>1</v>
      </c>
      <c r="P1549" t="n">
        <v>0.014641</v>
      </c>
      <c r="Q1549" t="n">
        <v>0.04581</v>
      </c>
      <c r="R1549" t="n">
        <v>33932.6445</v>
      </c>
      <c r="S1549" t="n">
        <v>118447.7972</v>
      </c>
      <c r="T1549" t="n">
        <v>12010.7914</v>
      </c>
      <c r="U1549" t="n">
        <v>96525.94409999999</v>
      </c>
      <c r="V1549" t="n">
        <v>0.547891</v>
      </c>
      <c r="W1549" t="n">
        <v>4.403184</v>
      </c>
      <c r="X1549" t="inlineStr">
        <is>
          <t>High</t>
        </is>
      </c>
      <c r="Y1549" t="inlineStr">
        <is>
          <t>None</t>
        </is>
      </c>
      <c r="Z1549" t="inlineStr">
        <is>
          <t>Valid</t>
        </is>
      </c>
      <c r="AA1549" t="n">
        <v>2036</v>
      </c>
      <c r="AB1549" t="inlineStr">
        <is>
          <t>Supplier Target Pathway</t>
        </is>
      </c>
      <c r="AC1549" t="n">
        <v>22871.2519</v>
      </c>
      <c r="AD1549" t="n">
        <v>11367.0122</v>
      </c>
      <c r="AE1549" t="n">
        <v>11367.0122</v>
      </c>
      <c r="AF1549" t="n">
        <v>11367.0122</v>
      </c>
      <c r="AG1549" t="n">
        <v>11504.2397</v>
      </c>
      <c r="AH1549" t="n">
        <v>0.00033732</v>
      </c>
      <c r="AI1549" t="n">
        <v>0.503</v>
      </c>
      <c r="AJ1549" t="n">
        <v>0</v>
      </c>
      <c r="AK1549" t="n">
        <v>958.6866</v>
      </c>
      <c r="AL1549" t="n">
        <v>-82582.3728</v>
      </c>
      <c r="AM1549" t="n">
        <v>150784.446</v>
      </c>
      <c r="AN1549" t="n">
        <v>0.99</v>
      </c>
      <c r="AO1549" t="inlineStr">
        <is>
          <t>Low</t>
        </is>
      </c>
      <c r="AP1549" t="inlineStr">
        <is>
          <t>On Track</t>
        </is>
      </c>
    </row>
    <row r="1550">
      <c r="A1550" t="inlineStr">
        <is>
          <t>SUP-0097</t>
        </is>
      </c>
      <c r="B1550" t="inlineStr">
        <is>
          <t>Metals Supplier 097</t>
        </is>
      </c>
      <c r="C1550" t="inlineStr">
        <is>
          <t>Metals</t>
        </is>
      </c>
      <c r="D1550" t="n">
        <v>2024</v>
      </c>
      <c r="E1550" t="n">
        <v>2018</v>
      </c>
      <c r="F1550" t="n">
        <v>2030</v>
      </c>
      <c r="G1550" t="n">
        <v>21921.8531</v>
      </c>
      <c r="H1550" t="n">
        <v>3184.4149</v>
      </c>
      <c r="I1550" t="n">
        <v>3032.0598</v>
      </c>
      <c r="J1550" t="n">
        <v>16104.4523</v>
      </c>
      <c r="K1550" t="n">
        <v>33698440.31</v>
      </c>
      <c r="L1550" t="n">
        <v>182204955.02</v>
      </c>
      <c r="M1550" t="n">
        <v>21921.8531</v>
      </c>
      <c r="N1550" t="inlineStr">
        <is>
          <t>Provided Total Emissions</t>
        </is>
      </c>
      <c r="O1550" t="b">
        <v>1</v>
      </c>
      <c r="P1550" t="n">
        <v>0.014641</v>
      </c>
      <c r="Q1550" t="n">
        <v>0.04581</v>
      </c>
      <c r="R1550" t="n">
        <v>33932.6445</v>
      </c>
      <c r="S1550" t="n">
        <v>118447.7972</v>
      </c>
      <c r="T1550" t="n">
        <v>12010.7914</v>
      </c>
      <c r="U1550" t="n">
        <v>96525.94409999999</v>
      </c>
      <c r="V1550" t="n">
        <v>0.547891</v>
      </c>
      <c r="W1550" t="n">
        <v>4.403184</v>
      </c>
      <c r="X1550" t="inlineStr">
        <is>
          <t>High</t>
        </is>
      </c>
      <c r="Y1550" t="inlineStr">
        <is>
          <t>None</t>
        </is>
      </c>
      <c r="Z1550" t="inlineStr">
        <is>
          <t>Valid</t>
        </is>
      </c>
      <c r="AA1550" t="n">
        <v>2037</v>
      </c>
      <c r="AB1550" t="inlineStr">
        <is>
          <t>Supplier Target Pathway</t>
        </is>
      </c>
      <c r="AC1550" t="n">
        <v>22871.2519</v>
      </c>
      <c r="AD1550" t="n">
        <v>11367.0122</v>
      </c>
      <c r="AE1550" t="n">
        <v>11367.0122</v>
      </c>
      <c r="AF1550" t="n">
        <v>11367.0122</v>
      </c>
      <c r="AG1550" t="n">
        <v>11504.2397</v>
      </c>
      <c r="AH1550" t="n">
        <v>0.00033732</v>
      </c>
      <c r="AI1550" t="n">
        <v>0.503</v>
      </c>
      <c r="AJ1550" t="n">
        <v>0</v>
      </c>
      <c r="AK1550" t="n">
        <v>958.6866</v>
      </c>
      <c r="AL1550" t="n">
        <v>-93949.38499999999</v>
      </c>
      <c r="AM1550" t="n">
        <v>162151.4582</v>
      </c>
      <c r="AN1550" t="n">
        <v>0.99</v>
      </c>
      <c r="AO1550" t="inlineStr">
        <is>
          <t>Low</t>
        </is>
      </c>
      <c r="AP1550" t="inlineStr">
        <is>
          <t>On Track</t>
        </is>
      </c>
    </row>
    <row r="1551">
      <c r="A1551" t="inlineStr">
        <is>
          <t>SUP-0097</t>
        </is>
      </c>
      <c r="B1551" t="inlineStr">
        <is>
          <t>Metals Supplier 097</t>
        </is>
      </c>
      <c r="C1551" t="inlineStr">
        <is>
          <t>Metals</t>
        </is>
      </c>
      <c r="D1551" t="n">
        <v>2024</v>
      </c>
      <c r="E1551" t="n">
        <v>2018</v>
      </c>
      <c r="F1551" t="n">
        <v>2030</v>
      </c>
      <c r="G1551" t="n">
        <v>21921.8531</v>
      </c>
      <c r="H1551" t="n">
        <v>3184.4149</v>
      </c>
      <c r="I1551" t="n">
        <v>3032.0598</v>
      </c>
      <c r="J1551" t="n">
        <v>16104.4523</v>
      </c>
      <c r="K1551" t="n">
        <v>33698440.31</v>
      </c>
      <c r="L1551" t="n">
        <v>182204955.02</v>
      </c>
      <c r="M1551" t="n">
        <v>21921.8531</v>
      </c>
      <c r="N1551" t="inlineStr">
        <is>
          <t>Provided Total Emissions</t>
        </is>
      </c>
      <c r="O1551" t="b">
        <v>1</v>
      </c>
      <c r="P1551" t="n">
        <v>0.014641</v>
      </c>
      <c r="Q1551" t="n">
        <v>0.04581</v>
      </c>
      <c r="R1551" t="n">
        <v>33932.6445</v>
      </c>
      <c r="S1551" t="n">
        <v>118447.7972</v>
      </c>
      <c r="T1551" t="n">
        <v>12010.7914</v>
      </c>
      <c r="U1551" t="n">
        <v>96525.94409999999</v>
      </c>
      <c r="V1551" t="n">
        <v>0.547891</v>
      </c>
      <c r="W1551" t="n">
        <v>4.403184</v>
      </c>
      <c r="X1551" t="inlineStr">
        <is>
          <t>High</t>
        </is>
      </c>
      <c r="Y1551" t="inlineStr">
        <is>
          <t>None</t>
        </is>
      </c>
      <c r="Z1551" t="inlineStr">
        <is>
          <t>Valid</t>
        </is>
      </c>
      <c r="AA1551" t="n">
        <v>2038</v>
      </c>
      <c r="AB1551" t="inlineStr">
        <is>
          <t>Supplier Target Pathway</t>
        </is>
      </c>
      <c r="AC1551" t="n">
        <v>22871.2519</v>
      </c>
      <c r="AD1551" t="n">
        <v>11367.0122</v>
      </c>
      <c r="AE1551" t="n">
        <v>11367.0122</v>
      </c>
      <c r="AF1551" t="n">
        <v>11367.0122</v>
      </c>
      <c r="AG1551" t="n">
        <v>11504.2397</v>
      </c>
      <c r="AH1551" t="n">
        <v>0.00033732</v>
      </c>
      <c r="AI1551" t="n">
        <v>0.503</v>
      </c>
      <c r="AJ1551" t="n">
        <v>0</v>
      </c>
      <c r="AK1551" t="n">
        <v>958.6866</v>
      </c>
      <c r="AL1551" t="n">
        <v>-105316.3972</v>
      </c>
      <c r="AM1551" t="n">
        <v>173518.4704</v>
      </c>
      <c r="AN1551" t="n">
        <v>0.99</v>
      </c>
      <c r="AO1551" t="inlineStr">
        <is>
          <t>Low</t>
        </is>
      </c>
      <c r="AP1551" t="inlineStr">
        <is>
          <t>On Track</t>
        </is>
      </c>
    </row>
    <row r="1552">
      <c r="A1552" t="inlineStr">
        <is>
          <t>SUP-0097</t>
        </is>
      </c>
      <c r="B1552" t="inlineStr">
        <is>
          <t>Metals Supplier 097</t>
        </is>
      </c>
      <c r="C1552" t="inlineStr">
        <is>
          <t>Metals</t>
        </is>
      </c>
      <c r="D1552" t="n">
        <v>2024</v>
      </c>
      <c r="E1552" t="n">
        <v>2018</v>
      </c>
      <c r="F1552" t="n">
        <v>2030</v>
      </c>
      <c r="G1552" t="n">
        <v>21921.8531</v>
      </c>
      <c r="H1552" t="n">
        <v>3184.4149</v>
      </c>
      <c r="I1552" t="n">
        <v>3032.0598</v>
      </c>
      <c r="J1552" t="n">
        <v>16104.4523</v>
      </c>
      <c r="K1552" t="n">
        <v>33698440.31</v>
      </c>
      <c r="L1552" t="n">
        <v>182204955.02</v>
      </c>
      <c r="M1552" t="n">
        <v>21921.8531</v>
      </c>
      <c r="N1552" t="inlineStr">
        <is>
          <t>Provided Total Emissions</t>
        </is>
      </c>
      <c r="O1552" t="b">
        <v>1</v>
      </c>
      <c r="P1552" t="n">
        <v>0.014641</v>
      </c>
      <c r="Q1552" t="n">
        <v>0.04581</v>
      </c>
      <c r="R1552" t="n">
        <v>33932.6445</v>
      </c>
      <c r="S1552" t="n">
        <v>118447.7972</v>
      </c>
      <c r="T1552" t="n">
        <v>12010.7914</v>
      </c>
      <c r="U1552" t="n">
        <v>96525.94409999999</v>
      </c>
      <c r="V1552" t="n">
        <v>0.547891</v>
      </c>
      <c r="W1552" t="n">
        <v>4.403184</v>
      </c>
      <c r="X1552" t="inlineStr">
        <is>
          <t>High</t>
        </is>
      </c>
      <c r="Y1552" t="inlineStr">
        <is>
          <t>None</t>
        </is>
      </c>
      <c r="Z1552" t="inlineStr">
        <is>
          <t>Valid</t>
        </is>
      </c>
      <c r="AA1552" t="n">
        <v>2039</v>
      </c>
      <c r="AB1552" t="inlineStr">
        <is>
          <t>Supplier Target Pathway</t>
        </is>
      </c>
      <c r="AC1552" t="n">
        <v>22871.2519</v>
      </c>
      <c r="AD1552" t="n">
        <v>11367.0122</v>
      </c>
      <c r="AE1552" t="n">
        <v>11367.0122</v>
      </c>
      <c r="AF1552" t="n">
        <v>11367.0122</v>
      </c>
      <c r="AG1552" t="n">
        <v>11504.2397</v>
      </c>
      <c r="AH1552" t="n">
        <v>0.00033732</v>
      </c>
      <c r="AI1552" t="n">
        <v>0.503</v>
      </c>
      <c r="AJ1552" t="n">
        <v>0</v>
      </c>
      <c r="AK1552" t="n">
        <v>958.6866</v>
      </c>
      <c r="AL1552" t="n">
        <v>-116683.4094</v>
      </c>
      <c r="AM1552" t="n">
        <v>184885.4826</v>
      </c>
      <c r="AN1552" t="n">
        <v>0.99</v>
      </c>
      <c r="AO1552" t="inlineStr">
        <is>
          <t>Low</t>
        </is>
      </c>
      <c r="AP1552" t="inlineStr">
        <is>
          <t>On Track</t>
        </is>
      </c>
    </row>
    <row r="1553">
      <c r="A1553" t="inlineStr">
        <is>
          <t>SUP-0097</t>
        </is>
      </c>
      <c r="B1553" t="inlineStr">
        <is>
          <t>Metals Supplier 097</t>
        </is>
      </c>
      <c r="C1553" t="inlineStr">
        <is>
          <t>Metals</t>
        </is>
      </c>
      <c r="D1553" t="n">
        <v>2024</v>
      </c>
      <c r="E1553" t="n">
        <v>2018</v>
      </c>
      <c r="F1553" t="n">
        <v>2030</v>
      </c>
      <c r="G1553" t="n">
        <v>21921.8531</v>
      </c>
      <c r="H1553" t="n">
        <v>3184.4149</v>
      </c>
      <c r="I1553" t="n">
        <v>3032.0598</v>
      </c>
      <c r="J1553" t="n">
        <v>16104.4523</v>
      </c>
      <c r="K1553" t="n">
        <v>33698440.31</v>
      </c>
      <c r="L1553" t="n">
        <v>182204955.02</v>
      </c>
      <c r="M1553" t="n">
        <v>21921.8531</v>
      </c>
      <c r="N1553" t="inlineStr">
        <is>
          <t>Provided Total Emissions</t>
        </is>
      </c>
      <c r="O1553" t="b">
        <v>1</v>
      </c>
      <c r="P1553" t="n">
        <v>0.014641</v>
      </c>
      <c r="Q1553" t="n">
        <v>0.04581</v>
      </c>
      <c r="R1553" t="n">
        <v>33932.6445</v>
      </c>
      <c r="S1553" t="n">
        <v>118447.7972</v>
      </c>
      <c r="T1553" t="n">
        <v>12010.7914</v>
      </c>
      <c r="U1553" t="n">
        <v>96525.94409999999</v>
      </c>
      <c r="V1553" t="n">
        <v>0.547891</v>
      </c>
      <c r="W1553" t="n">
        <v>4.403184</v>
      </c>
      <c r="X1553" t="inlineStr">
        <is>
          <t>High</t>
        </is>
      </c>
      <c r="Y1553" t="inlineStr">
        <is>
          <t>None</t>
        </is>
      </c>
      <c r="Z1553" t="inlineStr">
        <is>
          <t>Valid</t>
        </is>
      </c>
      <c r="AA1553" t="n">
        <v>2040</v>
      </c>
      <c r="AB1553" t="inlineStr">
        <is>
          <t>Supplier Target Pathway</t>
        </is>
      </c>
      <c r="AC1553" t="n">
        <v>22871.2519</v>
      </c>
      <c r="AD1553" t="n">
        <v>11367.0122</v>
      </c>
      <c r="AE1553" t="n">
        <v>11367.0122</v>
      </c>
      <c r="AF1553" t="n">
        <v>11367.0122</v>
      </c>
      <c r="AG1553" t="n">
        <v>11504.2397</v>
      </c>
      <c r="AH1553" t="n">
        <v>0.00033732</v>
      </c>
      <c r="AI1553" t="n">
        <v>0.503</v>
      </c>
      <c r="AJ1553" t="n">
        <v>0</v>
      </c>
      <c r="AK1553" t="n">
        <v>958.6866</v>
      </c>
      <c r="AL1553" t="n">
        <v>-128050.4216</v>
      </c>
      <c r="AM1553" t="n">
        <v>196252.4948</v>
      </c>
      <c r="AN1553" t="n">
        <v>0.99</v>
      </c>
      <c r="AO1553" t="inlineStr">
        <is>
          <t>Low</t>
        </is>
      </c>
      <c r="AP1553" t="inlineStr">
        <is>
          <t>On Track</t>
        </is>
      </c>
    </row>
    <row r="1554">
      <c r="A1554" t="inlineStr">
        <is>
          <t>SUP-0098</t>
        </is>
      </c>
      <c r="B1554" t="inlineStr">
        <is>
          <t>Agriculture Supplier 098</t>
        </is>
      </c>
      <c r="C1554" t="inlineStr">
        <is>
          <t>Agriculture</t>
        </is>
      </c>
      <c r="D1554" t="n">
        <v>2024</v>
      </c>
      <c r="E1554" t="n">
        <v>2018</v>
      </c>
      <c r="F1554" t="n">
        <v>2040</v>
      </c>
      <c r="G1554" t="n">
        <v>9228.651400000001</v>
      </c>
      <c r="H1554" t="n">
        <v>2118.8366</v>
      </c>
      <c r="I1554" t="n">
        <v>837.7094</v>
      </c>
      <c r="J1554" t="n">
        <v>6800.3033</v>
      </c>
      <c r="K1554" t="n">
        <v>13020933.35</v>
      </c>
      <c r="L1554" t="n">
        <v>27032088.13</v>
      </c>
      <c r="M1554" t="n">
        <v>9228.651400000001</v>
      </c>
      <c r="N1554" t="inlineStr">
        <is>
          <t>Provided Total Emissions</t>
        </is>
      </c>
      <c r="O1554" t="b">
        <v>1</v>
      </c>
      <c r="P1554" t="n">
        <v>0.085896</v>
      </c>
      <c r="Q1554" t="n">
        <v>0.107675</v>
      </c>
      <c r="R1554" t="n">
        <v>11902.8258</v>
      </c>
      <c r="S1554" t="n">
        <v>26197.6076</v>
      </c>
      <c r="T1554" t="n">
        <v>2674.1744</v>
      </c>
      <c r="U1554" t="n">
        <v>16968.9562</v>
      </c>
      <c r="V1554" t="n">
        <v>0.289769</v>
      </c>
      <c r="W1554" t="n">
        <v>1.838725</v>
      </c>
      <c r="X1554" t="inlineStr">
        <is>
          <t>High</t>
        </is>
      </c>
      <c r="Y1554" t="inlineStr">
        <is>
          <t>None</t>
        </is>
      </c>
      <c r="Z1554" t="inlineStr">
        <is>
          <t>Valid</t>
        </is>
      </c>
      <c r="AA1554" t="n">
        <v>2025</v>
      </c>
      <c r="AB1554" t="inlineStr">
        <is>
          <t>Supplier Target Pathway</t>
        </is>
      </c>
      <c r="AC1554" t="n">
        <v>4801.2623</v>
      </c>
      <c r="AD1554" t="n">
        <v>1488.3913</v>
      </c>
      <c r="AE1554" t="n">
        <v>3747.167</v>
      </c>
      <c r="AF1554" t="n">
        <v>3747.167</v>
      </c>
      <c r="AG1554" t="n">
        <v>1054.0953</v>
      </c>
      <c r="AH1554" t="n">
        <v>0.00028778</v>
      </c>
      <c r="AI1554" t="n">
        <v>0.219545</v>
      </c>
      <c r="AJ1554" t="n">
        <v>2258.7757</v>
      </c>
      <c r="AK1554" t="n">
        <v>150.585</v>
      </c>
      <c r="AL1554" t="n">
        <v>20067.0938</v>
      </c>
      <c r="AM1554" t="n">
        <v>3747.167</v>
      </c>
      <c r="AN1554" t="n">
        <v>0.99</v>
      </c>
      <c r="AO1554" t="inlineStr">
        <is>
          <t>Critical</t>
        </is>
      </c>
      <c r="AP1554" t="inlineStr">
        <is>
          <t>On Track to Glide Path</t>
        </is>
      </c>
    </row>
    <row r="1555">
      <c r="A1555" t="inlineStr">
        <is>
          <t>SUP-0098</t>
        </is>
      </c>
      <c r="B1555" t="inlineStr">
        <is>
          <t>Agriculture Supplier 098</t>
        </is>
      </c>
      <c r="C1555" t="inlineStr">
        <is>
          <t>Agriculture</t>
        </is>
      </c>
      <c r="D1555" t="n">
        <v>2024</v>
      </c>
      <c r="E1555" t="n">
        <v>2018</v>
      </c>
      <c r="F1555" t="n">
        <v>2040</v>
      </c>
      <c r="G1555" t="n">
        <v>9228.651400000001</v>
      </c>
      <c r="H1555" t="n">
        <v>2118.8366</v>
      </c>
      <c r="I1555" t="n">
        <v>837.7094</v>
      </c>
      <c r="J1555" t="n">
        <v>6800.3033</v>
      </c>
      <c r="K1555" t="n">
        <v>13020933.35</v>
      </c>
      <c r="L1555" t="n">
        <v>27032088.13</v>
      </c>
      <c r="M1555" t="n">
        <v>9228.651400000001</v>
      </c>
      <c r="N1555" t="inlineStr">
        <is>
          <t>Provided Total Emissions</t>
        </is>
      </c>
      <c r="O1555" t="b">
        <v>1</v>
      </c>
      <c r="P1555" t="n">
        <v>0.085896</v>
      </c>
      <c r="Q1555" t="n">
        <v>0.107675</v>
      </c>
      <c r="R1555" t="n">
        <v>11902.8258</v>
      </c>
      <c r="S1555" t="n">
        <v>26197.6076</v>
      </c>
      <c r="T1555" t="n">
        <v>2674.1744</v>
      </c>
      <c r="U1555" t="n">
        <v>16968.9562</v>
      </c>
      <c r="V1555" t="n">
        <v>0.289769</v>
      </c>
      <c r="W1555" t="n">
        <v>1.838725</v>
      </c>
      <c r="X1555" t="inlineStr">
        <is>
          <t>High</t>
        </is>
      </c>
      <c r="Y1555" t="inlineStr">
        <is>
          <t>None</t>
        </is>
      </c>
      <c r="Z1555" t="inlineStr">
        <is>
          <t>Valid</t>
        </is>
      </c>
      <c r="AA1555" t="n">
        <v>2026</v>
      </c>
      <c r="AB1555" t="inlineStr">
        <is>
          <t>Supplier Target Pathway</t>
        </is>
      </c>
      <c r="AC1555" t="n">
        <v>4801.2623</v>
      </c>
      <c r="AD1555" t="n">
        <v>1488.3913</v>
      </c>
      <c r="AE1555" t="n">
        <v>3596.5819</v>
      </c>
      <c r="AF1555" t="n">
        <v>3596.5819</v>
      </c>
      <c r="AG1555" t="n">
        <v>1204.6804</v>
      </c>
      <c r="AH1555" t="n">
        <v>0.00027622</v>
      </c>
      <c r="AI1555" t="n">
        <v>0.250909</v>
      </c>
      <c r="AJ1555" t="n">
        <v>2108.1906</v>
      </c>
      <c r="AK1555" t="n">
        <v>150.585</v>
      </c>
      <c r="AL1555" t="n">
        <v>16470.5119</v>
      </c>
      <c r="AM1555" t="n">
        <v>7343.7489</v>
      </c>
      <c r="AN1555" t="n">
        <v>0.99</v>
      </c>
      <c r="AO1555" t="inlineStr">
        <is>
          <t>Critical</t>
        </is>
      </c>
      <c r="AP1555" t="inlineStr">
        <is>
          <t>On Track to Glide Path</t>
        </is>
      </c>
    </row>
    <row r="1556">
      <c r="A1556" t="inlineStr">
        <is>
          <t>SUP-0098</t>
        </is>
      </c>
      <c r="B1556" t="inlineStr">
        <is>
          <t>Agriculture Supplier 098</t>
        </is>
      </c>
      <c r="C1556" t="inlineStr">
        <is>
          <t>Agriculture</t>
        </is>
      </c>
      <c r="D1556" t="n">
        <v>2024</v>
      </c>
      <c r="E1556" t="n">
        <v>2018</v>
      </c>
      <c r="F1556" t="n">
        <v>2040</v>
      </c>
      <c r="G1556" t="n">
        <v>9228.651400000001</v>
      </c>
      <c r="H1556" t="n">
        <v>2118.8366</v>
      </c>
      <c r="I1556" t="n">
        <v>837.7094</v>
      </c>
      <c r="J1556" t="n">
        <v>6800.3033</v>
      </c>
      <c r="K1556" t="n">
        <v>13020933.35</v>
      </c>
      <c r="L1556" t="n">
        <v>27032088.13</v>
      </c>
      <c r="M1556" t="n">
        <v>9228.651400000001</v>
      </c>
      <c r="N1556" t="inlineStr">
        <is>
          <t>Provided Total Emissions</t>
        </is>
      </c>
      <c r="O1556" t="b">
        <v>1</v>
      </c>
      <c r="P1556" t="n">
        <v>0.085896</v>
      </c>
      <c r="Q1556" t="n">
        <v>0.107675</v>
      </c>
      <c r="R1556" t="n">
        <v>11902.8258</v>
      </c>
      <c r="S1556" t="n">
        <v>26197.6076</v>
      </c>
      <c r="T1556" t="n">
        <v>2674.1744</v>
      </c>
      <c r="U1556" t="n">
        <v>16968.9562</v>
      </c>
      <c r="V1556" t="n">
        <v>0.289769</v>
      </c>
      <c r="W1556" t="n">
        <v>1.838725</v>
      </c>
      <c r="X1556" t="inlineStr">
        <is>
          <t>High</t>
        </is>
      </c>
      <c r="Y1556" t="inlineStr">
        <is>
          <t>None</t>
        </is>
      </c>
      <c r="Z1556" t="inlineStr">
        <is>
          <t>Valid</t>
        </is>
      </c>
      <c r="AA1556" t="n">
        <v>2027</v>
      </c>
      <c r="AB1556" t="inlineStr">
        <is>
          <t>Supplier Target Pathway</t>
        </is>
      </c>
      <c r="AC1556" t="n">
        <v>4801.2623</v>
      </c>
      <c r="AD1556" t="n">
        <v>1488.3913</v>
      </c>
      <c r="AE1556" t="n">
        <v>3445.9969</v>
      </c>
      <c r="AF1556" t="n">
        <v>3445.9969</v>
      </c>
      <c r="AG1556" t="n">
        <v>1355.2654</v>
      </c>
      <c r="AH1556" t="n">
        <v>0.00026465</v>
      </c>
      <c r="AI1556" t="n">
        <v>0.282273</v>
      </c>
      <c r="AJ1556" t="n">
        <v>1957.6056</v>
      </c>
      <c r="AK1556" t="n">
        <v>150.585</v>
      </c>
      <c r="AL1556" t="n">
        <v>13024.515</v>
      </c>
      <c r="AM1556" t="n">
        <v>10789.7458</v>
      </c>
      <c r="AN1556" t="n">
        <v>0.99</v>
      </c>
      <c r="AO1556" t="inlineStr">
        <is>
          <t>Critical</t>
        </is>
      </c>
      <c r="AP1556" t="inlineStr">
        <is>
          <t>On Track to Glide Path</t>
        </is>
      </c>
    </row>
    <row r="1557">
      <c r="A1557" t="inlineStr">
        <is>
          <t>SUP-0098</t>
        </is>
      </c>
      <c r="B1557" t="inlineStr">
        <is>
          <t>Agriculture Supplier 098</t>
        </is>
      </c>
      <c r="C1557" t="inlineStr">
        <is>
          <t>Agriculture</t>
        </is>
      </c>
      <c r="D1557" t="n">
        <v>2024</v>
      </c>
      <c r="E1557" t="n">
        <v>2018</v>
      </c>
      <c r="F1557" t="n">
        <v>2040</v>
      </c>
      <c r="G1557" t="n">
        <v>9228.651400000001</v>
      </c>
      <c r="H1557" t="n">
        <v>2118.8366</v>
      </c>
      <c r="I1557" t="n">
        <v>837.7094</v>
      </c>
      <c r="J1557" t="n">
        <v>6800.3033</v>
      </c>
      <c r="K1557" t="n">
        <v>13020933.35</v>
      </c>
      <c r="L1557" t="n">
        <v>27032088.13</v>
      </c>
      <c r="M1557" t="n">
        <v>9228.651400000001</v>
      </c>
      <c r="N1557" t="inlineStr">
        <is>
          <t>Provided Total Emissions</t>
        </is>
      </c>
      <c r="O1557" t="b">
        <v>1</v>
      </c>
      <c r="P1557" t="n">
        <v>0.085896</v>
      </c>
      <c r="Q1557" t="n">
        <v>0.107675</v>
      </c>
      <c r="R1557" t="n">
        <v>11902.8258</v>
      </c>
      <c r="S1557" t="n">
        <v>26197.6076</v>
      </c>
      <c r="T1557" t="n">
        <v>2674.1744</v>
      </c>
      <c r="U1557" t="n">
        <v>16968.9562</v>
      </c>
      <c r="V1557" t="n">
        <v>0.289769</v>
      </c>
      <c r="W1557" t="n">
        <v>1.838725</v>
      </c>
      <c r="X1557" t="inlineStr">
        <is>
          <t>High</t>
        </is>
      </c>
      <c r="Y1557" t="inlineStr">
        <is>
          <t>None</t>
        </is>
      </c>
      <c r="Z1557" t="inlineStr">
        <is>
          <t>Valid</t>
        </is>
      </c>
      <c r="AA1557" t="n">
        <v>2028</v>
      </c>
      <c r="AB1557" t="inlineStr">
        <is>
          <t>Supplier Target Pathway</t>
        </is>
      </c>
      <c r="AC1557" t="n">
        <v>4801.2623</v>
      </c>
      <c r="AD1557" t="n">
        <v>1488.3913</v>
      </c>
      <c r="AE1557" t="n">
        <v>3295.4119</v>
      </c>
      <c r="AF1557" t="n">
        <v>3295.4119</v>
      </c>
      <c r="AG1557" t="n">
        <v>1505.8504</v>
      </c>
      <c r="AH1557" t="n">
        <v>0.00025309</v>
      </c>
      <c r="AI1557" t="n">
        <v>0.313636</v>
      </c>
      <c r="AJ1557" t="n">
        <v>1807.0205</v>
      </c>
      <c r="AK1557" t="n">
        <v>150.585</v>
      </c>
      <c r="AL1557" t="n">
        <v>9729.1031</v>
      </c>
      <c r="AM1557" t="n">
        <v>14085.1577</v>
      </c>
      <c r="AN1557" t="n">
        <v>0.99</v>
      </c>
      <c r="AO1557" t="inlineStr">
        <is>
          <t>Critical</t>
        </is>
      </c>
      <c r="AP1557" t="inlineStr">
        <is>
          <t>On Track to Glide Path</t>
        </is>
      </c>
    </row>
    <row r="1558">
      <c r="A1558" t="inlineStr">
        <is>
          <t>SUP-0098</t>
        </is>
      </c>
      <c r="B1558" t="inlineStr">
        <is>
          <t>Agriculture Supplier 098</t>
        </is>
      </c>
      <c r="C1558" t="inlineStr">
        <is>
          <t>Agriculture</t>
        </is>
      </c>
      <c r="D1558" t="n">
        <v>2024</v>
      </c>
      <c r="E1558" t="n">
        <v>2018</v>
      </c>
      <c r="F1558" t="n">
        <v>2040</v>
      </c>
      <c r="G1558" t="n">
        <v>9228.651400000001</v>
      </c>
      <c r="H1558" t="n">
        <v>2118.8366</v>
      </c>
      <c r="I1558" t="n">
        <v>837.7094</v>
      </c>
      <c r="J1558" t="n">
        <v>6800.3033</v>
      </c>
      <c r="K1558" t="n">
        <v>13020933.35</v>
      </c>
      <c r="L1558" t="n">
        <v>27032088.13</v>
      </c>
      <c r="M1558" t="n">
        <v>9228.651400000001</v>
      </c>
      <c r="N1558" t="inlineStr">
        <is>
          <t>Provided Total Emissions</t>
        </is>
      </c>
      <c r="O1558" t="b">
        <v>1</v>
      </c>
      <c r="P1558" t="n">
        <v>0.085896</v>
      </c>
      <c r="Q1558" t="n">
        <v>0.107675</v>
      </c>
      <c r="R1558" t="n">
        <v>11902.8258</v>
      </c>
      <c r="S1558" t="n">
        <v>26197.6076</v>
      </c>
      <c r="T1558" t="n">
        <v>2674.1744</v>
      </c>
      <c r="U1558" t="n">
        <v>16968.9562</v>
      </c>
      <c r="V1558" t="n">
        <v>0.289769</v>
      </c>
      <c r="W1558" t="n">
        <v>1.838725</v>
      </c>
      <c r="X1558" t="inlineStr">
        <is>
          <t>High</t>
        </is>
      </c>
      <c r="Y1558" t="inlineStr">
        <is>
          <t>None</t>
        </is>
      </c>
      <c r="Z1558" t="inlineStr">
        <is>
          <t>Valid</t>
        </is>
      </c>
      <c r="AA1558" t="n">
        <v>2029</v>
      </c>
      <c r="AB1558" t="inlineStr">
        <is>
          <t>Supplier Target Pathway</t>
        </is>
      </c>
      <c r="AC1558" t="n">
        <v>4801.2623</v>
      </c>
      <c r="AD1558" t="n">
        <v>1488.3913</v>
      </c>
      <c r="AE1558" t="n">
        <v>3144.8268</v>
      </c>
      <c r="AF1558" t="n">
        <v>3144.8268</v>
      </c>
      <c r="AG1558" t="n">
        <v>1656.4355</v>
      </c>
      <c r="AH1558" t="n">
        <v>0.00024152</v>
      </c>
      <c r="AI1558" t="n">
        <v>0.345</v>
      </c>
      <c r="AJ1558" t="n">
        <v>1656.4355</v>
      </c>
      <c r="AK1558" t="n">
        <v>150.585</v>
      </c>
      <c r="AL1558" t="n">
        <v>6584.2763</v>
      </c>
      <c r="AM1558" t="n">
        <v>17229.9845</v>
      </c>
      <c r="AN1558" t="n">
        <v>0.99</v>
      </c>
      <c r="AO1558" t="inlineStr">
        <is>
          <t>Critical</t>
        </is>
      </c>
      <c r="AP1558" t="inlineStr">
        <is>
          <t>On Track to Glide Path</t>
        </is>
      </c>
    </row>
    <row r="1559">
      <c r="A1559" t="inlineStr">
        <is>
          <t>SUP-0098</t>
        </is>
      </c>
      <c r="B1559" t="inlineStr">
        <is>
          <t>Agriculture Supplier 098</t>
        </is>
      </c>
      <c r="C1559" t="inlineStr">
        <is>
          <t>Agriculture</t>
        </is>
      </c>
      <c r="D1559" t="n">
        <v>2024</v>
      </c>
      <c r="E1559" t="n">
        <v>2018</v>
      </c>
      <c r="F1559" t="n">
        <v>2040</v>
      </c>
      <c r="G1559" t="n">
        <v>9228.651400000001</v>
      </c>
      <c r="H1559" t="n">
        <v>2118.8366</v>
      </c>
      <c r="I1559" t="n">
        <v>837.7094</v>
      </c>
      <c r="J1559" t="n">
        <v>6800.3033</v>
      </c>
      <c r="K1559" t="n">
        <v>13020933.35</v>
      </c>
      <c r="L1559" t="n">
        <v>27032088.13</v>
      </c>
      <c r="M1559" t="n">
        <v>9228.651400000001</v>
      </c>
      <c r="N1559" t="inlineStr">
        <is>
          <t>Provided Total Emissions</t>
        </is>
      </c>
      <c r="O1559" t="b">
        <v>1</v>
      </c>
      <c r="P1559" t="n">
        <v>0.085896</v>
      </c>
      <c r="Q1559" t="n">
        <v>0.107675</v>
      </c>
      <c r="R1559" t="n">
        <v>11902.8258</v>
      </c>
      <c r="S1559" t="n">
        <v>26197.6076</v>
      </c>
      <c r="T1559" t="n">
        <v>2674.1744</v>
      </c>
      <c r="U1559" t="n">
        <v>16968.9562</v>
      </c>
      <c r="V1559" t="n">
        <v>0.289769</v>
      </c>
      <c r="W1559" t="n">
        <v>1.838725</v>
      </c>
      <c r="X1559" t="inlineStr">
        <is>
          <t>High</t>
        </is>
      </c>
      <c r="Y1559" t="inlineStr">
        <is>
          <t>None</t>
        </is>
      </c>
      <c r="Z1559" t="inlineStr">
        <is>
          <t>Valid</t>
        </is>
      </c>
      <c r="AA1559" t="n">
        <v>2030</v>
      </c>
      <c r="AB1559" t="inlineStr">
        <is>
          <t>Supplier Target Pathway</t>
        </is>
      </c>
      <c r="AC1559" t="n">
        <v>4801.2623</v>
      </c>
      <c r="AD1559" t="n">
        <v>1488.3913</v>
      </c>
      <c r="AE1559" t="n">
        <v>2994.2418</v>
      </c>
      <c r="AF1559" t="n">
        <v>2994.2418</v>
      </c>
      <c r="AG1559" t="n">
        <v>1807.0205</v>
      </c>
      <c r="AH1559" t="n">
        <v>0.00022996</v>
      </c>
      <c r="AI1559" t="n">
        <v>0.376364</v>
      </c>
      <c r="AJ1559" t="n">
        <v>1505.8504</v>
      </c>
      <c r="AK1559" t="n">
        <v>150.585</v>
      </c>
      <c r="AL1559" t="n">
        <v>3590.0345</v>
      </c>
      <c r="AM1559" t="n">
        <v>20224.2263</v>
      </c>
      <c r="AN1559" t="n">
        <v>0.99</v>
      </c>
      <c r="AO1559" t="inlineStr">
        <is>
          <t>Critical</t>
        </is>
      </c>
      <c r="AP1559" t="inlineStr">
        <is>
          <t>On Track to Glide Path</t>
        </is>
      </c>
    </row>
    <row r="1560">
      <c r="A1560" t="inlineStr">
        <is>
          <t>SUP-0098</t>
        </is>
      </c>
      <c r="B1560" t="inlineStr">
        <is>
          <t>Agriculture Supplier 098</t>
        </is>
      </c>
      <c r="C1560" t="inlineStr">
        <is>
          <t>Agriculture</t>
        </is>
      </c>
      <c r="D1560" t="n">
        <v>2024</v>
      </c>
      <c r="E1560" t="n">
        <v>2018</v>
      </c>
      <c r="F1560" t="n">
        <v>2040</v>
      </c>
      <c r="G1560" t="n">
        <v>9228.651400000001</v>
      </c>
      <c r="H1560" t="n">
        <v>2118.8366</v>
      </c>
      <c r="I1560" t="n">
        <v>837.7094</v>
      </c>
      <c r="J1560" t="n">
        <v>6800.3033</v>
      </c>
      <c r="K1560" t="n">
        <v>13020933.35</v>
      </c>
      <c r="L1560" t="n">
        <v>27032088.13</v>
      </c>
      <c r="M1560" t="n">
        <v>9228.651400000001</v>
      </c>
      <c r="N1560" t="inlineStr">
        <is>
          <t>Provided Total Emissions</t>
        </is>
      </c>
      <c r="O1560" t="b">
        <v>1</v>
      </c>
      <c r="P1560" t="n">
        <v>0.085896</v>
      </c>
      <c r="Q1560" t="n">
        <v>0.107675</v>
      </c>
      <c r="R1560" t="n">
        <v>11902.8258</v>
      </c>
      <c r="S1560" t="n">
        <v>26197.6076</v>
      </c>
      <c r="T1560" t="n">
        <v>2674.1744</v>
      </c>
      <c r="U1560" t="n">
        <v>16968.9562</v>
      </c>
      <c r="V1560" t="n">
        <v>0.289769</v>
      </c>
      <c r="W1560" t="n">
        <v>1.838725</v>
      </c>
      <c r="X1560" t="inlineStr">
        <is>
          <t>High</t>
        </is>
      </c>
      <c r="Y1560" t="inlineStr">
        <is>
          <t>None</t>
        </is>
      </c>
      <c r="Z1560" t="inlineStr">
        <is>
          <t>Valid</t>
        </is>
      </c>
      <c r="AA1560" t="n">
        <v>2031</v>
      </c>
      <c r="AB1560" t="inlineStr">
        <is>
          <t>Supplier Target Pathway</t>
        </is>
      </c>
      <c r="AC1560" t="n">
        <v>4801.2623</v>
      </c>
      <c r="AD1560" t="n">
        <v>1488.3913</v>
      </c>
      <c r="AE1560" t="n">
        <v>2843.6567</v>
      </c>
      <c r="AF1560" t="n">
        <v>2843.6567</v>
      </c>
      <c r="AG1560" t="n">
        <v>1957.6056</v>
      </c>
      <c r="AH1560" t="n">
        <v>0.00021839</v>
      </c>
      <c r="AI1560" t="n">
        <v>0.407727</v>
      </c>
      <c r="AJ1560" t="n">
        <v>1355.2654</v>
      </c>
      <c r="AK1560" t="n">
        <v>150.585</v>
      </c>
      <c r="AL1560" t="n">
        <v>746.3778</v>
      </c>
      <c r="AM1560" t="n">
        <v>23067.883</v>
      </c>
      <c r="AN1560" t="n">
        <v>0.99</v>
      </c>
      <c r="AO1560" t="inlineStr">
        <is>
          <t>Critical</t>
        </is>
      </c>
      <c r="AP1560" t="inlineStr">
        <is>
          <t>On Track to Glide Path</t>
        </is>
      </c>
    </row>
    <row r="1561">
      <c r="A1561" t="inlineStr">
        <is>
          <t>SUP-0098</t>
        </is>
      </c>
      <c r="B1561" t="inlineStr">
        <is>
          <t>Agriculture Supplier 098</t>
        </is>
      </c>
      <c r="C1561" t="inlineStr">
        <is>
          <t>Agriculture</t>
        </is>
      </c>
      <c r="D1561" t="n">
        <v>2024</v>
      </c>
      <c r="E1561" t="n">
        <v>2018</v>
      </c>
      <c r="F1561" t="n">
        <v>2040</v>
      </c>
      <c r="G1561" t="n">
        <v>9228.651400000001</v>
      </c>
      <c r="H1561" t="n">
        <v>2118.8366</v>
      </c>
      <c r="I1561" t="n">
        <v>837.7094</v>
      </c>
      <c r="J1561" t="n">
        <v>6800.3033</v>
      </c>
      <c r="K1561" t="n">
        <v>13020933.35</v>
      </c>
      <c r="L1561" t="n">
        <v>27032088.13</v>
      </c>
      <c r="M1561" t="n">
        <v>9228.651400000001</v>
      </c>
      <c r="N1561" t="inlineStr">
        <is>
          <t>Provided Total Emissions</t>
        </is>
      </c>
      <c r="O1561" t="b">
        <v>1</v>
      </c>
      <c r="P1561" t="n">
        <v>0.085896</v>
      </c>
      <c r="Q1561" t="n">
        <v>0.107675</v>
      </c>
      <c r="R1561" t="n">
        <v>11902.8258</v>
      </c>
      <c r="S1561" t="n">
        <v>26197.6076</v>
      </c>
      <c r="T1561" t="n">
        <v>2674.1744</v>
      </c>
      <c r="U1561" t="n">
        <v>16968.9562</v>
      </c>
      <c r="V1561" t="n">
        <v>0.289769</v>
      </c>
      <c r="W1561" t="n">
        <v>1.838725</v>
      </c>
      <c r="X1561" t="inlineStr">
        <is>
          <t>High</t>
        </is>
      </c>
      <c r="Y1561" t="inlineStr">
        <is>
          <t>None</t>
        </is>
      </c>
      <c r="Z1561" t="inlineStr">
        <is>
          <t>Valid</t>
        </is>
      </c>
      <c r="AA1561" t="n">
        <v>2032</v>
      </c>
      <c r="AB1561" t="inlineStr">
        <is>
          <t>Supplier Target Pathway</t>
        </is>
      </c>
      <c r="AC1561" t="n">
        <v>4801.2623</v>
      </c>
      <c r="AD1561" t="n">
        <v>1488.3913</v>
      </c>
      <c r="AE1561" t="n">
        <v>2693.0717</v>
      </c>
      <c r="AF1561" t="n">
        <v>2693.0717</v>
      </c>
      <c r="AG1561" t="n">
        <v>2108.1906</v>
      </c>
      <c r="AH1561" t="n">
        <v>0.00020683</v>
      </c>
      <c r="AI1561" t="n">
        <v>0.439091</v>
      </c>
      <c r="AJ1561" t="n">
        <v>1204.6804</v>
      </c>
      <c r="AK1561" t="n">
        <v>150.585</v>
      </c>
      <c r="AL1561" t="n">
        <v>-1946.6939</v>
      </c>
      <c r="AM1561" t="n">
        <v>25760.9547</v>
      </c>
      <c r="AN1561" t="n">
        <v>0.99</v>
      </c>
      <c r="AO1561" t="inlineStr">
        <is>
          <t>Critical</t>
        </is>
      </c>
      <c r="AP1561" t="inlineStr">
        <is>
          <t>On Track to Glide Path</t>
        </is>
      </c>
    </row>
    <row r="1562">
      <c r="A1562" t="inlineStr">
        <is>
          <t>SUP-0098</t>
        </is>
      </c>
      <c r="B1562" t="inlineStr">
        <is>
          <t>Agriculture Supplier 098</t>
        </is>
      </c>
      <c r="C1562" t="inlineStr">
        <is>
          <t>Agriculture</t>
        </is>
      </c>
      <c r="D1562" t="n">
        <v>2024</v>
      </c>
      <c r="E1562" t="n">
        <v>2018</v>
      </c>
      <c r="F1562" t="n">
        <v>2040</v>
      </c>
      <c r="G1562" t="n">
        <v>9228.651400000001</v>
      </c>
      <c r="H1562" t="n">
        <v>2118.8366</v>
      </c>
      <c r="I1562" t="n">
        <v>837.7094</v>
      </c>
      <c r="J1562" t="n">
        <v>6800.3033</v>
      </c>
      <c r="K1562" t="n">
        <v>13020933.35</v>
      </c>
      <c r="L1562" t="n">
        <v>27032088.13</v>
      </c>
      <c r="M1562" t="n">
        <v>9228.651400000001</v>
      </c>
      <c r="N1562" t="inlineStr">
        <is>
          <t>Provided Total Emissions</t>
        </is>
      </c>
      <c r="O1562" t="b">
        <v>1</v>
      </c>
      <c r="P1562" t="n">
        <v>0.085896</v>
      </c>
      <c r="Q1562" t="n">
        <v>0.107675</v>
      </c>
      <c r="R1562" t="n">
        <v>11902.8258</v>
      </c>
      <c r="S1562" t="n">
        <v>26197.6076</v>
      </c>
      <c r="T1562" t="n">
        <v>2674.1744</v>
      </c>
      <c r="U1562" t="n">
        <v>16968.9562</v>
      </c>
      <c r="V1562" t="n">
        <v>0.289769</v>
      </c>
      <c r="W1562" t="n">
        <v>1.838725</v>
      </c>
      <c r="X1562" t="inlineStr">
        <is>
          <t>High</t>
        </is>
      </c>
      <c r="Y1562" t="inlineStr">
        <is>
          <t>None</t>
        </is>
      </c>
      <c r="Z1562" t="inlineStr">
        <is>
          <t>Valid</t>
        </is>
      </c>
      <c r="AA1562" t="n">
        <v>2033</v>
      </c>
      <c r="AB1562" t="inlineStr">
        <is>
          <t>Supplier Target Pathway</t>
        </is>
      </c>
      <c r="AC1562" t="n">
        <v>4801.2623</v>
      </c>
      <c r="AD1562" t="n">
        <v>1488.3913</v>
      </c>
      <c r="AE1562" t="n">
        <v>2542.4866</v>
      </c>
      <c r="AF1562" t="n">
        <v>2542.4866</v>
      </c>
      <c r="AG1562" t="n">
        <v>2258.7757</v>
      </c>
      <c r="AH1562" t="n">
        <v>0.00019526</v>
      </c>
      <c r="AI1562" t="n">
        <v>0.470455</v>
      </c>
      <c r="AJ1562" t="n">
        <v>1054.0953</v>
      </c>
      <c r="AK1562" t="n">
        <v>150.585</v>
      </c>
      <c r="AL1562" t="n">
        <v>-4489.1805</v>
      </c>
      <c r="AM1562" t="n">
        <v>28303.4413</v>
      </c>
      <c r="AN1562" t="n">
        <v>0.99</v>
      </c>
      <c r="AO1562" t="inlineStr">
        <is>
          <t>Critical</t>
        </is>
      </c>
      <c r="AP1562" t="inlineStr">
        <is>
          <t>On Track to Glide Path</t>
        </is>
      </c>
    </row>
    <row r="1563">
      <c r="A1563" t="inlineStr">
        <is>
          <t>SUP-0098</t>
        </is>
      </c>
      <c r="B1563" t="inlineStr">
        <is>
          <t>Agriculture Supplier 098</t>
        </is>
      </c>
      <c r="C1563" t="inlineStr">
        <is>
          <t>Agriculture</t>
        </is>
      </c>
      <c r="D1563" t="n">
        <v>2024</v>
      </c>
      <c r="E1563" t="n">
        <v>2018</v>
      </c>
      <c r="F1563" t="n">
        <v>2040</v>
      </c>
      <c r="G1563" t="n">
        <v>9228.651400000001</v>
      </c>
      <c r="H1563" t="n">
        <v>2118.8366</v>
      </c>
      <c r="I1563" t="n">
        <v>837.7094</v>
      </c>
      <c r="J1563" t="n">
        <v>6800.3033</v>
      </c>
      <c r="K1563" t="n">
        <v>13020933.35</v>
      </c>
      <c r="L1563" t="n">
        <v>27032088.13</v>
      </c>
      <c r="M1563" t="n">
        <v>9228.651400000001</v>
      </c>
      <c r="N1563" t="inlineStr">
        <is>
          <t>Provided Total Emissions</t>
        </is>
      </c>
      <c r="O1563" t="b">
        <v>1</v>
      </c>
      <c r="P1563" t="n">
        <v>0.085896</v>
      </c>
      <c r="Q1563" t="n">
        <v>0.107675</v>
      </c>
      <c r="R1563" t="n">
        <v>11902.8258</v>
      </c>
      <c r="S1563" t="n">
        <v>26197.6076</v>
      </c>
      <c r="T1563" t="n">
        <v>2674.1744</v>
      </c>
      <c r="U1563" t="n">
        <v>16968.9562</v>
      </c>
      <c r="V1563" t="n">
        <v>0.289769</v>
      </c>
      <c r="W1563" t="n">
        <v>1.838725</v>
      </c>
      <c r="X1563" t="inlineStr">
        <is>
          <t>High</t>
        </is>
      </c>
      <c r="Y1563" t="inlineStr">
        <is>
          <t>None</t>
        </is>
      </c>
      <c r="Z1563" t="inlineStr">
        <is>
          <t>Valid</t>
        </is>
      </c>
      <c r="AA1563" t="n">
        <v>2034</v>
      </c>
      <c r="AB1563" t="inlineStr">
        <is>
          <t>Supplier Target Pathway</t>
        </is>
      </c>
      <c r="AC1563" t="n">
        <v>4801.2623</v>
      </c>
      <c r="AD1563" t="n">
        <v>1488.3913</v>
      </c>
      <c r="AE1563" t="n">
        <v>2391.9016</v>
      </c>
      <c r="AF1563" t="n">
        <v>2391.9016</v>
      </c>
      <c r="AG1563" t="n">
        <v>2409.3607</v>
      </c>
      <c r="AH1563" t="n">
        <v>0.0001837</v>
      </c>
      <c r="AI1563" t="n">
        <v>0.501818</v>
      </c>
      <c r="AJ1563" t="n">
        <v>903.5103</v>
      </c>
      <c r="AK1563" t="n">
        <v>150.585</v>
      </c>
      <c r="AL1563" t="n">
        <v>-6881.0821</v>
      </c>
      <c r="AM1563" t="n">
        <v>30695.3429</v>
      </c>
      <c r="AN1563" t="n">
        <v>0.99</v>
      </c>
      <c r="AO1563" t="inlineStr">
        <is>
          <t>Critical</t>
        </is>
      </c>
      <c r="AP1563" t="inlineStr">
        <is>
          <t>On Track to Glide Path</t>
        </is>
      </c>
    </row>
    <row r="1564">
      <c r="A1564" t="inlineStr">
        <is>
          <t>SUP-0098</t>
        </is>
      </c>
      <c r="B1564" t="inlineStr">
        <is>
          <t>Agriculture Supplier 098</t>
        </is>
      </c>
      <c r="C1564" t="inlineStr">
        <is>
          <t>Agriculture</t>
        </is>
      </c>
      <c r="D1564" t="n">
        <v>2024</v>
      </c>
      <c r="E1564" t="n">
        <v>2018</v>
      </c>
      <c r="F1564" t="n">
        <v>2040</v>
      </c>
      <c r="G1564" t="n">
        <v>9228.651400000001</v>
      </c>
      <c r="H1564" t="n">
        <v>2118.8366</v>
      </c>
      <c r="I1564" t="n">
        <v>837.7094</v>
      </c>
      <c r="J1564" t="n">
        <v>6800.3033</v>
      </c>
      <c r="K1564" t="n">
        <v>13020933.35</v>
      </c>
      <c r="L1564" t="n">
        <v>27032088.13</v>
      </c>
      <c r="M1564" t="n">
        <v>9228.651400000001</v>
      </c>
      <c r="N1564" t="inlineStr">
        <is>
          <t>Provided Total Emissions</t>
        </is>
      </c>
      <c r="O1564" t="b">
        <v>1</v>
      </c>
      <c r="P1564" t="n">
        <v>0.085896</v>
      </c>
      <c r="Q1564" t="n">
        <v>0.107675</v>
      </c>
      <c r="R1564" t="n">
        <v>11902.8258</v>
      </c>
      <c r="S1564" t="n">
        <v>26197.6076</v>
      </c>
      <c r="T1564" t="n">
        <v>2674.1744</v>
      </c>
      <c r="U1564" t="n">
        <v>16968.9562</v>
      </c>
      <c r="V1564" t="n">
        <v>0.289769</v>
      </c>
      <c r="W1564" t="n">
        <v>1.838725</v>
      </c>
      <c r="X1564" t="inlineStr">
        <is>
          <t>High</t>
        </is>
      </c>
      <c r="Y1564" t="inlineStr">
        <is>
          <t>None</t>
        </is>
      </c>
      <c r="Z1564" t="inlineStr">
        <is>
          <t>Valid</t>
        </is>
      </c>
      <c r="AA1564" t="n">
        <v>2035</v>
      </c>
      <c r="AB1564" t="inlineStr">
        <is>
          <t>Supplier Target Pathway</t>
        </is>
      </c>
      <c r="AC1564" t="n">
        <v>4801.2623</v>
      </c>
      <c r="AD1564" t="n">
        <v>1488.3913</v>
      </c>
      <c r="AE1564" t="n">
        <v>2241.3165</v>
      </c>
      <c r="AF1564" t="n">
        <v>2241.3165</v>
      </c>
      <c r="AG1564" t="n">
        <v>2559.9458</v>
      </c>
      <c r="AH1564" t="n">
        <v>0.00017213</v>
      </c>
      <c r="AI1564" t="n">
        <v>0.533182</v>
      </c>
      <c r="AJ1564" t="n">
        <v>752.9252</v>
      </c>
      <c r="AK1564" t="n">
        <v>150.585</v>
      </c>
      <c r="AL1564" t="n">
        <v>-9122.3986</v>
      </c>
      <c r="AM1564" t="n">
        <v>32936.6594</v>
      </c>
      <c r="AN1564" t="n">
        <v>0.99</v>
      </c>
      <c r="AO1564" t="inlineStr">
        <is>
          <t>Critical</t>
        </is>
      </c>
      <c r="AP1564" t="inlineStr">
        <is>
          <t>On Track to Glide Path</t>
        </is>
      </c>
    </row>
    <row r="1565">
      <c r="A1565" t="inlineStr">
        <is>
          <t>SUP-0098</t>
        </is>
      </c>
      <c r="B1565" t="inlineStr">
        <is>
          <t>Agriculture Supplier 098</t>
        </is>
      </c>
      <c r="C1565" t="inlineStr">
        <is>
          <t>Agriculture</t>
        </is>
      </c>
      <c r="D1565" t="n">
        <v>2024</v>
      </c>
      <c r="E1565" t="n">
        <v>2018</v>
      </c>
      <c r="F1565" t="n">
        <v>2040</v>
      </c>
      <c r="G1565" t="n">
        <v>9228.651400000001</v>
      </c>
      <c r="H1565" t="n">
        <v>2118.8366</v>
      </c>
      <c r="I1565" t="n">
        <v>837.7094</v>
      </c>
      <c r="J1565" t="n">
        <v>6800.3033</v>
      </c>
      <c r="K1565" t="n">
        <v>13020933.35</v>
      </c>
      <c r="L1565" t="n">
        <v>27032088.13</v>
      </c>
      <c r="M1565" t="n">
        <v>9228.651400000001</v>
      </c>
      <c r="N1565" t="inlineStr">
        <is>
          <t>Provided Total Emissions</t>
        </is>
      </c>
      <c r="O1565" t="b">
        <v>1</v>
      </c>
      <c r="P1565" t="n">
        <v>0.085896</v>
      </c>
      <c r="Q1565" t="n">
        <v>0.107675</v>
      </c>
      <c r="R1565" t="n">
        <v>11902.8258</v>
      </c>
      <c r="S1565" t="n">
        <v>26197.6076</v>
      </c>
      <c r="T1565" t="n">
        <v>2674.1744</v>
      </c>
      <c r="U1565" t="n">
        <v>16968.9562</v>
      </c>
      <c r="V1565" t="n">
        <v>0.289769</v>
      </c>
      <c r="W1565" t="n">
        <v>1.838725</v>
      </c>
      <c r="X1565" t="inlineStr">
        <is>
          <t>High</t>
        </is>
      </c>
      <c r="Y1565" t="inlineStr">
        <is>
          <t>None</t>
        </is>
      </c>
      <c r="Z1565" t="inlineStr">
        <is>
          <t>Valid</t>
        </is>
      </c>
      <c r="AA1565" t="n">
        <v>2036</v>
      </c>
      <c r="AB1565" t="inlineStr">
        <is>
          <t>Supplier Target Pathway</t>
        </is>
      </c>
      <c r="AC1565" t="n">
        <v>4801.2623</v>
      </c>
      <c r="AD1565" t="n">
        <v>1488.3913</v>
      </c>
      <c r="AE1565" t="n">
        <v>2090.7315</v>
      </c>
      <c r="AF1565" t="n">
        <v>2090.7315</v>
      </c>
      <c r="AG1565" t="n">
        <v>2710.5308</v>
      </c>
      <c r="AH1565" t="n">
        <v>0.00016057</v>
      </c>
      <c r="AI1565" t="n">
        <v>0.564545</v>
      </c>
      <c r="AJ1565" t="n">
        <v>602.3402</v>
      </c>
      <c r="AK1565" t="n">
        <v>150.585</v>
      </c>
      <c r="AL1565" t="n">
        <v>-11213.1301</v>
      </c>
      <c r="AM1565" t="n">
        <v>35027.3909</v>
      </c>
      <c r="AN1565" t="n">
        <v>0.99</v>
      </c>
      <c r="AO1565" t="inlineStr">
        <is>
          <t>Critical</t>
        </is>
      </c>
      <c r="AP1565" t="inlineStr">
        <is>
          <t>On Track to Glide Path</t>
        </is>
      </c>
    </row>
    <row r="1566">
      <c r="A1566" t="inlineStr">
        <is>
          <t>SUP-0098</t>
        </is>
      </c>
      <c r="B1566" t="inlineStr">
        <is>
          <t>Agriculture Supplier 098</t>
        </is>
      </c>
      <c r="C1566" t="inlineStr">
        <is>
          <t>Agriculture</t>
        </is>
      </c>
      <c r="D1566" t="n">
        <v>2024</v>
      </c>
      <c r="E1566" t="n">
        <v>2018</v>
      </c>
      <c r="F1566" t="n">
        <v>2040</v>
      </c>
      <c r="G1566" t="n">
        <v>9228.651400000001</v>
      </c>
      <c r="H1566" t="n">
        <v>2118.8366</v>
      </c>
      <c r="I1566" t="n">
        <v>837.7094</v>
      </c>
      <c r="J1566" t="n">
        <v>6800.3033</v>
      </c>
      <c r="K1566" t="n">
        <v>13020933.35</v>
      </c>
      <c r="L1566" t="n">
        <v>27032088.13</v>
      </c>
      <c r="M1566" t="n">
        <v>9228.651400000001</v>
      </c>
      <c r="N1566" t="inlineStr">
        <is>
          <t>Provided Total Emissions</t>
        </is>
      </c>
      <c r="O1566" t="b">
        <v>1</v>
      </c>
      <c r="P1566" t="n">
        <v>0.085896</v>
      </c>
      <c r="Q1566" t="n">
        <v>0.107675</v>
      </c>
      <c r="R1566" t="n">
        <v>11902.8258</v>
      </c>
      <c r="S1566" t="n">
        <v>26197.6076</v>
      </c>
      <c r="T1566" t="n">
        <v>2674.1744</v>
      </c>
      <c r="U1566" t="n">
        <v>16968.9562</v>
      </c>
      <c r="V1566" t="n">
        <v>0.289769</v>
      </c>
      <c r="W1566" t="n">
        <v>1.838725</v>
      </c>
      <c r="X1566" t="inlineStr">
        <is>
          <t>High</t>
        </is>
      </c>
      <c r="Y1566" t="inlineStr">
        <is>
          <t>None</t>
        </is>
      </c>
      <c r="Z1566" t="inlineStr">
        <is>
          <t>Valid</t>
        </is>
      </c>
      <c r="AA1566" t="n">
        <v>2037</v>
      </c>
      <c r="AB1566" t="inlineStr">
        <is>
          <t>Supplier Target Pathway</t>
        </is>
      </c>
      <c r="AC1566" t="n">
        <v>4801.2623</v>
      </c>
      <c r="AD1566" t="n">
        <v>1488.3913</v>
      </c>
      <c r="AE1566" t="n">
        <v>1940.1464</v>
      </c>
      <c r="AF1566" t="n">
        <v>1940.1464</v>
      </c>
      <c r="AG1566" t="n">
        <v>2861.1159</v>
      </c>
      <c r="AH1566" t="n">
        <v>0.000149</v>
      </c>
      <c r="AI1566" t="n">
        <v>0.595909</v>
      </c>
      <c r="AJ1566" t="n">
        <v>451.7551</v>
      </c>
      <c r="AK1566" t="n">
        <v>150.585</v>
      </c>
      <c r="AL1566" t="n">
        <v>-13153.2765</v>
      </c>
      <c r="AM1566" t="n">
        <v>36967.5373</v>
      </c>
      <c r="AN1566" t="n">
        <v>0.99</v>
      </c>
      <c r="AO1566" t="inlineStr">
        <is>
          <t>High</t>
        </is>
      </c>
      <c r="AP1566" t="inlineStr">
        <is>
          <t>On Track to Glide Path</t>
        </is>
      </c>
    </row>
    <row r="1567">
      <c r="A1567" t="inlineStr">
        <is>
          <t>SUP-0098</t>
        </is>
      </c>
      <c r="B1567" t="inlineStr">
        <is>
          <t>Agriculture Supplier 098</t>
        </is>
      </c>
      <c r="C1567" t="inlineStr">
        <is>
          <t>Agriculture</t>
        </is>
      </c>
      <c r="D1567" t="n">
        <v>2024</v>
      </c>
      <c r="E1567" t="n">
        <v>2018</v>
      </c>
      <c r="F1567" t="n">
        <v>2040</v>
      </c>
      <c r="G1567" t="n">
        <v>9228.651400000001</v>
      </c>
      <c r="H1567" t="n">
        <v>2118.8366</v>
      </c>
      <c r="I1567" t="n">
        <v>837.7094</v>
      </c>
      <c r="J1567" t="n">
        <v>6800.3033</v>
      </c>
      <c r="K1567" t="n">
        <v>13020933.35</v>
      </c>
      <c r="L1567" t="n">
        <v>27032088.13</v>
      </c>
      <c r="M1567" t="n">
        <v>9228.651400000001</v>
      </c>
      <c r="N1567" t="inlineStr">
        <is>
          <t>Provided Total Emissions</t>
        </is>
      </c>
      <c r="O1567" t="b">
        <v>1</v>
      </c>
      <c r="P1567" t="n">
        <v>0.085896</v>
      </c>
      <c r="Q1567" t="n">
        <v>0.107675</v>
      </c>
      <c r="R1567" t="n">
        <v>11902.8258</v>
      </c>
      <c r="S1567" t="n">
        <v>26197.6076</v>
      </c>
      <c r="T1567" t="n">
        <v>2674.1744</v>
      </c>
      <c r="U1567" t="n">
        <v>16968.9562</v>
      </c>
      <c r="V1567" t="n">
        <v>0.289769</v>
      </c>
      <c r="W1567" t="n">
        <v>1.838725</v>
      </c>
      <c r="X1567" t="inlineStr">
        <is>
          <t>High</t>
        </is>
      </c>
      <c r="Y1567" t="inlineStr">
        <is>
          <t>None</t>
        </is>
      </c>
      <c r="Z1567" t="inlineStr">
        <is>
          <t>Valid</t>
        </is>
      </c>
      <c r="AA1567" t="n">
        <v>2038</v>
      </c>
      <c r="AB1567" t="inlineStr">
        <is>
          <t>Supplier Target Pathway</t>
        </is>
      </c>
      <c r="AC1567" t="n">
        <v>4801.2623</v>
      </c>
      <c r="AD1567" t="n">
        <v>1488.3913</v>
      </c>
      <c r="AE1567" t="n">
        <v>1789.5614</v>
      </c>
      <c r="AF1567" t="n">
        <v>1789.5614</v>
      </c>
      <c r="AG1567" t="n">
        <v>3011.7009</v>
      </c>
      <c r="AH1567" t="n">
        <v>0.00013744</v>
      </c>
      <c r="AI1567" t="n">
        <v>0.627273</v>
      </c>
      <c r="AJ1567" t="n">
        <v>301.1701</v>
      </c>
      <c r="AK1567" t="n">
        <v>150.585</v>
      </c>
      <c r="AL1567" t="n">
        <v>-14942.8379</v>
      </c>
      <c r="AM1567" t="n">
        <v>38757.0987</v>
      </c>
      <c r="AN1567" t="n">
        <v>0.99</v>
      </c>
      <c r="AO1567" t="inlineStr">
        <is>
          <t>High</t>
        </is>
      </c>
      <c r="AP1567" t="inlineStr">
        <is>
          <t>On Track to Glide Path</t>
        </is>
      </c>
    </row>
    <row r="1568">
      <c r="A1568" t="inlineStr">
        <is>
          <t>SUP-0098</t>
        </is>
      </c>
      <c r="B1568" t="inlineStr">
        <is>
          <t>Agriculture Supplier 098</t>
        </is>
      </c>
      <c r="C1568" t="inlineStr">
        <is>
          <t>Agriculture</t>
        </is>
      </c>
      <c r="D1568" t="n">
        <v>2024</v>
      </c>
      <c r="E1568" t="n">
        <v>2018</v>
      </c>
      <c r="F1568" t="n">
        <v>2040</v>
      </c>
      <c r="G1568" t="n">
        <v>9228.651400000001</v>
      </c>
      <c r="H1568" t="n">
        <v>2118.8366</v>
      </c>
      <c r="I1568" t="n">
        <v>837.7094</v>
      </c>
      <c r="J1568" t="n">
        <v>6800.3033</v>
      </c>
      <c r="K1568" t="n">
        <v>13020933.35</v>
      </c>
      <c r="L1568" t="n">
        <v>27032088.13</v>
      </c>
      <c r="M1568" t="n">
        <v>9228.651400000001</v>
      </c>
      <c r="N1568" t="inlineStr">
        <is>
          <t>Provided Total Emissions</t>
        </is>
      </c>
      <c r="O1568" t="b">
        <v>1</v>
      </c>
      <c r="P1568" t="n">
        <v>0.085896</v>
      </c>
      <c r="Q1568" t="n">
        <v>0.107675</v>
      </c>
      <c r="R1568" t="n">
        <v>11902.8258</v>
      </c>
      <c r="S1568" t="n">
        <v>26197.6076</v>
      </c>
      <c r="T1568" t="n">
        <v>2674.1744</v>
      </c>
      <c r="U1568" t="n">
        <v>16968.9562</v>
      </c>
      <c r="V1568" t="n">
        <v>0.289769</v>
      </c>
      <c r="W1568" t="n">
        <v>1.838725</v>
      </c>
      <c r="X1568" t="inlineStr">
        <is>
          <t>High</t>
        </is>
      </c>
      <c r="Y1568" t="inlineStr">
        <is>
          <t>None</t>
        </is>
      </c>
      <c r="Z1568" t="inlineStr">
        <is>
          <t>Valid</t>
        </is>
      </c>
      <c r="AA1568" t="n">
        <v>2039</v>
      </c>
      <c r="AB1568" t="inlineStr">
        <is>
          <t>Supplier Target Pathway</t>
        </is>
      </c>
      <c r="AC1568" t="n">
        <v>4801.2623</v>
      </c>
      <c r="AD1568" t="n">
        <v>1488.3913</v>
      </c>
      <c r="AE1568" t="n">
        <v>1638.9764</v>
      </c>
      <c r="AF1568" t="n">
        <v>1638.9764</v>
      </c>
      <c r="AG1568" t="n">
        <v>3162.2859</v>
      </c>
      <c r="AH1568" t="n">
        <v>0.00012587</v>
      </c>
      <c r="AI1568" t="n">
        <v>0.658636</v>
      </c>
      <c r="AJ1568" t="n">
        <v>150.585</v>
      </c>
      <c r="AK1568" t="n">
        <v>150.585</v>
      </c>
      <c r="AL1568" t="n">
        <v>-16581.8143</v>
      </c>
      <c r="AM1568" t="n">
        <v>40396.0751</v>
      </c>
      <c r="AN1568" t="n">
        <v>0.99</v>
      </c>
      <c r="AO1568" t="inlineStr">
        <is>
          <t>Medium</t>
        </is>
      </c>
      <c r="AP1568" t="inlineStr">
        <is>
          <t>On Track to Glide Path</t>
        </is>
      </c>
    </row>
    <row r="1569">
      <c r="A1569" t="inlineStr">
        <is>
          <t>SUP-0098</t>
        </is>
      </c>
      <c r="B1569" t="inlineStr">
        <is>
          <t>Agriculture Supplier 098</t>
        </is>
      </c>
      <c r="C1569" t="inlineStr">
        <is>
          <t>Agriculture</t>
        </is>
      </c>
      <c r="D1569" t="n">
        <v>2024</v>
      </c>
      <c r="E1569" t="n">
        <v>2018</v>
      </c>
      <c r="F1569" t="n">
        <v>2040</v>
      </c>
      <c r="G1569" t="n">
        <v>9228.651400000001</v>
      </c>
      <c r="H1569" t="n">
        <v>2118.8366</v>
      </c>
      <c r="I1569" t="n">
        <v>837.7094</v>
      </c>
      <c r="J1569" t="n">
        <v>6800.3033</v>
      </c>
      <c r="K1569" t="n">
        <v>13020933.35</v>
      </c>
      <c r="L1569" t="n">
        <v>27032088.13</v>
      </c>
      <c r="M1569" t="n">
        <v>9228.651400000001</v>
      </c>
      <c r="N1569" t="inlineStr">
        <is>
          <t>Provided Total Emissions</t>
        </is>
      </c>
      <c r="O1569" t="b">
        <v>1</v>
      </c>
      <c r="P1569" t="n">
        <v>0.085896</v>
      </c>
      <c r="Q1569" t="n">
        <v>0.107675</v>
      </c>
      <c r="R1569" t="n">
        <v>11902.8258</v>
      </c>
      <c r="S1569" t="n">
        <v>26197.6076</v>
      </c>
      <c r="T1569" t="n">
        <v>2674.1744</v>
      </c>
      <c r="U1569" t="n">
        <v>16968.9562</v>
      </c>
      <c r="V1569" t="n">
        <v>0.289769</v>
      </c>
      <c r="W1569" t="n">
        <v>1.838725</v>
      </c>
      <c r="X1569" t="inlineStr">
        <is>
          <t>High</t>
        </is>
      </c>
      <c r="Y1569" t="inlineStr">
        <is>
          <t>None</t>
        </is>
      </c>
      <c r="Z1569" t="inlineStr">
        <is>
          <t>Valid</t>
        </is>
      </c>
      <c r="AA1569" t="n">
        <v>2040</v>
      </c>
      <c r="AB1569" t="inlineStr">
        <is>
          <t>Supplier Target Pathway</t>
        </is>
      </c>
      <c r="AC1569" t="n">
        <v>4801.2623</v>
      </c>
      <c r="AD1569" t="n">
        <v>1488.3913</v>
      </c>
      <c r="AE1569" t="n">
        <v>1488.3913</v>
      </c>
      <c r="AF1569" t="n">
        <v>1488.3913</v>
      </c>
      <c r="AG1569" t="n">
        <v>3312.871</v>
      </c>
      <c r="AH1569" t="n">
        <v>0.00011431</v>
      </c>
      <c r="AI1569" t="n">
        <v>0.6899999999999999</v>
      </c>
      <c r="AJ1569" t="n">
        <v>0</v>
      </c>
      <c r="AK1569" t="n">
        <v>150.585</v>
      </c>
      <c r="AL1569" t="n">
        <v>-18070.2056</v>
      </c>
      <c r="AM1569" t="n">
        <v>41884.4664</v>
      </c>
      <c r="AN1569" t="n">
        <v>0.99</v>
      </c>
      <c r="AO1569" t="inlineStr">
        <is>
          <t>Low</t>
        </is>
      </c>
      <c r="AP1569" t="inlineStr">
        <is>
          <t>On Track</t>
        </is>
      </c>
    </row>
    <row r="1570">
      <c r="A1570" t="inlineStr">
        <is>
          <t>SUP-0099</t>
        </is>
      </c>
      <c r="B1570" t="inlineStr">
        <is>
          <t>Electronics Supplier 099</t>
        </is>
      </c>
      <c r="C1570" t="inlineStr">
        <is>
          <t>Electronics</t>
        </is>
      </c>
      <c r="D1570" t="n">
        <v>2024</v>
      </c>
      <c r="E1570" t="n">
        <v>2015</v>
      </c>
      <c r="F1570" t="n">
        <v>2040</v>
      </c>
      <c r="G1570" t="n">
        <v>18252.1913</v>
      </c>
      <c r="H1570" t="n">
        <v>2435.7444</v>
      </c>
      <c r="I1570" t="n">
        <v>2310.3448</v>
      </c>
      <c r="J1570" t="n">
        <v>14376.6566</v>
      </c>
      <c r="K1570" t="n">
        <v>20992163.61</v>
      </c>
      <c r="L1570" t="n">
        <v>160096225.06</v>
      </c>
      <c r="M1570" t="n">
        <v>18252.1913</v>
      </c>
      <c r="N1570" t="inlineStr">
        <is>
          <t>Provided Total Emissions</t>
        </is>
      </c>
      <c r="O1570" t="b">
        <v>1</v>
      </c>
      <c r="P1570" t="n">
        <v>0.029809</v>
      </c>
      <c r="Q1570" t="n">
        <v>0.044233</v>
      </c>
      <c r="R1570" t="n">
        <v>18075.3025</v>
      </c>
      <c r="S1570" t="n">
        <v>22328.6205</v>
      </c>
      <c r="T1570" t="n">
        <v>-176.8888</v>
      </c>
      <c r="U1570" t="n">
        <v>4076.4292</v>
      </c>
      <c r="V1570" t="n">
        <v>-0.009691</v>
      </c>
      <c r="W1570" t="n">
        <v>0.223339</v>
      </c>
      <c r="X1570" t="inlineStr">
        <is>
          <t>High</t>
        </is>
      </c>
      <c r="Y1570" t="inlineStr">
        <is>
          <t>None</t>
        </is>
      </c>
      <c r="Z1570" t="inlineStr">
        <is>
          <t>Valid</t>
        </is>
      </c>
      <c r="AA1570" t="n">
        <v>2025</v>
      </c>
      <c r="AB1570" t="inlineStr">
        <is>
          <t>Industry Haircut Pathway</t>
        </is>
      </c>
      <c r="AC1570" t="n">
        <v>14012.1536</v>
      </c>
      <c r="AD1570" t="n">
        <v>9214.3922</v>
      </c>
      <c r="AE1570" t="n">
        <v>12093.049</v>
      </c>
      <c r="AF1570" t="n">
        <v>12093.049</v>
      </c>
      <c r="AG1570" t="n">
        <v>1919.1046</v>
      </c>
      <c r="AH1570" t="n">
        <v>0.00057607</v>
      </c>
      <c r="AI1570" t="n">
        <v>0.13696</v>
      </c>
      <c r="AJ1570" t="n">
        <v>2878.6568</v>
      </c>
      <c r="AK1570" t="n">
        <v>191.9105</v>
      </c>
      <c r="AL1570" t="n">
        <v>135337.2262</v>
      </c>
      <c r="AM1570" t="n">
        <v>12093.049</v>
      </c>
      <c r="AN1570" t="n">
        <v>0.95</v>
      </c>
      <c r="AO1570" t="inlineStr">
        <is>
          <t>High</t>
        </is>
      </c>
      <c r="AP1570" t="inlineStr">
        <is>
          <t>On Track to Glide Path</t>
        </is>
      </c>
    </row>
    <row r="1571">
      <c r="A1571" t="inlineStr">
        <is>
          <t>SUP-0099</t>
        </is>
      </c>
      <c r="B1571" t="inlineStr">
        <is>
          <t>Electronics Supplier 099</t>
        </is>
      </c>
      <c r="C1571" t="inlineStr">
        <is>
          <t>Electronics</t>
        </is>
      </c>
      <c r="D1571" t="n">
        <v>2024</v>
      </c>
      <c r="E1571" t="n">
        <v>2015</v>
      </c>
      <c r="F1571" t="n">
        <v>2040</v>
      </c>
      <c r="G1571" t="n">
        <v>18252.1913</v>
      </c>
      <c r="H1571" t="n">
        <v>2435.7444</v>
      </c>
      <c r="I1571" t="n">
        <v>2310.3448</v>
      </c>
      <c r="J1571" t="n">
        <v>14376.6566</v>
      </c>
      <c r="K1571" t="n">
        <v>20992163.61</v>
      </c>
      <c r="L1571" t="n">
        <v>160096225.06</v>
      </c>
      <c r="M1571" t="n">
        <v>18252.1913</v>
      </c>
      <c r="N1571" t="inlineStr">
        <is>
          <t>Provided Total Emissions</t>
        </is>
      </c>
      <c r="O1571" t="b">
        <v>1</v>
      </c>
      <c r="P1571" t="n">
        <v>0.029809</v>
      </c>
      <c r="Q1571" t="n">
        <v>0.044233</v>
      </c>
      <c r="R1571" t="n">
        <v>18075.3025</v>
      </c>
      <c r="S1571" t="n">
        <v>22328.6205</v>
      </c>
      <c r="T1571" t="n">
        <v>-176.8888</v>
      </c>
      <c r="U1571" t="n">
        <v>4076.4292</v>
      </c>
      <c r="V1571" t="n">
        <v>-0.009691</v>
      </c>
      <c r="W1571" t="n">
        <v>0.223339</v>
      </c>
      <c r="X1571" t="inlineStr">
        <is>
          <t>High</t>
        </is>
      </c>
      <c r="Y1571" t="inlineStr">
        <is>
          <t>None</t>
        </is>
      </c>
      <c r="Z1571" t="inlineStr">
        <is>
          <t>Valid</t>
        </is>
      </c>
      <c r="AA1571" t="n">
        <v>2026</v>
      </c>
      <c r="AB1571" t="inlineStr">
        <is>
          <t>Industry Haircut Pathway</t>
        </is>
      </c>
      <c r="AC1571" t="n">
        <v>14012.1536</v>
      </c>
      <c r="AD1571" t="n">
        <v>9214.3922</v>
      </c>
      <c r="AE1571" t="n">
        <v>11901.1386</v>
      </c>
      <c r="AF1571" t="n">
        <v>11901.1386</v>
      </c>
      <c r="AG1571" t="n">
        <v>2111.015</v>
      </c>
      <c r="AH1571" t="n">
        <v>0.00056693</v>
      </c>
      <c r="AI1571" t="n">
        <v>0.150656</v>
      </c>
      <c r="AJ1571" t="n">
        <v>2686.7464</v>
      </c>
      <c r="AK1571" t="n">
        <v>191.9105</v>
      </c>
      <c r="AL1571" t="n">
        <v>123436.0876</v>
      </c>
      <c r="AM1571" t="n">
        <v>23994.1876</v>
      </c>
      <c r="AN1571" t="n">
        <v>0.95</v>
      </c>
      <c r="AO1571" t="inlineStr">
        <is>
          <t>High</t>
        </is>
      </c>
      <c r="AP1571" t="inlineStr">
        <is>
          <t>On Track to Glide Path</t>
        </is>
      </c>
    </row>
    <row r="1572">
      <c r="A1572" t="inlineStr">
        <is>
          <t>SUP-0099</t>
        </is>
      </c>
      <c r="B1572" t="inlineStr">
        <is>
          <t>Electronics Supplier 099</t>
        </is>
      </c>
      <c r="C1572" t="inlineStr">
        <is>
          <t>Electronics</t>
        </is>
      </c>
      <c r="D1572" t="n">
        <v>2024</v>
      </c>
      <c r="E1572" t="n">
        <v>2015</v>
      </c>
      <c r="F1572" t="n">
        <v>2040</v>
      </c>
      <c r="G1572" t="n">
        <v>18252.1913</v>
      </c>
      <c r="H1572" t="n">
        <v>2435.7444</v>
      </c>
      <c r="I1572" t="n">
        <v>2310.3448</v>
      </c>
      <c r="J1572" t="n">
        <v>14376.6566</v>
      </c>
      <c r="K1572" t="n">
        <v>20992163.61</v>
      </c>
      <c r="L1572" t="n">
        <v>160096225.06</v>
      </c>
      <c r="M1572" t="n">
        <v>18252.1913</v>
      </c>
      <c r="N1572" t="inlineStr">
        <is>
          <t>Provided Total Emissions</t>
        </is>
      </c>
      <c r="O1572" t="b">
        <v>1</v>
      </c>
      <c r="P1572" t="n">
        <v>0.029809</v>
      </c>
      <c r="Q1572" t="n">
        <v>0.044233</v>
      </c>
      <c r="R1572" t="n">
        <v>18075.3025</v>
      </c>
      <c r="S1572" t="n">
        <v>22328.6205</v>
      </c>
      <c r="T1572" t="n">
        <v>-176.8888</v>
      </c>
      <c r="U1572" t="n">
        <v>4076.4292</v>
      </c>
      <c r="V1572" t="n">
        <v>-0.009691</v>
      </c>
      <c r="W1572" t="n">
        <v>0.223339</v>
      </c>
      <c r="X1572" t="inlineStr">
        <is>
          <t>High</t>
        </is>
      </c>
      <c r="Y1572" t="inlineStr">
        <is>
          <t>None</t>
        </is>
      </c>
      <c r="Z1572" t="inlineStr">
        <is>
          <t>Valid</t>
        </is>
      </c>
      <c r="AA1572" t="n">
        <v>2027</v>
      </c>
      <c r="AB1572" t="inlineStr">
        <is>
          <t>Industry Haircut Pathway</t>
        </is>
      </c>
      <c r="AC1572" t="n">
        <v>14012.1536</v>
      </c>
      <c r="AD1572" t="n">
        <v>9214.3922</v>
      </c>
      <c r="AE1572" t="n">
        <v>11709.2281</v>
      </c>
      <c r="AF1572" t="n">
        <v>11709.2281</v>
      </c>
      <c r="AG1572" t="n">
        <v>2302.9255</v>
      </c>
      <c r="AH1572" t="n">
        <v>0.00055779</v>
      </c>
      <c r="AI1572" t="n">
        <v>0.164352</v>
      </c>
      <c r="AJ1572" t="n">
        <v>2494.8359</v>
      </c>
      <c r="AK1572" t="n">
        <v>191.9105</v>
      </c>
      <c r="AL1572" t="n">
        <v>111726.8595</v>
      </c>
      <c r="AM1572" t="n">
        <v>35703.4157</v>
      </c>
      <c r="AN1572" t="n">
        <v>0.95</v>
      </c>
      <c r="AO1572" t="inlineStr">
        <is>
          <t>High</t>
        </is>
      </c>
      <c r="AP1572" t="inlineStr">
        <is>
          <t>On Track to Glide Path</t>
        </is>
      </c>
    </row>
    <row r="1573">
      <c r="A1573" t="inlineStr">
        <is>
          <t>SUP-0099</t>
        </is>
      </c>
      <c r="B1573" t="inlineStr">
        <is>
          <t>Electronics Supplier 099</t>
        </is>
      </c>
      <c r="C1573" t="inlineStr">
        <is>
          <t>Electronics</t>
        </is>
      </c>
      <c r="D1573" t="n">
        <v>2024</v>
      </c>
      <c r="E1573" t="n">
        <v>2015</v>
      </c>
      <c r="F1573" t="n">
        <v>2040</v>
      </c>
      <c r="G1573" t="n">
        <v>18252.1913</v>
      </c>
      <c r="H1573" t="n">
        <v>2435.7444</v>
      </c>
      <c r="I1573" t="n">
        <v>2310.3448</v>
      </c>
      <c r="J1573" t="n">
        <v>14376.6566</v>
      </c>
      <c r="K1573" t="n">
        <v>20992163.61</v>
      </c>
      <c r="L1573" t="n">
        <v>160096225.06</v>
      </c>
      <c r="M1573" t="n">
        <v>18252.1913</v>
      </c>
      <c r="N1573" t="inlineStr">
        <is>
          <t>Provided Total Emissions</t>
        </is>
      </c>
      <c r="O1573" t="b">
        <v>1</v>
      </c>
      <c r="P1573" t="n">
        <v>0.029809</v>
      </c>
      <c r="Q1573" t="n">
        <v>0.044233</v>
      </c>
      <c r="R1573" t="n">
        <v>18075.3025</v>
      </c>
      <c r="S1573" t="n">
        <v>22328.6205</v>
      </c>
      <c r="T1573" t="n">
        <v>-176.8888</v>
      </c>
      <c r="U1573" t="n">
        <v>4076.4292</v>
      </c>
      <c r="V1573" t="n">
        <v>-0.009691</v>
      </c>
      <c r="W1573" t="n">
        <v>0.223339</v>
      </c>
      <c r="X1573" t="inlineStr">
        <is>
          <t>High</t>
        </is>
      </c>
      <c r="Y1573" t="inlineStr">
        <is>
          <t>None</t>
        </is>
      </c>
      <c r="Z1573" t="inlineStr">
        <is>
          <t>Valid</t>
        </is>
      </c>
      <c r="AA1573" t="n">
        <v>2028</v>
      </c>
      <c r="AB1573" t="inlineStr">
        <is>
          <t>Industry Haircut Pathway</t>
        </is>
      </c>
      <c r="AC1573" t="n">
        <v>14012.1536</v>
      </c>
      <c r="AD1573" t="n">
        <v>9214.3922</v>
      </c>
      <c r="AE1573" t="n">
        <v>11517.3177</v>
      </c>
      <c r="AF1573" t="n">
        <v>11517.3177</v>
      </c>
      <c r="AG1573" t="n">
        <v>2494.8359</v>
      </c>
      <c r="AH1573" t="n">
        <v>0.00054865</v>
      </c>
      <c r="AI1573" t="n">
        <v>0.178048</v>
      </c>
      <c r="AJ1573" t="n">
        <v>2302.9255</v>
      </c>
      <c r="AK1573" t="n">
        <v>191.9105</v>
      </c>
      <c r="AL1573" t="n">
        <v>100209.5418</v>
      </c>
      <c r="AM1573" t="n">
        <v>47220.7334</v>
      </c>
      <c r="AN1573" t="n">
        <v>0.95</v>
      </c>
      <c r="AO1573" t="inlineStr">
        <is>
          <t>High</t>
        </is>
      </c>
      <c r="AP1573" t="inlineStr">
        <is>
          <t>On Track to Glide Path</t>
        </is>
      </c>
    </row>
    <row r="1574">
      <c r="A1574" t="inlineStr">
        <is>
          <t>SUP-0099</t>
        </is>
      </c>
      <c r="B1574" t="inlineStr">
        <is>
          <t>Electronics Supplier 099</t>
        </is>
      </c>
      <c r="C1574" t="inlineStr">
        <is>
          <t>Electronics</t>
        </is>
      </c>
      <c r="D1574" t="n">
        <v>2024</v>
      </c>
      <c r="E1574" t="n">
        <v>2015</v>
      </c>
      <c r="F1574" t="n">
        <v>2040</v>
      </c>
      <c r="G1574" t="n">
        <v>18252.1913</v>
      </c>
      <c r="H1574" t="n">
        <v>2435.7444</v>
      </c>
      <c r="I1574" t="n">
        <v>2310.3448</v>
      </c>
      <c r="J1574" t="n">
        <v>14376.6566</v>
      </c>
      <c r="K1574" t="n">
        <v>20992163.61</v>
      </c>
      <c r="L1574" t="n">
        <v>160096225.06</v>
      </c>
      <c r="M1574" t="n">
        <v>18252.1913</v>
      </c>
      <c r="N1574" t="inlineStr">
        <is>
          <t>Provided Total Emissions</t>
        </is>
      </c>
      <c r="O1574" t="b">
        <v>1</v>
      </c>
      <c r="P1574" t="n">
        <v>0.029809</v>
      </c>
      <c r="Q1574" t="n">
        <v>0.044233</v>
      </c>
      <c r="R1574" t="n">
        <v>18075.3025</v>
      </c>
      <c r="S1574" t="n">
        <v>22328.6205</v>
      </c>
      <c r="T1574" t="n">
        <v>-176.8888</v>
      </c>
      <c r="U1574" t="n">
        <v>4076.4292</v>
      </c>
      <c r="V1574" t="n">
        <v>-0.009691</v>
      </c>
      <c r="W1574" t="n">
        <v>0.223339</v>
      </c>
      <c r="X1574" t="inlineStr">
        <is>
          <t>High</t>
        </is>
      </c>
      <c r="Y1574" t="inlineStr">
        <is>
          <t>None</t>
        </is>
      </c>
      <c r="Z1574" t="inlineStr">
        <is>
          <t>Valid</t>
        </is>
      </c>
      <c r="AA1574" t="n">
        <v>2029</v>
      </c>
      <c r="AB1574" t="inlineStr">
        <is>
          <t>Industry Haircut Pathway</t>
        </is>
      </c>
      <c r="AC1574" t="n">
        <v>14012.1536</v>
      </c>
      <c r="AD1574" t="n">
        <v>9214.3922</v>
      </c>
      <c r="AE1574" t="n">
        <v>11325.4072</v>
      </c>
      <c r="AF1574" t="n">
        <v>11325.4072</v>
      </c>
      <c r="AG1574" t="n">
        <v>2686.7464</v>
      </c>
      <c r="AH1574" t="n">
        <v>0.00053951</v>
      </c>
      <c r="AI1574" t="n">
        <v>0.191744</v>
      </c>
      <c r="AJ1574" t="n">
        <v>2111.015</v>
      </c>
      <c r="AK1574" t="n">
        <v>191.9105</v>
      </c>
      <c r="AL1574" t="n">
        <v>88884.1346</v>
      </c>
      <c r="AM1574" t="n">
        <v>58546.1406</v>
      </c>
      <c r="AN1574" t="n">
        <v>0.95</v>
      </c>
      <c r="AO1574" t="inlineStr">
        <is>
          <t>High</t>
        </is>
      </c>
      <c r="AP1574" t="inlineStr">
        <is>
          <t>On Track to Glide Path</t>
        </is>
      </c>
    </row>
    <row r="1575">
      <c r="A1575" t="inlineStr">
        <is>
          <t>SUP-0099</t>
        </is>
      </c>
      <c r="B1575" t="inlineStr">
        <is>
          <t>Electronics Supplier 099</t>
        </is>
      </c>
      <c r="C1575" t="inlineStr">
        <is>
          <t>Electronics</t>
        </is>
      </c>
      <c r="D1575" t="n">
        <v>2024</v>
      </c>
      <c r="E1575" t="n">
        <v>2015</v>
      </c>
      <c r="F1575" t="n">
        <v>2040</v>
      </c>
      <c r="G1575" t="n">
        <v>18252.1913</v>
      </c>
      <c r="H1575" t="n">
        <v>2435.7444</v>
      </c>
      <c r="I1575" t="n">
        <v>2310.3448</v>
      </c>
      <c r="J1575" t="n">
        <v>14376.6566</v>
      </c>
      <c r="K1575" t="n">
        <v>20992163.61</v>
      </c>
      <c r="L1575" t="n">
        <v>160096225.06</v>
      </c>
      <c r="M1575" t="n">
        <v>18252.1913</v>
      </c>
      <c r="N1575" t="inlineStr">
        <is>
          <t>Provided Total Emissions</t>
        </is>
      </c>
      <c r="O1575" t="b">
        <v>1</v>
      </c>
      <c r="P1575" t="n">
        <v>0.029809</v>
      </c>
      <c r="Q1575" t="n">
        <v>0.044233</v>
      </c>
      <c r="R1575" t="n">
        <v>18075.3025</v>
      </c>
      <c r="S1575" t="n">
        <v>22328.6205</v>
      </c>
      <c r="T1575" t="n">
        <v>-176.8888</v>
      </c>
      <c r="U1575" t="n">
        <v>4076.4292</v>
      </c>
      <c r="V1575" t="n">
        <v>-0.009691</v>
      </c>
      <c r="W1575" t="n">
        <v>0.223339</v>
      </c>
      <c r="X1575" t="inlineStr">
        <is>
          <t>High</t>
        </is>
      </c>
      <c r="Y1575" t="inlineStr">
        <is>
          <t>None</t>
        </is>
      </c>
      <c r="Z1575" t="inlineStr">
        <is>
          <t>Valid</t>
        </is>
      </c>
      <c r="AA1575" t="n">
        <v>2030</v>
      </c>
      <c r="AB1575" t="inlineStr">
        <is>
          <t>Industry Haircut Pathway</t>
        </is>
      </c>
      <c r="AC1575" t="n">
        <v>14012.1536</v>
      </c>
      <c r="AD1575" t="n">
        <v>9214.3922</v>
      </c>
      <c r="AE1575" t="n">
        <v>11133.4968</v>
      </c>
      <c r="AF1575" t="n">
        <v>11133.4968</v>
      </c>
      <c r="AG1575" t="n">
        <v>2878.6568</v>
      </c>
      <c r="AH1575" t="n">
        <v>0.00053036</v>
      </c>
      <c r="AI1575" t="n">
        <v>0.20544</v>
      </c>
      <c r="AJ1575" t="n">
        <v>1919.1046</v>
      </c>
      <c r="AK1575" t="n">
        <v>191.9105</v>
      </c>
      <c r="AL1575" t="n">
        <v>77750.6378</v>
      </c>
      <c r="AM1575" t="n">
        <v>69679.63740000001</v>
      </c>
      <c r="AN1575" t="n">
        <v>0.95</v>
      </c>
      <c r="AO1575" t="inlineStr">
        <is>
          <t>High</t>
        </is>
      </c>
      <c r="AP1575" t="inlineStr">
        <is>
          <t>On Track to Glide Path</t>
        </is>
      </c>
    </row>
    <row r="1576">
      <c r="A1576" t="inlineStr">
        <is>
          <t>SUP-0099</t>
        </is>
      </c>
      <c r="B1576" t="inlineStr">
        <is>
          <t>Electronics Supplier 099</t>
        </is>
      </c>
      <c r="C1576" t="inlineStr">
        <is>
          <t>Electronics</t>
        </is>
      </c>
      <c r="D1576" t="n">
        <v>2024</v>
      </c>
      <c r="E1576" t="n">
        <v>2015</v>
      </c>
      <c r="F1576" t="n">
        <v>2040</v>
      </c>
      <c r="G1576" t="n">
        <v>18252.1913</v>
      </c>
      <c r="H1576" t="n">
        <v>2435.7444</v>
      </c>
      <c r="I1576" t="n">
        <v>2310.3448</v>
      </c>
      <c r="J1576" t="n">
        <v>14376.6566</v>
      </c>
      <c r="K1576" t="n">
        <v>20992163.61</v>
      </c>
      <c r="L1576" t="n">
        <v>160096225.06</v>
      </c>
      <c r="M1576" t="n">
        <v>18252.1913</v>
      </c>
      <c r="N1576" t="inlineStr">
        <is>
          <t>Provided Total Emissions</t>
        </is>
      </c>
      <c r="O1576" t="b">
        <v>1</v>
      </c>
      <c r="P1576" t="n">
        <v>0.029809</v>
      </c>
      <c r="Q1576" t="n">
        <v>0.044233</v>
      </c>
      <c r="R1576" t="n">
        <v>18075.3025</v>
      </c>
      <c r="S1576" t="n">
        <v>22328.6205</v>
      </c>
      <c r="T1576" t="n">
        <v>-176.8888</v>
      </c>
      <c r="U1576" t="n">
        <v>4076.4292</v>
      </c>
      <c r="V1576" t="n">
        <v>-0.009691</v>
      </c>
      <c r="W1576" t="n">
        <v>0.223339</v>
      </c>
      <c r="X1576" t="inlineStr">
        <is>
          <t>High</t>
        </is>
      </c>
      <c r="Y1576" t="inlineStr">
        <is>
          <t>None</t>
        </is>
      </c>
      <c r="Z1576" t="inlineStr">
        <is>
          <t>Valid</t>
        </is>
      </c>
      <c r="AA1576" t="n">
        <v>2031</v>
      </c>
      <c r="AB1576" t="inlineStr">
        <is>
          <t>Industry Haircut Pathway</t>
        </is>
      </c>
      <c r="AC1576" t="n">
        <v>14012.1536</v>
      </c>
      <c r="AD1576" t="n">
        <v>9214.3922</v>
      </c>
      <c r="AE1576" t="n">
        <v>10941.5863</v>
      </c>
      <c r="AF1576" t="n">
        <v>10941.5863</v>
      </c>
      <c r="AG1576" t="n">
        <v>3070.5673</v>
      </c>
      <c r="AH1576" t="n">
        <v>0.00052122</v>
      </c>
      <c r="AI1576" t="n">
        <v>0.219136</v>
      </c>
      <c r="AJ1576" t="n">
        <v>1727.1941</v>
      </c>
      <c r="AK1576" t="n">
        <v>191.9105</v>
      </c>
      <c r="AL1576" t="n">
        <v>66809.0515</v>
      </c>
      <c r="AM1576" t="n">
        <v>80621.2237</v>
      </c>
      <c r="AN1576" t="n">
        <v>0.95</v>
      </c>
      <c r="AO1576" t="inlineStr">
        <is>
          <t>High</t>
        </is>
      </c>
      <c r="AP1576" t="inlineStr">
        <is>
          <t>On Track to Glide Path</t>
        </is>
      </c>
    </row>
    <row r="1577">
      <c r="A1577" t="inlineStr">
        <is>
          <t>SUP-0099</t>
        </is>
      </c>
      <c r="B1577" t="inlineStr">
        <is>
          <t>Electronics Supplier 099</t>
        </is>
      </c>
      <c r="C1577" t="inlineStr">
        <is>
          <t>Electronics</t>
        </is>
      </c>
      <c r="D1577" t="n">
        <v>2024</v>
      </c>
      <c r="E1577" t="n">
        <v>2015</v>
      </c>
      <c r="F1577" t="n">
        <v>2040</v>
      </c>
      <c r="G1577" t="n">
        <v>18252.1913</v>
      </c>
      <c r="H1577" t="n">
        <v>2435.7444</v>
      </c>
      <c r="I1577" t="n">
        <v>2310.3448</v>
      </c>
      <c r="J1577" t="n">
        <v>14376.6566</v>
      </c>
      <c r="K1577" t="n">
        <v>20992163.61</v>
      </c>
      <c r="L1577" t="n">
        <v>160096225.06</v>
      </c>
      <c r="M1577" t="n">
        <v>18252.1913</v>
      </c>
      <c r="N1577" t="inlineStr">
        <is>
          <t>Provided Total Emissions</t>
        </is>
      </c>
      <c r="O1577" t="b">
        <v>1</v>
      </c>
      <c r="P1577" t="n">
        <v>0.029809</v>
      </c>
      <c r="Q1577" t="n">
        <v>0.044233</v>
      </c>
      <c r="R1577" t="n">
        <v>18075.3025</v>
      </c>
      <c r="S1577" t="n">
        <v>22328.6205</v>
      </c>
      <c r="T1577" t="n">
        <v>-176.8888</v>
      </c>
      <c r="U1577" t="n">
        <v>4076.4292</v>
      </c>
      <c r="V1577" t="n">
        <v>-0.009691</v>
      </c>
      <c r="W1577" t="n">
        <v>0.223339</v>
      </c>
      <c r="X1577" t="inlineStr">
        <is>
          <t>High</t>
        </is>
      </c>
      <c r="Y1577" t="inlineStr">
        <is>
          <t>None</t>
        </is>
      </c>
      <c r="Z1577" t="inlineStr">
        <is>
          <t>Valid</t>
        </is>
      </c>
      <c r="AA1577" t="n">
        <v>2032</v>
      </c>
      <c r="AB1577" t="inlineStr">
        <is>
          <t>Industry Haircut Pathway</t>
        </is>
      </c>
      <c r="AC1577" t="n">
        <v>14012.1536</v>
      </c>
      <c r="AD1577" t="n">
        <v>9214.3922</v>
      </c>
      <c r="AE1577" t="n">
        <v>10749.6759</v>
      </c>
      <c r="AF1577" t="n">
        <v>10749.6759</v>
      </c>
      <c r="AG1577" t="n">
        <v>3262.4777</v>
      </c>
      <c r="AH1577" t="n">
        <v>0.00051208</v>
      </c>
      <c r="AI1577" t="n">
        <v>0.232832</v>
      </c>
      <c r="AJ1577" t="n">
        <v>1535.2836</v>
      </c>
      <c r="AK1577" t="n">
        <v>191.9105</v>
      </c>
      <c r="AL1577" t="n">
        <v>56059.3756</v>
      </c>
      <c r="AM1577" t="n">
        <v>91370.8996</v>
      </c>
      <c r="AN1577" t="n">
        <v>0.95</v>
      </c>
      <c r="AO1577" t="inlineStr">
        <is>
          <t>High</t>
        </is>
      </c>
      <c r="AP1577" t="inlineStr">
        <is>
          <t>On Track to Glide Path</t>
        </is>
      </c>
    </row>
    <row r="1578">
      <c r="A1578" t="inlineStr">
        <is>
          <t>SUP-0099</t>
        </is>
      </c>
      <c r="B1578" t="inlineStr">
        <is>
          <t>Electronics Supplier 099</t>
        </is>
      </c>
      <c r="C1578" t="inlineStr">
        <is>
          <t>Electronics</t>
        </is>
      </c>
      <c r="D1578" t="n">
        <v>2024</v>
      </c>
      <c r="E1578" t="n">
        <v>2015</v>
      </c>
      <c r="F1578" t="n">
        <v>2040</v>
      </c>
      <c r="G1578" t="n">
        <v>18252.1913</v>
      </c>
      <c r="H1578" t="n">
        <v>2435.7444</v>
      </c>
      <c r="I1578" t="n">
        <v>2310.3448</v>
      </c>
      <c r="J1578" t="n">
        <v>14376.6566</v>
      </c>
      <c r="K1578" t="n">
        <v>20992163.61</v>
      </c>
      <c r="L1578" t="n">
        <v>160096225.06</v>
      </c>
      <c r="M1578" t="n">
        <v>18252.1913</v>
      </c>
      <c r="N1578" t="inlineStr">
        <is>
          <t>Provided Total Emissions</t>
        </is>
      </c>
      <c r="O1578" t="b">
        <v>1</v>
      </c>
      <c r="P1578" t="n">
        <v>0.029809</v>
      </c>
      <c r="Q1578" t="n">
        <v>0.044233</v>
      </c>
      <c r="R1578" t="n">
        <v>18075.3025</v>
      </c>
      <c r="S1578" t="n">
        <v>22328.6205</v>
      </c>
      <c r="T1578" t="n">
        <v>-176.8888</v>
      </c>
      <c r="U1578" t="n">
        <v>4076.4292</v>
      </c>
      <c r="V1578" t="n">
        <v>-0.009691</v>
      </c>
      <c r="W1578" t="n">
        <v>0.223339</v>
      </c>
      <c r="X1578" t="inlineStr">
        <is>
          <t>High</t>
        </is>
      </c>
      <c r="Y1578" t="inlineStr">
        <is>
          <t>None</t>
        </is>
      </c>
      <c r="Z1578" t="inlineStr">
        <is>
          <t>Valid</t>
        </is>
      </c>
      <c r="AA1578" t="n">
        <v>2033</v>
      </c>
      <c r="AB1578" t="inlineStr">
        <is>
          <t>Industry Haircut Pathway</t>
        </is>
      </c>
      <c r="AC1578" t="n">
        <v>14012.1536</v>
      </c>
      <c r="AD1578" t="n">
        <v>9214.3922</v>
      </c>
      <c r="AE1578" t="n">
        <v>10557.7654</v>
      </c>
      <c r="AF1578" t="n">
        <v>10557.7654</v>
      </c>
      <c r="AG1578" t="n">
        <v>3454.3882</v>
      </c>
      <c r="AH1578" t="n">
        <v>0.00050294</v>
      </c>
      <c r="AI1578" t="n">
        <v>0.246528</v>
      </c>
      <c r="AJ1578" t="n">
        <v>1343.3732</v>
      </c>
      <c r="AK1578" t="n">
        <v>191.9105</v>
      </c>
      <c r="AL1578" t="n">
        <v>45501.6102</v>
      </c>
      <c r="AM1578" t="n">
        <v>101928.665</v>
      </c>
      <c r="AN1578" t="n">
        <v>0.95</v>
      </c>
      <c r="AO1578" t="inlineStr">
        <is>
          <t>Medium</t>
        </is>
      </c>
      <c r="AP1578" t="inlineStr">
        <is>
          <t>On Track to Glide Path</t>
        </is>
      </c>
    </row>
    <row r="1579">
      <c r="A1579" t="inlineStr">
        <is>
          <t>SUP-0099</t>
        </is>
      </c>
      <c r="B1579" t="inlineStr">
        <is>
          <t>Electronics Supplier 099</t>
        </is>
      </c>
      <c r="C1579" t="inlineStr">
        <is>
          <t>Electronics</t>
        </is>
      </c>
      <c r="D1579" t="n">
        <v>2024</v>
      </c>
      <c r="E1579" t="n">
        <v>2015</v>
      </c>
      <c r="F1579" t="n">
        <v>2040</v>
      </c>
      <c r="G1579" t="n">
        <v>18252.1913</v>
      </c>
      <c r="H1579" t="n">
        <v>2435.7444</v>
      </c>
      <c r="I1579" t="n">
        <v>2310.3448</v>
      </c>
      <c r="J1579" t="n">
        <v>14376.6566</v>
      </c>
      <c r="K1579" t="n">
        <v>20992163.61</v>
      </c>
      <c r="L1579" t="n">
        <v>160096225.06</v>
      </c>
      <c r="M1579" t="n">
        <v>18252.1913</v>
      </c>
      <c r="N1579" t="inlineStr">
        <is>
          <t>Provided Total Emissions</t>
        </is>
      </c>
      <c r="O1579" t="b">
        <v>1</v>
      </c>
      <c r="P1579" t="n">
        <v>0.029809</v>
      </c>
      <c r="Q1579" t="n">
        <v>0.044233</v>
      </c>
      <c r="R1579" t="n">
        <v>18075.3025</v>
      </c>
      <c r="S1579" t="n">
        <v>22328.6205</v>
      </c>
      <c r="T1579" t="n">
        <v>-176.8888</v>
      </c>
      <c r="U1579" t="n">
        <v>4076.4292</v>
      </c>
      <c r="V1579" t="n">
        <v>-0.009691</v>
      </c>
      <c r="W1579" t="n">
        <v>0.223339</v>
      </c>
      <c r="X1579" t="inlineStr">
        <is>
          <t>High</t>
        </is>
      </c>
      <c r="Y1579" t="inlineStr">
        <is>
          <t>None</t>
        </is>
      </c>
      <c r="Z1579" t="inlineStr">
        <is>
          <t>Valid</t>
        </is>
      </c>
      <c r="AA1579" t="n">
        <v>2034</v>
      </c>
      <c r="AB1579" t="inlineStr">
        <is>
          <t>Industry Haircut Pathway</t>
        </is>
      </c>
      <c r="AC1579" t="n">
        <v>14012.1536</v>
      </c>
      <c r="AD1579" t="n">
        <v>9214.3922</v>
      </c>
      <c r="AE1579" t="n">
        <v>10365.8549</v>
      </c>
      <c r="AF1579" t="n">
        <v>10365.8549</v>
      </c>
      <c r="AG1579" t="n">
        <v>3646.2987</v>
      </c>
      <c r="AH1579" t="n">
        <v>0.0004938</v>
      </c>
      <c r="AI1579" t="n">
        <v>0.260224</v>
      </c>
      <c r="AJ1579" t="n">
        <v>1151.4627</v>
      </c>
      <c r="AK1579" t="n">
        <v>191.9105</v>
      </c>
      <c r="AL1579" t="n">
        <v>35135.7553</v>
      </c>
      <c r="AM1579" t="n">
        <v>112294.5199</v>
      </c>
      <c r="AN1579" t="n">
        <v>0.95</v>
      </c>
      <c r="AO1579" t="inlineStr">
        <is>
          <t>Medium</t>
        </is>
      </c>
      <c r="AP1579" t="inlineStr">
        <is>
          <t>On Track to Glide Path</t>
        </is>
      </c>
    </row>
    <row r="1580">
      <c r="A1580" t="inlineStr">
        <is>
          <t>SUP-0099</t>
        </is>
      </c>
      <c r="B1580" t="inlineStr">
        <is>
          <t>Electronics Supplier 099</t>
        </is>
      </c>
      <c r="C1580" t="inlineStr">
        <is>
          <t>Electronics</t>
        </is>
      </c>
      <c r="D1580" t="n">
        <v>2024</v>
      </c>
      <c r="E1580" t="n">
        <v>2015</v>
      </c>
      <c r="F1580" t="n">
        <v>2040</v>
      </c>
      <c r="G1580" t="n">
        <v>18252.1913</v>
      </c>
      <c r="H1580" t="n">
        <v>2435.7444</v>
      </c>
      <c r="I1580" t="n">
        <v>2310.3448</v>
      </c>
      <c r="J1580" t="n">
        <v>14376.6566</v>
      </c>
      <c r="K1580" t="n">
        <v>20992163.61</v>
      </c>
      <c r="L1580" t="n">
        <v>160096225.06</v>
      </c>
      <c r="M1580" t="n">
        <v>18252.1913</v>
      </c>
      <c r="N1580" t="inlineStr">
        <is>
          <t>Provided Total Emissions</t>
        </is>
      </c>
      <c r="O1580" t="b">
        <v>1</v>
      </c>
      <c r="P1580" t="n">
        <v>0.029809</v>
      </c>
      <c r="Q1580" t="n">
        <v>0.044233</v>
      </c>
      <c r="R1580" t="n">
        <v>18075.3025</v>
      </c>
      <c r="S1580" t="n">
        <v>22328.6205</v>
      </c>
      <c r="T1580" t="n">
        <v>-176.8888</v>
      </c>
      <c r="U1580" t="n">
        <v>4076.4292</v>
      </c>
      <c r="V1580" t="n">
        <v>-0.009691</v>
      </c>
      <c r="W1580" t="n">
        <v>0.223339</v>
      </c>
      <c r="X1580" t="inlineStr">
        <is>
          <t>High</t>
        </is>
      </c>
      <c r="Y1580" t="inlineStr">
        <is>
          <t>None</t>
        </is>
      </c>
      <c r="Z1580" t="inlineStr">
        <is>
          <t>Valid</t>
        </is>
      </c>
      <c r="AA1580" t="n">
        <v>2035</v>
      </c>
      <c r="AB1580" t="inlineStr">
        <is>
          <t>Industry Haircut Pathway</t>
        </is>
      </c>
      <c r="AC1580" t="n">
        <v>14012.1536</v>
      </c>
      <c r="AD1580" t="n">
        <v>9214.3922</v>
      </c>
      <c r="AE1580" t="n">
        <v>10173.9445</v>
      </c>
      <c r="AF1580" t="n">
        <v>10173.9445</v>
      </c>
      <c r="AG1580" t="n">
        <v>3838.2091</v>
      </c>
      <c r="AH1580" t="n">
        <v>0.00048465</v>
      </c>
      <c r="AI1580" t="n">
        <v>0.27392</v>
      </c>
      <c r="AJ1580" t="n">
        <v>959.5522999999999</v>
      </c>
      <c r="AK1580" t="n">
        <v>191.9105</v>
      </c>
      <c r="AL1580" t="n">
        <v>24961.8108</v>
      </c>
      <c r="AM1580" t="n">
        <v>122468.4644</v>
      </c>
      <c r="AN1580" t="n">
        <v>0.95</v>
      </c>
      <c r="AO1580" t="inlineStr">
        <is>
          <t>Medium</t>
        </is>
      </c>
      <c r="AP1580" t="inlineStr">
        <is>
          <t>On Track to Glide Path</t>
        </is>
      </c>
    </row>
    <row r="1581">
      <c r="A1581" t="inlineStr">
        <is>
          <t>SUP-0099</t>
        </is>
      </c>
      <c r="B1581" t="inlineStr">
        <is>
          <t>Electronics Supplier 099</t>
        </is>
      </c>
      <c r="C1581" t="inlineStr">
        <is>
          <t>Electronics</t>
        </is>
      </c>
      <c r="D1581" t="n">
        <v>2024</v>
      </c>
      <c r="E1581" t="n">
        <v>2015</v>
      </c>
      <c r="F1581" t="n">
        <v>2040</v>
      </c>
      <c r="G1581" t="n">
        <v>18252.1913</v>
      </c>
      <c r="H1581" t="n">
        <v>2435.7444</v>
      </c>
      <c r="I1581" t="n">
        <v>2310.3448</v>
      </c>
      <c r="J1581" t="n">
        <v>14376.6566</v>
      </c>
      <c r="K1581" t="n">
        <v>20992163.61</v>
      </c>
      <c r="L1581" t="n">
        <v>160096225.06</v>
      </c>
      <c r="M1581" t="n">
        <v>18252.1913</v>
      </c>
      <c r="N1581" t="inlineStr">
        <is>
          <t>Provided Total Emissions</t>
        </is>
      </c>
      <c r="O1581" t="b">
        <v>1</v>
      </c>
      <c r="P1581" t="n">
        <v>0.029809</v>
      </c>
      <c r="Q1581" t="n">
        <v>0.044233</v>
      </c>
      <c r="R1581" t="n">
        <v>18075.3025</v>
      </c>
      <c r="S1581" t="n">
        <v>22328.6205</v>
      </c>
      <c r="T1581" t="n">
        <v>-176.8888</v>
      </c>
      <c r="U1581" t="n">
        <v>4076.4292</v>
      </c>
      <c r="V1581" t="n">
        <v>-0.009691</v>
      </c>
      <c r="W1581" t="n">
        <v>0.223339</v>
      </c>
      <c r="X1581" t="inlineStr">
        <is>
          <t>High</t>
        </is>
      </c>
      <c r="Y1581" t="inlineStr">
        <is>
          <t>None</t>
        </is>
      </c>
      <c r="Z1581" t="inlineStr">
        <is>
          <t>Valid</t>
        </is>
      </c>
      <c r="AA1581" t="n">
        <v>2036</v>
      </c>
      <c r="AB1581" t="inlineStr">
        <is>
          <t>Industry Haircut Pathway</t>
        </is>
      </c>
      <c r="AC1581" t="n">
        <v>14012.1536</v>
      </c>
      <c r="AD1581" t="n">
        <v>9214.3922</v>
      </c>
      <c r="AE1581" t="n">
        <v>9982.034</v>
      </c>
      <c r="AF1581" t="n">
        <v>9982.034</v>
      </c>
      <c r="AG1581" t="n">
        <v>4030.1196</v>
      </c>
      <c r="AH1581" t="n">
        <v>0.00047551</v>
      </c>
      <c r="AI1581" t="n">
        <v>0.287616</v>
      </c>
      <c r="AJ1581" t="n">
        <v>767.6418</v>
      </c>
      <c r="AK1581" t="n">
        <v>191.9105</v>
      </c>
      <c r="AL1581" t="n">
        <v>14979.7768</v>
      </c>
      <c r="AM1581" t="n">
        <v>132450.4984</v>
      </c>
      <c r="AN1581" t="n">
        <v>0.95</v>
      </c>
      <c r="AO1581" t="inlineStr">
        <is>
          <t>Medium</t>
        </is>
      </c>
      <c r="AP1581" t="inlineStr">
        <is>
          <t>On Track to Glide Path</t>
        </is>
      </c>
    </row>
    <row r="1582">
      <c r="A1582" t="inlineStr">
        <is>
          <t>SUP-0099</t>
        </is>
      </c>
      <c r="B1582" t="inlineStr">
        <is>
          <t>Electronics Supplier 099</t>
        </is>
      </c>
      <c r="C1582" t="inlineStr">
        <is>
          <t>Electronics</t>
        </is>
      </c>
      <c r="D1582" t="n">
        <v>2024</v>
      </c>
      <c r="E1582" t="n">
        <v>2015</v>
      </c>
      <c r="F1582" t="n">
        <v>2040</v>
      </c>
      <c r="G1582" t="n">
        <v>18252.1913</v>
      </c>
      <c r="H1582" t="n">
        <v>2435.7444</v>
      </c>
      <c r="I1582" t="n">
        <v>2310.3448</v>
      </c>
      <c r="J1582" t="n">
        <v>14376.6566</v>
      </c>
      <c r="K1582" t="n">
        <v>20992163.61</v>
      </c>
      <c r="L1582" t="n">
        <v>160096225.06</v>
      </c>
      <c r="M1582" t="n">
        <v>18252.1913</v>
      </c>
      <c r="N1582" t="inlineStr">
        <is>
          <t>Provided Total Emissions</t>
        </is>
      </c>
      <c r="O1582" t="b">
        <v>1</v>
      </c>
      <c r="P1582" t="n">
        <v>0.029809</v>
      </c>
      <c r="Q1582" t="n">
        <v>0.044233</v>
      </c>
      <c r="R1582" t="n">
        <v>18075.3025</v>
      </c>
      <c r="S1582" t="n">
        <v>22328.6205</v>
      </c>
      <c r="T1582" t="n">
        <v>-176.8888</v>
      </c>
      <c r="U1582" t="n">
        <v>4076.4292</v>
      </c>
      <c r="V1582" t="n">
        <v>-0.009691</v>
      </c>
      <c r="W1582" t="n">
        <v>0.223339</v>
      </c>
      <c r="X1582" t="inlineStr">
        <is>
          <t>High</t>
        </is>
      </c>
      <c r="Y1582" t="inlineStr">
        <is>
          <t>None</t>
        </is>
      </c>
      <c r="Z1582" t="inlineStr">
        <is>
          <t>Valid</t>
        </is>
      </c>
      <c r="AA1582" t="n">
        <v>2037</v>
      </c>
      <c r="AB1582" t="inlineStr">
        <is>
          <t>Industry Haircut Pathway</t>
        </is>
      </c>
      <c r="AC1582" t="n">
        <v>14012.1536</v>
      </c>
      <c r="AD1582" t="n">
        <v>9214.3922</v>
      </c>
      <c r="AE1582" t="n">
        <v>9790.123600000001</v>
      </c>
      <c r="AF1582" t="n">
        <v>9790.123600000001</v>
      </c>
      <c r="AG1582" t="n">
        <v>4222.03</v>
      </c>
      <c r="AH1582" t="n">
        <v>0.00046637</v>
      </c>
      <c r="AI1582" t="n">
        <v>0.301312</v>
      </c>
      <c r="AJ1582" t="n">
        <v>575.7314</v>
      </c>
      <c r="AK1582" t="n">
        <v>191.9105</v>
      </c>
      <c r="AL1582" t="n">
        <v>5189.6532</v>
      </c>
      <c r="AM1582" t="n">
        <v>142240.622</v>
      </c>
      <c r="AN1582" t="n">
        <v>0.95</v>
      </c>
      <c r="AO1582" t="inlineStr">
        <is>
          <t>Medium</t>
        </is>
      </c>
      <c r="AP1582" t="inlineStr">
        <is>
          <t>On Track to Glide Path</t>
        </is>
      </c>
    </row>
    <row r="1583">
      <c r="A1583" t="inlineStr">
        <is>
          <t>SUP-0099</t>
        </is>
      </c>
      <c r="B1583" t="inlineStr">
        <is>
          <t>Electronics Supplier 099</t>
        </is>
      </c>
      <c r="C1583" t="inlineStr">
        <is>
          <t>Electronics</t>
        </is>
      </c>
      <c r="D1583" t="n">
        <v>2024</v>
      </c>
      <c r="E1583" t="n">
        <v>2015</v>
      </c>
      <c r="F1583" t="n">
        <v>2040</v>
      </c>
      <c r="G1583" t="n">
        <v>18252.1913</v>
      </c>
      <c r="H1583" t="n">
        <v>2435.7444</v>
      </c>
      <c r="I1583" t="n">
        <v>2310.3448</v>
      </c>
      <c r="J1583" t="n">
        <v>14376.6566</v>
      </c>
      <c r="K1583" t="n">
        <v>20992163.61</v>
      </c>
      <c r="L1583" t="n">
        <v>160096225.06</v>
      </c>
      <c r="M1583" t="n">
        <v>18252.1913</v>
      </c>
      <c r="N1583" t="inlineStr">
        <is>
          <t>Provided Total Emissions</t>
        </is>
      </c>
      <c r="O1583" t="b">
        <v>1</v>
      </c>
      <c r="P1583" t="n">
        <v>0.029809</v>
      </c>
      <c r="Q1583" t="n">
        <v>0.044233</v>
      </c>
      <c r="R1583" t="n">
        <v>18075.3025</v>
      </c>
      <c r="S1583" t="n">
        <v>22328.6205</v>
      </c>
      <c r="T1583" t="n">
        <v>-176.8888</v>
      </c>
      <c r="U1583" t="n">
        <v>4076.4292</v>
      </c>
      <c r="V1583" t="n">
        <v>-0.009691</v>
      </c>
      <c r="W1583" t="n">
        <v>0.223339</v>
      </c>
      <c r="X1583" t="inlineStr">
        <is>
          <t>High</t>
        </is>
      </c>
      <c r="Y1583" t="inlineStr">
        <is>
          <t>None</t>
        </is>
      </c>
      <c r="Z1583" t="inlineStr">
        <is>
          <t>Valid</t>
        </is>
      </c>
      <c r="AA1583" t="n">
        <v>2038</v>
      </c>
      <c r="AB1583" t="inlineStr">
        <is>
          <t>Industry Haircut Pathway</t>
        </is>
      </c>
      <c r="AC1583" t="n">
        <v>14012.1536</v>
      </c>
      <c r="AD1583" t="n">
        <v>9214.3922</v>
      </c>
      <c r="AE1583" t="n">
        <v>9598.213100000001</v>
      </c>
      <c r="AF1583" t="n">
        <v>9598.213100000001</v>
      </c>
      <c r="AG1583" t="n">
        <v>4413.9405</v>
      </c>
      <c r="AH1583" t="n">
        <v>0.00045723</v>
      </c>
      <c r="AI1583" t="n">
        <v>0.315008</v>
      </c>
      <c r="AJ1583" t="n">
        <v>383.8209</v>
      </c>
      <c r="AK1583" t="n">
        <v>191.9105</v>
      </c>
      <c r="AL1583" t="n">
        <v>-4408.5599</v>
      </c>
      <c r="AM1583" t="n">
        <v>151838.8351</v>
      </c>
      <c r="AN1583" t="n">
        <v>0.95</v>
      </c>
      <c r="AO1583" t="inlineStr">
        <is>
          <t>Medium</t>
        </is>
      </c>
      <c r="AP1583" t="inlineStr">
        <is>
          <t>On Track to Glide Path</t>
        </is>
      </c>
    </row>
    <row r="1584">
      <c r="A1584" t="inlineStr">
        <is>
          <t>SUP-0099</t>
        </is>
      </c>
      <c r="B1584" t="inlineStr">
        <is>
          <t>Electronics Supplier 099</t>
        </is>
      </c>
      <c r="C1584" t="inlineStr">
        <is>
          <t>Electronics</t>
        </is>
      </c>
      <c r="D1584" t="n">
        <v>2024</v>
      </c>
      <c r="E1584" t="n">
        <v>2015</v>
      </c>
      <c r="F1584" t="n">
        <v>2040</v>
      </c>
      <c r="G1584" t="n">
        <v>18252.1913</v>
      </c>
      <c r="H1584" t="n">
        <v>2435.7444</v>
      </c>
      <c r="I1584" t="n">
        <v>2310.3448</v>
      </c>
      <c r="J1584" t="n">
        <v>14376.6566</v>
      </c>
      <c r="K1584" t="n">
        <v>20992163.61</v>
      </c>
      <c r="L1584" t="n">
        <v>160096225.06</v>
      </c>
      <c r="M1584" t="n">
        <v>18252.1913</v>
      </c>
      <c r="N1584" t="inlineStr">
        <is>
          <t>Provided Total Emissions</t>
        </is>
      </c>
      <c r="O1584" t="b">
        <v>1</v>
      </c>
      <c r="P1584" t="n">
        <v>0.029809</v>
      </c>
      <c r="Q1584" t="n">
        <v>0.044233</v>
      </c>
      <c r="R1584" t="n">
        <v>18075.3025</v>
      </c>
      <c r="S1584" t="n">
        <v>22328.6205</v>
      </c>
      <c r="T1584" t="n">
        <v>-176.8888</v>
      </c>
      <c r="U1584" t="n">
        <v>4076.4292</v>
      </c>
      <c r="V1584" t="n">
        <v>-0.009691</v>
      </c>
      <c r="W1584" t="n">
        <v>0.223339</v>
      </c>
      <c r="X1584" t="inlineStr">
        <is>
          <t>High</t>
        </is>
      </c>
      <c r="Y1584" t="inlineStr">
        <is>
          <t>None</t>
        </is>
      </c>
      <c r="Z1584" t="inlineStr">
        <is>
          <t>Valid</t>
        </is>
      </c>
      <c r="AA1584" t="n">
        <v>2039</v>
      </c>
      <c r="AB1584" t="inlineStr">
        <is>
          <t>Industry Haircut Pathway</t>
        </is>
      </c>
      <c r="AC1584" t="n">
        <v>14012.1536</v>
      </c>
      <c r="AD1584" t="n">
        <v>9214.3922</v>
      </c>
      <c r="AE1584" t="n">
        <v>9406.3027</v>
      </c>
      <c r="AF1584" t="n">
        <v>9406.3027</v>
      </c>
      <c r="AG1584" t="n">
        <v>4605.8509</v>
      </c>
      <c r="AH1584" t="n">
        <v>0.00044809</v>
      </c>
      <c r="AI1584" t="n">
        <v>0.328704</v>
      </c>
      <c r="AJ1584" t="n">
        <v>191.9105</v>
      </c>
      <c r="AK1584" t="n">
        <v>191.9105</v>
      </c>
      <c r="AL1584" t="n">
        <v>-13814.8626</v>
      </c>
      <c r="AM1584" t="n">
        <v>161245.1378</v>
      </c>
      <c r="AN1584" t="n">
        <v>0.95</v>
      </c>
      <c r="AO1584" t="inlineStr">
        <is>
          <t>Medium</t>
        </is>
      </c>
      <c r="AP1584" t="inlineStr">
        <is>
          <t>On Track to Glide Path</t>
        </is>
      </c>
    </row>
    <row r="1585">
      <c r="A1585" t="inlineStr">
        <is>
          <t>SUP-0099</t>
        </is>
      </c>
      <c r="B1585" t="inlineStr">
        <is>
          <t>Electronics Supplier 099</t>
        </is>
      </c>
      <c r="C1585" t="inlineStr">
        <is>
          <t>Electronics</t>
        </is>
      </c>
      <c r="D1585" t="n">
        <v>2024</v>
      </c>
      <c r="E1585" t="n">
        <v>2015</v>
      </c>
      <c r="F1585" t="n">
        <v>2040</v>
      </c>
      <c r="G1585" t="n">
        <v>18252.1913</v>
      </c>
      <c r="H1585" t="n">
        <v>2435.7444</v>
      </c>
      <c r="I1585" t="n">
        <v>2310.3448</v>
      </c>
      <c r="J1585" t="n">
        <v>14376.6566</v>
      </c>
      <c r="K1585" t="n">
        <v>20992163.61</v>
      </c>
      <c r="L1585" t="n">
        <v>160096225.06</v>
      </c>
      <c r="M1585" t="n">
        <v>18252.1913</v>
      </c>
      <c r="N1585" t="inlineStr">
        <is>
          <t>Provided Total Emissions</t>
        </is>
      </c>
      <c r="O1585" t="b">
        <v>1</v>
      </c>
      <c r="P1585" t="n">
        <v>0.029809</v>
      </c>
      <c r="Q1585" t="n">
        <v>0.044233</v>
      </c>
      <c r="R1585" t="n">
        <v>18075.3025</v>
      </c>
      <c r="S1585" t="n">
        <v>22328.6205</v>
      </c>
      <c r="T1585" t="n">
        <v>-176.8888</v>
      </c>
      <c r="U1585" t="n">
        <v>4076.4292</v>
      </c>
      <c r="V1585" t="n">
        <v>-0.009691</v>
      </c>
      <c r="W1585" t="n">
        <v>0.223339</v>
      </c>
      <c r="X1585" t="inlineStr">
        <is>
          <t>High</t>
        </is>
      </c>
      <c r="Y1585" t="inlineStr">
        <is>
          <t>None</t>
        </is>
      </c>
      <c r="Z1585" t="inlineStr">
        <is>
          <t>Valid</t>
        </is>
      </c>
      <c r="AA1585" t="n">
        <v>2040</v>
      </c>
      <c r="AB1585" t="inlineStr">
        <is>
          <t>Industry Haircut Pathway</t>
        </is>
      </c>
      <c r="AC1585" t="n">
        <v>14012.1536</v>
      </c>
      <c r="AD1585" t="n">
        <v>9214.3922</v>
      </c>
      <c r="AE1585" t="n">
        <v>9214.3922</v>
      </c>
      <c r="AF1585" t="n">
        <v>9214.3922</v>
      </c>
      <c r="AG1585" t="n">
        <v>4797.7614</v>
      </c>
      <c r="AH1585" t="n">
        <v>0.00043894</v>
      </c>
      <c r="AI1585" t="n">
        <v>0.3424</v>
      </c>
      <c r="AJ1585" t="n">
        <v>0</v>
      </c>
      <c r="AK1585" t="n">
        <v>191.9105</v>
      </c>
      <c r="AL1585" t="n">
        <v>-23029.2548</v>
      </c>
      <c r="AM1585" t="n">
        <v>170459.53</v>
      </c>
      <c r="AN1585" t="n">
        <v>0.95</v>
      </c>
      <c r="AO1585" t="inlineStr">
        <is>
          <t>Low</t>
        </is>
      </c>
      <c r="AP1585" t="inlineStr">
        <is>
          <t>On Track</t>
        </is>
      </c>
    </row>
    <row r="1586">
      <c r="A1586" t="inlineStr">
        <is>
          <t>SUP-0100</t>
        </is>
      </c>
      <c r="B1586" t="inlineStr">
        <is>
          <t>Textiles Supplier 100</t>
        </is>
      </c>
      <c r="C1586" t="inlineStr">
        <is>
          <t>Textiles</t>
        </is>
      </c>
      <c r="D1586" t="n">
        <v>2024</v>
      </c>
      <c r="E1586" t="n">
        <v>2021</v>
      </c>
      <c r="F1586" t="n">
        <v>2040</v>
      </c>
      <c r="G1586" t="n">
        <v>2905.4854</v>
      </c>
      <c r="H1586" t="n">
        <v>541.6402</v>
      </c>
      <c r="I1586" t="n">
        <v>572.5276</v>
      </c>
      <c r="J1586" t="n">
        <v>1759.8716</v>
      </c>
      <c r="K1586" t="n">
        <v>13864228.9</v>
      </c>
      <c r="L1586" t="n">
        <v>112478844.45</v>
      </c>
      <c r="M1586" t="n">
        <v>2905.4854</v>
      </c>
      <c r="N1586" t="inlineStr">
        <is>
          <t>Provided Total Emissions</t>
        </is>
      </c>
      <c r="O1586" t="b">
        <v>1</v>
      </c>
      <c r="P1586" t="n">
        <v>0.022202</v>
      </c>
      <c r="Q1586" t="n">
        <v>0.001174</v>
      </c>
      <c r="R1586" t="n">
        <v>4051.2663</v>
      </c>
      <c r="S1586" t="n">
        <v>19507.206</v>
      </c>
      <c r="T1586" t="n">
        <v>1145.7809</v>
      </c>
      <c r="U1586" t="n">
        <v>16601.7206</v>
      </c>
      <c r="V1586" t="n">
        <v>0.394351</v>
      </c>
      <c r="W1586" t="n">
        <v>5.713923</v>
      </c>
      <c r="X1586" t="inlineStr">
        <is>
          <t>High</t>
        </is>
      </c>
      <c r="Y1586" t="inlineStr">
        <is>
          <t>None</t>
        </is>
      </c>
      <c r="Z1586" t="inlineStr">
        <is>
          <t>Valid</t>
        </is>
      </c>
      <c r="AA1586" t="n">
        <v>2025</v>
      </c>
      <c r="AB1586" t="inlineStr">
        <is>
          <t>Supplier Target Pathway</t>
        </is>
      </c>
      <c r="AC1586" t="n">
        <v>2981.1122</v>
      </c>
      <c r="AD1586" t="n">
        <v>1673.0002</v>
      </c>
      <c r="AE1586" t="n">
        <v>2705.7202</v>
      </c>
      <c r="AF1586" t="n">
        <v>2705.7202</v>
      </c>
      <c r="AG1586" t="n">
        <v>275.392</v>
      </c>
      <c r="AH1586" t="n">
        <v>0.00019516</v>
      </c>
      <c r="AI1586" t="n">
        <v>0.092379</v>
      </c>
      <c r="AJ1586" t="n">
        <v>1032.72</v>
      </c>
      <c r="AK1586" t="n">
        <v>68.848</v>
      </c>
      <c r="AL1586" t="n">
        <v>24062.283</v>
      </c>
      <c r="AM1586" t="n">
        <v>2705.7202</v>
      </c>
      <c r="AN1586" t="n">
        <v>0.99</v>
      </c>
      <c r="AO1586" t="inlineStr">
        <is>
          <t>Critical</t>
        </is>
      </c>
      <c r="AP1586" t="inlineStr">
        <is>
          <t>On Track to Glide Path</t>
        </is>
      </c>
    </row>
    <row r="1587">
      <c r="A1587" t="inlineStr">
        <is>
          <t>SUP-0100</t>
        </is>
      </c>
      <c r="B1587" t="inlineStr">
        <is>
          <t>Textiles Supplier 100</t>
        </is>
      </c>
      <c r="C1587" t="inlineStr">
        <is>
          <t>Textiles</t>
        </is>
      </c>
      <c r="D1587" t="n">
        <v>2024</v>
      </c>
      <c r="E1587" t="n">
        <v>2021</v>
      </c>
      <c r="F1587" t="n">
        <v>2040</v>
      </c>
      <c r="G1587" t="n">
        <v>2905.4854</v>
      </c>
      <c r="H1587" t="n">
        <v>541.6402</v>
      </c>
      <c r="I1587" t="n">
        <v>572.5276</v>
      </c>
      <c r="J1587" t="n">
        <v>1759.8716</v>
      </c>
      <c r="K1587" t="n">
        <v>13864228.9</v>
      </c>
      <c r="L1587" t="n">
        <v>112478844.45</v>
      </c>
      <c r="M1587" t="n">
        <v>2905.4854</v>
      </c>
      <c r="N1587" t="inlineStr">
        <is>
          <t>Provided Total Emissions</t>
        </is>
      </c>
      <c r="O1587" t="b">
        <v>1</v>
      </c>
      <c r="P1587" t="n">
        <v>0.022202</v>
      </c>
      <c r="Q1587" t="n">
        <v>0.001174</v>
      </c>
      <c r="R1587" t="n">
        <v>4051.2663</v>
      </c>
      <c r="S1587" t="n">
        <v>19507.206</v>
      </c>
      <c r="T1587" t="n">
        <v>1145.7809</v>
      </c>
      <c r="U1587" t="n">
        <v>16601.7206</v>
      </c>
      <c r="V1587" t="n">
        <v>0.394351</v>
      </c>
      <c r="W1587" t="n">
        <v>5.713923</v>
      </c>
      <c r="X1587" t="inlineStr">
        <is>
          <t>High</t>
        </is>
      </c>
      <c r="Y1587" t="inlineStr">
        <is>
          <t>None</t>
        </is>
      </c>
      <c r="Z1587" t="inlineStr">
        <is>
          <t>Valid</t>
        </is>
      </c>
      <c r="AA1587" t="n">
        <v>2026</v>
      </c>
      <c r="AB1587" t="inlineStr">
        <is>
          <t>Supplier Target Pathway</t>
        </is>
      </c>
      <c r="AC1587" t="n">
        <v>2981.1122</v>
      </c>
      <c r="AD1587" t="n">
        <v>1673.0002</v>
      </c>
      <c r="AE1587" t="n">
        <v>2636.8722</v>
      </c>
      <c r="AF1587" t="n">
        <v>2636.8722</v>
      </c>
      <c r="AG1587" t="n">
        <v>344.24</v>
      </c>
      <c r="AH1587" t="n">
        <v>0.00019019</v>
      </c>
      <c r="AI1587" t="n">
        <v>0.115474</v>
      </c>
      <c r="AJ1587" t="n">
        <v>963.872</v>
      </c>
      <c r="AK1587" t="n">
        <v>68.848</v>
      </c>
      <c r="AL1587" t="n">
        <v>21425.4108</v>
      </c>
      <c r="AM1587" t="n">
        <v>5342.5924</v>
      </c>
      <c r="AN1587" t="n">
        <v>0.99</v>
      </c>
      <c r="AO1587" t="inlineStr">
        <is>
          <t>Critical</t>
        </is>
      </c>
      <c r="AP1587" t="inlineStr">
        <is>
          <t>On Track to Glide Path</t>
        </is>
      </c>
    </row>
    <row r="1588">
      <c r="A1588" t="inlineStr">
        <is>
          <t>SUP-0100</t>
        </is>
      </c>
      <c r="B1588" t="inlineStr">
        <is>
          <t>Textiles Supplier 100</t>
        </is>
      </c>
      <c r="C1588" t="inlineStr">
        <is>
          <t>Textiles</t>
        </is>
      </c>
      <c r="D1588" t="n">
        <v>2024</v>
      </c>
      <c r="E1588" t="n">
        <v>2021</v>
      </c>
      <c r="F1588" t="n">
        <v>2040</v>
      </c>
      <c r="G1588" t="n">
        <v>2905.4854</v>
      </c>
      <c r="H1588" t="n">
        <v>541.6402</v>
      </c>
      <c r="I1588" t="n">
        <v>572.5276</v>
      </c>
      <c r="J1588" t="n">
        <v>1759.8716</v>
      </c>
      <c r="K1588" t="n">
        <v>13864228.9</v>
      </c>
      <c r="L1588" t="n">
        <v>112478844.45</v>
      </c>
      <c r="M1588" t="n">
        <v>2905.4854</v>
      </c>
      <c r="N1588" t="inlineStr">
        <is>
          <t>Provided Total Emissions</t>
        </is>
      </c>
      <c r="O1588" t="b">
        <v>1</v>
      </c>
      <c r="P1588" t="n">
        <v>0.022202</v>
      </c>
      <c r="Q1588" t="n">
        <v>0.001174</v>
      </c>
      <c r="R1588" t="n">
        <v>4051.2663</v>
      </c>
      <c r="S1588" t="n">
        <v>19507.206</v>
      </c>
      <c r="T1588" t="n">
        <v>1145.7809</v>
      </c>
      <c r="U1588" t="n">
        <v>16601.7206</v>
      </c>
      <c r="V1588" t="n">
        <v>0.394351</v>
      </c>
      <c r="W1588" t="n">
        <v>5.713923</v>
      </c>
      <c r="X1588" t="inlineStr">
        <is>
          <t>High</t>
        </is>
      </c>
      <c r="Y1588" t="inlineStr">
        <is>
          <t>None</t>
        </is>
      </c>
      <c r="Z1588" t="inlineStr">
        <is>
          <t>Valid</t>
        </is>
      </c>
      <c r="AA1588" t="n">
        <v>2027</v>
      </c>
      <c r="AB1588" t="inlineStr">
        <is>
          <t>Supplier Target Pathway</t>
        </is>
      </c>
      <c r="AC1588" t="n">
        <v>2981.1122</v>
      </c>
      <c r="AD1588" t="n">
        <v>1673.0002</v>
      </c>
      <c r="AE1588" t="n">
        <v>2568.0242</v>
      </c>
      <c r="AF1588" t="n">
        <v>2568.0242</v>
      </c>
      <c r="AG1588" t="n">
        <v>413.088</v>
      </c>
      <c r="AH1588" t="n">
        <v>0.00018523</v>
      </c>
      <c r="AI1588" t="n">
        <v>0.138568</v>
      </c>
      <c r="AJ1588" t="n">
        <v>895.024</v>
      </c>
      <c r="AK1588" t="n">
        <v>68.848</v>
      </c>
      <c r="AL1588" t="n">
        <v>18857.3866</v>
      </c>
      <c r="AM1588" t="n">
        <v>7910.6166</v>
      </c>
      <c r="AN1588" t="n">
        <v>0.99</v>
      </c>
      <c r="AO1588" t="inlineStr">
        <is>
          <t>Critical</t>
        </is>
      </c>
      <c r="AP1588" t="inlineStr">
        <is>
          <t>On Track to Glide Path</t>
        </is>
      </c>
    </row>
    <row r="1589">
      <c r="A1589" t="inlineStr">
        <is>
          <t>SUP-0100</t>
        </is>
      </c>
      <c r="B1589" t="inlineStr">
        <is>
          <t>Textiles Supplier 100</t>
        </is>
      </c>
      <c r="C1589" t="inlineStr">
        <is>
          <t>Textiles</t>
        </is>
      </c>
      <c r="D1589" t="n">
        <v>2024</v>
      </c>
      <c r="E1589" t="n">
        <v>2021</v>
      </c>
      <c r="F1589" t="n">
        <v>2040</v>
      </c>
      <c r="G1589" t="n">
        <v>2905.4854</v>
      </c>
      <c r="H1589" t="n">
        <v>541.6402</v>
      </c>
      <c r="I1589" t="n">
        <v>572.5276</v>
      </c>
      <c r="J1589" t="n">
        <v>1759.8716</v>
      </c>
      <c r="K1589" t="n">
        <v>13864228.9</v>
      </c>
      <c r="L1589" t="n">
        <v>112478844.45</v>
      </c>
      <c r="M1589" t="n">
        <v>2905.4854</v>
      </c>
      <c r="N1589" t="inlineStr">
        <is>
          <t>Provided Total Emissions</t>
        </is>
      </c>
      <c r="O1589" t="b">
        <v>1</v>
      </c>
      <c r="P1589" t="n">
        <v>0.022202</v>
      </c>
      <c r="Q1589" t="n">
        <v>0.001174</v>
      </c>
      <c r="R1589" t="n">
        <v>4051.2663</v>
      </c>
      <c r="S1589" t="n">
        <v>19507.206</v>
      </c>
      <c r="T1589" t="n">
        <v>1145.7809</v>
      </c>
      <c r="U1589" t="n">
        <v>16601.7206</v>
      </c>
      <c r="V1589" t="n">
        <v>0.394351</v>
      </c>
      <c r="W1589" t="n">
        <v>5.713923</v>
      </c>
      <c r="X1589" t="inlineStr">
        <is>
          <t>High</t>
        </is>
      </c>
      <c r="Y1589" t="inlineStr">
        <is>
          <t>None</t>
        </is>
      </c>
      <c r="Z1589" t="inlineStr">
        <is>
          <t>Valid</t>
        </is>
      </c>
      <c r="AA1589" t="n">
        <v>2028</v>
      </c>
      <c r="AB1589" t="inlineStr">
        <is>
          <t>Supplier Target Pathway</t>
        </is>
      </c>
      <c r="AC1589" t="n">
        <v>2981.1122</v>
      </c>
      <c r="AD1589" t="n">
        <v>1673.0002</v>
      </c>
      <c r="AE1589" t="n">
        <v>2499.1762</v>
      </c>
      <c r="AF1589" t="n">
        <v>2499.1762</v>
      </c>
      <c r="AG1589" t="n">
        <v>481.936</v>
      </c>
      <c r="AH1589" t="n">
        <v>0.00018026</v>
      </c>
      <c r="AI1589" t="n">
        <v>0.161663</v>
      </c>
      <c r="AJ1589" t="n">
        <v>826.176</v>
      </c>
      <c r="AK1589" t="n">
        <v>68.848</v>
      </c>
      <c r="AL1589" t="n">
        <v>16358.2104</v>
      </c>
      <c r="AM1589" t="n">
        <v>10409.7928</v>
      </c>
      <c r="AN1589" t="n">
        <v>0.99</v>
      </c>
      <c r="AO1589" t="inlineStr">
        <is>
          <t>Critical</t>
        </is>
      </c>
      <c r="AP1589" t="inlineStr">
        <is>
          <t>On Track to Glide Path</t>
        </is>
      </c>
    </row>
    <row r="1590">
      <c r="A1590" t="inlineStr">
        <is>
          <t>SUP-0100</t>
        </is>
      </c>
      <c r="B1590" t="inlineStr">
        <is>
          <t>Textiles Supplier 100</t>
        </is>
      </c>
      <c r="C1590" t="inlineStr">
        <is>
          <t>Textiles</t>
        </is>
      </c>
      <c r="D1590" t="n">
        <v>2024</v>
      </c>
      <c r="E1590" t="n">
        <v>2021</v>
      </c>
      <c r="F1590" t="n">
        <v>2040</v>
      </c>
      <c r="G1590" t="n">
        <v>2905.4854</v>
      </c>
      <c r="H1590" t="n">
        <v>541.6402</v>
      </c>
      <c r="I1590" t="n">
        <v>572.5276</v>
      </c>
      <c r="J1590" t="n">
        <v>1759.8716</v>
      </c>
      <c r="K1590" t="n">
        <v>13864228.9</v>
      </c>
      <c r="L1590" t="n">
        <v>112478844.45</v>
      </c>
      <c r="M1590" t="n">
        <v>2905.4854</v>
      </c>
      <c r="N1590" t="inlineStr">
        <is>
          <t>Provided Total Emissions</t>
        </is>
      </c>
      <c r="O1590" t="b">
        <v>1</v>
      </c>
      <c r="P1590" t="n">
        <v>0.022202</v>
      </c>
      <c r="Q1590" t="n">
        <v>0.001174</v>
      </c>
      <c r="R1590" t="n">
        <v>4051.2663</v>
      </c>
      <c r="S1590" t="n">
        <v>19507.206</v>
      </c>
      <c r="T1590" t="n">
        <v>1145.7809</v>
      </c>
      <c r="U1590" t="n">
        <v>16601.7206</v>
      </c>
      <c r="V1590" t="n">
        <v>0.394351</v>
      </c>
      <c r="W1590" t="n">
        <v>5.713923</v>
      </c>
      <c r="X1590" t="inlineStr">
        <is>
          <t>High</t>
        </is>
      </c>
      <c r="Y1590" t="inlineStr">
        <is>
          <t>None</t>
        </is>
      </c>
      <c r="Z1590" t="inlineStr">
        <is>
          <t>Valid</t>
        </is>
      </c>
      <c r="AA1590" t="n">
        <v>2029</v>
      </c>
      <c r="AB1590" t="inlineStr">
        <is>
          <t>Supplier Target Pathway</t>
        </is>
      </c>
      <c r="AC1590" t="n">
        <v>2981.1122</v>
      </c>
      <c r="AD1590" t="n">
        <v>1673.0002</v>
      </c>
      <c r="AE1590" t="n">
        <v>2430.3282</v>
      </c>
      <c r="AF1590" t="n">
        <v>2430.3282</v>
      </c>
      <c r="AG1590" t="n">
        <v>550.784</v>
      </c>
      <c r="AH1590" t="n">
        <v>0.00017529</v>
      </c>
      <c r="AI1590" t="n">
        <v>0.184758</v>
      </c>
      <c r="AJ1590" t="n">
        <v>757.328</v>
      </c>
      <c r="AK1590" t="n">
        <v>68.848</v>
      </c>
      <c r="AL1590" t="n">
        <v>13927.8822</v>
      </c>
      <c r="AM1590" t="n">
        <v>12840.121</v>
      </c>
      <c r="AN1590" t="n">
        <v>0.99</v>
      </c>
      <c r="AO1590" t="inlineStr">
        <is>
          <t>Critical</t>
        </is>
      </c>
      <c r="AP1590" t="inlineStr">
        <is>
          <t>On Track to Glide Path</t>
        </is>
      </c>
    </row>
    <row r="1591">
      <c r="A1591" t="inlineStr">
        <is>
          <t>SUP-0100</t>
        </is>
      </c>
      <c r="B1591" t="inlineStr">
        <is>
          <t>Textiles Supplier 100</t>
        </is>
      </c>
      <c r="C1591" t="inlineStr">
        <is>
          <t>Textiles</t>
        </is>
      </c>
      <c r="D1591" t="n">
        <v>2024</v>
      </c>
      <c r="E1591" t="n">
        <v>2021</v>
      </c>
      <c r="F1591" t="n">
        <v>2040</v>
      </c>
      <c r="G1591" t="n">
        <v>2905.4854</v>
      </c>
      <c r="H1591" t="n">
        <v>541.6402</v>
      </c>
      <c r="I1591" t="n">
        <v>572.5276</v>
      </c>
      <c r="J1591" t="n">
        <v>1759.8716</v>
      </c>
      <c r="K1591" t="n">
        <v>13864228.9</v>
      </c>
      <c r="L1591" t="n">
        <v>112478844.45</v>
      </c>
      <c r="M1591" t="n">
        <v>2905.4854</v>
      </c>
      <c r="N1591" t="inlineStr">
        <is>
          <t>Provided Total Emissions</t>
        </is>
      </c>
      <c r="O1591" t="b">
        <v>1</v>
      </c>
      <c r="P1591" t="n">
        <v>0.022202</v>
      </c>
      <c r="Q1591" t="n">
        <v>0.001174</v>
      </c>
      <c r="R1591" t="n">
        <v>4051.2663</v>
      </c>
      <c r="S1591" t="n">
        <v>19507.206</v>
      </c>
      <c r="T1591" t="n">
        <v>1145.7809</v>
      </c>
      <c r="U1591" t="n">
        <v>16601.7206</v>
      </c>
      <c r="V1591" t="n">
        <v>0.394351</v>
      </c>
      <c r="W1591" t="n">
        <v>5.713923</v>
      </c>
      <c r="X1591" t="inlineStr">
        <is>
          <t>High</t>
        </is>
      </c>
      <c r="Y1591" t="inlineStr">
        <is>
          <t>None</t>
        </is>
      </c>
      <c r="Z1591" t="inlineStr">
        <is>
          <t>Valid</t>
        </is>
      </c>
      <c r="AA1591" t="n">
        <v>2030</v>
      </c>
      <c r="AB1591" t="inlineStr">
        <is>
          <t>Supplier Target Pathway</t>
        </is>
      </c>
      <c r="AC1591" t="n">
        <v>2981.1122</v>
      </c>
      <c r="AD1591" t="n">
        <v>1673.0002</v>
      </c>
      <c r="AE1591" t="n">
        <v>2361.4802</v>
      </c>
      <c r="AF1591" t="n">
        <v>2361.4802</v>
      </c>
      <c r="AG1591" t="n">
        <v>619.6319999999999</v>
      </c>
      <c r="AH1591" t="n">
        <v>0.00017033</v>
      </c>
      <c r="AI1591" t="n">
        <v>0.207853</v>
      </c>
      <c r="AJ1591" t="n">
        <v>688.48</v>
      </c>
      <c r="AK1591" t="n">
        <v>68.848</v>
      </c>
      <c r="AL1591" t="n">
        <v>11566.402</v>
      </c>
      <c r="AM1591" t="n">
        <v>15201.6012</v>
      </c>
      <c r="AN1591" t="n">
        <v>0.99</v>
      </c>
      <c r="AO1591" t="inlineStr">
        <is>
          <t>Critical</t>
        </is>
      </c>
      <c r="AP1591" t="inlineStr">
        <is>
          <t>On Track to Glide Path</t>
        </is>
      </c>
    </row>
    <row r="1592">
      <c r="A1592" t="inlineStr">
        <is>
          <t>SUP-0100</t>
        </is>
      </c>
      <c r="B1592" t="inlineStr">
        <is>
          <t>Textiles Supplier 100</t>
        </is>
      </c>
      <c r="C1592" t="inlineStr">
        <is>
          <t>Textiles</t>
        </is>
      </c>
      <c r="D1592" t="n">
        <v>2024</v>
      </c>
      <c r="E1592" t="n">
        <v>2021</v>
      </c>
      <c r="F1592" t="n">
        <v>2040</v>
      </c>
      <c r="G1592" t="n">
        <v>2905.4854</v>
      </c>
      <c r="H1592" t="n">
        <v>541.6402</v>
      </c>
      <c r="I1592" t="n">
        <v>572.5276</v>
      </c>
      <c r="J1592" t="n">
        <v>1759.8716</v>
      </c>
      <c r="K1592" t="n">
        <v>13864228.9</v>
      </c>
      <c r="L1592" t="n">
        <v>112478844.45</v>
      </c>
      <c r="M1592" t="n">
        <v>2905.4854</v>
      </c>
      <c r="N1592" t="inlineStr">
        <is>
          <t>Provided Total Emissions</t>
        </is>
      </c>
      <c r="O1592" t="b">
        <v>1</v>
      </c>
      <c r="P1592" t="n">
        <v>0.022202</v>
      </c>
      <c r="Q1592" t="n">
        <v>0.001174</v>
      </c>
      <c r="R1592" t="n">
        <v>4051.2663</v>
      </c>
      <c r="S1592" t="n">
        <v>19507.206</v>
      </c>
      <c r="T1592" t="n">
        <v>1145.7809</v>
      </c>
      <c r="U1592" t="n">
        <v>16601.7206</v>
      </c>
      <c r="V1592" t="n">
        <v>0.394351</v>
      </c>
      <c r="W1592" t="n">
        <v>5.713923</v>
      </c>
      <c r="X1592" t="inlineStr">
        <is>
          <t>High</t>
        </is>
      </c>
      <c r="Y1592" t="inlineStr">
        <is>
          <t>None</t>
        </is>
      </c>
      <c r="Z1592" t="inlineStr">
        <is>
          <t>Valid</t>
        </is>
      </c>
      <c r="AA1592" t="n">
        <v>2031</v>
      </c>
      <c r="AB1592" t="inlineStr">
        <is>
          <t>Supplier Target Pathway</t>
        </is>
      </c>
      <c r="AC1592" t="n">
        <v>2981.1122</v>
      </c>
      <c r="AD1592" t="n">
        <v>1673.0002</v>
      </c>
      <c r="AE1592" t="n">
        <v>2292.6322</v>
      </c>
      <c r="AF1592" t="n">
        <v>2292.6322</v>
      </c>
      <c r="AG1592" t="n">
        <v>688.48</v>
      </c>
      <c r="AH1592" t="n">
        <v>0.00016536</v>
      </c>
      <c r="AI1592" t="n">
        <v>0.230947</v>
      </c>
      <c r="AJ1592" t="n">
        <v>619.6319999999999</v>
      </c>
      <c r="AK1592" t="n">
        <v>68.848</v>
      </c>
      <c r="AL1592" t="n">
        <v>9273.7698</v>
      </c>
      <c r="AM1592" t="n">
        <v>17494.2334</v>
      </c>
      <c r="AN1592" t="n">
        <v>0.99</v>
      </c>
      <c r="AO1592" t="inlineStr">
        <is>
          <t>Critical</t>
        </is>
      </c>
      <c r="AP1592" t="inlineStr">
        <is>
          <t>On Track to Glide Path</t>
        </is>
      </c>
    </row>
    <row r="1593">
      <c r="A1593" t="inlineStr">
        <is>
          <t>SUP-0100</t>
        </is>
      </c>
      <c r="B1593" t="inlineStr">
        <is>
          <t>Textiles Supplier 100</t>
        </is>
      </c>
      <c r="C1593" t="inlineStr">
        <is>
          <t>Textiles</t>
        </is>
      </c>
      <c r="D1593" t="n">
        <v>2024</v>
      </c>
      <c r="E1593" t="n">
        <v>2021</v>
      </c>
      <c r="F1593" t="n">
        <v>2040</v>
      </c>
      <c r="G1593" t="n">
        <v>2905.4854</v>
      </c>
      <c r="H1593" t="n">
        <v>541.6402</v>
      </c>
      <c r="I1593" t="n">
        <v>572.5276</v>
      </c>
      <c r="J1593" t="n">
        <v>1759.8716</v>
      </c>
      <c r="K1593" t="n">
        <v>13864228.9</v>
      </c>
      <c r="L1593" t="n">
        <v>112478844.45</v>
      </c>
      <c r="M1593" t="n">
        <v>2905.4854</v>
      </c>
      <c r="N1593" t="inlineStr">
        <is>
          <t>Provided Total Emissions</t>
        </is>
      </c>
      <c r="O1593" t="b">
        <v>1</v>
      </c>
      <c r="P1593" t="n">
        <v>0.022202</v>
      </c>
      <c r="Q1593" t="n">
        <v>0.001174</v>
      </c>
      <c r="R1593" t="n">
        <v>4051.2663</v>
      </c>
      <c r="S1593" t="n">
        <v>19507.206</v>
      </c>
      <c r="T1593" t="n">
        <v>1145.7809</v>
      </c>
      <c r="U1593" t="n">
        <v>16601.7206</v>
      </c>
      <c r="V1593" t="n">
        <v>0.394351</v>
      </c>
      <c r="W1593" t="n">
        <v>5.713923</v>
      </c>
      <c r="X1593" t="inlineStr">
        <is>
          <t>High</t>
        </is>
      </c>
      <c r="Y1593" t="inlineStr">
        <is>
          <t>None</t>
        </is>
      </c>
      <c r="Z1593" t="inlineStr">
        <is>
          <t>Valid</t>
        </is>
      </c>
      <c r="AA1593" t="n">
        <v>2032</v>
      </c>
      <c r="AB1593" t="inlineStr">
        <is>
          <t>Supplier Target Pathway</t>
        </is>
      </c>
      <c r="AC1593" t="n">
        <v>2981.1122</v>
      </c>
      <c r="AD1593" t="n">
        <v>1673.0002</v>
      </c>
      <c r="AE1593" t="n">
        <v>2223.7842</v>
      </c>
      <c r="AF1593" t="n">
        <v>2223.7842</v>
      </c>
      <c r="AG1593" t="n">
        <v>757.328</v>
      </c>
      <c r="AH1593" t="n">
        <v>0.0001604</v>
      </c>
      <c r="AI1593" t="n">
        <v>0.254042</v>
      </c>
      <c r="AJ1593" t="n">
        <v>550.784</v>
      </c>
      <c r="AK1593" t="n">
        <v>68.848</v>
      </c>
      <c r="AL1593" t="n">
        <v>7049.9856</v>
      </c>
      <c r="AM1593" t="n">
        <v>19718.0176</v>
      </c>
      <c r="AN1593" t="n">
        <v>0.99</v>
      </c>
      <c r="AO1593" t="inlineStr">
        <is>
          <t>High</t>
        </is>
      </c>
      <c r="AP1593" t="inlineStr">
        <is>
          <t>On Track to Glide Path</t>
        </is>
      </c>
    </row>
    <row r="1594">
      <c r="A1594" t="inlineStr">
        <is>
          <t>SUP-0100</t>
        </is>
      </c>
      <c r="B1594" t="inlineStr">
        <is>
          <t>Textiles Supplier 100</t>
        </is>
      </c>
      <c r="C1594" t="inlineStr">
        <is>
          <t>Textiles</t>
        </is>
      </c>
      <c r="D1594" t="n">
        <v>2024</v>
      </c>
      <c r="E1594" t="n">
        <v>2021</v>
      </c>
      <c r="F1594" t="n">
        <v>2040</v>
      </c>
      <c r="G1594" t="n">
        <v>2905.4854</v>
      </c>
      <c r="H1594" t="n">
        <v>541.6402</v>
      </c>
      <c r="I1594" t="n">
        <v>572.5276</v>
      </c>
      <c r="J1594" t="n">
        <v>1759.8716</v>
      </c>
      <c r="K1594" t="n">
        <v>13864228.9</v>
      </c>
      <c r="L1594" t="n">
        <v>112478844.45</v>
      </c>
      <c r="M1594" t="n">
        <v>2905.4854</v>
      </c>
      <c r="N1594" t="inlineStr">
        <is>
          <t>Provided Total Emissions</t>
        </is>
      </c>
      <c r="O1594" t="b">
        <v>1</v>
      </c>
      <c r="P1594" t="n">
        <v>0.022202</v>
      </c>
      <c r="Q1594" t="n">
        <v>0.001174</v>
      </c>
      <c r="R1594" t="n">
        <v>4051.2663</v>
      </c>
      <c r="S1594" t="n">
        <v>19507.206</v>
      </c>
      <c r="T1594" t="n">
        <v>1145.7809</v>
      </c>
      <c r="U1594" t="n">
        <v>16601.7206</v>
      </c>
      <c r="V1594" t="n">
        <v>0.394351</v>
      </c>
      <c r="W1594" t="n">
        <v>5.713923</v>
      </c>
      <c r="X1594" t="inlineStr">
        <is>
          <t>High</t>
        </is>
      </c>
      <c r="Y1594" t="inlineStr">
        <is>
          <t>None</t>
        </is>
      </c>
      <c r="Z1594" t="inlineStr">
        <is>
          <t>Valid</t>
        </is>
      </c>
      <c r="AA1594" t="n">
        <v>2033</v>
      </c>
      <c r="AB1594" t="inlineStr">
        <is>
          <t>Supplier Target Pathway</t>
        </is>
      </c>
      <c r="AC1594" t="n">
        <v>2981.1122</v>
      </c>
      <c r="AD1594" t="n">
        <v>1673.0002</v>
      </c>
      <c r="AE1594" t="n">
        <v>2154.9362</v>
      </c>
      <c r="AF1594" t="n">
        <v>2154.9362</v>
      </c>
      <c r="AG1594" t="n">
        <v>826.176</v>
      </c>
      <c r="AH1594" t="n">
        <v>0.00015543</v>
      </c>
      <c r="AI1594" t="n">
        <v>0.277137</v>
      </c>
      <c r="AJ1594" t="n">
        <v>481.936</v>
      </c>
      <c r="AK1594" t="n">
        <v>68.848</v>
      </c>
      <c r="AL1594" t="n">
        <v>4895.0494</v>
      </c>
      <c r="AM1594" t="n">
        <v>21872.9538</v>
      </c>
      <c r="AN1594" t="n">
        <v>0.99</v>
      </c>
      <c r="AO1594" t="inlineStr">
        <is>
          <t>High</t>
        </is>
      </c>
      <c r="AP1594" t="inlineStr">
        <is>
          <t>On Track to Glide Path</t>
        </is>
      </c>
    </row>
    <row r="1595">
      <c r="A1595" t="inlineStr">
        <is>
          <t>SUP-0100</t>
        </is>
      </c>
      <c r="B1595" t="inlineStr">
        <is>
          <t>Textiles Supplier 100</t>
        </is>
      </c>
      <c r="C1595" t="inlineStr">
        <is>
          <t>Textiles</t>
        </is>
      </c>
      <c r="D1595" t="n">
        <v>2024</v>
      </c>
      <c r="E1595" t="n">
        <v>2021</v>
      </c>
      <c r="F1595" t="n">
        <v>2040</v>
      </c>
      <c r="G1595" t="n">
        <v>2905.4854</v>
      </c>
      <c r="H1595" t="n">
        <v>541.6402</v>
      </c>
      <c r="I1595" t="n">
        <v>572.5276</v>
      </c>
      <c r="J1595" t="n">
        <v>1759.8716</v>
      </c>
      <c r="K1595" t="n">
        <v>13864228.9</v>
      </c>
      <c r="L1595" t="n">
        <v>112478844.45</v>
      </c>
      <c r="M1595" t="n">
        <v>2905.4854</v>
      </c>
      <c r="N1595" t="inlineStr">
        <is>
          <t>Provided Total Emissions</t>
        </is>
      </c>
      <c r="O1595" t="b">
        <v>1</v>
      </c>
      <c r="P1595" t="n">
        <v>0.022202</v>
      </c>
      <c r="Q1595" t="n">
        <v>0.001174</v>
      </c>
      <c r="R1595" t="n">
        <v>4051.2663</v>
      </c>
      <c r="S1595" t="n">
        <v>19507.206</v>
      </c>
      <c r="T1595" t="n">
        <v>1145.7809</v>
      </c>
      <c r="U1595" t="n">
        <v>16601.7206</v>
      </c>
      <c r="V1595" t="n">
        <v>0.394351</v>
      </c>
      <c r="W1595" t="n">
        <v>5.713923</v>
      </c>
      <c r="X1595" t="inlineStr">
        <is>
          <t>High</t>
        </is>
      </c>
      <c r="Y1595" t="inlineStr">
        <is>
          <t>None</t>
        </is>
      </c>
      <c r="Z1595" t="inlineStr">
        <is>
          <t>Valid</t>
        </is>
      </c>
      <c r="AA1595" t="n">
        <v>2034</v>
      </c>
      <c r="AB1595" t="inlineStr">
        <is>
          <t>Supplier Target Pathway</t>
        </is>
      </c>
      <c r="AC1595" t="n">
        <v>2981.1122</v>
      </c>
      <c r="AD1595" t="n">
        <v>1673.0002</v>
      </c>
      <c r="AE1595" t="n">
        <v>2086.0882</v>
      </c>
      <c r="AF1595" t="n">
        <v>2086.0882</v>
      </c>
      <c r="AG1595" t="n">
        <v>895.024</v>
      </c>
      <c r="AH1595" t="n">
        <v>0.00015047</v>
      </c>
      <c r="AI1595" t="n">
        <v>0.300232</v>
      </c>
      <c r="AJ1595" t="n">
        <v>413.088</v>
      </c>
      <c r="AK1595" t="n">
        <v>68.848</v>
      </c>
      <c r="AL1595" t="n">
        <v>2808.9612</v>
      </c>
      <c r="AM1595" t="n">
        <v>23959.042</v>
      </c>
      <c r="AN1595" t="n">
        <v>0.99</v>
      </c>
      <c r="AO1595" t="inlineStr">
        <is>
          <t>High</t>
        </is>
      </c>
      <c r="AP1595" t="inlineStr">
        <is>
          <t>On Track to Glide Path</t>
        </is>
      </c>
    </row>
    <row r="1596">
      <c r="A1596" t="inlineStr">
        <is>
          <t>SUP-0100</t>
        </is>
      </c>
      <c r="B1596" t="inlineStr">
        <is>
          <t>Textiles Supplier 100</t>
        </is>
      </c>
      <c r="C1596" t="inlineStr">
        <is>
          <t>Textiles</t>
        </is>
      </c>
      <c r="D1596" t="n">
        <v>2024</v>
      </c>
      <c r="E1596" t="n">
        <v>2021</v>
      </c>
      <c r="F1596" t="n">
        <v>2040</v>
      </c>
      <c r="G1596" t="n">
        <v>2905.4854</v>
      </c>
      <c r="H1596" t="n">
        <v>541.6402</v>
      </c>
      <c r="I1596" t="n">
        <v>572.5276</v>
      </c>
      <c r="J1596" t="n">
        <v>1759.8716</v>
      </c>
      <c r="K1596" t="n">
        <v>13864228.9</v>
      </c>
      <c r="L1596" t="n">
        <v>112478844.45</v>
      </c>
      <c r="M1596" t="n">
        <v>2905.4854</v>
      </c>
      <c r="N1596" t="inlineStr">
        <is>
          <t>Provided Total Emissions</t>
        </is>
      </c>
      <c r="O1596" t="b">
        <v>1</v>
      </c>
      <c r="P1596" t="n">
        <v>0.022202</v>
      </c>
      <c r="Q1596" t="n">
        <v>0.001174</v>
      </c>
      <c r="R1596" t="n">
        <v>4051.2663</v>
      </c>
      <c r="S1596" t="n">
        <v>19507.206</v>
      </c>
      <c r="T1596" t="n">
        <v>1145.7809</v>
      </c>
      <c r="U1596" t="n">
        <v>16601.7206</v>
      </c>
      <c r="V1596" t="n">
        <v>0.394351</v>
      </c>
      <c r="W1596" t="n">
        <v>5.713923</v>
      </c>
      <c r="X1596" t="inlineStr">
        <is>
          <t>High</t>
        </is>
      </c>
      <c r="Y1596" t="inlineStr">
        <is>
          <t>None</t>
        </is>
      </c>
      <c r="Z1596" t="inlineStr">
        <is>
          <t>Valid</t>
        </is>
      </c>
      <c r="AA1596" t="n">
        <v>2035</v>
      </c>
      <c r="AB1596" t="inlineStr">
        <is>
          <t>Supplier Target Pathway</t>
        </is>
      </c>
      <c r="AC1596" t="n">
        <v>2981.1122</v>
      </c>
      <c r="AD1596" t="n">
        <v>1673.0002</v>
      </c>
      <c r="AE1596" t="n">
        <v>2017.2402</v>
      </c>
      <c r="AF1596" t="n">
        <v>2017.2402</v>
      </c>
      <c r="AG1596" t="n">
        <v>963.872</v>
      </c>
      <c r="AH1596" t="n">
        <v>0.0001455</v>
      </c>
      <c r="AI1596" t="n">
        <v>0.323326</v>
      </c>
      <c r="AJ1596" t="n">
        <v>344.24</v>
      </c>
      <c r="AK1596" t="n">
        <v>68.848</v>
      </c>
      <c r="AL1596" t="n">
        <v>791.721</v>
      </c>
      <c r="AM1596" t="n">
        <v>25976.2822</v>
      </c>
      <c r="AN1596" t="n">
        <v>0.99</v>
      </c>
      <c r="AO1596" t="inlineStr">
        <is>
          <t>High</t>
        </is>
      </c>
      <c r="AP1596" t="inlineStr">
        <is>
          <t>On Track to Glide Path</t>
        </is>
      </c>
    </row>
    <row r="1597">
      <c r="A1597" t="inlineStr">
        <is>
          <t>SUP-0100</t>
        </is>
      </c>
      <c r="B1597" t="inlineStr">
        <is>
          <t>Textiles Supplier 100</t>
        </is>
      </c>
      <c r="C1597" t="inlineStr">
        <is>
          <t>Textiles</t>
        </is>
      </c>
      <c r="D1597" t="n">
        <v>2024</v>
      </c>
      <c r="E1597" t="n">
        <v>2021</v>
      </c>
      <c r="F1597" t="n">
        <v>2040</v>
      </c>
      <c r="G1597" t="n">
        <v>2905.4854</v>
      </c>
      <c r="H1597" t="n">
        <v>541.6402</v>
      </c>
      <c r="I1597" t="n">
        <v>572.5276</v>
      </c>
      <c r="J1597" t="n">
        <v>1759.8716</v>
      </c>
      <c r="K1597" t="n">
        <v>13864228.9</v>
      </c>
      <c r="L1597" t="n">
        <v>112478844.45</v>
      </c>
      <c r="M1597" t="n">
        <v>2905.4854</v>
      </c>
      <c r="N1597" t="inlineStr">
        <is>
          <t>Provided Total Emissions</t>
        </is>
      </c>
      <c r="O1597" t="b">
        <v>1</v>
      </c>
      <c r="P1597" t="n">
        <v>0.022202</v>
      </c>
      <c r="Q1597" t="n">
        <v>0.001174</v>
      </c>
      <c r="R1597" t="n">
        <v>4051.2663</v>
      </c>
      <c r="S1597" t="n">
        <v>19507.206</v>
      </c>
      <c r="T1597" t="n">
        <v>1145.7809</v>
      </c>
      <c r="U1597" t="n">
        <v>16601.7206</v>
      </c>
      <c r="V1597" t="n">
        <v>0.394351</v>
      </c>
      <c r="W1597" t="n">
        <v>5.713923</v>
      </c>
      <c r="X1597" t="inlineStr">
        <is>
          <t>High</t>
        </is>
      </c>
      <c r="Y1597" t="inlineStr">
        <is>
          <t>None</t>
        </is>
      </c>
      <c r="Z1597" t="inlineStr">
        <is>
          <t>Valid</t>
        </is>
      </c>
      <c r="AA1597" t="n">
        <v>2036</v>
      </c>
      <c r="AB1597" t="inlineStr">
        <is>
          <t>Supplier Target Pathway</t>
        </is>
      </c>
      <c r="AC1597" t="n">
        <v>2981.1122</v>
      </c>
      <c r="AD1597" t="n">
        <v>1673.0002</v>
      </c>
      <c r="AE1597" t="n">
        <v>1948.3922</v>
      </c>
      <c r="AF1597" t="n">
        <v>1948.3922</v>
      </c>
      <c r="AG1597" t="n">
        <v>1032.72</v>
      </c>
      <c r="AH1597" t="n">
        <v>0.00014053</v>
      </c>
      <c r="AI1597" t="n">
        <v>0.346421</v>
      </c>
      <c r="AJ1597" t="n">
        <v>275.392</v>
      </c>
      <c r="AK1597" t="n">
        <v>68.848</v>
      </c>
      <c r="AL1597" t="n">
        <v>-1156.6712</v>
      </c>
      <c r="AM1597" t="n">
        <v>27924.6744</v>
      </c>
      <c r="AN1597" t="n">
        <v>0.99</v>
      </c>
      <c r="AO1597" t="inlineStr">
        <is>
          <t>High</t>
        </is>
      </c>
      <c r="AP1597" t="inlineStr">
        <is>
          <t>On Track to Glide Path</t>
        </is>
      </c>
    </row>
    <row r="1598">
      <c r="A1598" t="inlineStr">
        <is>
          <t>SUP-0100</t>
        </is>
      </c>
      <c r="B1598" t="inlineStr">
        <is>
          <t>Textiles Supplier 100</t>
        </is>
      </c>
      <c r="C1598" t="inlineStr">
        <is>
          <t>Textiles</t>
        </is>
      </c>
      <c r="D1598" t="n">
        <v>2024</v>
      </c>
      <c r="E1598" t="n">
        <v>2021</v>
      </c>
      <c r="F1598" t="n">
        <v>2040</v>
      </c>
      <c r="G1598" t="n">
        <v>2905.4854</v>
      </c>
      <c r="H1598" t="n">
        <v>541.6402</v>
      </c>
      <c r="I1598" t="n">
        <v>572.5276</v>
      </c>
      <c r="J1598" t="n">
        <v>1759.8716</v>
      </c>
      <c r="K1598" t="n">
        <v>13864228.9</v>
      </c>
      <c r="L1598" t="n">
        <v>112478844.45</v>
      </c>
      <c r="M1598" t="n">
        <v>2905.4854</v>
      </c>
      <c r="N1598" t="inlineStr">
        <is>
          <t>Provided Total Emissions</t>
        </is>
      </c>
      <c r="O1598" t="b">
        <v>1</v>
      </c>
      <c r="P1598" t="n">
        <v>0.022202</v>
      </c>
      <c r="Q1598" t="n">
        <v>0.001174</v>
      </c>
      <c r="R1598" t="n">
        <v>4051.2663</v>
      </c>
      <c r="S1598" t="n">
        <v>19507.206</v>
      </c>
      <c r="T1598" t="n">
        <v>1145.7809</v>
      </c>
      <c r="U1598" t="n">
        <v>16601.7206</v>
      </c>
      <c r="V1598" t="n">
        <v>0.394351</v>
      </c>
      <c r="W1598" t="n">
        <v>5.713923</v>
      </c>
      <c r="X1598" t="inlineStr">
        <is>
          <t>High</t>
        </is>
      </c>
      <c r="Y1598" t="inlineStr">
        <is>
          <t>None</t>
        </is>
      </c>
      <c r="Z1598" t="inlineStr">
        <is>
          <t>Valid</t>
        </is>
      </c>
      <c r="AA1598" t="n">
        <v>2037</v>
      </c>
      <c r="AB1598" t="inlineStr">
        <is>
          <t>Supplier Target Pathway</t>
        </is>
      </c>
      <c r="AC1598" t="n">
        <v>2981.1122</v>
      </c>
      <c r="AD1598" t="n">
        <v>1673.0002</v>
      </c>
      <c r="AE1598" t="n">
        <v>1879.5442</v>
      </c>
      <c r="AF1598" t="n">
        <v>1879.5442</v>
      </c>
      <c r="AG1598" t="n">
        <v>1101.568</v>
      </c>
      <c r="AH1598" t="n">
        <v>0.00013557</v>
      </c>
      <c r="AI1598" t="n">
        <v>0.369516</v>
      </c>
      <c r="AJ1598" t="n">
        <v>206.544</v>
      </c>
      <c r="AK1598" t="n">
        <v>68.848</v>
      </c>
      <c r="AL1598" t="n">
        <v>-3036.2154</v>
      </c>
      <c r="AM1598" t="n">
        <v>29804.2186</v>
      </c>
      <c r="AN1598" t="n">
        <v>0.99</v>
      </c>
      <c r="AO1598" t="inlineStr">
        <is>
          <t>Medium</t>
        </is>
      </c>
      <c r="AP1598" t="inlineStr">
        <is>
          <t>On Track to Glide Path</t>
        </is>
      </c>
    </row>
    <row r="1599">
      <c r="A1599" t="inlineStr">
        <is>
          <t>SUP-0100</t>
        </is>
      </c>
      <c r="B1599" t="inlineStr">
        <is>
          <t>Textiles Supplier 100</t>
        </is>
      </c>
      <c r="C1599" t="inlineStr">
        <is>
          <t>Textiles</t>
        </is>
      </c>
      <c r="D1599" t="n">
        <v>2024</v>
      </c>
      <c r="E1599" t="n">
        <v>2021</v>
      </c>
      <c r="F1599" t="n">
        <v>2040</v>
      </c>
      <c r="G1599" t="n">
        <v>2905.4854</v>
      </c>
      <c r="H1599" t="n">
        <v>541.6402</v>
      </c>
      <c r="I1599" t="n">
        <v>572.5276</v>
      </c>
      <c r="J1599" t="n">
        <v>1759.8716</v>
      </c>
      <c r="K1599" t="n">
        <v>13864228.9</v>
      </c>
      <c r="L1599" t="n">
        <v>112478844.45</v>
      </c>
      <c r="M1599" t="n">
        <v>2905.4854</v>
      </c>
      <c r="N1599" t="inlineStr">
        <is>
          <t>Provided Total Emissions</t>
        </is>
      </c>
      <c r="O1599" t="b">
        <v>1</v>
      </c>
      <c r="P1599" t="n">
        <v>0.022202</v>
      </c>
      <c r="Q1599" t="n">
        <v>0.001174</v>
      </c>
      <c r="R1599" t="n">
        <v>4051.2663</v>
      </c>
      <c r="S1599" t="n">
        <v>19507.206</v>
      </c>
      <c r="T1599" t="n">
        <v>1145.7809</v>
      </c>
      <c r="U1599" t="n">
        <v>16601.7206</v>
      </c>
      <c r="V1599" t="n">
        <v>0.394351</v>
      </c>
      <c r="W1599" t="n">
        <v>5.713923</v>
      </c>
      <c r="X1599" t="inlineStr">
        <is>
          <t>High</t>
        </is>
      </c>
      <c r="Y1599" t="inlineStr">
        <is>
          <t>None</t>
        </is>
      </c>
      <c r="Z1599" t="inlineStr">
        <is>
          <t>Valid</t>
        </is>
      </c>
      <c r="AA1599" t="n">
        <v>2038</v>
      </c>
      <c r="AB1599" t="inlineStr">
        <is>
          <t>Supplier Target Pathway</t>
        </is>
      </c>
      <c r="AC1599" t="n">
        <v>2981.1122</v>
      </c>
      <c r="AD1599" t="n">
        <v>1673.0002</v>
      </c>
      <c r="AE1599" t="n">
        <v>1810.6962</v>
      </c>
      <c r="AF1599" t="n">
        <v>1810.6962</v>
      </c>
      <c r="AG1599" t="n">
        <v>1170.416</v>
      </c>
      <c r="AH1599" t="n">
        <v>0.0001306</v>
      </c>
      <c r="AI1599" t="n">
        <v>0.392611</v>
      </c>
      <c r="AJ1599" t="n">
        <v>137.696</v>
      </c>
      <c r="AK1599" t="n">
        <v>68.848</v>
      </c>
      <c r="AL1599" t="n">
        <v>-4846.9116</v>
      </c>
      <c r="AM1599" t="n">
        <v>31614.9148</v>
      </c>
      <c r="AN1599" t="n">
        <v>0.99</v>
      </c>
      <c r="AO1599" t="inlineStr">
        <is>
          <t>Medium</t>
        </is>
      </c>
      <c r="AP1599" t="inlineStr">
        <is>
          <t>On Track to Glide Path</t>
        </is>
      </c>
    </row>
    <row r="1600">
      <c r="A1600" t="inlineStr">
        <is>
          <t>SUP-0100</t>
        </is>
      </c>
      <c r="B1600" t="inlineStr">
        <is>
          <t>Textiles Supplier 100</t>
        </is>
      </c>
      <c r="C1600" t="inlineStr">
        <is>
          <t>Textiles</t>
        </is>
      </c>
      <c r="D1600" t="n">
        <v>2024</v>
      </c>
      <c r="E1600" t="n">
        <v>2021</v>
      </c>
      <c r="F1600" t="n">
        <v>2040</v>
      </c>
      <c r="G1600" t="n">
        <v>2905.4854</v>
      </c>
      <c r="H1600" t="n">
        <v>541.6402</v>
      </c>
      <c r="I1600" t="n">
        <v>572.5276</v>
      </c>
      <c r="J1600" t="n">
        <v>1759.8716</v>
      </c>
      <c r="K1600" t="n">
        <v>13864228.9</v>
      </c>
      <c r="L1600" t="n">
        <v>112478844.45</v>
      </c>
      <c r="M1600" t="n">
        <v>2905.4854</v>
      </c>
      <c r="N1600" t="inlineStr">
        <is>
          <t>Provided Total Emissions</t>
        </is>
      </c>
      <c r="O1600" t="b">
        <v>1</v>
      </c>
      <c r="P1600" t="n">
        <v>0.022202</v>
      </c>
      <c r="Q1600" t="n">
        <v>0.001174</v>
      </c>
      <c r="R1600" t="n">
        <v>4051.2663</v>
      </c>
      <c r="S1600" t="n">
        <v>19507.206</v>
      </c>
      <c r="T1600" t="n">
        <v>1145.7809</v>
      </c>
      <c r="U1600" t="n">
        <v>16601.7206</v>
      </c>
      <c r="V1600" t="n">
        <v>0.394351</v>
      </c>
      <c r="W1600" t="n">
        <v>5.713923</v>
      </c>
      <c r="X1600" t="inlineStr">
        <is>
          <t>High</t>
        </is>
      </c>
      <c r="Y1600" t="inlineStr">
        <is>
          <t>None</t>
        </is>
      </c>
      <c r="Z1600" t="inlineStr">
        <is>
          <t>Valid</t>
        </is>
      </c>
      <c r="AA1600" t="n">
        <v>2039</v>
      </c>
      <c r="AB1600" t="inlineStr">
        <is>
          <t>Supplier Target Pathway</t>
        </is>
      </c>
      <c r="AC1600" t="n">
        <v>2981.1122</v>
      </c>
      <c r="AD1600" t="n">
        <v>1673.0002</v>
      </c>
      <c r="AE1600" t="n">
        <v>1741.8482</v>
      </c>
      <c r="AF1600" t="n">
        <v>1741.8482</v>
      </c>
      <c r="AG1600" t="n">
        <v>1239.264</v>
      </c>
      <c r="AH1600" t="n">
        <v>0.00012564</v>
      </c>
      <c r="AI1600" t="n">
        <v>0.415705</v>
      </c>
      <c r="AJ1600" t="n">
        <v>68.848</v>
      </c>
      <c r="AK1600" t="n">
        <v>68.848</v>
      </c>
      <c r="AL1600" t="n">
        <v>-6588.7598</v>
      </c>
      <c r="AM1600" t="n">
        <v>33356.763</v>
      </c>
      <c r="AN1600" t="n">
        <v>0.99</v>
      </c>
      <c r="AO1600" t="inlineStr">
        <is>
          <t>Medium</t>
        </is>
      </c>
      <c r="AP1600" t="inlineStr">
        <is>
          <t>On Track to Glide Path</t>
        </is>
      </c>
    </row>
    <row r="1601">
      <c r="A1601" t="inlineStr">
        <is>
          <t>SUP-0100</t>
        </is>
      </c>
      <c r="B1601" t="inlineStr">
        <is>
          <t>Textiles Supplier 100</t>
        </is>
      </c>
      <c r="C1601" t="inlineStr">
        <is>
          <t>Textiles</t>
        </is>
      </c>
      <c r="D1601" t="n">
        <v>2024</v>
      </c>
      <c r="E1601" t="n">
        <v>2021</v>
      </c>
      <c r="F1601" t="n">
        <v>2040</v>
      </c>
      <c r="G1601" t="n">
        <v>2905.4854</v>
      </c>
      <c r="H1601" t="n">
        <v>541.6402</v>
      </c>
      <c r="I1601" t="n">
        <v>572.5276</v>
      </c>
      <c r="J1601" t="n">
        <v>1759.8716</v>
      </c>
      <c r="K1601" t="n">
        <v>13864228.9</v>
      </c>
      <c r="L1601" t="n">
        <v>112478844.45</v>
      </c>
      <c r="M1601" t="n">
        <v>2905.4854</v>
      </c>
      <c r="N1601" t="inlineStr">
        <is>
          <t>Provided Total Emissions</t>
        </is>
      </c>
      <c r="O1601" t="b">
        <v>1</v>
      </c>
      <c r="P1601" t="n">
        <v>0.022202</v>
      </c>
      <c r="Q1601" t="n">
        <v>0.001174</v>
      </c>
      <c r="R1601" t="n">
        <v>4051.2663</v>
      </c>
      <c r="S1601" t="n">
        <v>19507.206</v>
      </c>
      <c r="T1601" t="n">
        <v>1145.7809</v>
      </c>
      <c r="U1601" t="n">
        <v>16601.7206</v>
      </c>
      <c r="V1601" t="n">
        <v>0.394351</v>
      </c>
      <c r="W1601" t="n">
        <v>5.713923</v>
      </c>
      <c r="X1601" t="inlineStr">
        <is>
          <t>High</t>
        </is>
      </c>
      <c r="Y1601" t="inlineStr">
        <is>
          <t>None</t>
        </is>
      </c>
      <c r="Z1601" t="inlineStr">
        <is>
          <t>Valid</t>
        </is>
      </c>
      <c r="AA1601" t="n">
        <v>2040</v>
      </c>
      <c r="AB1601" t="inlineStr">
        <is>
          <t>Supplier Target Pathway</t>
        </is>
      </c>
      <c r="AC1601" t="n">
        <v>2981.1122</v>
      </c>
      <c r="AD1601" t="n">
        <v>1673.0002</v>
      </c>
      <c r="AE1601" t="n">
        <v>1673.0002</v>
      </c>
      <c r="AF1601" t="n">
        <v>1673.0002</v>
      </c>
      <c r="AG1601" t="n">
        <v>1308.112</v>
      </c>
      <c r="AH1601" t="n">
        <v>0.00012067</v>
      </c>
      <c r="AI1601" t="n">
        <v>0.4388</v>
      </c>
      <c r="AJ1601" t="n">
        <v>0</v>
      </c>
      <c r="AK1601" t="n">
        <v>68.848</v>
      </c>
      <c r="AL1601" t="n">
        <v>-8261.76</v>
      </c>
      <c r="AM1601" t="n">
        <v>35029.7632</v>
      </c>
      <c r="AN1601" t="n">
        <v>0.99</v>
      </c>
      <c r="AO1601" t="inlineStr">
        <is>
          <t>Low</t>
        </is>
      </c>
      <c r="AP1601" t="inlineStr">
        <is>
          <t>On Track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Attribute_Name</t>
        </is>
      </c>
      <c r="B1" t="inlineStr">
        <is>
          <t>Description</t>
        </is>
      </c>
      <c r="C1" t="inlineStr">
        <is>
          <t>Data_Type</t>
        </is>
      </c>
      <c r="D1" t="inlineStr">
        <is>
          <t>Source_System</t>
        </is>
      </c>
      <c r="E1" t="inlineStr">
        <is>
          <t>Mandatory_or_Optional</t>
        </is>
      </c>
      <c r="F1" t="inlineStr">
        <is>
          <t>Business_Purpose</t>
        </is>
      </c>
      <c r="G1" t="inlineStr">
        <is>
          <t>Model_Impact</t>
        </is>
      </c>
      <c r="H1" t="inlineStr">
        <is>
          <t>Example_Value</t>
        </is>
      </c>
    </row>
    <row r="2">
      <c r="A2" t="inlineStr">
        <is>
          <t>Supplier_ID</t>
        </is>
      </c>
      <c r="B2" t="inlineStr">
        <is>
          <t>Unique supplier key</t>
        </is>
      </c>
      <c r="C2" t="inlineStr">
        <is>
          <t>String</t>
        </is>
      </c>
      <c r="D2" t="inlineStr">
        <is>
          <t>ERP / Supplier master</t>
        </is>
      </c>
      <c r="E2" t="inlineStr">
        <is>
          <t>Mandatory</t>
        </is>
      </c>
      <c r="F2" t="inlineStr">
        <is>
          <t>Joins datasets</t>
        </is>
      </c>
      <c r="G2" t="inlineStr">
        <is>
          <t>Primary grouping key</t>
        </is>
      </c>
      <c r="H2" t="inlineStr">
        <is>
          <t>SUP-0001</t>
        </is>
      </c>
    </row>
    <row r="3">
      <c r="A3" t="inlineStr">
        <is>
          <t>Supplier_Name</t>
        </is>
      </c>
      <c r="B3" t="inlineStr">
        <is>
          <t>Legal or reporting supplier name</t>
        </is>
      </c>
      <c r="C3" t="inlineStr">
        <is>
          <t>String</t>
        </is>
      </c>
      <c r="D3" t="inlineStr">
        <is>
          <t>ERP / Supplier master</t>
        </is>
      </c>
      <c r="E3" t="inlineStr">
        <is>
          <t>Mandatory</t>
        </is>
      </c>
      <c r="F3" t="inlineStr">
        <is>
          <t>Supplier reporting</t>
        </is>
      </c>
      <c r="G3" t="inlineStr">
        <is>
          <t>Dashboard label</t>
        </is>
      </c>
      <c r="H3" t="inlineStr">
        <is>
          <t>Electronics Supplier 001</t>
        </is>
      </c>
    </row>
    <row r="4">
      <c r="A4" t="inlineStr">
        <is>
          <t>Supplier_Industry</t>
        </is>
      </c>
      <c r="B4" t="inlineStr">
        <is>
          <t>Supplier industry category</t>
        </is>
      </c>
      <c r="C4" t="inlineStr">
        <is>
          <t>String</t>
        </is>
      </c>
      <c r="D4" t="inlineStr">
        <is>
          <t>Supplier master / Taxonomy</t>
        </is>
      </c>
      <c r="E4" t="inlineStr">
        <is>
          <t>Mandatory</t>
        </is>
      </c>
      <c r="F4" t="inlineStr">
        <is>
          <t>Benchmarking and industry targets</t>
        </is>
      </c>
      <c r="G4" t="inlineStr">
        <is>
          <t>Enables industry pathway</t>
        </is>
      </c>
      <c r="H4" t="inlineStr">
        <is>
          <t>Electronics</t>
        </is>
      </c>
    </row>
    <row r="5">
      <c r="A5" t="inlineStr">
        <is>
          <t>Supplier_Year</t>
        </is>
      </c>
      <c r="B5" t="inlineStr">
        <is>
          <t>Historical reporting year</t>
        </is>
      </c>
      <c r="C5" t="inlineStr">
        <is>
          <t>Integer</t>
        </is>
      </c>
      <c r="D5" t="inlineStr">
        <is>
          <t>ERP / ESG data lake</t>
        </is>
      </c>
      <c r="E5" t="inlineStr">
        <is>
          <t>Mandatory</t>
        </is>
      </c>
      <c r="F5" t="inlineStr">
        <is>
          <t>Time series analysis</t>
        </is>
      </c>
      <c r="G5" t="inlineStr">
        <is>
          <t>Trend and baseline selection</t>
        </is>
      </c>
      <c r="H5" t="inlineStr">
        <is>
          <t>2024</t>
        </is>
      </c>
    </row>
    <row r="6">
      <c r="A6" t="inlineStr">
        <is>
          <t>Gross_Spend</t>
        </is>
      </c>
      <c r="B6" t="inlineStr">
        <is>
          <t>Annual procurement spend</t>
        </is>
      </c>
      <c r="C6" t="inlineStr">
        <is>
          <t>Decimal</t>
        </is>
      </c>
      <c r="D6" t="inlineStr">
        <is>
          <t>ERP / Procurement</t>
        </is>
      </c>
      <c r="E6" t="inlineStr">
        <is>
          <t>Optional</t>
        </is>
      </c>
      <c r="F6" t="inlineStr">
        <is>
          <t>Intensity and growth analysis</t>
        </is>
      </c>
      <c r="G6" t="inlineStr">
        <is>
          <t>Denominator for intensity and growth</t>
        </is>
      </c>
      <c r="H6" t="inlineStr">
        <is>
          <t>2500000</t>
        </is>
      </c>
    </row>
    <row r="7">
      <c r="A7" t="inlineStr">
        <is>
          <t>Revenue</t>
        </is>
      </c>
      <c r="B7" t="inlineStr">
        <is>
          <t>Supplier revenue attributable or total revenue</t>
        </is>
      </c>
      <c r="C7" t="inlineStr">
        <is>
          <t>Decimal</t>
        </is>
      </c>
      <c r="D7" t="inlineStr">
        <is>
          <t>Supplier survey / Finance</t>
        </is>
      </c>
      <c r="E7" t="inlineStr">
        <is>
          <t>Optional</t>
        </is>
      </c>
      <c r="F7" t="inlineStr">
        <is>
          <t>Financial context and intensity analysis</t>
        </is>
      </c>
      <c r="G7" t="inlineStr">
        <is>
          <t>Optional denominator or filter</t>
        </is>
      </c>
      <c r="H7" t="inlineStr">
        <is>
          <t>12000000</t>
        </is>
      </c>
    </row>
    <row r="8">
      <c r="A8" t="inlineStr">
        <is>
          <t>Reported_Emissions</t>
        </is>
      </c>
      <c r="B8" t="inlineStr">
        <is>
          <t>Supplier reported total emissions</t>
        </is>
      </c>
      <c r="C8" t="inlineStr">
        <is>
          <t>Decimal</t>
        </is>
      </c>
      <c r="D8" t="inlineStr">
        <is>
          <t>CDP / Supplier portal</t>
        </is>
      </c>
      <c r="E8" t="inlineStr">
        <is>
          <t>Mandatory</t>
        </is>
      </c>
      <c r="F8" t="inlineStr">
        <is>
          <t>Historical/current emissions input</t>
        </is>
      </c>
      <c r="G8" t="inlineStr">
        <is>
          <t>Core model input</t>
        </is>
      </c>
      <c r="H8" t="inlineStr">
        <is>
          <t>1850.75</t>
        </is>
      </c>
    </row>
    <row r="9">
      <c r="A9" t="inlineStr">
        <is>
          <t>Total_Emission_Value</t>
        </is>
      </c>
      <c r="B9" t="inlineStr">
        <is>
          <t>Validated total emissions</t>
        </is>
      </c>
      <c r="C9" t="inlineStr">
        <is>
          <t>Decimal</t>
        </is>
      </c>
      <c r="D9" t="inlineStr">
        <is>
          <t>ESG data lake / Calculated validation</t>
        </is>
      </c>
      <c r="E9" t="inlineStr">
        <is>
          <t>Mandatory output</t>
        </is>
      </c>
      <c r="F9" t="inlineStr">
        <is>
          <t>Core model input</t>
        </is>
      </c>
      <c r="G9" t="inlineStr">
        <is>
          <t>Drives all forecasts</t>
        </is>
      </c>
      <c r="H9" t="inlineStr">
        <is>
          <t>1850.75</t>
        </is>
      </c>
    </row>
    <row r="10">
      <c r="A10" t="inlineStr">
        <is>
          <t>Scope1_Emission</t>
        </is>
      </c>
      <c r="B10" t="inlineStr">
        <is>
          <t>Direct emissions</t>
        </is>
      </c>
      <c r="C10" t="inlineStr">
        <is>
          <t>Decimal</t>
        </is>
      </c>
      <c r="D10" t="inlineStr">
        <is>
          <t>Supplier ESG report</t>
        </is>
      </c>
      <c r="E10" t="inlineStr">
        <is>
          <t>Optional</t>
        </is>
      </c>
      <c r="F10" t="inlineStr">
        <is>
          <t>Scope-level breakdown</t>
        </is>
      </c>
      <c r="G10" t="inlineStr">
        <is>
          <t>Dashboard segmentation</t>
        </is>
      </c>
      <c r="H10" t="inlineStr">
        <is>
          <t>120.5</t>
        </is>
      </c>
    </row>
    <row r="11">
      <c r="A11" t="inlineStr">
        <is>
          <t>Scope2_Emission</t>
        </is>
      </c>
      <c r="B11" t="inlineStr">
        <is>
          <t>Purchased energy emissions</t>
        </is>
      </c>
      <c r="C11" t="inlineStr">
        <is>
          <t>Decimal</t>
        </is>
      </c>
      <c r="D11" t="inlineStr">
        <is>
          <t>Supplier ESG report</t>
        </is>
      </c>
      <c r="E11" t="inlineStr">
        <is>
          <t>Optional</t>
        </is>
      </c>
      <c r="F11" t="inlineStr">
        <is>
          <t>Scope-level breakdown</t>
        </is>
      </c>
      <c r="G11" t="inlineStr">
        <is>
          <t>Dashboard segmentation</t>
        </is>
      </c>
      <c r="H11" t="inlineStr">
        <is>
          <t>80.2</t>
        </is>
      </c>
    </row>
    <row r="12">
      <c r="A12" t="inlineStr">
        <is>
          <t>Scope3_Emission</t>
        </is>
      </c>
      <c r="B12" t="inlineStr">
        <is>
          <t>Supplier value-chain emissions</t>
        </is>
      </c>
      <c r="C12" t="inlineStr">
        <is>
          <t>Decimal</t>
        </is>
      </c>
      <c r="D12" t="inlineStr">
        <is>
          <t>Supplier ESG report</t>
        </is>
      </c>
      <c r="E12" t="inlineStr">
        <is>
          <t>Optional</t>
        </is>
      </c>
      <c r="F12" t="inlineStr">
        <is>
          <t>Scope-level breakdown</t>
        </is>
      </c>
      <c r="G12" t="inlineStr">
        <is>
          <t>Dashboard segmentation</t>
        </is>
      </c>
      <c r="H12" t="inlineStr">
        <is>
          <t>1650.1</t>
        </is>
      </c>
    </row>
    <row r="13">
      <c r="A13" t="inlineStr">
        <is>
          <t>Baseline_Year</t>
        </is>
      </c>
      <c r="B13" t="inlineStr">
        <is>
          <t>Supplier target baseline year</t>
        </is>
      </c>
      <c r="C13" t="inlineStr">
        <is>
          <t>Integer</t>
        </is>
      </c>
      <c r="D13" t="inlineStr">
        <is>
          <t>Supplier target table</t>
        </is>
      </c>
      <c r="E13" t="inlineStr">
        <is>
          <t>Optional</t>
        </is>
      </c>
      <c r="F13" t="inlineStr">
        <is>
          <t>Target pathway anchor</t>
        </is>
      </c>
      <c r="G13" t="inlineStr">
        <is>
          <t>Defines baseline emission</t>
        </is>
      </c>
      <c r="H13" t="inlineStr">
        <is>
          <t>2020</t>
        </is>
      </c>
    </row>
    <row r="14">
      <c r="A14" t="inlineStr">
        <is>
          <t>Target_Year</t>
        </is>
      </c>
      <c r="B14" t="inlineStr">
        <is>
          <t>Supplier target completion year</t>
        </is>
      </c>
      <c r="C14" t="inlineStr">
        <is>
          <t>Integer</t>
        </is>
      </c>
      <c r="D14" t="inlineStr">
        <is>
          <t>Supplier target table</t>
        </is>
      </c>
      <c r="E14" t="inlineStr">
        <is>
          <t>Optional</t>
        </is>
      </c>
      <c r="F14" t="inlineStr">
        <is>
          <t>Target pathway endpoint</t>
        </is>
      </c>
      <c r="G14" t="inlineStr">
        <is>
          <t>Forecast endpoint</t>
        </is>
      </c>
      <c r="H14" t="inlineStr">
        <is>
          <t>2030</t>
        </is>
      </c>
    </row>
    <row r="15">
      <c r="A15" t="inlineStr">
        <is>
          <t>Target_Reduction_Percentage</t>
        </is>
      </c>
      <c r="B15" t="inlineStr">
        <is>
          <t>Supplier target reduction from baseline</t>
        </is>
      </c>
      <c r="C15" t="inlineStr">
        <is>
          <t>Decimal</t>
        </is>
      </c>
      <c r="D15" t="inlineStr">
        <is>
          <t>Supplier target table</t>
        </is>
      </c>
      <c r="E15" t="inlineStr">
        <is>
          <t>Optional</t>
        </is>
      </c>
      <c r="F15" t="inlineStr">
        <is>
          <t>Supplier-specific target</t>
        </is>
      </c>
      <c r="G15" t="inlineStr">
        <is>
          <t>Target emission formula</t>
        </is>
      </c>
      <c r="H15" t="inlineStr">
        <is>
          <t>0.42</t>
        </is>
      </c>
    </row>
    <row r="16">
      <c r="A16" t="inlineStr">
        <is>
          <t>Interim_Target_Reduction_Percentage</t>
        </is>
      </c>
      <c r="B16" t="inlineStr">
        <is>
          <t>Interim reduction target</t>
        </is>
      </c>
      <c r="C16" t="inlineStr">
        <is>
          <t>Decimal</t>
        </is>
      </c>
      <c r="D16" t="inlineStr">
        <is>
          <t>Supplier target table</t>
        </is>
      </c>
      <c r="E16" t="inlineStr">
        <is>
          <t>Optional</t>
        </is>
      </c>
      <c r="F16" t="inlineStr">
        <is>
          <t>Midpoint governance</t>
        </is>
      </c>
      <c r="G16" t="inlineStr">
        <is>
          <t>Can support milestone dashboard</t>
        </is>
      </c>
      <c r="H16" t="inlineStr">
        <is>
          <t>0.21</t>
        </is>
      </c>
    </row>
    <row r="17">
      <c r="A17" t="inlineStr">
        <is>
          <t>Industry_Baseline_Year</t>
        </is>
      </c>
      <c r="B17" t="inlineStr">
        <is>
          <t>Industry baseline year</t>
        </is>
      </c>
      <c r="C17" t="inlineStr">
        <is>
          <t>Integer</t>
        </is>
      </c>
      <c r="D17" t="inlineStr">
        <is>
          <t>Industry benchmark table</t>
        </is>
      </c>
      <c r="E17" t="inlineStr">
        <is>
          <t>Optional</t>
        </is>
      </c>
      <c r="F17" t="inlineStr">
        <is>
          <t>Industry pathway anchor</t>
        </is>
      </c>
      <c r="G17" t="inlineStr">
        <is>
          <t>Industry pathway</t>
        </is>
      </c>
      <c r="H17" t="inlineStr">
        <is>
          <t>2019</t>
        </is>
      </c>
    </row>
    <row r="18">
      <c r="A18" t="inlineStr">
        <is>
          <t>Industry_Target_Year</t>
        </is>
      </c>
      <c r="B18" t="inlineStr">
        <is>
          <t>Industry target year</t>
        </is>
      </c>
      <c r="C18" t="inlineStr">
        <is>
          <t>Integer</t>
        </is>
      </c>
      <c r="D18" t="inlineStr">
        <is>
          <t>Industry benchmark table</t>
        </is>
      </c>
      <c r="E18" t="inlineStr">
        <is>
          <t>Optional</t>
        </is>
      </c>
      <c r="F18" t="inlineStr">
        <is>
          <t>Industry pathway endpoint</t>
        </is>
      </c>
      <c r="G18" t="inlineStr">
        <is>
          <t>Industry pathway</t>
        </is>
      </c>
      <c r="H18" t="inlineStr">
        <is>
          <t>2035</t>
        </is>
      </c>
    </row>
    <row r="19">
      <c r="A19" t="inlineStr">
        <is>
          <t>Industry_Reduction_Percentage</t>
        </is>
      </c>
      <c r="B19" t="inlineStr">
        <is>
          <t>Industry reduction haircut</t>
        </is>
      </c>
      <c r="C19" t="inlineStr">
        <is>
          <t>Decimal</t>
        </is>
      </c>
      <c r="D19" t="inlineStr">
        <is>
          <t>Benchmark / ESG scenario</t>
        </is>
      </c>
      <c r="E19" t="inlineStr">
        <is>
          <t>Optional</t>
        </is>
      </c>
      <c r="F19" t="inlineStr">
        <is>
          <t>Industry reduction target</t>
        </is>
      </c>
      <c r="G19" t="inlineStr">
        <is>
          <t>Industry pathway</t>
        </is>
      </c>
      <c r="H19" t="inlineStr">
        <is>
          <t>0.35</t>
        </is>
      </c>
    </row>
    <row r="20">
      <c r="A20" t="inlineStr">
        <is>
          <t>Industry_Emission_Factor</t>
        </is>
      </c>
      <c r="B20" t="inlineStr">
        <is>
          <t>Average industry emissions factor</t>
        </is>
      </c>
      <c r="C20" t="inlineStr">
        <is>
          <t>Decimal</t>
        </is>
      </c>
      <c r="D20" t="inlineStr">
        <is>
          <t>LCA / EEIO factor database</t>
        </is>
      </c>
      <c r="E20" t="inlineStr">
        <is>
          <t>Optional</t>
        </is>
      </c>
      <c r="F20" t="inlineStr">
        <is>
          <t>Benchmarking context</t>
        </is>
      </c>
      <c r="G20" t="inlineStr">
        <is>
          <t>Dashboard benchmark, not core emissions input</t>
        </is>
      </c>
      <c r="H20" t="inlineStr">
        <is>
          <t>420.5</t>
        </is>
      </c>
    </row>
    <row r="21">
      <c r="A21" t="inlineStr">
        <is>
          <t>Spend_Based_Emission_Factor</t>
        </is>
      </c>
      <c r="B21" t="inlineStr">
        <is>
          <t>Emissions per currency spend</t>
        </is>
      </c>
      <c r="C21" t="inlineStr">
        <is>
          <t>Decimal</t>
        </is>
      </c>
      <c r="D21" t="inlineStr">
        <is>
          <t>EEIO / Procurement factor table</t>
        </is>
      </c>
      <c r="E21" t="inlineStr">
        <is>
          <t>Optional</t>
        </is>
      </c>
      <c r="F21" t="inlineStr">
        <is>
          <t>Benchmarking context</t>
        </is>
      </c>
      <c r="G21" t="inlineStr">
        <is>
          <t>Not required when actual emissions exist</t>
        </is>
      </c>
      <c r="H21" t="inlineStr">
        <is>
          <t>0.00045</t>
        </is>
      </c>
    </row>
    <row r="22">
      <c r="A22" t="inlineStr">
        <is>
          <t>Revenue_Based_Emission_Intensity</t>
        </is>
      </c>
      <c r="B22" t="inlineStr">
        <is>
          <t>Emissions per currency revenue</t>
        </is>
      </c>
      <c r="C22" t="inlineStr">
        <is>
          <t>Decimal</t>
        </is>
      </c>
      <c r="D22" t="inlineStr">
        <is>
          <t>Benchmark / ESG data</t>
        </is>
      </c>
      <c r="E22" t="inlineStr">
        <is>
          <t>Optional</t>
        </is>
      </c>
      <c r="F22" t="inlineStr">
        <is>
          <t>Benchmarking context</t>
        </is>
      </c>
      <c r="G22" t="inlineStr">
        <is>
          <t>Not required when actual emissions exist</t>
        </is>
      </c>
      <c r="H22" t="inlineStr">
        <is>
          <t>0.00021</t>
        </is>
      </c>
    </row>
    <row r="23">
      <c r="A23" t="inlineStr">
        <is>
          <t>Spend_Based_Emission</t>
        </is>
      </c>
      <c r="B23" t="inlineStr">
        <is>
          <t>Spend-based benchmark emissions</t>
        </is>
      </c>
      <c r="C23" t="inlineStr">
        <is>
          <t>Decimal</t>
        </is>
      </c>
      <c r="D23" t="inlineStr">
        <is>
          <t>Calculated</t>
        </is>
      </c>
      <c r="E23" t="inlineStr">
        <is>
          <t>Optional output</t>
        </is>
      </c>
      <c r="F23" t="inlineStr">
        <is>
          <t>Compare spend proxy to actual emissions</t>
        </is>
      </c>
      <c r="G23" t="inlineStr">
        <is>
          <t>Benchmark only; does not replace actual emissions</t>
        </is>
      </c>
      <c r="H23" t="inlineStr">
        <is>
          <t>1125.40</t>
        </is>
      </c>
    </row>
    <row r="24">
      <c r="A24" t="inlineStr">
        <is>
          <t>Revenue_Based_Emission</t>
        </is>
      </c>
      <c r="B24" t="inlineStr">
        <is>
          <t>Revenue-based benchmark emissions</t>
        </is>
      </c>
      <c r="C24" t="inlineStr">
        <is>
          <t>Decimal</t>
        </is>
      </c>
      <c r="D24" t="inlineStr">
        <is>
          <t>Calculated</t>
        </is>
      </c>
      <c r="E24" t="inlineStr">
        <is>
          <t>Optional output</t>
        </is>
      </c>
      <c r="F24" t="inlineStr">
        <is>
          <t>Compare revenue proxy to actual emissions</t>
        </is>
      </c>
      <c r="G24" t="inlineStr">
        <is>
          <t>Benchmark only; does not replace actual emissions</t>
        </is>
      </c>
      <c r="H24" t="inlineStr">
        <is>
          <t>980.10</t>
        </is>
      </c>
    </row>
    <row r="25">
      <c r="A25" t="inlineStr">
        <is>
          <t>Spend_Based_vs_Actual</t>
        </is>
      </c>
      <c r="B25" t="inlineStr">
        <is>
          <t>Difference between spend-based benchmark and actual emissions</t>
        </is>
      </c>
      <c r="C25" t="inlineStr">
        <is>
          <t>Decimal</t>
        </is>
      </c>
      <c r="D25" t="inlineStr">
        <is>
          <t>Calculated</t>
        </is>
      </c>
      <c r="E25" t="inlineStr">
        <is>
          <t>Optional output</t>
        </is>
      </c>
      <c r="F25" t="inlineStr">
        <is>
          <t>Triangulation and reasonableness check</t>
        </is>
      </c>
      <c r="G25" t="inlineStr">
        <is>
          <t>Positive means spend estimate is above actual</t>
        </is>
      </c>
      <c r="H25" t="inlineStr">
        <is>
          <t>125.40</t>
        </is>
      </c>
    </row>
    <row r="26">
      <c r="A26" t="inlineStr">
        <is>
          <t>Revenue_Based_vs_Actual</t>
        </is>
      </c>
      <c r="B26" t="inlineStr">
        <is>
          <t>Difference between revenue-based benchmark and actual emissions</t>
        </is>
      </c>
      <c r="C26" t="inlineStr">
        <is>
          <t>Decimal</t>
        </is>
      </c>
      <c r="D26" t="inlineStr">
        <is>
          <t>Calculated</t>
        </is>
      </c>
      <c r="E26" t="inlineStr">
        <is>
          <t>Optional output</t>
        </is>
      </c>
      <c r="F26" t="inlineStr">
        <is>
          <t>Triangulation and reasonableness check</t>
        </is>
      </c>
      <c r="G26" t="inlineStr">
        <is>
          <t>Positive means revenue estimate is above actual</t>
        </is>
      </c>
      <c r="H26" t="inlineStr">
        <is>
          <t>-19.90</t>
        </is>
      </c>
    </row>
    <row r="27">
      <c r="A27" t="inlineStr">
        <is>
          <t>Spend_Based_Variance_Percentage</t>
        </is>
      </c>
      <c r="B27" t="inlineStr">
        <is>
          <t>Spend benchmark variance divided by actual emissions</t>
        </is>
      </c>
      <c r="C27" t="inlineStr">
        <is>
          <t>Decimal</t>
        </is>
      </c>
      <c r="D27" t="inlineStr">
        <is>
          <t>Calculated</t>
        </is>
      </c>
      <c r="E27" t="inlineStr">
        <is>
          <t>Optional output</t>
        </is>
      </c>
      <c r="F27" t="inlineStr">
        <is>
          <t>Proxy accuracy review</t>
        </is>
      </c>
      <c r="G27" t="inlineStr">
        <is>
          <t>Highlights suppliers with high proxy variance</t>
        </is>
      </c>
      <c r="H27" t="inlineStr">
        <is>
          <t>0.1254</t>
        </is>
      </c>
    </row>
    <row r="28">
      <c r="A28" t="inlineStr">
        <is>
          <t>Revenue_Based_Variance_Percentage</t>
        </is>
      </c>
      <c r="B28" t="inlineStr">
        <is>
          <t>Revenue benchmark variance divided by actual emissions</t>
        </is>
      </c>
      <c r="C28" t="inlineStr">
        <is>
          <t>Decimal</t>
        </is>
      </c>
      <c r="D28" t="inlineStr">
        <is>
          <t>Calculated</t>
        </is>
      </c>
      <c r="E28" t="inlineStr">
        <is>
          <t>Optional output</t>
        </is>
      </c>
      <c r="F28" t="inlineStr">
        <is>
          <t>Proxy accuracy review</t>
        </is>
      </c>
      <c r="G28" t="inlineStr">
        <is>
          <t>Highlights suppliers with high proxy variance</t>
        </is>
      </c>
      <c r="H28" t="inlineStr">
        <is>
          <t>-0.0199</t>
        </is>
      </c>
    </row>
    <row r="29">
      <c r="A29" t="inlineStr">
        <is>
          <t>Forecast_Method_Flag</t>
        </is>
      </c>
      <c r="B29" t="inlineStr">
        <is>
          <t>Selected forecasting method</t>
        </is>
      </c>
      <c r="C29" t="inlineStr">
        <is>
          <t>String</t>
        </is>
      </c>
      <c r="D29" t="inlineStr">
        <is>
          <t>Calculated</t>
        </is>
      </c>
      <c r="E29" t="inlineStr">
        <is>
          <t>Mandatory output</t>
        </is>
      </c>
      <c r="F29" t="inlineStr">
        <is>
          <t>Governance transparency</t>
        </is>
      </c>
      <c r="G29" t="inlineStr">
        <is>
          <t>Explains forecast basis</t>
        </is>
      </c>
      <c r="H29" t="inlineStr">
        <is>
          <t>Supplier Target Pathway</t>
        </is>
      </c>
    </row>
    <row r="30">
      <c r="A30" t="inlineStr">
        <is>
          <t>Confidence_Score</t>
        </is>
      </c>
      <c r="B30" t="inlineStr">
        <is>
          <t>0-1 confidence score</t>
        </is>
      </c>
      <c r="C30" t="inlineStr">
        <is>
          <t>Decimal</t>
        </is>
      </c>
      <c r="D30" t="inlineStr">
        <is>
          <t>Calculated</t>
        </is>
      </c>
      <c r="E30" t="inlineStr">
        <is>
          <t>Mandatory output</t>
        </is>
      </c>
      <c r="F30" t="inlineStr">
        <is>
          <t>Risk and audit context</t>
        </is>
      </c>
      <c r="G30" t="inlineStr">
        <is>
          <t>Weights data reliability</t>
        </is>
      </c>
      <c r="H30" t="inlineStr">
        <is>
          <t>0.86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Calculated_Parameter</t>
        </is>
      </c>
      <c r="B1" t="inlineStr">
        <is>
          <t>Excel_Structured_Formula</t>
        </is>
      </c>
    </row>
    <row r="2">
      <c r="A2" t="inlineStr">
        <is>
          <t>Total_Emission_Value</t>
        </is>
      </c>
      <c r="B2">
        <f>IF([@[Source_Total_Emission_Value]]&lt;&gt;"",[@[Source_Total_Emission_Value]],IF([@[Reported_Emissions]]&lt;&gt;"",[@[Reported_Emissions]],"Missing Emissions"))</f>
        <v/>
      </c>
    </row>
    <row r="3">
      <c r="A3" t="inlineStr">
        <is>
          <t>Emissions_Data_Available_Flag</t>
        </is>
      </c>
      <c r="B3">
        <f>IF([@[Total_Emission_Value]]&lt;&gt;"",TRUE,FALSE)</f>
        <v/>
      </c>
    </row>
    <row r="4">
      <c r="A4" t="inlineStr">
        <is>
          <t>Data_Quality_Flag</t>
        </is>
      </c>
      <c r="B4">
        <f>IF([@[Total_Emission_Value]]&lt;&gt;"","High","Missing")</f>
        <v/>
      </c>
    </row>
    <row r="5">
      <c r="A5" t="inlineStr">
        <is>
          <t>Confidence_Score</t>
        </is>
      </c>
      <c r="B5">
        <f>IF([@[Total_Emission_Value]]&lt;&gt;"",0.95,0)</f>
        <v/>
      </c>
    </row>
    <row r="6">
      <c r="A6" t="inlineStr">
        <is>
          <t>Spend_Based_Emission</t>
        </is>
      </c>
      <c r="B6">
        <f>IFERROR([@[Gross_Spend]]*[@[Spend_Based_Emission_Factor]],"")</f>
        <v/>
      </c>
    </row>
    <row r="7">
      <c r="A7" t="inlineStr">
        <is>
          <t>Revenue_Based_Emission</t>
        </is>
      </c>
      <c r="B7">
        <f>IFERROR([@[Revenue]]*[@[Revenue_Based_Emission_Intensity]],"")</f>
        <v/>
      </c>
    </row>
    <row r="8">
      <c r="A8" t="inlineStr">
        <is>
          <t>Spend_Based_vs_Actual</t>
        </is>
      </c>
      <c r="B8">
        <f>IFERROR([@[Spend_Based_Emission]]-[@[Total_Emission_Value]],"")</f>
        <v/>
      </c>
    </row>
    <row r="9">
      <c r="A9" t="inlineStr">
        <is>
          <t>Revenue_Based_vs_Actual</t>
        </is>
      </c>
      <c r="B9">
        <f>IFERROR([@[Revenue_Based_Emission]]-[@[Total_Emission_Value]],"")</f>
        <v/>
      </c>
    </row>
    <row r="10">
      <c r="A10" t="inlineStr">
        <is>
          <t>Spend_Based_Variance_Percentage</t>
        </is>
      </c>
      <c r="B10">
        <f>IFERROR([@[Spend_Based_vs_Actual]]/[@[Total_Emission_Value]],"")</f>
        <v/>
      </c>
    </row>
    <row r="11">
      <c r="A11" t="inlineStr">
        <is>
          <t>Revenue_Based_Variance_Percentage</t>
        </is>
      </c>
      <c r="B11">
        <f>IFERROR([@[Revenue_Based_vs_Actual]]/[@[Total_Emission_Value]],"")</f>
        <v/>
      </c>
    </row>
    <row r="12">
      <c r="A12" t="inlineStr">
        <is>
          <t>Emission_Intensity</t>
        </is>
      </c>
      <c r="B12">
        <f>IFERROR([@[Forecast_Emission]]/[@[Gross_Spend]],"")</f>
        <v/>
      </c>
    </row>
    <row r="13">
      <c r="A13" t="inlineStr">
        <is>
          <t>Target_Emission</t>
        </is>
      </c>
      <c r="B13">
        <f>[@[Baseline_Emission]]*(1-[@[Target_Reduction_Percentage]])</f>
        <v/>
      </c>
    </row>
    <row r="14">
      <c r="A14" t="inlineStr">
        <is>
          <t>Annual_Reduction_Required</t>
        </is>
      </c>
      <c r="B14">
        <f>IFERROR(([@[Baseline_Emission]]-[@[Target_Emission]])/([@[Target_Year]]-[@[Baseline_Year]]),0)</f>
        <v/>
      </c>
    </row>
    <row r="15">
      <c r="A15" t="inlineStr">
        <is>
          <t>Forecast_Emission</t>
        </is>
      </c>
      <c r="B15">
        <f>IF([@[Forecast_Method_Flag]]="Historical Trend Pathway",[@[Total_Emission_Value]]*(1+[@[Historical_Trend]])^([@[Forecast_Year]]-[@[Supplier_Year]]),[@[Glide_Path_Emission]])</f>
        <v/>
      </c>
    </row>
    <row r="16">
      <c r="A16" t="inlineStr">
        <is>
          <t>Glide_Path_Emission</t>
        </is>
      </c>
      <c r="B16">
        <f>MAX([@[Target_Emission]],[@[Baseline_Emission]]-[@[Annual_Reduction_Required]]*([@[Forecast_Year]]-[@[Baseline_Year]]))</f>
        <v/>
      </c>
    </row>
    <row r="17">
      <c r="A17" t="inlineStr">
        <is>
          <t>Absolute_Reduction</t>
        </is>
      </c>
      <c r="B17">
        <f>[@[Baseline_Emission]]-[@[Forecast_Emission]]</f>
        <v/>
      </c>
    </row>
    <row r="18">
      <c r="A18" t="inlineStr">
        <is>
          <t>Intensity_Reduction</t>
        </is>
      </c>
      <c r="B18">
        <f>IFERROR(([@[Baseline_Intensity]]-[@[Emission_Intensity]])/[@[Baseline_Intensity]],"")</f>
        <v/>
      </c>
    </row>
    <row r="19">
      <c r="A19" t="inlineStr">
        <is>
          <t>Gap_to_Target</t>
        </is>
      </c>
      <c r="B19">
        <f>[@[Forecast_Emission]]-[@[Target_Emission]]</f>
        <v/>
      </c>
    </row>
    <row r="20">
      <c r="A20" t="inlineStr">
        <is>
          <t>YoY_Change</t>
        </is>
      </c>
      <c r="B20">
        <f>IFERROR(([@[Forecast_Emission]]-OFFSET([@[Forecast_Emission]],-1,0))/OFFSET([@[Forecast_Emission]],-1,0),"")</f>
        <v/>
      </c>
    </row>
    <row r="21">
      <c r="A21" t="inlineStr">
        <is>
          <t>CAGR</t>
        </is>
      </c>
      <c r="B21">
        <f>IFERROR(([@[Forecast_Emission]]/[@[Baseline_Emission]])^(1/([@[Forecast_Year]]-[@[Baseline_Year]]))-1,"")</f>
        <v/>
      </c>
    </row>
    <row r="22">
      <c r="A22" t="inlineStr">
        <is>
          <t>Supplier_Growth_Projection</t>
        </is>
      </c>
      <c r="B22">
        <f>IFERROR(([@[Current_Spend]]/[@[Baseline_Spend]])^(1/([@[Supplier_Year]]-[@[Baseline_Year]]))-1,"")</f>
        <v/>
      </c>
    </row>
    <row r="23">
      <c r="A23" t="inlineStr">
        <is>
          <t>Carbon_Budget_Remaining</t>
        </is>
      </c>
      <c r="B23">
        <f>[@[Target_Carbon_Budget]]-[@[Cumulative_Emissions]]</f>
        <v/>
      </c>
    </row>
    <row r="24">
      <c r="A24" t="inlineStr">
        <is>
          <t>Cumulative_Emissions</t>
        </is>
      </c>
      <c r="B24">
        <f>SUMIFS([Forecast_Emission],[Supplier_ID],[@[Supplier_ID]],[Forecast_Year],"&lt;="&amp;[@[Forecast_Year]])</f>
        <v/>
      </c>
    </row>
    <row r="25">
      <c r="A25" t="inlineStr">
        <is>
          <t>MAPE</t>
        </is>
      </c>
      <c r="B25">
        <f>AVERAGE(ABS((Actual_Range-Forecast_Range)/Actual_Range))</f>
        <v/>
      </c>
    </row>
    <row r="26">
      <c r="A26" t="inlineStr">
        <is>
          <t>RMSE</t>
        </is>
      </c>
      <c r="B26">
        <f>SQRT(AVERAGE((Actual_Range-Forecast_Range)^2))</f>
        <v/>
      </c>
    </row>
    <row r="27">
      <c r="A27" t="inlineStr">
        <is>
          <t>R2</t>
        </is>
      </c>
      <c r="B27">
        <f>1-(SUMXMY2(Actual_Range,Forecast_Range)/DEVSQ(Actual_Range))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2026-06-13T18:20:00Z</dcterms:created>
  <dcterms:modified xmlns:dcterms="http://purl.org/dc/terms/" xmlns:xsi="http://www.w3.org/2001/XMLSchema-instance" xsi:type="dcterms:W3CDTF">2026-06-13T18:20:01Z</dcterms:modified>
</cp:coreProperties>
</file>